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ython\Github\lome_python\"/>
    </mc:Choice>
  </mc:AlternateContent>
  <xr:revisionPtr revIDLastSave="0" documentId="13_ncr:1_{111EB005-882A-4BCE-86BC-3B5A71963D4B}" xr6:coauthVersionLast="47" xr6:coauthVersionMax="47" xr10:uidLastSave="{00000000-0000-0000-0000-000000000000}"/>
  <bookViews>
    <workbookView xWindow="-120" yWindow="-120" windowWidth="20730" windowHeight="11160" tabRatio="754" firstSheet="2" activeTab="5" xr2:uid="{00000000-000D-0000-FFFF-FFFF00000000}"/>
  </bookViews>
  <sheets>
    <sheet name="INPUTS_Generales" sheetId="5" r:id="rId1"/>
    <sheet name="Gen-Cap" sheetId="23" r:id="rId2"/>
    <sheet name="Datos_Loc_ETs" sheetId="20" r:id="rId3"/>
    <sheet name="Datos_ETs_CAs" sheetId="22" r:id="rId4"/>
    <sheet name="Datos_Loc_CAs" sheetId="21" r:id="rId5"/>
    <sheet name="Analisis_Inputs_Grales" sheetId="24" r:id="rId6"/>
    <sheet name="Analisis 20Años" sheetId="25" r:id="rId7"/>
    <sheet name="Análisis Generación" sheetId="26" state="hidden" r:id="rId8"/>
    <sheet name="Generación-venta_año 10" sheetId="27" r:id="rId9"/>
  </sheets>
  <definedNames>
    <definedName name="ciudad" localSheetId="8">#REF!</definedName>
    <definedName name="ciudad">#REF!</definedName>
    <definedName name="conex_agua_exist" localSheetId="8">#REF!</definedName>
    <definedName name="conex_agua_exist">#REF!</definedName>
    <definedName name="conex_cloaca_exist" localSheetId="8">#REF!</definedName>
    <definedName name="conex_cloaca_exist">#REF!</definedName>
    <definedName name="dotacion_promedio" localSheetId="8">#REF!</definedName>
    <definedName name="dotacion_promedio">#REF!</definedName>
    <definedName name="Expansión_de_agua__ha" localSheetId="8">#REF!</definedName>
    <definedName name="Expansión_de_agua__ha">#REF!</definedName>
    <definedName name="Expansion_de_cloaca_ha" localSheetId="8">#REF!</definedName>
    <definedName name="Expansion_de_cloaca_ha">#REF!</definedName>
    <definedName name="hab_viv_agua" localSheetId="8">#REF!</definedName>
    <definedName name="hab_viv_agua">#REF!</definedName>
    <definedName name="hab_viv_cloaca" localSheetId="8">#REF!</definedName>
    <definedName name="hab_viv_cloaca">#REF!</definedName>
    <definedName name="km_red_exp_agua" localSheetId="8">#REF!</definedName>
    <definedName name="km_red_exp_agua">#REF!</definedName>
    <definedName name="km_redes_agua_rehab" localSheetId="8">#REF!</definedName>
    <definedName name="km_redes_agua_rehab">#REF!</definedName>
    <definedName name="km_redes_agua_renovar" localSheetId="8">#REF!</definedName>
    <definedName name="km_redes_agua_renovar">#REF!</definedName>
    <definedName name="medidores_red_exist" localSheetId="8">#REF!</definedName>
    <definedName name="medidores_red_exist">#REF!</definedName>
    <definedName name="medidores_red_nueva" localSheetId="8">#REF!</definedName>
    <definedName name="medidores_red_nueva">#REF!</definedName>
    <definedName name="MIN">INPUTS_Generales!#REF!</definedName>
    <definedName name="npg" localSheetId="8">#REF!</definedName>
    <definedName name="npg">#REF!</definedName>
    <definedName name="npg_num" localSheetId="8">#REF!</definedName>
    <definedName name="npg_num">#REF!</definedName>
    <definedName name="nuevas_conex_agua_red_exist" localSheetId="8">#REF!</definedName>
    <definedName name="nuevas_conex_agua_red_exist">#REF!</definedName>
    <definedName name="nuevas_conex_agua_red_nueva" localSheetId="8">#REF!</definedName>
    <definedName name="nuevas_conex_agua_red_nueva">#REF!</definedName>
    <definedName name="nuevas_conex_cloaca_red_exist" localSheetId="8">#REF!</definedName>
    <definedName name="nuevas_conex_cloaca_red_exist">#REF!</definedName>
    <definedName name="nuevas_conex_cloaca_red_nueva" localSheetId="8">#REF!</definedName>
    <definedName name="nuevas_conex_cloaca_red_nueva">#REF!</definedName>
    <definedName name="porcentaje_medicion" localSheetId="8">#REF!</definedName>
    <definedName name="porcentaje_medicion">#REF!</definedName>
    <definedName name="PROYECCION_DE_POBLACION" localSheetId="8">#REF!</definedName>
    <definedName name="PROYECCION_DE_POBLACION">#REF!</definedName>
    <definedName name="remuneracion_total_anual" localSheetId="8">#REF!</definedName>
    <definedName name="remuneracion_total_anual">#REF!</definedName>
    <definedName name="solver_adj" localSheetId="0" hidden="1">INPUTS_Generales!#REF!,INPUTS_Generales!#REF!,INPUTS_Generales!#REF!</definedName>
    <definedName name="solver_cvg" localSheetId="0" hidden="1">"0.0001"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INPUTS_Generales!#REF!</definedName>
    <definedName name="solver_lhs10" localSheetId="0" hidden="1">INPUTS_Generales!#REF!</definedName>
    <definedName name="solver_lhs100" localSheetId="0" hidden="1">INPUTS_Generales!#REF!</definedName>
    <definedName name="solver_lhs101" localSheetId="0" hidden="1">INPUTS_Generales!#REF!</definedName>
    <definedName name="solver_lhs102" localSheetId="0" hidden="1">INPUTS_Generales!#REF!</definedName>
    <definedName name="solver_lhs103" localSheetId="0" hidden="1">INPUTS_Generales!#REF!</definedName>
    <definedName name="solver_lhs104" localSheetId="0" hidden="1">INPUTS_Generales!#REF!</definedName>
    <definedName name="solver_lhs105" localSheetId="0" hidden="1">INPUTS_Generales!#REF!</definedName>
    <definedName name="solver_lhs106" localSheetId="0" hidden="1">INPUTS_Generales!#REF!</definedName>
    <definedName name="solver_lhs107" localSheetId="0" hidden="1">INPUTS_Generales!#REF!</definedName>
    <definedName name="solver_lhs108" localSheetId="0" hidden="1">INPUTS_Generales!#REF!</definedName>
    <definedName name="solver_lhs109" localSheetId="0" hidden="1">INPUTS_Generales!#REF!</definedName>
    <definedName name="solver_lhs11" localSheetId="0" hidden="1">INPUTS_Generales!#REF!</definedName>
    <definedName name="solver_lhs110" localSheetId="0" hidden="1">INPUTS_Generales!#REF!</definedName>
    <definedName name="solver_lhs111" localSheetId="0" hidden="1">INPUTS_Generales!#REF!</definedName>
    <definedName name="solver_lhs112" localSheetId="0" hidden="1">INPUTS_Generales!#REF!</definedName>
    <definedName name="solver_lhs113" localSheetId="0" hidden="1">INPUTS_Generales!#REF!</definedName>
    <definedName name="solver_lhs114" localSheetId="0" hidden="1">INPUTS_Generales!#REF!</definedName>
    <definedName name="solver_lhs115" localSheetId="0" hidden="1">INPUTS_Generales!#REF!</definedName>
    <definedName name="solver_lhs116" localSheetId="0" hidden="1">INPUTS_Generales!#REF!</definedName>
    <definedName name="solver_lhs12" localSheetId="0" hidden="1">INPUTS_Generales!#REF!</definedName>
    <definedName name="solver_lhs13" localSheetId="0" hidden="1">INPUTS_Generales!#REF!</definedName>
    <definedName name="solver_lhs14" localSheetId="0" hidden="1">INPUTS_Generales!#REF!</definedName>
    <definedName name="solver_lhs15" localSheetId="0" hidden="1">INPUTS_Generales!#REF!</definedName>
    <definedName name="solver_lhs16" localSheetId="0" hidden="1">INPUTS_Generales!#REF!</definedName>
    <definedName name="solver_lhs17" localSheetId="0" hidden="1">INPUTS_Generales!#REF!</definedName>
    <definedName name="solver_lhs18" localSheetId="0" hidden="1">INPUTS_Generales!#REF!</definedName>
    <definedName name="solver_lhs19" localSheetId="0" hidden="1">INPUTS_Generales!#REF!</definedName>
    <definedName name="solver_lhs2" localSheetId="0" hidden="1">INPUTS_Generales!#REF!</definedName>
    <definedName name="solver_lhs20" localSheetId="0" hidden="1">INPUTS_Generales!#REF!</definedName>
    <definedName name="solver_lhs21" localSheetId="0" hidden="1">INPUTS_Generales!#REF!</definedName>
    <definedName name="solver_lhs22" localSheetId="0" hidden="1">INPUTS_Generales!#REF!</definedName>
    <definedName name="solver_lhs23" localSheetId="0" hidden="1">INPUTS_Generales!#REF!</definedName>
    <definedName name="solver_lhs24" localSheetId="0" hidden="1">INPUTS_Generales!#REF!</definedName>
    <definedName name="solver_lhs25" localSheetId="0" hidden="1">INPUTS_Generales!#REF!</definedName>
    <definedName name="solver_lhs26" localSheetId="0" hidden="1">INPUTS_Generales!#REF!</definedName>
    <definedName name="solver_lhs27" localSheetId="0" hidden="1">INPUTS_Generales!#REF!</definedName>
    <definedName name="solver_lhs28" localSheetId="0" hidden="1">INPUTS_Generales!#REF!</definedName>
    <definedName name="solver_lhs29" localSheetId="0" hidden="1">INPUTS_Generales!#REF!</definedName>
    <definedName name="solver_lhs3" localSheetId="0" hidden="1">INPUTS_Generales!#REF!</definedName>
    <definedName name="solver_lhs30" localSheetId="0" hidden="1">INPUTS_Generales!#REF!</definedName>
    <definedName name="solver_lhs31" localSheetId="0" hidden="1">INPUTS_Generales!#REF!</definedName>
    <definedName name="solver_lhs32" localSheetId="0" hidden="1">INPUTS_Generales!#REF!</definedName>
    <definedName name="solver_lhs33" localSheetId="0" hidden="1">INPUTS_Generales!#REF!</definedName>
    <definedName name="solver_lhs34" localSheetId="0" hidden="1">INPUTS_Generales!#REF!</definedName>
    <definedName name="solver_lhs35" localSheetId="0" hidden="1">INPUTS_Generales!#REF!</definedName>
    <definedName name="solver_lhs36" localSheetId="0" hidden="1">INPUTS_Generales!#REF!</definedName>
    <definedName name="solver_lhs37" localSheetId="0" hidden="1">INPUTS_Generales!#REF!</definedName>
    <definedName name="solver_lhs38" localSheetId="0" hidden="1">INPUTS_Generales!#REF!</definedName>
    <definedName name="solver_lhs39" localSheetId="0" hidden="1">INPUTS_Generales!#REF!</definedName>
    <definedName name="solver_lhs4" localSheetId="0" hidden="1">INPUTS_Generales!#REF!</definedName>
    <definedName name="solver_lhs40" localSheetId="0" hidden="1">INPUTS_Generales!#REF!</definedName>
    <definedName name="solver_lhs41" localSheetId="0" hidden="1">INPUTS_Generales!#REF!</definedName>
    <definedName name="solver_lhs42" localSheetId="0" hidden="1">INPUTS_Generales!#REF!</definedName>
    <definedName name="solver_lhs43" localSheetId="0" hidden="1">INPUTS_Generales!#REF!</definedName>
    <definedName name="solver_lhs44" localSheetId="0" hidden="1">INPUTS_Generales!#REF!</definedName>
    <definedName name="solver_lhs45" localSheetId="0" hidden="1">INPUTS_Generales!#REF!</definedName>
    <definedName name="solver_lhs46" localSheetId="0" hidden="1">INPUTS_Generales!#REF!</definedName>
    <definedName name="solver_lhs47" localSheetId="0" hidden="1">INPUTS_Generales!#REF!</definedName>
    <definedName name="solver_lhs48" localSheetId="0" hidden="1">INPUTS_Generales!#REF!</definedName>
    <definedName name="solver_lhs49" localSheetId="0" hidden="1">INPUTS_Generales!#REF!</definedName>
    <definedName name="solver_lhs5" localSheetId="0" hidden="1">INPUTS_Generales!#REF!</definedName>
    <definedName name="solver_lhs50" localSheetId="0" hidden="1">INPUTS_Generales!#REF!</definedName>
    <definedName name="solver_lhs51" localSheetId="0" hidden="1">INPUTS_Generales!#REF!</definedName>
    <definedName name="solver_lhs52" localSheetId="0" hidden="1">INPUTS_Generales!#REF!</definedName>
    <definedName name="solver_lhs53" localSheetId="0" hidden="1">INPUTS_Generales!#REF!</definedName>
    <definedName name="solver_lhs54" localSheetId="0" hidden="1">INPUTS_Generales!#REF!</definedName>
    <definedName name="solver_lhs55" localSheetId="0" hidden="1">INPUTS_Generales!#REF!</definedName>
    <definedName name="solver_lhs56" localSheetId="0" hidden="1">INPUTS_Generales!#REF!</definedName>
    <definedName name="solver_lhs57" localSheetId="0" hidden="1">INPUTS_Generales!#REF!</definedName>
    <definedName name="solver_lhs58" localSheetId="0" hidden="1">INPUTS_Generales!#REF!</definedName>
    <definedName name="solver_lhs59" localSheetId="0" hidden="1">INPUTS_Generales!#REF!</definedName>
    <definedName name="solver_lhs6" localSheetId="0" hidden="1">INPUTS_Generales!#REF!</definedName>
    <definedName name="solver_lhs60" localSheetId="0" hidden="1">INPUTS_Generales!#REF!</definedName>
    <definedName name="solver_lhs61" localSheetId="0" hidden="1">INPUTS_Generales!#REF!</definedName>
    <definedName name="solver_lhs62" localSheetId="0" hidden="1">INPUTS_Generales!#REF!</definedName>
    <definedName name="solver_lhs63" localSheetId="0" hidden="1">INPUTS_Generales!#REF!</definedName>
    <definedName name="solver_lhs64" localSheetId="0" hidden="1">INPUTS_Generales!#REF!</definedName>
    <definedName name="solver_lhs65" localSheetId="0" hidden="1">INPUTS_Generales!#REF!</definedName>
    <definedName name="solver_lhs66" localSheetId="0" hidden="1">INPUTS_Generales!#REF!</definedName>
    <definedName name="solver_lhs67" localSheetId="0" hidden="1">INPUTS_Generales!#REF!</definedName>
    <definedName name="solver_lhs68" localSheetId="0" hidden="1">INPUTS_Generales!#REF!</definedName>
    <definedName name="solver_lhs69" localSheetId="0" hidden="1">INPUTS_Generales!#REF!</definedName>
    <definedName name="solver_lhs7" localSheetId="0" hidden="1">INPUTS_Generales!#REF!</definedName>
    <definedName name="solver_lhs70" localSheetId="0" hidden="1">INPUTS_Generales!#REF!</definedName>
    <definedName name="solver_lhs71" localSheetId="0" hidden="1">INPUTS_Generales!#REF!</definedName>
    <definedName name="solver_lhs72" localSheetId="0" hidden="1">INPUTS_Generales!#REF!</definedName>
    <definedName name="solver_lhs73" localSheetId="0" hidden="1">INPUTS_Generales!#REF!</definedName>
    <definedName name="solver_lhs74" localSheetId="0" hidden="1">INPUTS_Generales!#REF!</definedName>
    <definedName name="solver_lhs75" localSheetId="0" hidden="1">INPUTS_Generales!#REF!</definedName>
    <definedName name="solver_lhs76" localSheetId="0" hidden="1">INPUTS_Generales!#REF!</definedName>
    <definedName name="solver_lhs77" localSheetId="0" hidden="1">INPUTS_Generales!#REF!</definedName>
    <definedName name="solver_lhs78" localSheetId="0" hidden="1">INPUTS_Generales!#REF!</definedName>
    <definedName name="solver_lhs79" localSheetId="0" hidden="1">INPUTS_Generales!#REF!</definedName>
    <definedName name="solver_lhs8" localSheetId="0" hidden="1">INPUTS_Generales!#REF!</definedName>
    <definedName name="solver_lhs80" localSheetId="0" hidden="1">INPUTS_Generales!#REF!</definedName>
    <definedName name="solver_lhs81" localSheetId="0" hidden="1">INPUTS_Generales!#REF!</definedName>
    <definedName name="solver_lhs82" localSheetId="0" hidden="1">INPUTS_Generales!#REF!</definedName>
    <definedName name="solver_lhs83" localSheetId="0" hidden="1">INPUTS_Generales!#REF!</definedName>
    <definedName name="solver_lhs84" localSheetId="0" hidden="1">INPUTS_Generales!#REF!</definedName>
    <definedName name="solver_lhs85" localSheetId="0" hidden="1">INPUTS_Generales!#REF!</definedName>
    <definedName name="solver_lhs86" localSheetId="0" hidden="1">INPUTS_Generales!#REF!</definedName>
    <definedName name="solver_lhs87" localSheetId="0" hidden="1">INPUTS_Generales!#REF!</definedName>
    <definedName name="solver_lhs88" localSheetId="0" hidden="1">INPUTS_Generales!#REF!</definedName>
    <definedName name="solver_lhs89" localSheetId="0" hidden="1">INPUTS_Generales!#REF!</definedName>
    <definedName name="solver_lhs9" localSheetId="0" hidden="1">INPUTS_Generales!#REF!</definedName>
    <definedName name="solver_lhs90" localSheetId="0" hidden="1">INPUTS_Generales!#REF!</definedName>
    <definedName name="solver_lhs91" localSheetId="0" hidden="1">INPUTS_Generales!#REF!</definedName>
    <definedName name="solver_lhs92" localSheetId="0" hidden="1">INPUTS_Generales!#REF!</definedName>
    <definedName name="solver_lhs93" localSheetId="0" hidden="1">INPUTS_Generales!#REF!</definedName>
    <definedName name="solver_lhs94" localSheetId="0" hidden="1">INPUTS_Generales!#REF!</definedName>
    <definedName name="solver_lhs95" localSheetId="0" hidden="1">INPUTS_Generales!#REF!</definedName>
    <definedName name="solver_lhs96" localSheetId="0" hidden="1">INPUTS_Generales!#REF!</definedName>
    <definedName name="solver_lhs97" localSheetId="0" hidden="1">INPUTS_Generales!#REF!</definedName>
    <definedName name="solver_lhs98" localSheetId="0" hidden="1">INPUTS_Generales!#REF!</definedName>
    <definedName name="solver_lhs99" localSheetId="0" hidden="1">INPUTS_Generales!#REF!</definedName>
    <definedName name="solver_mip" localSheetId="0" hidden="1">2147483647</definedName>
    <definedName name="solver_mni" localSheetId="0" hidden="1">30</definedName>
    <definedName name="solver_mrt" localSheetId="0" hidden="1">"0.075"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52</definedName>
    <definedName name="solver_nwt" localSheetId="0" hidden="1">1</definedName>
    <definedName name="solver_opt" localSheetId="0" hidden="1">INPUTS_Generales!#REF!</definedName>
    <definedName name="solver_pre" localSheetId="0" hidden="1">"0.000001"</definedName>
    <definedName name="solver_rbv" localSheetId="0" hidden="1">2</definedName>
    <definedName name="solver_rel1" localSheetId="0" hidden="1">5</definedName>
    <definedName name="solver_rel10" localSheetId="0" hidden="1">5</definedName>
    <definedName name="solver_rel100" localSheetId="0" hidden="1">4</definedName>
    <definedName name="solver_rel101" localSheetId="0" hidden="1">4</definedName>
    <definedName name="solver_rel102" localSheetId="0" hidden="1">4</definedName>
    <definedName name="solver_rel103" localSheetId="0" hidden="1">4</definedName>
    <definedName name="solver_rel104" localSheetId="0" hidden="1">4</definedName>
    <definedName name="solver_rel105" localSheetId="0" hidden="1">4</definedName>
    <definedName name="solver_rel106" localSheetId="0" hidden="1">4</definedName>
    <definedName name="solver_rel107" localSheetId="0" hidden="1">4</definedName>
    <definedName name="solver_rel108" localSheetId="0" hidden="1">4</definedName>
    <definedName name="solver_rel109" localSheetId="0" hidden="1">4</definedName>
    <definedName name="solver_rel11" localSheetId="0" hidden="1">5</definedName>
    <definedName name="solver_rel110" localSheetId="0" hidden="1">4</definedName>
    <definedName name="solver_rel111" localSheetId="0" hidden="1">4</definedName>
    <definedName name="solver_rel112" localSheetId="0" hidden="1">4</definedName>
    <definedName name="solver_rel113" localSheetId="0" hidden="1">1</definedName>
    <definedName name="solver_rel114" localSheetId="0" hidden="1">1</definedName>
    <definedName name="solver_rel115" localSheetId="0" hidden="1">1</definedName>
    <definedName name="solver_rel116" localSheetId="0" hidden="1">1</definedName>
    <definedName name="solver_rel12" localSheetId="0" hidden="1">5</definedName>
    <definedName name="solver_rel13" localSheetId="0" hidden="1">5</definedName>
    <definedName name="solver_rel14" localSheetId="0" hidden="1">5</definedName>
    <definedName name="solver_rel15" localSheetId="0" hidden="1">5</definedName>
    <definedName name="solver_rel16" localSheetId="0" hidden="1">5</definedName>
    <definedName name="solver_rel17" localSheetId="0" hidden="1">5</definedName>
    <definedName name="solver_rel18" localSheetId="0" hidden="1">5</definedName>
    <definedName name="solver_rel19" localSheetId="0" hidden="1">5</definedName>
    <definedName name="solver_rel2" localSheetId="0" hidden="1">5</definedName>
    <definedName name="solver_rel20" localSheetId="0" hidden="1">5</definedName>
    <definedName name="solver_rel21" localSheetId="0" hidden="1">5</definedName>
    <definedName name="solver_rel22" localSheetId="0" hidden="1">5</definedName>
    <definedName name="solver_rel23" localSheetId="0" hidden="1">5</definedName>
    <definedName name="solver_rel24" localSheetId="0" hidden="1">5</definedName>
    <definedName name="solver_rel25" localSheetId="0" hidden="1">5</definedName>
    <definedName name="solver_rel26" localSheetId="0" hidden="1">5</definedName>
    <definedName name="solver_rel27" localSheetId="0" hidden="1">5</definedName>
    <definedName name="solver_rel28" localSheetId="0" hidden="1">5</definedName>
    <definedName name="solver_rel29" localSheetId="0" hidden="1">5</definedName>
    <definedName name="solver_rel3" localSheetId="0" hidden="1">5</definedName>
    <definedName name="solver_rel30" localSheetId="0" hidden="1">5</definedName>
    <definedName name="solver_rel31" localSheetId="0" hidden="1">5</definedName>
    <definedName name="solver_rel32" localSheetId="0" hidden="1">5</definedName>
    <definedName name="solver_rel33" localSheetId="0" hidden="1">2</definedName>
    <definedName name="solver_rel34" localSheetId="0" hidden="1">2</definedName>
    <definedName name="solver_rel35" localSheetId="0" hidden="1">2</definedName>
    <definedName name="solver_rel36" localSheetId="0" hidden="1">2</definedName>
    <definedName name="solver_rel37" localSheetId="0" hidden="1">2</definedName>
    <definedName name="solver_rel38" localSheetId="0" hidden="1">2</definedName>
    <definedName name="solver_rel39" localSheetId="0" hidden="1">2</definedName>
    <definedName name="solver_rel4" localSheetId="0" hidden="1">5</definedName>
    <definedName name="solver_rel40" localSheetId="0" hidden="1">2</definedName>
    <definedName name="solver_rel41" localSheetId="0" hidden="1">3</definedName>
    <definedName name="solver_rel42" localSheetId="0" hidden="1">1</definedName>
    <definedName name="solver_rel43" localSheetId="0" hidden="1">1</definedName>
    <definedName name="solver_rel44" localSheetId="0" hidden="1">1</definedName>
    <definedName name="solver_rel45" localSheetId="0" hidden="1">1</definedName>
    <definedName name="solver_rel46" localSheetId="0" hidden="1">3</definedName>
    <definedName name="solver_rel47" localSheetId="0" hidden="1">1</definedName>
    <definedName name="solver_rel48" localSheetId="0" hidden="1">1</definedName>
    <definedName name="solver_rel49" localSheetId="0" hidden="1">1</definedName>
    <definedName name="solver_rel5" localSheetId="0" hidden="1">5</definedName>
    <definedName name="solver_rel50" localSheetId="0" hidden="1">1</definedName>
    <definedName name="solver_rel51" localSheetId="0" hidden="1">3</definedName>
    <definedName name="solver_rel52" localSheetId="0" hidden="1">1</definedName>
    <definedName name="solver_rel53" localSheetId="0" hidden="1">3</definedName>
    <definedName name="solver_rel54" localSheetId="0" hidden="1">3</definedName>
    <definedName name="solver_rel55" localSheetId="0" hidden="1">4</definedName>
    <definedName name="solver_rel56" localSheetId="0" hidden="1">1</definedName>
    <definedName name="solver_rel57" localSheetId="0" hidden="1">1</definedName>
    <definedName name="solver_rel58" localSheetId="0" hidden="1">1</definedName>
    <definedName name="solver_rel59" localSheetId="0" hidden="1">4</definedName>
    <definedName name="solver_rel6" localSheetId="0" hidden="1">5</definedName>
    <definedName name="solver_rel60" localSheetId="0" hidden="1">4</definedName>
    <definedName name="solver_rel61" localSheetId="0" hidden="1">1</definedName>
    <definedName name="solver_rel62" localSheetId="0" hidden="1">4</definedName>
    <definedName name="solver_rel63" localSheetId="0" hidden="1">1</definedName>
    <definedName name="solver_rel64" localSheetId="0" hidden="1">4</definedName>
    <definedName name="solver_rel65" localSheetId="0" hidden="1">4</definedName>
    <definedName name="solver_rel66" localSheetId="0" hidden="1">1</definedName>
    <definedName name="solver_rel67" localSheetId="0" hidden="1">4</definedName>
    <definedName name="solver_rel68" localSheetId="0" hidden="1">1</definedName>
    <definedName name="solver_rel69" localSheetId="0" hidden="1">4</definedName>
    <definedName name="solver_rel7" localSheetId="0" hidden="1">5</definedName>
    <definedName name="solver_rel70" localSheetId="0" hidden="1">4</definedName>
    <definedName name="solver_rel71" localSheetId="0" hidden="1">1</definedName>
    <definedName name="solver_rel72" localSheetId="0" hidden="1">1</definedName>
    <definedName name="solver_rel73" localSheetId="0" hidden="1">4</definedName>
    <definedName name="solver_rel74" localSheetId="0" hidden="1">4</definedName>
    <definedName name="solver_rel75" localSheetId="0" hidden="1">1</definedName>
    <definedName name="solver_rel76" localSheetId="0" hidden="1">1</definedName>
    <definedName name="solver_rel77" localSheetId="0" hidden="1">4</definedName>
    <definedName name="solver_rel78" localSheetId="0" hidden="1">4</definedName>
    <definedName name="solver_rel79" localSheetId="0" hidden="1">1</definedName>
    <definedName name="solver_rel8" localSheetId="0" hidden="1">5</definedName>
    <definedName name="solver_rel80" localSheetId="0" hidden="1">1</definedName>
    <definedName name="solver_rel81" localSheetId="0" hidden="1">4</definedName>
    <definedName name="solver_rel82" localSheetId="0" hidden="1">4</definedName>
    <definedName name="solver_rel83" localSheetId="0" hidden="1">4</definedName>
    <definedName name="solver_rel84" localSheetId="0" hidden="1">4</definedName>
    <definedName name="solver_rel85" localSheetId="0" hidden="1">4</definedName>
    <definedName name="solver_rel86" localSheetId="0" hidden="1">4</definedName>
    <definedName name="solver_rel87" localSheetId="0" hidden="1">4</definedName>
    <definedName name="solver_rel88" localSheetId="0" hidden="1">4</definedName>
    <definedName name="solver_rel89" localSheetId="0" hidden="1">4</definedName>
    <definedName name="solver_rel9" localSheetId="0" hidden="1">5</definedName>
    <definedName name="solver_rel90" localSheetId="0" hidden="1">4</definedName>
    <definedName name="solver_rel91" localSheetId="0" hidden="1">4</definedName>
    <definedName name="solver_rel92" localSheetId="0" hidden="1">4</definedName>
    <definedName name="solver_rel93" localSheetId="0" hidden="1">4</definedName>
    <definedName name="solver_rel94" localSheetId="0" hidden="1">4</definedName>
    <definedName name="solver_rel95" localSheetId="0" hidden="1">4</definedName>
    <definedName name="solver_rel96" localSheetId="0" hidden="1">4</definedName>
    <definedName name="solver_rel97" localSheetId="0" hidden="1">4</definedName>
    <definedName name="solver_rel98" localSheetId="0" hidden="1">4</definedName>
    <definedName name="solver_rel99" localSheetId="0" hidden="1">4</definedName>
    <definedName name="solver_rhs1" localSheetId="0" hidden="1">"binario"</definedName>
    <definedName name="solver_rhs10" localSheetId="0" hidden="1">"binario"</definedName>
    <definedName name="solver_rhs100" localSheetId="0" hidden="1">"entero"</definedName>
    <definedName name="solver_rhs101" localSheetId="0" hidden="1">"entero"</definedName>
    <definedName name="solver_rhs102" localSheetId="0" hidden="1">"entero"</definedName>
    <definedName name="solver_rhs103" localSheetId="0" hidden="1">"entero"</definedName>
    <definedName name="solver_rhs104" localSheetId="0" hidden="1">"entero"</definedName>
    <definedName name="solver_rhs105" localSheetId="0" hidden="1">"entero"</definedName>
    <definedName name="solver_rhs106" localSheetId="0" hidden="1">"entero"</definedName>
    <definedName name="solver_rhs107" localSheetId="0" hidden="1">"entero"</definedName>
    <definedName name="solver_rhs108" localSheetId="0" hidden="1">"entero"</definedName>
    <definedName name="solver_rhs109" localSheetId="0" hidden="1">"entero"</definedName>
    <definedName name="solver_rhs11" localSheetId="0" hidden="1">"binario"</definedName>
    <definedName name="solver_rhs110" localSheetId="0" hidden="1">"entero"</definedName>
    <definedName name="solver_rhs111" localSheetId="0" hidden="1">"entero"</definedName>
    <definedName name="solver_rhs112" localSheetId="0" hidden="1">"entero"</definedName>
    <definedName name="solver_rhs113" localSheetId="0" hidden="1">1</definedName>
    <definedName name="solver_rhs114" localSheetId="0" hidden="1">1</definedName>
    <definedName name="solver_rhs115" localSheetId="0" hidden="1">1</definedName>
    <definedName name="solver_rhs116" localSheetId="0" hidden="1">1</definedName>
    <definedName name="solver_rhs12" localSheetId="0" hidden="1">"binario"</definedName>
    <definedName name="solver_rhs13" localSheetId="0" hidden="1">"binario"</definedName>
    <definedName name="solver_rhs14" localSheetId="0" hidden="1">"binario"</definedName>
    <definedName name="solver_rhs15" localSheetId="0" hidden="1">"binario"</definedName>
    <definedName name="solver_rhs16" localSheetId="0" hidden="1">"binario"</definedName>
    <definedName name="solver_rhs17" localSheetId="0" hidden="1">"binario"</definedName>
    <definedName name="solver_rhs18" localSheetId="0" hidden="1">"binario"</definedName>
    <definedName name="solver_rhs19" localSheetId="0" hidden="1">"binario"</definedName>
    <definedName name="solver_rhs2" localSheetId="0" hidden="1">"binario"</definedName>
    <definedName name="solver_rhs20" localSheetId="0" hidden="1">"binario"</definedName>
    <definedName name="solver_rhs21" localSheetId="0" hidden="1">"binario"</definedName>
    <definedName name="solver_rhs22" localSheetId="0" hidden="1">"binario"</definedName>
    <definedName name="solver_rhs23" localSheetId="0" hidden="1">"binario"</definedName>
    <definedName name="solver_rhs24" localSheetId="0" hidden="1">"binario"</definedName>
    <definedName name="solver_rhs25" localSheetId="0" hidden="1">"binario"</definedName>
    <definedName name="solver_rhs26" localSheetId="0" hidden="1">"binario"</definedName>
    <definedName name="solver_rhs27" localSheetId="0" hidden="1">"binario"</definedName>
    <definedName name="solver_rhs28" localSheetId="0" hidden="1">"binario"</definedName>
    <definedName name="solver_rhs29" localSheetId="0" hidden="1">"binario"</definedName>
    <definedName name="solver_rhs3" localSheetId="0" hidden="1">"binario"</definedName>
    <definedName name="solver_rhs30" localSheetId="0" hidden="1">"binario"</definedName>
    <definedName name="solver_rhs31" localSheetId="0" hidden="1">"binario"</definedName>
    <definedName name="solver_rhs32" localSheetId="0" hidden="1">"binario"</definedName>
    <definedName name="solver_rhs33" localSheetId="0" hidden="1">1</definedName>
    <definedName name="solver_rhs34" localSheetId="0" hidden="1">1</definedName>
    <definedName name="solver_rhs35" localSheetId="0" hidden="1">1</definedName>
    <definedName name="solver_rhs36" localSheetId="0" hidden="1">1</definedName>
    <definedName name="solver_rhs37" localSheetId="0" hidden="1">INPUTS_Generales!#REF!</definedName>
    <definedName name="solver_rhs38" localSheetId="0" hidden="1">INPUTS_Generales!#REF!</definedName>
    <definedName name="solver_rhs39" localSheetId="0" hidden="1">INPUTS_Generales!#REF!</definedName>
    <definedName name="solver_rhs4" localSheetId="0" hidden="1">"binario"</definedName>
    <definedName name="solver_rhs40" localSheetId="0" hidden="1">INPUTS_Generales!#REF!</definedName>
    <definedName name="solver_rhs41" localSheetId="0" hidden="1">0</definedName>
    <definedName name="solver_rhs42" localSheetId="0" hidden="1">1</definedName>
    <definedName name="solver_rhs43" localSheetId="0" hidden="1">1</definedName>
    <definedName name="solver_rhs44" localSheetId="0" hidden="1">1</definedName>
    <definedName name="solver_rhs45" localSheetId="0" hidden="1">1</definedName>
    <definedName name="solver_rhs46" localSheetId="0" hidden="1">0</definedName>
    <definedName name="solver_rhs47" localSheetId="0" hidden="1">1</definedName>
    <definedName name="solver_rhs48" localSheetId="0" hidden="1">1</definedName>
    <definedName name="solver_rhs49" localSheetId="0" hidden="1">1</definedName>
    <definedName name="solver_rhs5" localSheetId="0" hidden="1">"binario"</definedName>
    <definedName name="solver_rhs50" localSheetId="0" hidden="1">1</definedName>
    <definedName name="solver_rhs51" localSheetId="0" hidden="1">0</definedName>
    <definedName name="solver_rhs52" localSheetId="0" hidden="1">INPUTS_Generales!#REF!</definedName>
    <definedName name="solver_rhs53" localSheetId="0" hidden="1">0</definedName>
    <definedName name="solver_rhs54" localSheetId="0" hidden="1">0</definedName>
    <definedName name="solver_rhs55" localSheetId="0" hidden="1">"entero"</definedName>
    <definedName name="solver_rhs56" localSheetId="0" hidden="1">1</definedName>
    <definedName name="solver_rhs57" localSheetId="0" hidden="1">1</definedName>
    <definedName name="solver_rhs58" localSheetId="0" hidden="1">1</definedName>
    <definedName name="solver_rhs59" localSheetId="0" hidden="1">"entero"</definedName>
    <definedName name="solver_rhs6" localSheetId="0" hidden="1">"binario"</definedName>
    <definedName name="solver_rhs60" localSheetId="0" hidden="1">"entero"</definedName>
    <definedName name="solver_rhs61" localSheetId="0" hidden="1">1</definedName>
    <definedName name="solver_rhs62" localSheetId="0" hidden="1">"entero"</definedName>
    <definedName name="solver_rhs63" localSheetId="0" hidden="1">1</definedName>
    <definedName name="solver_rhs64" localSheetId="0" hidden="1">"entero"</definedName>
    <definedName name="solver_rhs65" localSheetId="0" hidden="1">"entero"</definedName>
    <definedName name="solver_rhs66" localSheetId="0" hidden="1">1</definedName>
    <definedName name="solver_rhs67" localSheetId="0" hidden="1">"entero"</definedName>
    <definedName name="solver_rhs68" localSheetId="0" hidden="1">1</definedName>
    <definedName name="solver_rhs69" localSheetId="0" hidden="1">"entero"</definedName>
    <definedName name="solver_rhs7" localSheetId="0" hidden="1">"binario"</definedName>
    <definedName name="solver_rhs70" localSheetId="0" hidden="1">"entero"</definedName>
    <definedName name="solver_rhs71" localSheetId="0" hidden="1">1</definedName>
    <definedName name="solver_rhs72" localSheetId="0" hidden="1">1</definedName>
    <definedName name="solver_rhs73" localSheetId="0" hidden="1">"entero"</definedName>
    <definedName name="solver_rhs74" localSheetId="0" hidden="1">"entero"</definedName>
    <definedName name="solver_rhs75" localSheetId="0" hidden="1">1</definedName>
    <definedName name="solver_rhs76" localSheetId="0" hidden="1">1</definedName>
    <definedName name="solver_rhs77" localSheetId="0" hidden="1">"entero"</definedName>
    <definedName name="solver_rhs78" localSheetId="0" hidden="1">"entero"</definedName>
    <definedName name="solver_rhs79" localSheetId="0" hidden="1">1</definedName>
    <definedName name="solver_rhs8" localSheetId="0" hidden="1">"binario"</definedName>
    <definedName name="solver_rhs80" localSheetId="0" hidden="1">1</definedName>
    <definedName name="solver_rhs81" localSheetId="0" hidden="1">"entero"</definedName>
    <definedName name="solver_rhs82" localSheetId="0" hidden="1">"entero"</definedName>
    <definedName name="solver_rhs83" localSheetId="0" hidden="1">"entero"</definedName>
    <definedName name="solver_rhs84" localSheetId="0" hidden="1">"entero"</definedName>
    <definedName name="solver_rhs85" localSheetId="0" hidden="1">"entero"</definedName>
    <definedName name="solver_rhs86" localSheetId="0" hidden="1">"entero"</definedName>
    <definedName name="solver_rhs87" localSheetId="0" hidden="1">"entero"</definedName>
    <definedName name="solver_rhs88" localSheetId="0" hidden="1">"entero"</definedName>
    <definedName name="solver_rhs89" localSheetId="0" hidden="1">"entero"</definedName>
    <definedName name="solver_rhs9" localSheetId="0" hidden="1">"binario"</definedName>
    <definedName name="solver_rhs90" localSheetId="0" hidden="1">"entero"</definedName>
    <definedName name="solver_rhs91" localSheetId="0" hidden="1">"entero"</definedName>
    <definedName name="solver_rhs92" localSheetId="0" hidden="1">"entero"</definedName>
    <definedName name="solver_rhs93" localSheetId="0" hidden="1">"entero"</definedName>
    <definedName name="solver_rhs94" localSheetId="0" hidden="1">"entero"</definedName>
    <definedName name="solver_rhs95" localSheetId="0" hidden="1">"entero"</definedName>
    <definedName name="solver_rhs96" localSheetId="0" hidden="1">"entero"</definedName>
    <definedName name="solver_rhs97" localSheetId="0" hidden="1">"entero"</definedName>
    <definedName name="solver_rhs98" localSheetId="0" hidden="1">"entero"</definedName>
    <definedName name="solver_rhs99" localSheetId="0" hidden="1">"entero"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0</definedName>
    <definedName name="solver_tim" localSheetId="0" hidden="1">2147483647</definedName>
    <definedName name="solver_tol" localSheetId="0" hidden="1">1</definedName>
    <definedName name="solver_typ" localSheetId="0" hidden="1">2</definedName>
    <definedName name="solver_val" localSheetId="0" hidden="1">0</definedName>
    <definedName name="solver_ver" localSheetId="0" hidden="1">3</definedName>
    <definedName name="total_cobert_agua" localSheetId="8">#REF!</definedName>
    <definedName name="total_cobert_agua">#REF!</definedName>
    <definedName name="total_cobertura_cloaca" localSheetId="8">#REF!</definedName>
    <definedName name="total_cobertura_cloaca">#REF!</definedName>
    <definedName name="total_usuarios_agua_no_med" localSheetId="8">#REF!</definedName>
    <definedName name="total_usuarios_agua_no_med">#REF!</definedName>
    <definedName name="total_usuarios_serv_agua_med" localSheetId="8">#REF!</definedName>
    <definedName name="total_usuarios_serv_agua_med">#REF!</definedName>
    <definedName name="WBBINRango0">INPUTS_Generales!#REF!</definedName>
    <definedName name="WBBINRango1">INPUTS_Generales!#REF!</definedName>
    <definedName name="WBBINRango10">INPUTS_Generales!#REF!</definedName>
    <definedName name="WBBINRango11">INPUTS_Generales!#REF!</definedName>
    <definedName name="WBBINRango12">INPUTS_Generales!#REF!</definedName>
    <definedName name="WBBINRango13">INPUTS_Generales!#REF!</definedName>
    <definedName name="WBBINRango14">INPUTS_Generales!#REF!</definedName>
    <definedName name="WBBINRango15">INPUTS_Generales!#REF!</definedName>
    <definedName name="WBBINRango16">INPUTS_Generales!#REF!</definedName>
    <definedName name="WBBINRango17">INPUTS_Generales!#REF!</definedName>
    <definedName name="WBBINRango18">INPUTS_Generales!#REF!</definedName>
    <definedName name="WBBINRango19">INPUTS_Generales!#REF!</definedName>
    <definedName name="WBBINRango2">INPUTS_Generales!#REF!</definedName>
    <definedName name="WBBINRango20">INPUTS_Generales!#REF!</definedName>
    <definedName name="WBBINRango21">INPUTS_Generales!#REF!</definedName>
    <definedName name="WBBINRango22">INPUTS_Generales!#REF!</definedName>
    <definedName name="WBBINRango23">INPUTS_Generales!#REF!</definedName>
    <definedName name="WBBINRango24">INPUTS_Generales!#REF!</definedName>
    <definedName name="WBBINRango25">INPUTS_Generales!#REF!</definedName>
    <definedName name="WBBINRango26">INPUTS_Generales!#REF!</definedName>
    <definedName name="WBBINRango27">INPUTS_Generales!#REF!</definedName>
    <definedName name="WBBINRango28">INPUTS_Generales!#REF!</definedName>
    <definedName name="WBBINRango29">INPUTS_Generales!#REF!</definedName>
    <definedName name="WBBINRango3">INPUTS_Generales!#REF!</definedName>
    <definedName name="WBBINRango4">INPUTS_Generales!#REF!</definedName>
    <definedName name="WBBINRango5">INPUTS_Generales!#REF!</definedName>
    <definedName name="WBBINRango6">INPUTS_Generales!#REF!</definedName>
    <definedName name="WBBINRango7">INPUTS_Generales!#REF!</definedName>
    <definedName name="WBBINRango8">INPUTS_Generales!#REF!</definedName>
    <definedName name="WBBINRango9">INPUTS_Generales!#REF!</definedName>
    <definedName name="WBIPHECUCR">2</definedName>
    <definedName name="WBITERSLW">150</definedName>
    <definedName name="WBMIN">INPUTS_Generales!#REF!</definedName>
    <definedName name="WBNOPTTOL">1</definedName>
    <definedName name="WBRELATIVELIMIT">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2" i="5" l="1"/>
  <c r="K693" i="25"/>
  <c r="K694" i="25"/>
  <c r="K695" i="25"/>
  <c r="K696" i="25"/>
  <c r="K697" i="25"/>
  <c r="K698" i="25"/>
  <c r="K699" i="25"/>
  <c r="K700" i="25"/>
  <c r="K701" i="25"/>
  <c r="K702" i="25"/>
  <c r="K703" i="25"/>
  <c r="K704" i="25"/>
  <c r="K705" i="25"/>
  <c r="K706" i="25"/>
  <c r="K707" i="25"/>
  <c r="K708" i="25"/>
  <c r="K709" i="25"/>
  <c r="K710" i="25"/>
  <c r="K711" i="25"/>
  <c r="K712" i="25"/>
  <c r="K713" i="25"/>
  <c r="K714" i="25"/>
  <c r="K715" i="25"/>
  <c r="K716" i="25"/>
  <c r="K717" i="25"/>
  <c r="K718" i="25"/>
  <c r="K719" i="25"/>
  <c r="K720" i="25"/>
  <c r="K721" i="25"/>
  <c r="K722" i="25"/>
  <c r="K723" i="25"/>
  <c r="K724" i="25"/>
  <c r="K725" i="25"/>
  <c r="K726" i="25"/>
  <c r="K727" i="25"/>
  <c r="K728" i="25"/>
  <c r="K729" i="25"/>
  <c r="K730" i="25"/>
  <c r="K731" i="25"/>
  <c r="K732" i="25"/>
  <c r="K733" i="25"/>
  <c r="K734" i="25"/>
  <c r="K735" i="25"/>
  <c r="K736" i="25"/>
  <c r="K737" i="25"/>
  <c r="K738" i="25"/>
  <c r="K739" i="25"/>
  <c r="K740" i="25"/>
  <c r="K741" i="25"/>
  <c r="K742" i="25"/>
  <c r="K743" i="25"/>
  <c r="K744" i="25"/>
  <c r="K745" i="25"/>
  <c r="K746" i="25"/>
  <c r="K747" i="25"/>
  <c r="K748" i="25"/>
  <c r="K749" i="25"/>
  <c r="K750" i="25"/>
  <c r="K751" i="25"/>
  <c r="K752" i="25"/>
  <c r="K753" i="25"/>
  <c r="K754" i="25"/>
  <c r="K755" i="25"/>
  <c r="K756" i="25"/>
  <c r="K757" i="25"/>
  <c r="K758" i="25"/>
  <c r="K759" i="25"/>
  <c r="K760" i="25"/>
  <c r="K761" i="25"/>
  <c r="K762" i="25"/>
  <c r="K763" i="25"/>
  <c r="K764" i="25"/>
  <c r="K765" i="25"/>
  <c r="K766" i="25"/>
  <c r="K767" i="25"/>
  <c r="K768" i="25"/>
  <c r="K769" i="25"/>
  <c r="K770" i="25"/>
  <c r="K771" i="25"/>
  <c r="K772" i="25"/>
  <c r="K773" i="25"/>
  <c r="K774" i="25"/>
  <c r="K775" i="25"/>
  <c r="K776" i="25"/>
  <c r="K777" i="25"/>
  <c r="K778" i="25"/>
  <c r="K779" i="25"/>
  <c r="K780" i="25"/>
  <c r="K781" i="25"/>
  <c r="K782" i="25"/>
  <c r="K783" i="25"/>
  <c r="K784" i="25"/>
  <c r="K785" i="25"/>
  <c r="K786" i="25"/>
  <c r="K787" i="25"/>
  <c r="K788" i="25"/>
  <c r="K789" i="25"/>
  <c r="K790" i="25"/>
  <c r="K791" i="25"/>
  <c r="K792" i="25"/>
  <c r="K793" i="25"/>
  <c r="K794" i="25"/>
  <c r="K795" i="25"/>
  <c r="K796" i="25"/>
  <c r="K797" i="25"/>
  <c r="K798" i="25"/>
  <c r="K799" i="25"/>
  <c r="K800" i="25"/>
  <c r="K801" i="25"/>
  <c r="K802" i="25"/>
  <c r="K803" i="25"/>
  <c r="K804" i="25"/>
  <c r="K805" i="25"/>
  <c r="K806" i="25"/>
  <c r="K807" i="25"/>
  <c r="K808" i="25"/>
  <c r="K809" i="25"/>
  <c r="K810" i="25"/>
  <c r="K811" i="25"/>
  <c r="K812" i="25"/>
  <c r="K813" i="25"/>
  <c r="K814" i="25"/>
  <c r="K815" i="25"/>
  <c r="K816" i="25"/>
  <c r="K817" i="25"/>
  <c r="K818" i="25"/>
  <c r="K819" i="25"/>
  <c r="K820" i="25"/>
  <c r="K821" i="25"/>
  <c r="K822" i="25"/>
  <c r="K823" i="25"/>
  <c r="K824" i="25"/>
  <c r="K825" i="25"/>
  <c r="K826" i="25"/>
  <c r="K827" i="25"/>
  <c r="K828" i="25"/>
  <c r="K829" i="25"/>
  <c r="K830" i="25"/>
  <c r="K831" i="25"/>
  <c r="K832" i="25"/>
  <c r="K833" i="25"/>
  <c r="K834" i="25"/>
  <c r="K835" i="25"/>
  <c r="K836" i="25"/>
  <c r="K837" i="25"/>
  <c r="K838" i="25"/>
  <c r="K839" i="25"/>
  <c r="K840" i="25"/>
  <c r="K841" i="25"/>
  <c r="K842" i="25"/>
  <c r="K843" i="25"/>
  <c r="K844" i="25"/>
  <c r="K845" i="25"/>
  <c r="K846" i="25"/>
  <c r="K847" i="25"/>
  <c r="K848" i="25"/>
  <c r="K849" i="25"/>
  <c r="K850" i="25"/>
  <c r="K851" i="25"/>
  <c r="K852" i="25"/>
  <c r="K853" i="25"/>
  <c r="K854" i="25"/>
  <c r="K855" i="25"/>
  <c r="K856" i="25"/>
  <c r="K857" i="25"/>
  <c r="K858" i="25"/>
  <c r="K859" i="25"/>
  <c r="K860" i="25"/>
  <c r="K861" i="25"/>
  <c r="K862" i="25"/>
  <c r="K863" i="25"/>
  <c r="K864" i="25"/>
  <c r="K865" i="25"/>
  <c r="K866" i="25"/>
  <c r="K867" i="25"/>
  <c r="K868" i="25"/>
  <c r="K869" i="25"/>
  <c r="K870" i="25"/>
  <c r="K871" i="25"/>
  <c r="K872" i="25"/>
  <c r="K873" i="25"/>
  <c r="K874" i="25"/>
  <c r="K875" i="25"/>
  <c r="K876" i="25"/>
  <c r="K877" i="25"/>
  <c r="K878" i="25"/>
  <c r="K879" i="25"/>
  <c r="K880" i="25"/>
  <c r="K881" i="25"/>
  <c r="K882" i="25"/>
  <c r="K883" i="25"/>
  <c r="K884" i="25"/>
  <c r="K885" i="25"/>
  <c r="K886" i="25"/>
  <c r="K887" i="25"/>
  <c r="K888" i="25"/>
  <c r="K889" i="25"/>
  <c r="K890" i="25"/>
  <c r="K891" i="25"/>
  <c r="K892" i="25"/>
  <c r="K893" i="25"/>
  <c r="K894" i="25"/>
  <c r="K895" i="25"/>
  <c r="K896" i="25"/>
  <c r="K897" i="25"/>
  <c r="K898" i="25"/>
  <c r="K899" i="25"/>
  <c r="K900" i="25"/>
  <c r="K901" i="25"/>
  <c r="K902" i="25"/>
  <c r="K903" i="25"/>
  <c r="K904" i="25"/>
  <c r="K905" i="25"/>
  <c r="K906" i="25"/>
  <c r="K907" i="25"/>
  <c r="K908" i="25"/>
  <c r="K909" i="25"/>
  <c r="K910" i="25"/>
  <c r="K911" i="25"/>
  <c r="K912" i="25"/>
  <c r="K913" i="25"/>
  <c r="K914" i="25"/>
  <c r="K915" i="25"/>
  <c r="K916" i="25"/>
  <c r="K917" i="25"/>
  <c r="K918" i="25"/>
  <c r="K919" i="25"/>
  <c r="K920" i="25"/>
  <c r="K921" i="25"/>
  <c r="K922" i="25"/>
  <c r="K923" i="25"/>
  <c r="K924" i="25"/>
  <c r="K925" i="25"/>
  <c r="K926" i="25"/>
  <c r="K927" i="25"/>
  <c r="K928" i="25"/>
  <c r="K929" i="25"/>
  <c r="K930" i="25"/>
  <c r="K931" i="25"/>
  <c r="K932" i="25"/>
  <c r="K933" i="25"/>
  <c r="K934" i="25"/>
  <c r="K935" i="25"/>
  <c r="K936" i="25"/>
  <c r="K937" i="25"/>
  <c r="K938" i="25"/>
  <c r="K939" i="25"/>
  <c r="K940" i="25"/>
  <c r="K941" i="25"/>
  <c r="K942" i="25"/>
  <c r="K943" i="25"/>
  <c r="K944" i="25"/>
  <c r="K945" i="25"/>
  <c r="K946" i="25"/>
  <c r="K947" i="25"/>
  <c r="K948" i="25"/>
  <c r="K949" i="25"/>
  <c r="K950" i="25"/>
  <c r="K951" i="25"/>
  <c r="K952" i="25"/>
  <c r="K953" i="25"/>
  <c r="K954" i="25"/>
  <c r="K955" i="25"/>
  <c r="K956" i="25"/>
  <c r="K957" i="25"/>
  <c r="K958" i="25"/>
  <c r="K959" i="25"/>
  <c r="K960" i="25"/>
  <c r="K961" i="25"/>
  <c r="K962" i="25"/>
  <c r="K963" i="25"/>
  <c r="K964" i="25"/>
  <c r="K965" i="25"/>
  <c r="K966" i="25"/>
  <c r="K967" i="25"/>
  <c r="K968" i="25"/>
  <c r="K969" i="25"/>
  <c r="K970" i="25"/>
  <c r="K971" i="25"/>
  <c r="K972" i="25"/>
  <c r="K973" i="25"/>
  <c r="K974" i="25"/>
  <c r="K975" i="25"/>
  <c r="K976" i="25"/>
  <c r="K977" i="25"/>
  <c r="K978" i="25"/>
  <c r="K979" i="25"/>
  <c r="K980" i="25"/>
  <c r="K981" i="25"/>
  <c r="K982" i="25"/>
  <c r="K983" i="25"/>
  <c r="K984" i="25"/>
  <c r="K985" i="25"/>
  <c r="K986" i="25"/>
  <c r="K987" i="25"/>
  <c r="K988" i="25"/>
  <c r="K989" i="25"/>
  <c r="K990" i="25"/>
  <c r="K991" i="25"/>
  <c r="K992" i="25"/>
  <c r="K993" i="25"/>
  <c r="K994" i="25"/>
  <c r="K995" i="25"/>
  <c r="K996" i="25"/>
  <c r="K997" i="25"/>
  <c r="K998" i="25"/>
  <c r="K999" i="25"/>
  <c r="K1000" i="25"/>
  <c r="K1001" i="25"/>
  <c r="K1002" i="25"/>
  <c r="K1003" i="25"/>
  <c r="K1004" i="25"/>
  <c r="K1005" i="25"/>
  <c r="K1006" i="25"/>
  <c r="K1007" i="25"/>
  <c r="K1008" i="25"/>
  <c r="K1009" i="25"/>
  <c r="K1010" i="25"/>
  <c r="K1011" i="25"/>
  <c r="K1012" i="25"/>
  <c r="K1013" i="25"/>
  <c r="K1014" i="25"/>
  <c r="K1015" i="25"/>
  <c r="K1016" i="25"/>
  <c r="K1017" i="25"/>
  <c r="K1018" i="25"/>
  <c r="K1019" i="25"/>
  <c r="K1020" i="25"/>
  <c r="K1021" i="25"/>
  <c r="K1022" i="25"/>
  <c r="K1023" i="25"/>
  <c r="K1024" i="25"/>
  <c r="K1025" i="25"/>
  <c r="K1026" i="25"/>
  <c r="K1027" i="25"/>
  <c r="K1028" i="25"/>
  <c r="K1029" i="25"/>
  <c r="K1030" i="25"/>
  <c r="K1031" i="25"/>
  <c r="K1032" i="25"/>
  <c r="K1033" i="25"/>
  <c r="K1034" i="25"/>
  <c r="K1035" i="25"/>
  <c r="K1036" i="25"/>
  <c r="K1037" i="25"/>
  <c r="K1038" i="25"/>
  <c r="K1039" i="25"/>
  <c r="K1040" i="25"/>
  <c r="K1041" i="25"/>
  <c r="K1042" i="25"/>
  <c r="K1043" i="25"/>
  <c r="K1044" i="25"/>
  <c r="K1045" i="25"/>
  <c r="K1046" i="25"/>
  <c r="K1047" i="25"/>
  <c r="K1048" i="25"/>
  <c r="K1049" i="25"/>
  <c r="K1050" i="25"/>
  <c r="K1051" i="25"/>
  <c r="K1052" i="25"/>
  <c r="K1053" i="25"/>
  <c r="K1054" i="25"/>
  <c r="K1055" i="25"/>
  <c r="K1056" i="25"/>
  <c r="K1057" i="25"/>
  <c r="K1058" i="25"/>
  <c r="K1059" i="25"/>
  <c r="K1060" i="25"/>
  <c r="K1061" i="25"/>
  <c r="K1062" i="25"/>
  <c r="K1063" i="25"/>
  <c r="K1064" i="25"/>
  <c r="K1065" i="25"/>
  <c r="K1066" i="25"/>
  <c r="K1067" i="25"/>
  <c r="K1068" i="25"/>
  <c r="K1069" i="25"/>
  <c r="K1070" i="25"/>
  <c r="K1071" i="25"/>
  <c r="K1072" i="25"/>
  <c r="K1073" i="25"/>
  <c r="K1074" i="25"/>
  <c r="K1075" i="25"/>
  <c r="K1076" i="25"/>
  <c r="K1077" i="25"/>
  <c r="K1078" i="25"/>
  <c r="K1079" i="25"/>
  <c r="K1080" i="25"/>
  <c r="K1081" i="25"/>
  <c r="K1082" i="25"/>
  <c r="K1083" i="25"/>
  <c r="K1084" i="25"/>
  <c r="K1085" i="25"/>
  <c r="K1086" i="25"/>
  <c r="K1087" i="25"/>
  <c r="K1088" i="25"/>
  <c r="K1089" i="25"/>
  <c r="K1090" i="25"/>
  <c r="K1091" i="25"/>
  <c r="K1092" i="25"/>
  <c r="K1093" i="25"/>
  <c r="K1094" i="25"/>
  <c r="K1095" i="25"/>
  <c r="K1096" i="25"/>
  <c r="K1097" i="25"/>
  <c r="K1098" i="25"/>
  <c r="K1099" i="25"/>
  <c r="K1100" i="25"/>
  <c r="K1101" i="25"/>
  <c r="K1102" i="25"/>
  <c r="K1103" i="25"/>
  <c r="K1104" i="25"/>
  <c r="K1105" i="25"/>
  <c r="K1106" i="25"/>
  <c r="K1107" i="25"/>
  <c r="K1108" i="25"/>
  <c r="K1109" i="25"/>
  <c r="K1110" i="25"/>
  <c r="K1111" i="25"/>
  <c r="K1112" i="25"/>
  <c r="K1113" i="25"/>
  <c r="K1114" i="25"/>
  <c r="K1115" i="25"/>
  <c r="K1116" i="25"/>
  <c r="K1117" i="25"/>
  <c r="K1118" i="25"/>
  <c r="K1119" i="25"/>
  <c r="K1120" i="25"/>
  <c r="K1121" i="25"/>
  <c r="K1122" i="25"/>
  <c r="K1123" i="25"/>
  <c r="K1124" i="25"/>
  <c r="K1125" i="25"/>
  <c r="K1126" i="25"/>
  <c r="K1127" i="25"/>
  <c r="K1128" i="25"/>
  <c r="K1129" i="25"/>
  <c r="K1130" i="25"/>
  <c r="K1131" i="25"/>
  <c r="K1132" i="25"/>
  <c r="K1133" i="25"/>
  <c r="K1134" i="25"/>
  <c r="K1135" i="25"/>
  <c r="K1136" i="25"/>
  <c r="K1137" i="25"/>
  <c r="K1138" i="25"/>
  <c r="K1139" i="25"/>
  <c r="K1140" i="25"/>
  <c r="K1141" i="25"/>
  <c r="K1142" i="25"/>
  <c r="K1143" i="25"/>
  <c r="K1144" i="25"/>
  <c r="K1145" i="25"/>
  <c r="K1146" i="25"/>
  <c r="K1147" i="25"/>
  <c r="K1148" i="25"/>
  <c r="K1149" i="25"/>
  <c r="K1150" i="25"/>
  <c r="K1151" i="25"/>
  <c r="K1152" i="25"/>
  <c r="K1153" i="25"/>
  <c r="K1154" i="25"/>
  <c r="K1155" i="25"/>
  <c r="K1156" i="25"/>
  <c r="K338" i="25"/>
  <c r="K339" i="25"/>
  <c r="K340" i="25"/>
  <c r="K341" i="25"/>
  <c r="K342" i="25"/>
  <c r="K343" i="25"/>
  <c r="K344" i="25"/>
  <c r="K345" i="25"/>
  <c r="K346" i="25"/>
  <c r="K347" i="25"/>
  <c r="K348" i="25"/>
  <c r="K349" i="25"/>
  <c r="K350" i="25"/>
  <c r="K351" i="25"/>
  <c r="K352" i="25"/>
  <c r="K353" i="25"/>
  <c r="K354" i="25"/>
  <c r="K355" i="25"/>
  <c r="K356" i="25"/>
  <c r="K357" i="25"/>
  <c r="K358" i="25"/>
  <c r="K359" i="25"/>
  <c r="K360" i="25"/>
  <c r="K361" i="25"/>
  <c r="K362" i="25"/>
  <c r="K363" i="25"/>
  <c r="K364" i="25"/>
  <c r="K365" i="25"/>
  <c r="K366" i="25"/>
  <c r="K367" i="25"/>
  <c r="K368" i="25"/>
  <c r="K369" i="25"/>
  <c r="K370" i="25"/>
  <c r="K371" i="25"/>
  <c r="K372" i="25"/>
  <c r="K373" i="25"/>
  <c r="K374" i="25"/>
  <c r="K375" i="25"/>
  <c r="K376" i="25"/>
  <c r="K377" i="25"/>
  <c r="K378" i="25"/>
  <c r="K379" i="25"/>
  <c r="K380" i="25"/>
  <c r="K381" i="25"/>
  <c r="K382" i="25"/>
  <c r="K383" i="25"/>
  <c r="K384" i="25"/>
  <c r="K385" i="25"/>
  <c r="K386" i="25"/>
  <c r="K387" i="25"/>
  <c r="K388" i="25"/>
  <c r="K389" i="25"/>
  <c r="K390" i="25"/>
  <c r="K391" i="25"/>
  <c r="K392" i="25"/>
  <c r="K393" i="25"/>
  <c r="K394" i="25"/>
  <c r="K395" i="25"/>
  <c r="K396" i="25"/>
  <c r="K397" i="25"/>
  <c r="K398" i="25"/>
  <c r="K399" i="25"/>
  <c r="K400" i="25"/>
  <c r="K401" i="25"/>
  <c r="K402" i="25"/>
  <c r="K403" i="25"/>
  <c r="K404" i="25"/>
  <c r="K405" i="25"/>
  <c r="K406" i="25"/>
  <c r="K407" i="25"/>
  <c r="K408" i="25"/>
  <c r="K409" i="25"/>
  <c r="K410" i="25"/>
  <c r="K411" i="25"/>
  <c r="K412" i="25"/>
  <c r="K413" i="25"/>
  <c r="K414" i="25"/>
  <c r="K415" i="25"/>
  <c r="K416" i="25"/>
  <c r="K417" i="25"/>
  <c r="K418" i="25"/>
  <c r="K419" i="25"/>
  <c r="K420" i="25"/>
  <c r="K421" i="25"/>
  <c r="K422" i="25"/>
  <c r="K423" i="25"/>
  <c r="K424" i="25"/>
  <c r="K425" i="25"/>
  <c r="K426" i="25"/>
  <c r="K427" i="25"/>
  <c r="K428" i="25"/>
  <c r="K429" i="25"/>
  <c r="K430" i="25"/>
  <c r="K431" i="25"/>
  <c r="K432" i="25"/>
  <c r="K433" i="25"/>
  <c r="K434" i="25"/>
  <c r="K435" i="25"/>
  <c r="K436" i="25"/>
  <c r="K437" i="25"/>
  <c r="K438" i="25"/>
  <c r="K439" i="25"/>
  <c r="K440" i="25"/>
  <c r="K441" i="25"/>
  <c r="K442" i="25"/>
  <c r="K443" i="25"/>
  <c r="K444" i="25"/>
  <c r="K445" i="25"/>
  <c r="K446" i="25"/>
  <c r="K447" i="25"/>
  <c r="K448" i="25"/>
  <c r="K449" i="25"/>
  <c r="K450" i="25"/>
  <c r="K451" i="25"/>
  <c r="K452" i="25"/>
  <c r="K453" i="25"/>
  <c r="K454" i="25"/>
  <c r="K455" i="25"/>
  <c r="K456" i="25"/>
  <c r="K457" i="25"/>
  <c r="K458" i="25"/>
  <c r="K459" i="25"/>
  <c r="K460" i="25"/>
  <c r="K461" i="25"/>
  <c r="K462" i="25"/>
  <c r="K463" i="25"/>
  <c r="K464" i="25"/>
  <c r="K465" i="25"/>
  <c r="K466" i="25"/>
  <c r="K467" i="25"/>
  <c r="K468" i="25"/>
  <c r="K469" i="25"/>
  <c r="K470" i="25"/>
  <c r="K471" i="25"/>
  <c r="K472" i="25"/>
  <c r="K473" i="25"/>
  <c r="K474" i="25"/>
  <c r="K475" i="25"/>
  <c r="K476" i="25"/>
  <c r="K477" i="25"/>
  <c r="K478" i="25"/>
  <c r="K479" i="25"/>
  <c r="K480" i="25"/>
  <c r="K481" i="25"/>
  <c r="K482" i="25"/>
  <c r="K483" i="25"/>
  <c r="K484" i="25"/>
  <c r="K485" i="25"/>
  <c r="K486" i="25"/>
  <c r="K487" i="25"/>
  <c r="K488" i="25"/>
  <c r="K489" i="25"/>
  <c r="K490" i="25"/>
  <c r="K491" i="25"/>
  <c r="K492" i="25"/>
  <c r="K493" i="25"/>
  <c r="K494" i="25"/>
  <c r="K495" i="25"/>
  <c r="K496" i="25"/>
  <c r="K497" i="25"/>
  <c r="K498" i="25"/>
  <c r="K499" i="25"/>
  <c r="K500" i="25"/>
  <c r="K501" i="25"/>
  <c r="K502" i="25"/>
  <c r="K503" i="25"/>
  <c r="K504" i="25"/>
  <c r="K505" i="25"/>
  <c r="K506" i="25"/>
  <c r="K507" i="25"/>
  <c r="K508" i="25"/>
  <c r="K509" i="25"/>
  <c r="K510" i="25"/>
  <c r="K511" i="25"/>
  <c r="K512" i="25"/>
  <c r="K513" i="25"/>
  <c r="K514" i="25"/>
  <c r="K515" i="25"/>
  <c r="K516" i="25"/>
  <c r="K517" i="25"/>
  <c r="K518" i="25"/>
  <c r="K519" i="25"/>
  <c r="K520" i="25"/>
  <c r="K521" i="25"/>
  <c r="K522" i="25"/>
  <c r="K523" i="25"/>
  <c r="K524" i="25"/>
  <c r="K525" i="25"/>
  <c r="K526" i="25"/>
  <c r="K527" i="25"/>
  <c r="K528" i="25"/>
  <c r="K529" i="25"/>
  <c r="K530" i="25"/>
  <c r="K531" i="25"/>
  <c r="K532" i="25"/>
  <c r="K533" i="25"/>
  <c r="K534" i="25"/>
  <c r="K535" i="25"/>
  <c r="K536" i="25"/>
  <c r="K537" i="25"/>
  <c r="K538" i="25"/>
  <c r="K539" i="25"/>
  <c r="K540" i="25"/>
  <c r="K541" i="25"/>
  <c r="K542" i="25"/>
  <c r="K543" i="25"/>
  <c r="K544" i="25"/>
  <c r="K545" i="25"/>
  <c r="K546" i="25"/>
  <c r="K547" i="25"/>
  <c r="K548" i="25"/>
  <c r="K549" i="25"/>
  <c r="K550" i="25"/>
  <c r="K551" i="25"/>
  <c r="K552" i="25"/>
  <c r="K553" i="25"/>
  <c r="K554" i="25"/>
  <c r="K555" i="25"/>
  <c r="K556" i="25"/>
  <c r="K557" i="25"/>
  <c r="K558" i="25"/>
  <c r="K559" i="25"/>
  <c r="K560" i="25"/>
  <c r="K561" i="25"/>
  <c r="K562" i="25"/>
  <c r="K563" i="25"/>
  <c r="K564" i="25"/>
  <c r="K565" i="25"/>
  <c r="K566" i="25"/>
  <c r="K567" i="25"/>
  <c r="K568" i="25"/>
  <c r="K569" i="25"/>
  <c r="K570" i="25"/>
  <c r="K571" i="25"/>
  <c r="K572" i="25"/>
  <c r="K573" i="25"/>
  <c r="K574" i="25"/>
  <c r="K575" i="25"/>
  <c r="K576" i="25"/>
  <c r="K577" i="25"/>
  <c r="K578" i="25"/>
  <c r="K579" i="25"/>
  <c r="K580" i="25"/>
  <c r="K581" i="25"/>
  <c r="K582" i="25"/>
  <c r="K583" i="25"/>
  <c r="K584" i="25"/>
  <c r="K585" i="25"/>
  <c r="K586" i="25"/>
  <c r="K587" i="25"/>
  <c r="K588" i="25"/>
  <c r="K589" i="25"/>
  <c r="K590" i="25"/>
  <c r="K591" i="25"/>
  <c r="K592" i="25"/>
  <c r="K593" i="25"/>
  <c r="K594" i="25"/>
  <c r="K595" i="25"/>
  <c r="K596" i="25"/>
  <c r="K597" i="25"/>
  <c r="K598" i="25"/>
  <c r="K599" i="25"/>
  <c r="K600" i="25"/>
  <c r="K601" i="25"/>
  <c r="K602" i="25"/>
  <c r="K603" i="25"/>
  <c r="K604" i="25"/>
  <c r="K605" i="25"/>
  <c r="K606" i="25"/>
  <c r="K607" i="25"/>
  <c r="K608" i="25"/>
  <c r="K609" i="25"/>
  <c r="K610" i="25"/>
  <c r="K611" i="25"/>
  <c r="K612" i="25"/>
  <c r="K613" i="25"/>
  <c r="K614" i="25"/>
  <c r="K615" i="25"/>
  <c r="K616" i="25"/>
  <c r="K617" i="25"/>
  <c r="K618" i="25"/>
  <c r="K619" i="25"/>
  <c r="K620" i="25"/>
  <c r="K621" i="25"/>
  <c r="K622" i="25"/>
  <c r="K623" i="25"/>
  <c r="K624" i="25"/>
  <c r="K625" i="25"/>
  <c r="K626" i="25"/>
  <c r="K627" i="25"/>
  <c r="K628" i="25"/>
  <c r="K629" i="25"/>
  <c r="K630" i="25"/>
  <c r="K631" i="25"/>
  <c r="K632" i="25"/>
  <c r="K633" i="25"/>
  <c r="K634" i="25"/>
  <c r="K635" i="25"/>
  <c r="K636" i="25"/>
  <c r="K637" i="25"/>
  <c r="K638" i="25"/>
  <c r="K639" i="25"/>
  <c r="K640" i="25"/>
  <c r="K641" i="25"/>
  <c r="K642" i="25"/>
  <c r="K643" i="25"/>
  <c r="K644" i="25"/>
  <c r="K645" i="25"/>
  <c r="K646" i="25"/>
  <c r="K647" i="25"/>
  <c r="K648" i="25"/>
  <c r="K649" i="25"/>
  <c r="K650" i="25"/>
  <c r="K651" i="25"/>
  <c r="K652" i="25"/>
  <c r="K653" i="25"/>
  <c r="K654" i="25"/>
  <c r="K655" i="25"/>
  <c r="K656" i="25"/>
  <c r="K657" i="25"/>
  <c r="K658" i="25"/>
  <c r="K659" i="25"/>
  <c r="K660" i="25"/>
  <c r="K661" i="25"/>
  <c r="K662" i="25"/>
  <c r="K663" i="25"/>
  <c r="K664" i="25"/>
  <c r="K665" i="25"/>
  <c r="K666" i="25"/>
  <c r="K667" i="25"/>
  <c r="K668" i="25"/>
  <c r="K669" i="25"/>
  <c r="K670" i="25"/>
  <c r="K671" i="25"/>
  <c r="K672" i="25"/>
  <c r="K673" i="25"/>
  <c r="K674" i="25"/>
  <c r="K675" i="25"/>
  <c r="K676" i="25"/>
  <c r="K677" i="25"/>
  <c r="K678" i="25"/>
  <c r="K679" i="25"/>
  <c r="K680" i="25"/>
  <c r="K681" i="25"/>
  <c r="K682" i="25"/>
  <c r="K683" i="25"/>
  <c r="K684" i="25"/>
  <c r="K685" i="25"/>
  <c r="K686" i="25"/>
  <c r="K687" i="25"/>
  <c r="K688" i="25"/>
  <c r="K689" i="25"/>
  <c r="K690" i="25"/>
  <c r="K691" i="25"/>
  <c r="K692" i="25"/>
  <c r="K328" i="25"/>
  <c r="K329" i="25"/>
  <c r="K330" i="25"/>
  <c r="K331" i="25"/>
  <c r="K332" i="25"/>
  <c r="K333" i="25"/>
  <c r="K334" i="25"/>
  <c r="K335" i="25"/>
  <c r="K336" i="25"/>
  <c r="K337" i="25"/>
  <c r="K304" i="25" l="1"/>
  <c r="G25" i="5"/>
  <c r="G30" i="5" s="1"/>
  <c r="M7" i="27"/>
  <c r="G29" i="5"/>
  <c r="G43" i="5"/>
  <c r="G26" i="5"/>
  <c r="H119" i="24"/>
  <c r="H96" i="24"/>
  <c r="D113" i="24"/>
  <c r="D93" i="24"/>
  <c r="D91" i="24"/>
  <c r="D111" i="24"/>
  <c r="L297" i="25"/>
  <c r="W276" i="25"/>
  <c r="D19" i="25"/>
  <c r="E19" i="25"/>
  <c r="F19" i="25"/>
  <c r="G19" i="25"/>
  <c r="G21" i="25" s="1"/>
  <c r="H19" i="25"/>
  <c r="E21" i="25"/>
  <c r="E23" i="25" s="1"/>
  <c r="D35" i="25"/>
  <c r="E35" i="25"/>
  <c r="F35" i="25"/>
  <c r="G35" i="25"/>
  <c r="H35" i="25"/>
  <c r="D52" i="25"/>
  <c r="E52" i="25"/>
  <c r="F52" i="25"/>
  <c r="G52" i="25"/>
  <c r="H52" i="25"/>
  <c r="I52" i="25"/>
  <c r="J52" i="25"/>
  <c r="K52" i="25"/>
  <c r="K54" i="25" s="1"/>
  <c r="K56" i="25" s="1"/>
  <c r="L52" i="25"/>
  <c r="M52" i="25"/>
  <c r="F54" i="25"/>
  <c r="F56" i="25" s="1"/>
  <c r="G54" i="25"/>
  <c r="G56" i="25" s="1"/>
  <c r="J54" i="25"/>
  <c r="J56" i="25" s="1"/>
  <c r="D68" i="25"/>
  <c r="E68" i="25"/>
  <c r="F68" i="25"/>
  <c r="G68" i="25"/>
  <c r="H68" i="25"/>
  <c r="I68" i="25"/>
  <c r="J68" i="25"/>
  <c r="K68" i="25"/>
  <c r="L68" i="25"/>
  <c r="M68" i="25"/>
  <c r="D85" i="25"/>
  <c r="D87" i="25" s="1"/>
  <c r="E85" i="25"/>
  <c r="F85" i="25"/>
  <c r="G85" i="25"/>
  <c r="G87" i="25" s="1"/>
  <c r="H85" i="25"/>
  <c r="H87" i="25" s="1"/>
  <c r="I85" i="25"/>
  <c r="J85" i="25"/>
  <c r="K85" i="25"/>
  <c r="K87" i="25" s="1"/>
  <c r="L85" i="25"/>
  <c r="L87" i="25" s="1"/>
  <c r="M85" i="25"/>
  <c r="M87" i="25" s="1"/>
  <c r="N85" i="25"/>
  <c r="O85" i="25"/>
  <c r="O87" i="25" s="1"/>
  <c r="P85" i="25"/>
  <c r="P87" i="25" s="1"/>
  <c r="Q85" i="25"/>
  <c r="Q87" i="25" s="1"/>
  <c r="R85" i="25"/>
  <c r="D101" i="25"/>
  <c r="E101" i="25"/>
  <c r="F101" i="25"/>
  <c r="G101" i="25"/>
  <c r="H101" i="25"/>
  <c r="I101" i="25"/>
  <c r="J101" i="25"/>
  <c r="K101" i="25"/>
  <c r="L101" i="25"/>
  <c r="M101" i="25"/>
  <c r="N101" i="25"/>
  <c r="O101" i="25"/>
  <c r="P101" i="25"/>
  <c r="Q101" i="25"/>
  <c r="R101" i="25"/>
  <c r="D118" i="25"/>
  <c r="E118" i="25"/>
  <c r="E120" i="25" s="1"/>
  <c r="E122" i="25" s="1"/>
  <c r="F118" i="25"/>
  <c r="F120" i="25" s="1"/>
  <c r="F122" i="25" s="1"/>
  <c r="G118" i="25"/>
  <c r="G120" i="25" s="1"/>
  <c r="G122" i="25" s="1"/>
  <c r="H118" i="25"/>
  <c r="I118" i="25"/>
  <c r="I120" i="25" s="1"/>
  <c r="J118" i="25"/>
  <c r="J120" i="25" s="1"/>
  <c r="J122" i="25" s="1"/>
  <c r="K118" i="25"/>
  <c r="K120" i="25" s="1"/>
  <c r="K122" i="25" s="1"/>
  <c r="L118" i="25"/>
  <c r="M118" i="25"/>
  <c r="N118" i="25"/>
  <c r="N120" i="25" s="1"/>
  <c r="N122" i="25" s="1"/>
  <c r="O118" i="25"/>
  <c r="O120" i="25" s="1"/>
  <c r="O122" i="25" s="1"/>
  <c r="P118" i="25"/>
  <c r="Q118" i="25"/>
  <c r="Q120" i="25" s="1"/>
  <c r="R118" i="25"/>
  <c r="R120" i="25" s="1"/>
  <c r="R122" i="25" s="1"/>
  <c r="S118" i="25"/>
  <c r="S120" i="25" s="1"/>
  <c r="S122" i="25" s="1"/>
  <c r="T118" i="25"/>
  <c r="U118" i="25"/>
  <c r="U120" i="25" s="1"/>
  <c r="V118" i="25"/>
  <c r="V120" i="25" s="1"/>
  <c r="V122" i="25" s="1"/>
  <c r="W118" i="25"/>
  <c r="W120" i="25" s="1"/>
  <c r="W122" i="25" s="1"/>
  <c r="D120" i="25"/>
  <c r="D122" i="25" s="1"/>
  <c r="H120" i="25"/>
  <c r="L120" i="25"/>
  <c r="L122" i="25" s="1"/>
  <c r="P120" i="25"/>
  <c r="T120" i="25"/>
  <c r="T122" i="25" s="1"/>
  <c r="D134" i="25"/>
  <c r="E134" i="25"/>
  <c r="F134" i="25"/>
  <c r="G134" i="25"/>
  <c r="H134" i="25"/>
  <c r="I134" i="25"/>
  <c r="J134" i="25"/>
  <c r="K134" i="25"/>
  <c r="L134" i="25"/>
  <c r="M134" i="25"/>
  <c r="N134" i="25"/>
  <c r="O134" i="25"/>
  <c r="P134" i="25"/>
  <c r="Q134" i="25"/>
  <c r="R134" i="25"/>
  <c r="S134" i="25"/>
  <c r="T134" i="25"/>
  <c r="U134" i="25"/>
  <c r="V134" i="25"/>
  <c r="W134" i="25"/>
  <c r="D157" i="25"/>
  <c r="E157" i="25"/>
  <c r="F157" i="25"/>
  <c r="G157" i="25"/>
  <c r="H157" i="25"/>
  <c r="H159" i="25" s="1"/>
  <c r="H161" i="25" s="1"/>
  <c r="E159" i="25"/>
  <c r="D174" i="25"/>
  <c r="E174" i="25"/>
  <c r="F174" i="25"/>
  <c r="G174" i="25"/>
  <c r="H174" i="25"/>
  <c r="D191" i="25"/>
  <c r="D193" i="25" s="1"/>
  <c r="E191" i="25"/>
  <c r="F191" i="25"/>
  <c r="G191" i="25"/>
  <c r="G193" i="25" s="1"/>
  <c r="H191" i="25"/>
  <c r="H193" i="25" s="1"/>
  <c r="I191" i="25"/>
  <c r="J191" i="25"/>
  <c r="J193" i="25" s="1"/>
  <c r="K191" i="25"/>
  <c r="L191" i="25"/>
  <c r="M191" i="25"/>
  <c r="D208" i="25"/>
  <c r="E208" i="25"/>
  <c r="F208" i="25"/>
  <c r="G208" i="25"/>
  <c r="H208" i="25"/>
  <c r="I208" i="25"/>
  <c r="J208" i="25"/>
  <c r="K208" i="25"/>
  <c r="L208" i="25"/>
  <c r="M208" i="25"/>
  <c r="D225" i="25"/>
  <c r="D227" i="25" s="1"/>
  <c r="E225" i="25"/>
  <c r="E227" i="25" s="1"/>
  <c r="F225" i="25"/>
  <c r="G225" i="25"/>
  <c r="H225" i="25"/>
  <c r="H227" i="25" s="1"/>
  <c r="I225" i="25"/>
  <c r="I227" i="25" s="1"/>
  <c r="J225" i="25"/>
  <c r="K225" i="25"/>
  <c r="L225" i="25"/>
  <c r="M225" i="25"/>
  <c r="M227" i="25" s="1"/>
  <c r="N225" i="25"/>
  <c r="O225" i="25"/>
  <c r="P225" i="25"/>
  <c r="P227" i="25" s="1"/>
  <c r="Q225" i="25"/>
  <c r="Q227" i="25" s="1"/>
  <c r="R225" i="25"/>
  <c r="D242" i="25"/>
  <c r="E242" i="25"/>
  <c r="F242" i="25"/>
  <c r="G242" i="25"/>
  <c r="H242" i="25"/>
  <c r="I242" i="25"/>
  <c r="J242" i="25"/>
  <c r="K242" i="25"/>
  <c r="L242" i="25"/>
  <c r="M242" i="25"/>
  <c r="N242" i="25"/>
  <c r="O242" i="25"/>
  <c r="P242" i="25"/>
  <c r="Q242" i="25"/>
  <c r="R242" i="25"/>
  <c r="D259" i="25"/>
  <c r="E259" i="25"/>
  <c r="E261" i="25" s="1"/>
  <c r="F259" i="25"/>
  <c r="F261" i="25" s="1"/>
  <c r="F263" i="25" s="1"/>
  <c r="G259" i="25"/>
  <c r="H259" i="25"/>
  <c r="H261" i="25" s="1"/>
  <c r="I259" i="25"/>
  <c r="I261" i="25" s="1"/>
  <c r="J259" i="25"/>
  <c r="J261" i="25" s="1"/>
  <c r="J263" i="25" s="1"/>
  <c r="K259" i="25"/>
  <c r="K261" i="25" s="1"/>
  <c r="K263" i="25" s="1"/>
  <c r="L259" i="25"/>
  <c r="M259" i="25"/>
  <c r="N259" i="25"/>
  <c r="N261" i="25" s="1"/>
  <c r="N263" i="25" s="1"/>
  <c r="O259" i="25"/>
  <c r="O261" i="25" s="1"/>
  <c r="O263" i="25" s="1"/>
  <c r="P259" i="25"/>
  <c r="P261" i="25" s="1"/>
  <c r="P263" i="25" s="1"/>
  <c r="Q259" i="25"/>
  <c r="Q261" i="25" s="1"/>
  <c r="R259" i="25"/>
  <c r="R261" i="25" s="1"/>
  <c r="R263" i="25" s="1"/>
  <c r="S259" i="25"/>
  <c r="S261" i="25" s="1"/>
  <c r="T259" i="25"/>
  <c r="T261" i="25" s="1"/>
  <c r="U259" i="25"/>
  <c r="U261" i="25" s="1"/>
  <c r="V259" i="25"/>
  <c r="V261" i="25" s="1"/>
  <c r="V263" i="25" s="1"/>
  <c r="W259" i="25"/>
  <c r="D261" i="25"/>
  <c r="D276" i="25"/>
  <c r="E276" i="25"/>
  <c r="F276" i="25"/>
  <c r="G276" i="25"/>
  <c r="H276" i="25"/>
  <c r="I276" i="25"/>
  <c r="J276" i="25"/>
  <c r="K276" i="25"/>
  <c r="L276" i="25"/>
  <c r="M276" i="25"/>
  <c r="N276" i="25"/>
  <c r="O276" i="25"/>
  <c r="P276" i="25"/>
  <c r="Q276" i="25"/>
  <c r="R276" i="25"/>
  <c r="S276" i="25"/>
  <c r="T276" i="25"/>
  <c r="U276" i="25"/>
  <c r="V276" i="25"/>
  <c r="H195" i="25" l="1"/>
  <c r="S263" i="25"/>
  <c r="D263" i="25"/>
  <c r="D195" i="25"/>
  <c r="T263" i="25"/>
  <c r="L193" i="25"/>
  <c r="L195" i="25" s="1"/>
  <c r="W263" i="25"/>
  <c r="H263" i="25"/>
  <c r="W261" i="25"/>
  <c r="L261" i="25"/>
  <c r="L263" i="25" s="1"/>
  <c r="G261" i="25"/>
  <c r="G263" i="25" s="1"/>
  <c r="R227" i="25"/>
  <c r="N227" i="25"/>
  <c r="J227" i="25"/>
  <c r="F227" i="25"/>
  <c r="U263" i="25"/>
  <c r="Q263" i="25"/>
  <c r="I263" i="25"/>
  <c r="E263" i="25"/>
  <c r="G195" i="25"/>
  <c r="U122" i="25"/>
  <c r="Q122" i="25"/>
  <c r="M261" i="25"/>
  <c r="M263" i="25" s="1"/>
  <c r="I122" i="25"/>
  <c r="L227" i="25"/>
  <c r="L229" i="25" s="1"/>
  <c r="J195" i="25"/>
  <c r="F21" i="25"/>
  <c r="K193" i="25"/>
  <c r="D159" i="25"/>
  <c r="M120" i="25"/>
  <c r="Q89" i="25"/>
  <c r="M89" i="25"/>
  <c r="I87" i="25"/>
  <c r="E87" i="25"/>
  <c r="F193" i="25"/>
  <c r="P122" i="25"/>
  <c r="H122" i="25"/>
  <c r="H229" i="25"/>
  <c r="E161" i="25"/>
  <c r="M229" i="25"/>
  <c r="E229" i="25"/>
  <c r="O227" i="25"/>
  <c r="K227" i="25"/>
  <c r="G227" i="25"/>
  <c r="P229" i="25"/>
  <c r="M193" i="25"/>
  <c r="M195" i="25" s="1"/>
  <c r="I193" i="25"/>
  <c r="E193" i="25"/>
  <c r="O89" i="25"/>
  <c r="K89" i="25"/>
  <c r="G89" i="25"/>
  <c r="D229" i="25"/>
  <c r="Q229" i="25"/>
  <c r="I229" i="25"/>
  <c r="I195" i="25"/>
  <c r="E195" i="25"/>
  <c r="F159" i="25"/>
  <c r="F161" i="25" s="1"/>
  <c r="L89" i="25"/>
  <c r="D89" i="25"/>
  <c r="R87" i="25"/>
  <c r="N87" i="25"/>
  <c r="J87" i="25"/>
  <c r="F87" i="25"/>
  <c r="L54" i="25"/>
  <c r="H54" i="25"/>
  <c r="D54" i="25"/>
  <c r="G159" i="25"/>
  <c r="P89" i="25"/>
  <c r="H89" i="25"/>
  <c r="M54" i="25"/>
  <c r="I54" i="25"/>
  <c r="E54" i="25"/>
  <c r="G23" i="25"/>
  <c r="H21" i="25"/>
  <c r="D21" i="25"/>
  <c r="E89" i="25" l="1"/>
  <c r="J229" i="25"/>
  <c r="R229" i="25"/>
  <c r="F23" i="25"/>
  <c r="D161" i="25"/>
  <c r="M122" i="25"/>
  <c r="I89" i="25"/>
  <c r="F195" i="25"/>
  <c r="K195" i="25"/>
  <c r="F229" i="25"/>
  <c r="N229" i="25"/>
  <c r="H23" i="25"/>
  <c r="M56" i="25"/>
  <c r="J89" i="25"/>
  <c r="R89" i="25"/>
  <c r="G229" i="25"/>
  <c r="G161" i="25"/>
  <c r="H56" i="25"/>
  <c r="D23" i="25"/>
  <c r="E56" i="25"/>
  <c r="F89" i="25"/>
  <c r="N89" i="25"/>
  <c r="K229" i="25"/>
  <c r="I56" i="25"/>
  <c r="D56" i="25"/>
  <c r="L56" i="25"/>
  <c r="O229" i="25"/>
  <c r="G24" i="5" l="1"/>
  <c r="D87" i="24"/>
  <c r="D63" i="24" l="1"/>
  <c r="D64" i="24" s="1"/>
  <c r="D107" i="24"/>
  <c r="K34" i="5"/>
  <c r="H18" i="27"/>
  <c r="H19" i="27" s="1"/>
  <c r="H20" i="27" s="1"/>
  <c r="H21" i="27"/>
  <c r="H22" i="27" s="1"/>
  <c r="H23" i="27"/>
  <c r="H24" i="27" s="1"/>
  <c r="H26" i="27"/>
  <c r="H27" i="27" s="1"/>
  <c r="H28" i="27" s="1"/>
  <c r="H29" i="27"/>
  <c r="H30" i="27" s="1"/>
  <c r="H31" i="27" s="1"/>
  <c r="H32" i="27" s="1"/>
  <c r="H33" i="27" s="1"/>
  <c r="H34" i="27"/>
  <c r="H35" i="27" s="1"/>
  <c r="H37" i="27"/>
  <c r="H38" i="27" s="1"/>
  <c r="H39" i="27" s="1"/>
  <c r="H40" i="27"/>
  <c r="H41" i="27" s="1"/>
  <c r="H42" i="27" s="1"/>
  <c r="H43" i="27" s="1"/>
  <c r="H44" i="27" s="1"/>
  <c r="H45" i="27"/>
  <c r="H46" i="27" s="1"/>
  <c r="H47" i="27" s="1"/>
  <c r="H48" i="27" s="1"/>
  <c r="H49" i="27" s="1"/>
  <c r="H50" i="27"/>
  <c r="H54" i="27"/>
  <c r="H55" i="27" s="1"/>
  <c r="H56" i="27" s="1"/>
  <c r="H57" i="27" s="1"/>
  <c r="H58" i="27" s="1"/>
  <c r="H59" i="27"/>
  <c r="H62" i="27"/>
  <c r="H67" i="27"/>
  <c r="H68" i="27" s="1"/>
  <c r="H69" i="27"/>
  <c r="H70" i="27" s="1"/>
  <c r="H71" i="27"/>
  <c r="H76" i="27"/>
  <c r="H77" i="27" s="1"/>
  <c r="H78" i="27"/>
  <c r="H79" i="27" s="1"/>
  <c r="H80" i="27" s="1"/>
  <c r="H81" i="27" s="1"/>
  <c r="H82" i="27" s="1"/>
  <c r="H83" i="27"/>
  <c r="H86" i="27"/>
  <c r="H91" i="27"/>
  <c r="H93" i="27"/>
  <c r="H94" i="27" s="1"/>
  <c r="H95" i="27" s="1"/>
  <c r="H96" i="27"/>
  <c r="H97" i="27" s="1"/>
  <c r="H98" i="27" s="1"/>
  <c r="H99" i="27" s="1"/>
  <c r="H100" i="27"/>
  <c r="H101" i="27" s="1"/>
  <c r="H102" i="27"/>
  <c r="H104" i="27"/>
  <c r="H105" i="27" s="1"/>
  <c r="H106" i="27" s="1"/>
  <c r="H107" i="27"/>
  <c r="H108" i="27" s="1"/>
  <c r="H109" i="27" s="1"/>
  <c r="H110" i="27" s="1"/>
  <c r="H111" i="27"/>
  <c r="H115" i="27"/>
  <c r="H116" i="27"/>
  <c r="H117" i="27" s="1"/>
  <c r="H118" i="27" s="1"/>
  <c r="H119" i="27" s="1"/>
  <c r="H120" i="27" s="1"/>
  <c r="H121" i="27" s="1"/>
  <c r="H122" i="27" s="1"/>
  <c r="H123" i="27" s="1"/>
  <c r="H124" i="27" s="1"/>
  <c r="H125" i="27" s="1"/>
  <c r="H126" i="27" s="1"/>
  <c r="H127" i="27" s="1"/>
  <c r="H128" i="27" s="1"/>
  <c r="H129" i="27" s="1"/>
  <c r="H130" i="27" s="1"/>
  <c r="H131" i="27" s="1"/>
  <c r="H132" i="27" s="1"/>
  <c r="H133" i="27" s="1"/>
  <c r="H134" i="27" s="1"/>
  <c r="H135" i="27" s="1"/>
  <c r="H136" i="27" s="1"/>
  <c r="H137" i="27" s="1"/>
  <c r="H138" i="27" s="1"/>
  <c r="H139" i="27" s="1"/>
  <c r="H140" i="27" s="1"/>
  <c r="H141" i="27" s="1"/>
  <c r="H142" i="27" s="1"/>
  <c r="H143" i="27"/>
  <c r="H144" i="27" s="1"/>
  <c r="H145" i="27" s="1"/>
  <c r="H146" i="27" s="1"/>
  <c r="H147" i="27" s="1"/>
  <c r="H148" i="27" s="1"/>
  <c r="H149" i="27" s="1"/>
  <c r="H150" i="27" s="1"/>
  <c r="H151" i="27" s="1"/>
  <c r="H152" i="27" s="1"/>
  <c r="H153" i="27"/>
  <c r="H15" i="27"/>
  <c r="H16" i="27" s="1"/>
  <c r="H17" i="27" s="1"/>
  <c r="H11" i="27"/>
  <c r="H12" i="27" s="1"/>
  <c r="H7" i="27"/>
  <c r="H8" i="27" s="1"/>
  <c r="C5" i="24"/>
  <c r="M93" i="27"/>
  <c r="M21" i="27"/>
  <c r="L221" i="27"/>
  <c r="D26" i="24"/>
  <c r="F13" i="5"/>
  <c r="D23" i="24"/>
  <c r="D96" i="24" l="1"/>
  <c r="D95" i="24"/>
  <c r="D117" i="24"/>
  <c r="D116" i="24"/>
  <c r="D119" i="24"/>
  <c r="D297" i="25" s="1"/>
  <c r="E297" i="25" s="1"/>
  <c r="D115" i="24"/>
  <c r="I59" i="27"/>
  <c r="F59" i="27" s="1"/>
  <c r="H9" i="27"/>
  <c r="I83" i="27"/>
  <c r="F83" i="27" s="1"/>
  <c r="H84" i="27"/>
  <c r="H51" i="27"/>
  <c r="H36" i="27"/>
  <c r="I37" i="27" s="1"/>
  <c r="H25" i="27"/>
  <c r="I102" i="27"/>
  <c r="F102" i="27" s="1"/>
  <c r="H103" i="27"/>
  <c r="H92" i="27"/>
  <c r="H63" i="27"/>
  <c r="H13" i="27"/>
  <c r="H154" i="27"/>
  <c r="I154" i="27" s="1"/>
  <c r="H112" i="27"/>
  <c r="I71" i="27"/>
  <c r="F71" i="27" s="1"/>
  <c r="H72" i="27"/>
  <c r="F7" i="27"/>
  <c r="I96" i="27"/>
  <c r="I97" i="27" s="1"/>
  <c r="I98" i="27" s="1"/>
  <c r="I99" i="27" s="1"/>
  <c r="F99" i="27" s="1"/>
  <c r="I29" i="27"/>
  <c r="F29" i="27" s="1"/>
  <c r="I153" i="27"/>
  <c r="F153" i="27" s="1"/>
  <c r="H87" i="27"/>
  <c r="H60" i="27"/>
  <c r="I60" i="27" s="1"/>
  <c r="I34" i="27"/>
  <c r="I35" i="27" s="1"/>
  <c r="I23" i="27"/>
  <c r="F23" i="27" s="1"/>
  <c r="F98" i="27"/>
  <c r="I69" i="27"/>
  <c r="I26" i="27"/>
  <c r="I21" i="27"/>
  <c r="I22" i="27" s="1"/>
  <c r="F22" i="27" s="1"/>
  <c r="I78" i="27"/>
  <c r="I79" i="27" s="1"/>
  <c r="I50" i="27"/>
  <c r="F50" i="27" s="1"/>
  <c r="I8" i="27"/>
  <c r="F8" i="27" s="1"/>
  <c r="I143" i="27"/>
  <c r="I111" i="27"/>
  <c r="I45" i="27"/>
  <c r="I24" i="27"/>
  <c r="I25" i="27" s="1"/>
  <c r="I18" i="27"/>
  <c r="I107" i="27"/>
  <c r="I116" i="27"/>
  <c r="I117" i="27" s="1"/>
  <c r="I118" i="27" s="1"/>
  <c r="I119" i="27" s="1"/>
  <c r="I100" i="27"/>
  <c r="I101" i="27" s="1"/>
  <c r="F101" i="27" s="1"/>
  <c r="I40" i="27"/>
  <c r="I41" i="27" s="1"/>
  <c r="I42" i="27" s="1"/>
  <c r="I43" i="27" s="1"/>
  <c r="I30" i="27"/>
  <c r="I31" i="27" s="1"/>
  <c r="M11" i="27"/>
  <c r="M15" i="27"/>
  <c r="M23" i="27"/>
  <c r="M50" i="27"/>
  <c r="M26" i="27"/>
  <c r="M29" i="27"/>
  <c r="M37" i="27"/>
  <c r="M45" i="27"/>
  <c r="M59" i="27"/>
  <c r="M67" i="27"/>
  <c r="M34" i="27"/>
  <c r="M40" i="27"/>
  <c r="M62" i="27"/>
  <c r="M69" i="27"/>
  <c r="M71" i="27"/>
  <c r="M76" i="27"/>
  <c r="M96" i="27"/>
  <c r="M78" i="27"/>
  <c r="M83" i="27"/>
  <c r="M86" i="27"/>
  <c r="M100" i="27"/>
  <c r="M104" i="27"/>
  <c r="M111" i="27"/>
  <c r="M102" i="27"/>
  <c r="M115" i="27"/>
  <c r="M116" i="27"/>
  <c r="M153" i="27"/>
  <c r="D118" i="24" l="1"/>
  <c r="D97" i="24"/>
  <c r="D98" i="24" s="1"/>
  <c r="D99" i="24" s="1"/>
  <c r="D100" i="24"/>
  <c r="G28" i="5"/>
  <c r="I112" i="27"/>
  <c r="F34" i="27"/>
  <c r="F97" i="27"/>
  <c r="I9" i="27"/>
  <c r="I84" i="27"/>
  <c r="F24" i="27"/>
  <c r="F78" i="27"/>
  <c r="I36" i="27"/>
  <c r="I32" i="27"/>
  <c r="F31" i="27"/>
  <c r="I70" i="27"/>
  <c r="F70" i="27" s="1"/>
  <c r="F69" i="27"/>
  <c r="H64" i="27"/>
  <c r="I44" i="27"/>
  <c r="F44" i="27" s="1"/>
  <c r="F43" i="27"/>
  <c r="F118" i="27"/>
  <c r="F21" i="27"/>
  <c r="H52" i="27"/>
  <c r="I51" i="27"/>
  <c r="I104" i="27"/>
  <c r="F42" i="27"/>
  <c r="F40" i="27"/>
  <c r="H73" i="27"/>
  <c r="F111" i="27"/>
  <c r="F35" i="27"/>
  <c r="H85" i="27"/>
  <c r="F84" i="27"/>
  <c r="I19" i="27"/>
  <c r="F18" i="27"/>
  <c r="H88" i="27"/>
  <c r="F100" i="27"/>
  <c r="H14" i="27"/>
  <c r="I120" i="27"/>
  <c r="F119" i="27"/>
  <c r="I93" i="27"/>
  <c r="I27" i="27"/>
  <c r="F26" i="27"/>
  <c r="F154" i="27"/>
  <c r="F25" i="27"/>
  <c r="I46" i="27"/>
  <c r="F45" i="27"/>
  <c r="I38" i="27"/>
  <c r="F37" i="27"/>
  <c r="I108" i="27"/>
  <c r="F107" i="27"/>
  <c r="I72" i="27"/>
  <c r="I144" i="27"/>
  <c r="F143" i="27"/>
  <c r="I80" i="27"/>
  <c r="F79" i="27"/>
  <c r="F30" i="27"/>
  <c r="H61" i="27"/>
  <c r="I61" i="27" s="1"/>
  <c r="F60" i="27"/>
  <c r="F96" i="27"/>
  <c r="F116" i="27"/>
  <c r="F41" i="27"/>
  <c r="F117" i="27"/>
  <c r="H113" i="27"/>
  <c r="I113" i="27" s="1"/>
  <c r="F112" i="27"/>
  <c r="I103" i="27"/>
  <c r="F103" i="27" s="1"/>
  <c r="F36" i="27"/>
  <c r="H10" i="27"/>
  <c r="F9" i="27"/>
  <c r="M107" i="27"/>
  <c r="M54" i="27"/>
  <c r="M18" i="27"/>
  <c r="K221" i="27"/>
  <c r="M143" i="27"/>
  <c r="M91" i="27"/>
  <c r="G7" i="5"/>
  <c r="F7" i="5"/>
  <c r="F12" i="5"/>
  <c r="F14" i="5" s="1"/>
  <c r="G12" i="5"/>
  <c r="D101" i="24" l="1"/>
  <c r="D296" i="25"/>
  <c r="D295" i="25"/>
  <c r="D120" i="24"/>
  <c r="D121" i="24" s="1"/>
  <c r="D122" i="24" s="1"/>
  <c r="D123" i="24"/>
  <c r="I73" i="27"/>
  <c r="F73" i="27" s="1"/>
  <c r="F72" i="27"/>
  <c r="I52" i="27"/>
  <c r="F52" i="27" s="1"/>
  <c r="I47" i="27"/>
  <c r="F46" i="27"/>
  <c r="I28" i="27"/>
  <c r="F28" i="27" s="1"/>
  <c r="F27" i="27"/>
  <c r="I105" i="27"/>
  <c r="F104" i="27"/>
  <c r="I62" i="27"/>
  <c r="F61" i="27"/>
  <c r="I39" i="27"/>
  <c r="F39" i="27" s="1"/>
  <c r="F38" i="27"/>
  <c r="I94" i="27"/>
  <c r="F93" i="27"/>
  <c r="H89" i="27"/>
  <c r="I86" i="27"/>
  <c r="H74" i="27"/>
  <c r="I85" i="27"/>
  <c r="F85" i="27" s="1"/>
  <c r="I81" i="27"/>
  <c r="F80" i="27"/>
  <c r="I15" i="27"/>
  <c r="F51" i="27"/>
  <c r="H65" i="27"/>
  <c r="I145" i="27"/>
  <c r="F144" i="27"/>
  <c r="I11" i="27"/>
  <c r="I10" i="27"/>
  <c r="F10" i="27" s="1"/>
  <c r="H114" i="27"/>
  <c r="F113" i="27"/>
  <c r="I109" i="27"/>
  <c r="F108" i="27"/>
  <c r="I121" i="27"/>
  <c r="F120" i="27"/>
  <c r="I20" i="27"/>
  <c r="F20" i="27" s="1"/>
  <c r="F19" i="27"/>
  <c r="H53" i="27"/>
  <c r="I33" i="27"/>
  <c r="F33" i="27" s="1"/>
  <c r="F32" i="27"/>
  <c r="G31" i="5"/>
  <c r="G17" i="5"/>
  <c r="F17" i="5"/>
  <c r="G13" i="5"/>
  <c r="G14" i="5" s="1"/>
  <c r="G10" i="5"/>
  <c r="F10" i="5"/>
  <c r="G9" i="5"/>
  <c r="F9" i="5"/>
  <c r="G8" i="5"/>
  <c r="G5" i="5"/>
  <c r="F8" i="5"/>
  <c r="F5" i="5"/>
  <c r="G4" i="5"/>
  <c r="F4" i="5"/>
  <c r="D124" i="24" l="1"/>
  <c r="E295" i="25"/>
  <c r="H66" i="27"/>
  <c r="I115" i="27"/>
  <c r="F115" i="27" s="1"/>
  <c r="H75" i="27"/>
  <c r="H90" i="27"/>
  <c r="I146" i="27"/>
  <c r="F145" i="27"/>
  <c r="I87" i="27"/>
  <c r="F86" i="27"/>
  <c r="I74" i="27"/>
  <c r="F74" i="27" s="1"/>
  <c r="I106" i="27"/>
  <c r="F106" i="27" s="1"/>
  <c r="F105" i="27"/>
  <c r="I48" i="27"/>
  <c r="F47" i="27"/>
  <c r="I63" i="27"/>
  <c r="F62" i="27"/>
  <c r="I54" i="27"/>
  <c r="I122" i="27"/>
  <c r="F121" i="27"/>
  <c r="I82" i="27"/>
  <c r="F82" i="27" s="1"/>
  <c r="F81" i="27"/>
  <c r="I110" i="27"/>
  <c r="F110" i="27" s="1"/>
  <c r="F109" i="27"/>
  <c r="I12" i="27"/>
  <c r="F11" i="27"/>
  <c r="F15" i="27"/>
  <c r="I16" i="27"/>
  <c r="I53" i="27"/>
  <c r="F53" i="27" s="1"/>
  <c r="I95" i="27"/>
  <c r="F95" i="27" s="1"/>
  <c r="F94" i="27"/>
  <c r="I114" i="27"/>
  <c r="F114" i="27" s="1"/>
  <c r="D67" i="24"/>
  <c r="G27" i="5" l="1"/>
  <c r="F297" i="25"/>
  <c r="I75" i="27"/>
  <c r="F75" i="27" s="1"/>
  <c r="I123" i="27"/>
  <c r="F122" i="27"/>
  <c r="I64" i="27"/>
  <c r="F63" i="27"/>
  <c r="I13" i="27"/>
  <c r="F12" i="27"/>
  <c r="I49" i="27"/>
  <c r="F49" i="27" s="1"/>
  <c r="F48" i="27"/>
  <c r="I17" i="27"/>
  <c r="F17" i="27" s="1"/>
  <c r="F16" i="27"/>
  <c r="I88" i="27"/>
  <c r="F87" i="27"/>
  <c r="I91" i="27"/>
  <c r="I55" i="27"/>
  <c r="F54" i="27"/>
  <c r="I147" i="27"/>
  <c r="F146" i="27"/>
  <c r="I76" i="27"/>
  <c r="I67" i="27"/>
  <c r="D51" i="24"/>
  <c r="K36" i="5" l="1"/>
  <c r="I77" i="27"/>
  <c r="F77" i="27" s="1"/>
  <c r="F76" i="27"/>
  <c r="I56" i="27"/>
  <c r="F55" i="27"/>
  <c r="I89" i="27"/>
  <c r="F88" i="27"/>
  <c r="I65" i="27"/>
  <c r="F64" i="27"/>
  <c r="I68" i="27"/>
  <c r="F68" i="27" s="1"/>
  <c r="F67" i="27"/>
  <c r="I148" i="27"/>
  <c r="F147" i="27"/>
  <c r="F91" i="27"/>
  <c r="I92" i="27"/>
  <c r="F92" i="27" s="1"/>
  <c r="I14" i="27"/>
  <c r="F14" i="27" s="1"/>
  <c r="F13" i="27"/>
  <c r="K35" i="5" s="1"/>
  <c r="I124" i="27"/>
  <c r="F123" i="27"/>
  <c r="G19" i="5"/>
  <c r="F19" i="5"/>
  <c r="D29" i="24"/>
  <c r="D82" i="24"/>
  <c r="G6" i="5" s="1"/>
  <c r="D44" i="24"/>
  <c r="F6" i="5" s="1"/>
  <c r="I66" i="27" l="1"/>
  <c r="F66" i="27" s="1"/>
  <c r="F65" i="27"/>
  <c r="I149" i="27"/>
  <c r="F148" i="27"/>
  <c r="I57" i="27"/>
  <c r="F56" i="27"/>
  <c r="I125" i="27"/>
  <c r="F124" i="27"/>
  <c r="I90" i="27"/>
  <c r="F90" i="27" s="1"/>
  <c r="F89" i="27"/>
  <c r="D20" i="24"/>
  <c r="D21" i="24" s="1"/>
  <c r="D9" i="25" s="1"/>
  <c r="D10" i="25" s="1"/>
  <c r="D13" i="24"/>
  <c r="P108" i="25" l="1"/>
  <c r="P109" i="25" s="1"/>
  <c r="R75" i="25"/>
  <c r="R76" i="25" s="1"/>
  <c r="P75" i="25"/>
  <c r="P76" i="25" s="1"/>
  <c r="M108" i="25"/>
  <c r="M109" i="25" s="1"/>
  <c r="R108" i="25"/>
  <c r="R109" i="25" s="1"/>
  <c r="E108" i="25"/>
  <c r="E109" i="25" s="1"/>
  <c r="J75" i="25"/>
  <c r="J76" i="25" s="1"/>
  <c r="N108" i="25"/>
  <c r="N109" i="25" s="1"/>
  <c r="N75" i="25"/>
  <c r="N76" i="25" s="1"/>
  <c r="S108" i="25"/>
  <c r="S109" i="25" s="1"/>
  <c r="J42" i="25"/>
  <c r="J43" i="25" s="1"/>
  <c r="O75" i="25"/>
  <c r="O76" i="25" s="1"/>
  <c r="H42" i="25"/>
  <c r="H43" i="25" s="1"/>
  <c r="I42" i="25"/>
  <c r="I43" i="25" s="1"/>
  <c r="Q75" i="25"/>
  <c r="Q76" i="25" s="1"/>
  <c r="L75" i="25"/>
  <c r="L76" i="25" s="1"/>
  <c r="E42" i="25"/>
  <c r="E43" i="25" s="1"/>
  <c r="E9" i="25"/>
  <c r="E10" i="25" s="1"/>
  <c r="U108" i="25"/>
  <c r="U109" i="25" s="1"/>
  <c r="T108" i="25"/>
  <c r="T109" i="25" s="1"/>
  <c r="O108" i="25"/>
  <c r="O109" i="25" s="1"/>
  <c r="F42" i="25"/>
  <c r="F43" i="25" s="1"/>
  <c r="K75" i="25"/>
  <c r="K76" i="25" s="1"/>
  <c r="D42" i="25"/>
  <c r="D43" i="25" s="1"/>
  <c r="G13" i="25"/>
  <c r="G14" i="25" s="1"/>
  <c r="D46" i="25"/>
  <c r="D47" i="25" s="1"/>
  <c r="H46" i="25"/>
  <c r="H47" i="25" s="1"/>
  <c r="L46" i="25"/>
  <c r="L47" i="25" s="1"/>
  <c r="D13" i="25"/>
  <c r="D14" i="25" s="1"/>
  <c r="H13" i="25"/>
  <c r="H14" i="25" s="1"/>
  <c r="E46" i="25"/>
  <c r="E47" i="25" s="1"/>
  <c r="I46" i="25"/>
  <c r="I47" i="25" s="1"/>
  <c r="M46" i="25"/>
  <c r="M47" i="25" s="1"/>
  <c r="G79" i="25"/>
  <c r="G80" i="25" s="1"/>
  <c r="K79" i="25"/>
  <c r="K80" i="25" s="1"/>
  <c r="O79" i="25"/>
  <c r="O80" i="25" s="1"/>
  <c r="F112" i="25"/>
  <c r="F113" i="25" s="1"/>
  <c r="J112" i="25"/>
  <c r="J113" i="25" s="1"/>
  <c r="N112" i="25"/>
  <c r="N113" i="25" s="1"/>
  <c r="R112" i="25"/>
  <c r="R113" i="25" s="1"/>
  <c r="V112" i="25"/>
  <c r="V113" i="25" s="1"/>
  <c r="E13" i="25"/>
  <c r="E14" i="25" s="1"/>
  <c r="F46" i="25"/>
  <c r="F47" i="25" s="1"/>
  <c r="J46" i="25"/>
  <c r="J47" i="25" s="1"/>
  <c r="D79" i="25"/>
  <c r="D80" i="25" s="1"/>
  <c r="H79" i="25"/>
  <c r="H80" i="25" s="1"/>
  <c r="L79" i="25"/>
  <c r="L80" i="25" s="1"/>
  <c r="P79" i="25"/>
  <c r="P80" i="25" s="1"/>
  <c r="G112" i="25"/>
  <c r="G113" i="25" s="1"/>
  <c r="K112" i="25"/>
  <c r="K113" i="25" s="1"/>
  <c r="O112" i="25"/>
  <c r="O113" i="25" s="1"/>
  <c r="S112" i="25"/>
  <c r="S113" i="25" s="1"/>
  <c r="W112" i="25"/>
  <c r="W113" i="25" s="1"/>
  <c r="K46" i="25"/>
  <c r="K47" i="25" s="1"/>
  <c r="J79" i="25"/>
  <c r="J80" i="25" s="1"/>
  <c r="R79" i="25"/>
  <c r="R80" i="25" s="1"/>
  <c r="D112" i="25"/>
  <c r="D113" i="25" s="1"/>
  <c r="L112" i="25"/>
  <c r="L113" i="25" s="1"/>
  <c r="T112" i="25"/>
  <c r="T113" i="25" s="1"/>
  <c r="F79" i="25"/>
  <c r="F80" i="25" s="1"/>
  <c r="Q79" i="25"/>
  <c r="Q80" i="25" s="1"/>
  <c r="I112" i="25"/>
  <c r="I113" i="25" s="1"/>
  <c r="U112" i="25"/>
  <c r="U113" i="25" s="1"/>
  <c r="E79" i="25"/>
  <c r="E80" i="25" s="1"/>
  <c r="M112" i="25"/>
  <c r="M113" i="25" s="1"/>
  <c r="F13" i="25"/>
  <c r="F14" i="25" s="1"/>
  <c r="I79" i="25"/>
  <c r="I80" i="25" s="1"/>
  <c r="P112" i="25"/>
  <c r="P113" i="25" s="1"/>
  <c r="G46" i="25"/>
  <c r="G47" i="25" s="1"/>
  <c r="M79" i="25"/>
  <c r="M80" i="25" s="1"/>
  <c r="E112" i="25"/>
  <c r="E113" i="25" s="1"/>
  <c r="Q112" i="25"/>
  <c r="Q113" i="25" s="1"/>
  <c r="H112" i="25"/>
  <c r="H113" i="25" s="1"/>
  <c r="N79" i="25"/>
  <c r="N80" i="25" s="1"/>
  <c r="F75" i="25"/>
  <c r="F76" i="25" s="1"/>
  <c r="E75" i="25"/>
  <c r="E76" i="25" s="1"/>
  <c r="H108" i="25"/>
  <c r="H109" i="25" s="1"/>
  <c r="M75" i="25"/>
  <c r="M76" i="25" s="1"/>
  <c r="L108" i="25"/>
  <c r="L109" i="25" s="1"/>
  <c r="G42" i="25"/>
  <c r="G43" i="25" s="1"/>
  <c r="K108" i="25"/>
  <c r="K109" i="25" s="1"/>
  <c r="H75" i="25"/>
  <c r="H76" i="25" s="1"/>
  <c r="F9" i="25"/>
  <c r="F10" i="25" s="1"/>
  <c r="J108" i="25"/>
  <c r="J109" i="25" s="1"/>
  <c r="G75" i="25"/>
  <c r="G76" i="25" s="1"/>
  <c r="G9" i="25"/>
  <c r="G10" i="25" s="1"/>
  <c r="F53" i="25"/>
  <c r="F55" i="25"/>
  <c r="F57" i="25"/>
  <c r="G53" i="25"/>
  <c r="G55" i="25"/>
  <c r="G57" i="25"/>
  <c r="D86" i="25"/>
  <c r="O86" i="25"/>
  <c r="F119" i="25"/>
  <c r="J119" i="25"/>
  <c r="N119" i="25"/>
  <c r="R119" i="25"/>
  <c r="V119" i="25"/>
  <c r="F121" i="25"/>
  <c r="J121" i="25"/>
  <c r="N121" i="25"/>
  <c r="R121" i="25"/>
  <c r="V121" i="25"/>
  <c r="E22" i="25"/>
  <c r="J53" i="25"/>
  <c r="J55" i="25"/>
  <c r="J57" i="25"/>
  <c r="P86" i="25"/>
  <c r="G119" i="25"/>
  <c r="K119" i="25"/>
  <c r="O119" i="25"/>
  <c r="S119" i="25"/>
  <c r="W119" i="25"/>
  <c r="G121" i="25"/>
  <c r="K121" i="25"/>
  <c r="O121" i="25"/>
  <c r="S121" i="25"/>
  <c r="W121" i="25"/>
  <c r="G123" i="25"/>
  <c r="K123" i="25"/>
  <c r="K53" i="25"/>
  <c r="G86" i="25"/>
  <c r="D119" i="25"/>
  <c r="L119" i="25"/>
  <c r="T119" i="25"/>
  <c r="L86" i="25"/>
  <c r="D121" i="25"/>
  <c r="S123" i="25"/>
  <c r="G20" i="25"/>
  <c r="P119" i="25"/>
  <c r="J123" i="25"/>
  <c r="L121" i="25"/>
  <c r="L123" i="25"/>
  <c r="T123" i="25"/>
  <c r="K55" i="25"/>
  <c r="H86" i="25"/>
  <c r="H119" i="25"/>
  <c r="U119" i="25"/>
  <c r="O123" i="25"/>
  <c r="K57" i="25"/>
  <c r="I119" i="25"/>
  <c r="T121" i="25"/>
  <c r="M86" i="25"/>
  <c r="W123" i="25"/>
  <c r="I121" i="25"/>
  <c r="E121" i="25"/>
  <c r="F123" i="25"/>
  <c r="F20" i="25"/>
  <c r="M119" i="25"/>
  <c r="M88" i="25"/>
  <c r="E86" i="25"/>
  <c r="E53" i="25"/>
  <c r="G22" i="25"/>
  <c r="L53" i="25"/>
  <c r="D53" i="25"/>
  <c r="D20" i="25"/>
  <c r="V123" i="25"/>
  <c r="H53" i="25"/>
  <c r="E24" i="25"/>
  <c r="O88" i="25"/>
  <c r="N86" i="25"/>
  <c r="H88" i="25"/>
  <c r="U121" i="25"/>
  <c r="E123" i="25"/>
  <c r="Q119" i="25"/>
  <c r="Q88" i="25"/>
  <c r="I86" i="25"/>
  <c r="P121" i="25"/>
  <c r="D123" i="25"/>
  <c r="K86" i="25"/>
  <c r="K88" i="25"/>
  <c r="L88" i="25"/>
  <c r="R86" i="25"/>
  <c r="J86" i="25"/>
  <c r="P88" i="25"/>
  <c r="N123" i="25"/>
  <c r="E119" i="25"/>
  <c r="Q86" i="25"/>
  <c r="M53" i="25"/>
  <c r="E20" i="25"/>
  <c r="H20" i="25"/>
  <c r="Q121" i="25"/>
  <c r="R123" i="25"/>
  <c r="H121" i="25"/>
  <c r="I53" i="25"/>
  <c r="G88" i="25"/>
  <c r="D88" i="25"/>
  <c r="F86" i="25"/>
  <c r="Q123" i="25"/>
  <c r="I123" i="25"/>
  <c r="I88" i="25"/>
  <c r="E88" i="25"/>
  <c r="M121" i="25"/>
  <c r="H90" i="25"/>
  <c r="P123" i="25"/>
  <c r="L90" i="25"/>
  <c r="K90" i="25"/>
  <c r="D22" i="25"/>
  <c r="D90" i="25"/>
  <c r="Q90" i="25"/>
  <c r="E55" i="25"/>
  <c r="I55" i="25"/>
  <c r="F22" i="25"/>
  <c r="M90" i="25"/>
  <c r="G90" i="25"/>
  <c r="P90" i="25"/>
  <c r="H123" i="25"/>
  <c r="U123" i="25"/>
  <c r="M55" i="25"/>
  <c r="R88" i="25"/>
  <c r="F88" i="25"/>
  <c r="D55" i="25"/>
  <c r="G24" i="25"/>
  <c r="O90" i="25"/>
  <c r="H22" i="25"/>
  <c r="J88" i="25"/>
  <c r="H55" i="25"/>
  <c r="N88" i="25"/>
  <c r="L55" i="25"/>
  <c r="I90" i="25"/>
  <c r="F90" i="25"/>
  <c r="F24" i="25"/>
  <c r="E57" i="25"/>
  <c r="H24" i="25"/>
  <c r="M123" i="25"/>
  <c r="R90" i="25"/>
  <c r="L57" i="25"/>
  <c r="H57" i="25"/>
  <c r="D24" i="25"/>
  <c r="E90" i="25"/>
  <c r="D57" i="25"/>
  <c r="M57" i="25"/>
  <c r="I57" i="25"/>
  <c r="N90" i="25"/>
  <c r="J90" i="25"/>
  <c r="Q108" i="25"/>
  <c r="Q109" i="25" s="1"/>
  <c r="I108" i="25"/>
  <c r="I109" i="25" s="1"/>
  <c r="I75" i="25"/>
  <c r="I76" i="25" s="1"/>
  <c r="K42" i="25"/>
  <c r="K43" i="25" s="1"/>
  <c r="D108" i="25"/>
  <c r="D109" i="25" s="1"/>
  <c r="W108" i="25"/>
  <c r="W109" i="25" s="1"/>
  <c r="G108" i="25"/>
  <c r="G109" i="25" s="1"/>
  <c r="D75" i="25"/>
  <c r="D76" i="25" s="1"/>
  <c r="V108" i="25"/>
  <c r="V109" i="25" s="1"/>
  <c r="F108" i="25"/>
  <c r="F109" i="25" s="1"/>
  <c r="M42" i="25"/>
  <c r="M43" i="25" s="1"/>
  <c r="L42" i="25"/>
  <c r="L43" i="25" s="1"/>
  <c r="H9" i="25"/>
  <c r="H10" i="25" s="1"/>
  <c r="I126" i="27"/>
  <c r="F125" i="27"/>
  <c r="I150" i="27"/>
  <c r="F149" i="27"/>
  <c r="I58" i="27"/>
  <c r="F58" i="27" s="1"/>
  <c r="F57" i="27"/>
  <c r="G15" i="5"/>
  <c r="F15" i="5"/>
  <c r="I151" i="27" l="1"/>
  <c r="F150" i="27"/>
  <c r="I127" i="27"/>
  <c r="F126" i="27"/>
  <c r="D290" i="25"/>
  <c r="I128" i="27" l="1"/>
  <c r="F127" i="27"/>
  <c r="I152" i="27"/>
  <c r="F152" i="27" s="1"/>
  <c r="F151" i="27"/>
  <c r="D289" i="25"/>
  <c r="E289" i="25" l="1"/>
  <c r="G22" i="5"/>
  <c r="K37" i="5"/>
  <c r="I129" i="27"/>
  <c r="F128" i="27"/>
  <c r="D291" i="25"/>
  <c r="E291" i="25" s="1"/>
  <c r="G23" i="5" s="1"/>
  <c r="D292" i="25" l="1"/>
  <c r="F291" i="25"/>
  <c r="I130" i="27"/>
  <c r="F129" i="27"/>
  <c r="I131" i="27" l="1"/>
  <c r="F130" i="27"/>
  <c r="I132" i="27" l="1"/>
  <c r="F131" i="27"/>
  <c r="D58" i="24"/>
  <c r="D69" i="24"/>
  <c r="D68" i="24"/>
  <c r="D31" i="24"/>
  <c r="D30" i="24"/>
  <c r="E25" i="26"/>
  <c r="D25" i="26"/>
  <c r="E4" i="25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F11" i="25" l="1"/>
  <c r="F12" i="25" s="1"/>
  <c r="F44" i="25"/>
  <c r="F45" i="25" s="1"/>
  <c r="J44" i="25"/>
  <c r="J45" i="25" s="1"/>
  <c r="G11" i="25"/>
  <c r="G12" i="25" s="1"/>
  <c r="G44" i="25"/>
  <c r="G45" i="25" s="1"/>
  <c r="K44" i="25"/>
  <c r="K45" i="25" s="1"/>
  <c r="G77" i="25"/>
  <c r="G78" i="25" s="1"/>
  <c r="K77" i="25"/>
  <c r="K78" i="25" s="1"/>
  <c r="O77" i="25"/>
  <c r="O78" i="25" s="1"/>
  <c r="F110" i="25"/>
  <c r="F111" i="25" s="1"/>
  <c r="J110" i="25"/>
  <c r="J111" i="25" s="1"/>
  <c r="N110" i="25"/>
  <c r="N111" i="25" s="1"/>
  <c r="R110" i="25"/>
  <c r="R111" i="25" s="1"/>
  <c r="V110" i="25"/>
  <c r="V111" i="25" s="1"/>
  <c r="D11" i="25"/>
  <c r="D12" i="25" s="1"/>
  <c r="H11" i="25"/>
  <c r="H12" i="25" s="1"/>
  <c r="D44" i="25"/>
  <c r="D45" i="25" s="1"/>
  <c r="H44" i="25"/>
  <c r="H45" i="25" s="1"/>
  <c r="L44" i="25"/>
  <c r="L45" i="25" s="1"/>
  <c r="D77" i="25"/>
  <c r="D78" i="25" s="1"/>
  <c r="H77" i="25"/>
  <c r="H78" i="25" s="1"/>
  <c r="L77" i="25"/>
  <c r="L78" i="25" s="1"/>
  <c r="P77" i="25"/>
  <c r="P78" i="25" s="1"/>
  <c r="G110" i="25"/>
  <c r="G111" i="25" s="1"/>
  <c r="K110" i="25"/>
  <c r="K111" i="25" s="1"/>
  <c r="O110" i="25"/>
  <c r="O111" i="25" s="1"/>
  <c r="S110" i="25"/>
  <c r="S111" i="25" s="1"/>
  <c r="W110" i="25"/>
  <c r="W111" i="25" s="1"/>
  <c r="E11" i="25"/>
  <c r="E12" i="25" s="1"/>
  <c r="I44" i="25"/>
  <c r="I45" i="25" s="1"/>
  <c r="J77" i="25"/>
  <c r="J78" i="25" s="1"/>
  <c r="R77" i="25"/>
  <c r="R78" i="25" s="1"/>
  <c r="D110" i="25"/>
  <c r="D111" i="25" s="1"/>
  <c r="L110" i="25"/>
  <c r="L111" i="25" s="1"/>
  <c r="T110" i="25"/>
  <c r="T111" i="25" s="1"/>
  <c r="I77" i="25"/>
  <c r="I78" i="25" s="1"/>
  <c r="H110" i="25"/>
  <c r="H111" i="25" s="1"/>
  <c r="Q110" i="25"/>
  <c r="Q111" i="25" s="1"/>
  <c r="E44" i="25"/>
  <c r="E45" i="25" s="1"/>
  <c r="N77" i="25"/>
  <c r="N78" i="25" s="1"/>
  <c r="I110" i="25"/>
  <c r="I111" i="25" s="1"/>
  <c r="M44" i="25"/>
  <c r="M45" i="25" s="1"/>
  <c r="E77" i="25"/>
  <c r="E78" i="25" s="1"/>
  <c r="Q77" i="25"/>
  <c r="Q78" i="25" s="1"/>
  <c r="M110" i="25"/>
  <c r="M111" i="25" s="1"/>
  <c r="F77" i="25"/>
  <c r="F78" i="25" s="1"/>
  <c r="P110" i="25"/>
  <c r="P111" i="25" s="1"/>
  <c r="M77" i="25"/>
  <c r="M78" i="25" s="1"/>
  <c r="E110" i="25"/>
  <c r="E111" i="25" s="1"/>
  <c r="U110" i="25"/>
  <c r="U111" i="25" s="1"/>
  <c r="I133" i="27"/>
  <c r="F132" i="27"/>
  <c r="G58" i="25"/>
  <c r="D14" i="24"/>
  <c r="D15" i="24" s="1"/>
  <c r="D52" i="24"/>
  <c r="D53" i="24" s="1"/>
  <c r="F58" i="25"/>
  <c r="D59" i="24"/>
  <c r="H192" i="25" l="1"/>
  <c r="E158" i="25"/>
  <c r="D192" i="25"/>
  <c r="L194" i="25"/>
  <c r="Q226" i="25"/>
  <c r="K192" i="25"/>
  <c r="L196" i="25"/>
  <c r="D226" i="25"/>
  <c r="F260" i="25"/>
  <c r="J260" i="25"/>
  <c r="N260" i="25"/>
  <c r="R260" i="25"/>
  <c r="V260" i="25"/>
  <c r="F262" i="25"/>
  <c r="J262" i="25"/>
  <c r="N262" i="25"/>
  <c r="R262" i="25"/>
  <c r="V262" i="25"/>
  <c r="F264" i="25"/>
  <c r="J264" i="25"/>
  <c r="N264" i="25"/>
  <c r="R264" i="25"/>
  <c r="V264" i="25"/>
  <c r="T260" i="25"/>
  <c r="D262" i="25"/>
  <c r="L262" i="25"/>
  <c r="T262" i="25"/>
  <c r="H264" i="25"/>
  <c r="L264" i="25"/>
  <c r="T264" i="25"/>
  <c r="L192" i="25"/>
  <c r="E226" i="25"/>
  <c r="M226" i="25"/>
  <c r="G260" i="25"/>
  <c r="K260" i="25"/>
  <c r="O260" i="25"/>
  <c r="S260" i="25"/>
  <c r="W260" i="25"/>
  <c r="G262" i="25"/>
  <c r="K262" i="25"/>
  <c r="O262" i="25"/>
  <c r="S262" i="25"/>
  <c r="W262" i="25"/>
  <c r="G264" i="25"/>
  <c r="K264" i="25"/>
  <c r="O264" i="25"/>
  <c r="S264" i="25"/>
  <c r="W264" i="25"/>
  <c r="D196" i="25"/>
  <c r="H226" i="25"/>
  <c r="D260" i="25"/>
  <c r="H260" i="25"/>
  <c r="L260" i="25"/>
  <c r="P260" i="25"/>
  <c r="H262" i="25"/>
  <c r="P262" i="25"/>
  <c r="D264" i="25"/>
  <c r="P264" i="25"/>
  <c r="H158" i="25"/>
  <c r="P226" i="25"/>
  <c r="G192" i="25"/>
  <c r="H160" i="25"/>
  <c r="D194" i="25"/>
  <c r="I226" i="25"/>
  <c r="I260" i="25"/>
  <c r="U262" i="25"/>
  <c r="E262" i="25"/>
  <c r="E260" i="25"/>
  <c r="E228" i="25"/>
  <c r="K226" i="25"/>
  <c r="P228" i="25"/>
  <c r="Q260" i="25"/>
  <c r="H162" i="25"/>
  <c r="J194" i="25"/>
  <c r="I192" i="25"/>
  <c r="H228" i="25"/>
  <c r="O226" i="25"/>
  <c r="L228" i="25"/>
  <c r="I262" i="25"/>
  <c r="N226" i="25"/>
  <c r="F226" i="25"/>
  <c r="D158" i="25"/>
  <c r="Q228" i="25"/>
  <c r="Q262" i="25"/>
  <c r="G194" i="25"/>
  <c r="R226" i="25"/>
  <c r="J226" i="25"/>
  <c r="E192" i="25"/>
  <c r="L226" i="25"/>
  <c r="M192" i="25"/>
  <c r="H196" i="25"/>
  <c r="J192" i="25"/>
  <c r="D228" i="25"/>
  <c r="I228" i="25"/>
  <c r="M260" i="25"/>
  <c r="H194" i="25"/>
  <c r="F192" i="25"/>
  <c r="M228" i="25"/>
  <c r="G226" i="25"/>
  <c r="F158" i="25"/>
  <c r="G158" i="25"/>
  <c r="U260" i="25"/>
  <c r="E160" i="25"/>
  <c r="M196" i="25"/>
  <c r="P230" i="25"/>
  <c r="J196" i="25"/>
  <c r="E194" i="25"/>
  <c r="H230" i="25"/>
  <c r="U264" i="25"/>
  <c r="F194" i="25"/>
  <c r="Q230" i="25"/>
  <c r="I230" i="25"/>
  <c r="E162" i="25"/>
  <c r="F228" i="25"/>
  <c r="O228" i="25"/>
  <c r="D160" i="25"/>
  <c r="M194" i="25"/>
  <c r="I264" i="25"/>
  <c r="N228" i="25"/>
  <c r="G160" i="25"/>
  <c r="I196" i="25"/>
  <c r="K194" i="25"/>
  <c r="M262" i="25"/>
  <c r="J228" i="25"/>
  <c r="F160" i="25"/>
  <c r="M230" i="25"/>
  <c r="E264" i="25"/>
  <c r="E230" i="25"/>
  <c r="E196" i="25"/>
  <c r="G228" i="25"/>
  <c r="M264" i="25"/>
  <c r="Q264" i="25"/>
  <c r="R228" i="25"/>
  <c r="L230" i="25"/>
  <c r="F162" i="25"/>
  <c r="G196" i="25"/>
  <c r="D230" i="25"/>
  <c r="K228" i="25"/>
  <c r="I194" i="25"/>
  <c r="J230" i="25"/>
  <c r="N230" i="25"/>
  <c r="O230" i="25"/>
  <c r="D162" i="25"/>
  <c r="K196" i="25"/>
  <c r="G230" i="25"/>
  <c r="R230" i="25"/>
  <c r="G162" i="25"/>
  <c r="F230" i="25"/>
  <c r="K230" i="25"/>
  <c r="F196" i="25"/>
  <c r="F147" i="25"/>
  <c r="F148" i="25" s="1"/>
  <c r="D183" i="25"/>
  <c r="D184" i="25" s="1"/>
  <c r="K215" i="25"/>
  <c r="K216" i="25" s="1"/>
  <c r="M217" i="25"/>
  <c r="M218" i="25" s="1"/>
  <c r="D181" i="25"/>
  <c r="D182" i="25" s="1"/>
  <c r="D215" i="25"/>
  <c r="D216" i="25" s="1"/>
  <c r="J217" i="25"/>
  <c r="J218" i="25" s="1"/>
  <c r="O249" i="25"/>
  <c r="O250" i="25" s="1"/>
  <c r="D149" i="25"/>
  <c r="D150" i="25" s="1"/>
  <c r="M215" i="25"/>
  <c r="M216" i="25" s="1"/>
  <c r="J249" i="25"/>
  <c r="J250" i="25" s="1"/>
  <c r="J251" i="25"/>
  <c r="J252" i="25" s="1"/>
  <c r="H149" i="25"/>
  <c r="H150" i="25" s="1"/>
  <c r="J215" i="25"/>
  <c r="J216" i="25" s="1"/>
  <c r="E149" i="25"/>
  <c r="E150" i="25" s="1"/>
  <c r="H215" i="25"/>
  <c r="H216" i="25" s="1"/>
  <c r="F249" i="25"/>
  <c r="F250" i="25" s="1"/>
  <c r="G251" i="25"/>
  <c r="G252" i="25" s="1"/>
  <c r="W251" i="25"/>
  <c r="W252" i="25" s="1"/>
  <c r="M249" i="25"/>
  <c r="M250" i="25" s="1"/>
  <c r="L251" i="25"/>
  <c r="L252" i="25" s="1"/>
  <c r="L215" i="25"/>
  <c r="L216" i="25" s="1"/>
  <c r="R215" i="25"/>
  <c r="R216" i="25" s="1"/>
  <c r="I249" i="25"/>
  <c r="I250" i="25" s="1"/>
  <c r="E215" i="25"/>
  <c r="E216" i="25" s="1"/>
  <c r="E217" i="25"/>
  <c r="E218" i="25" s="1"/>
  <c r="N215" i="25"/>
  <c r="N216" i="25" s="1"/>
  <c r="W249" i="25"/>
  <c r="W250" i="25" s="1"/>
  <c r="P217" i="25"/>
  <c r="P218" i="25" s="1"/>
  <c r="U249" i="25"/>
  <c r="U250" i="25" s="1"/>
  <c r="M181" i="25"/>
  <c r="M182" i="25" s="1"/>
  <c r="L181" i="25"/>
  <c r="L182" i="25" s="1"/>
  <c r="Q249" i="25"/>
  <c r="Q250" i="25" s="1"/>
  <c r="Q215" i="25"/>
  <c r="Q216" i="25" s="1"/>
  <c r="T251" i="25"/>
  <c r="T252" i="25" s="1"/>
  <c r="T249" i="25"/>
  <c r="T250" i="25" s="1"/>
  <c r="U251" i="25"/>
  <c r="U252" i="25" s="1"/>
  <c r="G215" i="25"/>
  <c r="G216" i="25" s="1"/>
  <c r="I217" i="25"/>
  <c r="I218" i="25" s="1"/>
  <c r="M183" i="25"/>
  <c r="M184" i="25" s="1"/>
  <c r="K249" i="25"/>
  <c r="K250" i="25" s="1"/>
  <c r="E147" i="25"/>
  <c r="E148" i="25" s="1"/>
  <c r="E249" i="25"/>
  <c r="E250" i="25" s="1"/>
  <c r="V251" i="25"/>
  <c r="V252" i="25" s="1"/>
  <c r="G147" i="25"/>
  <c r="G148" i="25" s="1"/>
  <c r="R217" i="25"/>
  <c r="R218" i="25" s="1"/>
  <c r="S251" i="25"/>
  <c r="S252" i="25" s="1"/>
  <c r="H251" i="25"/>
  <c r="H252" i="25" s="1"/>
  <c r="E183" i="25"/>
  <c r="E184" i="25" s="1"/>
  <c r="I251" i="25"/>
  <c r="I252" i="25" s="1"/>
  <c r="F149" i="25"/>
  <c r="F150" i="25" s="1"/>
  <c r="H183" i="25"/>
  <c r="H184" i="25" s="1"/>
  <c r="O215" i="25"/>
  <c r="O216" i="25" s="1"/>
  <c r="Q217" i="25"/>
  <c r="Q218" i="25" s="1"/>
  <c r="I181" i="25"/>
  <c r="I182" i="25" s="1"/>
  <c r="I215" i="25"/>
  <c r="I216" i="25" s="1"/>
  <c r="O217" i="25"/>
  <c r="O218" i="25" s="1"/>
  <c r="S249" i="25"/>
  <c r="S250" i="25" s="1"/>
  <c r="K181" i="25"/>
  <c r="K182" i="25" s="1"/>
  <c r="H217" i="25"/>
  <c r="H218" i="25" s="1"/>
  <c r="P249" i="25"/>
  <c r="P250" i="25" s="1"/>
  <c r="N251" i="25"/>
  <c r="N252" i="25" s="1"/>
  <c r="G181" i="25"/>
  <c r="G182" i="25" s="1"/>
  <c r="L217" i="25"/>
  <c r="L218" i="25" s="1"/>
  <c r="E181" i="25"/>
  <c r="E182" i="25" s="1"/>
  <c r="P215" i="25"/>
  <c r="P216" i="25" s="1"/>
  <c r="L249" i="25"/>
  <c r="L250" i="25" s="1"/>
  <c r="K251" i="25"/>
  <c r="K252" i="25" s="1"/>
  <c r="H147" i="25"/>
  <c r="H148" i="25" s="1"/>
  <c r="R249" i="25"/>
  <c r="R250" i="25" s="1"/>
  <c r="P251" i="25"/>
  <c r="P252" i="25" s="1"/>
  <c r="N217" i="25"/>
  <c r="N218" i="25" s="1"/>
  <c r="D249" i="25"/>
  <c r="D250" i="25" s="1"/>
  <c r="E251" i="25"/>
  <c r="E252" i="25" s="1"/>
  <c r="G217" i="25"/>
  <c r="G218" i="25" s="1"/>
  <c r="F181" i="25"/>
  <c r="F182" i="25" s="1"/>
  <c r="L183" i="25"/>
  <c r="L184" i="25" s="1"/>
  <c r="D147" i="25"/>
  <c r="D148" i="25" s="1"/>
  <c r="G183" i="25"/>
  <c r="G184" i="25" s="1"/>
  <c r="G249" i="25"/>
  <c r="G250" i="25" s="1"/>
  <c r="F183" i="25"/>
  <c r="F184" i="25" s="1"/>
  <c r="R251" i="25"/>
  <c r="R252" i="25" s="1"/>
  <c r="H249" i="25"/>
  <c r="H250" i="25" s="1"/>
  <c r="K217" i="25"/>
  <c r="K218" i="25" s="1"/>
  <c r="O251" i="25"/>
  <c r="O252" i="25" s="1"/>
  <c r="D251" i="25"/>
  <c r="D252" i="25" s="1"/>
  <c r="Q251" i="25"/>
  <c r="Q252" i="25" s="1"/>
  <c r="N249" i="25"/>
  <c r="N250" i="25" s="1"/>
  <c r="J181" i="25"/>
  <c r="J182" i="25" s="1"/>
  <c r="G149" i="25"/>
  <c r="G150" i="25" s="1"/>
  <c r="D217" i="25"/>
  <c r="D218" i="25" s="1"/>
  <c r="F215" i="25"/>
  <c r="F216" i="25" s="1"/>
  <c r="F251" i="25"/>
  <c r="F252" i="25" s="1"/>
  <c r="J183" i="25"/>
  <c r="J184" i="25" s="1"/>
  <c r="I183" i="25"/>
  <c r="I184" i="25" s="1"/>
  <c r="V249" i="25"/>
  <c r="V250" i="25" s="1"/>
  <c r="F217" i="25"/>
  <c r="F218" i="25" s="1"/>
  <c r="H181" i="25"/>
  <c r="H182" i="25" s="1"/>
  <c r="M251" i="25"/>
  <c r="M252" i="25" s="1"/>
  <c r="K183" i="25"/>
  <c r="K184" i="25" s="1"/>
  <c r="F151" i="25"/>
  <c r="F152" i="25" s="1"/>
  <c r="F185" i="25"/>
  <c r="F186" i="25" s="1"/>
  <c r="O219" i="25"/>
  <c r="O220" i="25" s="1"/>
  <c r="M219" i="25"/>
  <c r="M220" i="25" s="1"/>
  <c r="N253" i="25"/>
  <c r="N254" i="25" s="1"/>
  <c r="P219" i="25"/>
  <c r="P220" i="25" s="1"/>
  <c r="D219" i="25"/>
  <c r="D220" i="25" s="1"/>
  <c r="K253" i="25"/>
  <c r="K254" i="25" s="1"/>
  <c r="G151" i="25"/>
  <c r="G152" i="25" s="1"/>
  <c r="H253" i="25"/>
  <c r="H254" i="25" s="1"/>
  <c r="L219" i="25"/>
  <c r="L220" i="25" s="1"/>
  <c r="Q219" i="25"/>
  <c r="Q220" i="25" s="1"/>
  <c r="F219" i="25"/>
  <c r="F220" i="25" s="1"/>
  <c r="L185" i="25"/>
  <c r="L186" i="25" s="1"/>
  <c r="R219" i="25"/>
  <c r="R220" i="25" s="1"/>
  <c r="E151" i="25"/>
  <c r="E152" i="25" s="1"/>
  <c r="I219" i="25"/>
  <c r="I220" i="25" s="1"/>
  <c r="H185" i="25"/>
  <c r="H186" i="25" s="1"/>
  <c r="E253" i="25"/>
  <c r="E254" i="25" s="1"/>
  <c r="Q253" i="25"/>
  <c r="Q254" i="25" s="1"/>
  <c r="K185" i="25"/>
  <c r="K186" i="25" s="1"/>
  <c r="J185" i="25"/>
  <c r="J186" i="25" s="1"/>
  <c r="V253" i="25"/>
  <c r="V254" i="25" s="1"/>
  <c r="N219" i="25"/>
  <c r="N220" i="25" s="1"/>
  <c r="J219" i="25"/>
  <c r="J220" i="25" s="1"/>
  <c r="U253" i="25"/>
  <c r="U254" i="25" s="1"/>
  <c r="K219" i="25"/>
  <c r="K220" i="25" s="1"/>
  <c r="H219" i="25"/>
  <c r="H220" i="25" s="1"/>
  <c r="J253" i="25"/>
  <c r="J254" i="25" s="1"/>
  <c r="E219" i="25"/>
  <c r="E220" i="25" s="1"/>
  <c r="M185" i="25"/>
  <c r="M186" i="25" s="1"/>
  <c r="G253" i="25"/>
  <c r="G254" i="25" s="1"/>
  <c r="W253" i="25"/>
  <c r="W254" i="25" s="1"/>
  <c r="D253" i="25"/>
  <c r="D254" i="25" s="1"/>
  <c r="T253" i="25"/>
  <c r="T254" i="25" s="1"/>
  <c r="I185" i="25"/>
  <c r="I186" i="25" s="1"/>
  <c r="M253" i="25"/>
  <c r="M254" i="25" s="1"/>
  <c r="G185" i="25"/>
  <c r="G186" i="25" s="1"/>
  <c r="D185" i="25"/>
  <c r="D186" i="25" s="1"/>
  <c r="R253" i="25"/>
  <c r="R254" i="25" s="1"/>
  <c r="O253" i="25"/>
  <c r="O254" i="25" s="1"/>
  <c r="L253" i="25"/>
  <c r="L254" i="25" s="1"/>
  <c r="I253" i="25"/>
  <c r="I254" i="25" s="1"/>
  <c r="G219" i="25"/>
  <c r="G220" i="25" s="1"/>
  <c r="F253" i="25"/>
  <c r="F254" i="25" s="1"/>
  <c r="E185" i="25"/>
  <c r="E186" i="25" s="1"/>
  <c r="S253" i="25"/>
  <c r="S254" i="25" s="1"/>
  <c r="P253" i="25"/>
  <c r="P254" i="25" s="1"/>
  <c r="H151" i="25"/>
  <c r="H152" i="25" s="1"/>
  <c r="D151" i="25"/>
  <c r="D152" i="25" s="1"/>
  <c r="I134" i="27"/>
  <c r="F133" i="27"/>
  <c r="G163" i="25"/>
  <c r="G164" i="25" s="1"/>
  <c r="H265" i="25"/>
  <c r="H266" i="25" s="1"/>
  <c r="D163" i="25"/>
  <c r="D164" i="25" s="1"/>
  <c r="G91" i="25"/>
  <c r="G124" i="25"/>
  <c r="D124" i="25"/>
  <c r="E124" i="25"/>
  <c r="E91" i="25"/>
  <c r="D91" i="25"/>
  <c r="H91" i="25"/>
  <c r="E58" i="25"/>
  <c r="E25" i="25"/>
  <c r="D25" i="25"/>
  <c r="I135" i="27" l="1"/>
  <c r="F134" i="27"/>
  <c r="G25" i="25"/>
  <c r="Q231" i="25"/>
  <c r="Q232" i="25" s="1"/>
  <c r="F16" i="25"/>
  <c r="T265" i="25"/>
  <c r="T266" i="25" s="1"/>
  <c r="P265" i="25"/>
  <c r="P266" i="25" s="1"/>
  <c r="E92" i="25"/>
  <c r="N115" i="25"/>
  <c r="G26" i="25"/>
  <c r="W265" i="25"/>
  <c r="W266" i="25" s="1"/>
  <c r="H92" i="25"/>
  <c r="R82" i="25"/>
  <c r="D265" i="25"/>
  <c r="D266" i="25" s="1"/>
  <c r="H231" i="25"/>
  <c r="H232" i="25" s="1"/>
  <c r="G92" i="25"/>
  <c r="L265" i="25"/>
  <c r="L266" i="25" s="1"/>
  <c r="E26" i="25"/>
  <c r="D92" i="25"/>
  <c r="E125" i="25"/>
  <c r="G125" i="25"/>
  <c r="H59" i="25"/>
  <c r="G59" i="25"/>
  <c r="H26" i="25"/>
  <c r="I231" i="25"/>
  <c r="I232" i="25" s="1"/>
  <c r="R81" i="25"/>
  <c r="N114" i="25"/>
  <c r="D16" i="25"/>
  <c r="D15" i="25"/>
  <c r="D28" i="25" s="1"/>
  <c r="M82" i="25"/>
  <c r="M81" i="25"/>
  <c r="F114" i="25"/>
  <c r="F115" i="25"/>
  <c r="K48" i="25"/>
  <c r="K49" i="25"/>
  <c r="R255" i="25"/>
  <c r="G255" i="25"/>
  <c r="L221" i="25"/>
  <c r="D153" i="25"/>
  <c r="J255" i="25"/>
  <c r="P92" i="25"/>
  <c r="O82" i="25"/>
  <c r="O81" i="25"/>
  <c r="F255" i="25"/>
  <c r="N82" i="25"/>
  <c r="N81" i="25"/>
  <c r="J49" i="25"/>
  <c r="J48" i="25"/>
  <c r="G114" i="25"/>
  <c r="G127" i="25" s="1"/>
  <c r="G115" i="25"/>
  <c r="V115" i="25"/>
  <c r="V114" i="25"/>
  <c r="Q115" i="25"/>
  <c r="Q114" i="25"/>
  <c r="I48" i="25"/>
  <c r="I49" i="25"/>
  <c r="H16" i="25"/>
  <c r="H15" i="25"/>
  <c r="V255" i="25"/>
  <c r="F221" i="25"/>
  <c r="I255" i="25"/>
  <c r="H187" i="25"/>
  <c r="N255" i="25"/>
  <c r="W255" i="25"/>
  <c r="K187" i="25"/>
  <c r="Q255" i="25"/>
  <c r="G153" i="25"/>
  <c r="T115" i="25"/>
  <c r="T114" i="25"/>
  <c r="K255" i="25"/>
  <c r="E115" i="25"/>
  <c r="E114" i="25"/>
  <c r="E127" i="25" s="1"/>
  <c r="P221" i="25"/>
  <c r="H81" i="25"/>
  <c r="H94" i="25" s="1"/>
  <c r="H82" i="25"/>
  <c r="M48" i="25"/>
  <c r="M49" i="25"/>
  <c r="H115" i="25"/>
  <c r="H114" i="25"/>
  <c r="I221" i="25"/>
  <c r="M221" i="25"/>
  <c r="H255" i="25"/>
  <c r="D187" i="25"/>
  <c r="D221" i="25"/>
  <c r="D26" i="25"/>
  <c r="E59" i="25"/>
  <c r="D125" i="25"/>
  <c r="G16" i="25"/>
  <c r="G15" i="25"/>
  <c r="Q81" i="25"/>
  <c r="Q82" i="25"/>
  <c r="M255" i="25"/>
  <c r="E15" i="25"/>
  <c r="E28" i="25" s="1"/>
  <c r="E16" i="25"/>
  <c r="E48" i="25"/>
  <c r="E61" i="25" s="1"/>
  <c r="E49" i="25"/>
  <c r="P82" i="25"/>
  <c r="P81" i="25"/>
  <c r="G49" i="25"/>
  <c r="G48" i="25"/>
  <c r="G61" i="25" s="1"/>
  <c r="L49" i="25"/>
  <c r="L48" i="25"/>
  <c r="I187" i="25"/>
  <c r="L125" i="25"/>
  <c r="L124" i="25"/>
  <c r="R115" i="25"/>
  <c r="R114" i="25"/>
  <c r="U114" i="25"/>
  <c r="U115" i="25"/>
  <c r="J187" i="25"/>
  <c r="R221" i="25"/>
  <c r="G187" i="25"/>
  <c r="F15" i="25"/>
  <c r="H48" i="25"/>
  <c r="H49" i="25"/>
  <c r="F49" i="25"/>
  <c r="F48" i="25"/>
  <c r="F61" i="25" s="1"/>
  <c r="I81" i="25"/>
  <c r="I82" i="25"/>
  <c r="S115" i="25"/>
  <c r="S114" i="25"/>
  <c r="K82" i="25"/>
  <c r="K81" i="25"/>
  <c r="W115" i="25"/>
  <c r="W114" i="25"/>
  <c r="J82" i="25"/>
  <c r="J81" i="25"/>
  <c r="G81" i="25"/>
  <c r="G94" i="25" s="1"/>
  <c r="G82" i="25"/>
  <c r="L82" i="25"/>
  <c r="L81" i="25"/>
  <c r="M115" i="25"/>
  <c r="M114" i="25"/>
  <c r="L187" i="25"/>
  <c r="H153" i="25"/>
  <c r="H221" i="25"/>
  <c r="U255" i="25"/>
  <c r="E187" i="25"/>
  <c r="D255" i="25"/>
  <c r="Q221" i="25"/>
  <c r="G221" i="25"/>
  <c r="T255" i="25"/>
  <c r="D49" i="25"/>
  <c r="D48" i="25"/>
  <c r="P255" i="25"/>
  <c r="O255" i="25"/>
  <c r="N221" i="25"/>
  <c r="D81" i="25"/>
  <c r="D94" i="25" s="1"/>
  <c r="D82" i="25"/>
  <c r="M187" i="25"/>
  <c r="P114" i="25"/>
  <c r="P115" i="25"/>
  <c r="I115" i="25"/>
  <c r="I114" i="25"/>
  <c r="L115" i="25"/>
  <c r="L114" i="25"/>
  <c r="E82" i="25"/>
  <c r="E81" i="25"/>
  <c r="E94" i="25" s="1"/>
  <c r="F82" i="25"/>
  <c r="F81" i="25"/>
  <c r="J115" i="25"/>
  <c r="J114" i="25"/>
  <c r="D114" i="25"/>
  <c r="D127" i="25" s="1"/>
  <c r="D115" i="25"/>
  <c r="O114" i="25"/>
  <c r="O115" i="25"/>
  <c r="K114" i="25"/>
  <c r="K115" i="25"/>
  <c r="O221" i="25"/>
  <c r="E153" i="25"/>
  <c r="K221" i="25"/>
  <c r="E255" i="25"/>
  <c r="F187" i="25"/>
  <c r="L255" i="25"/>
  <c r="J221" i="25"/>
  <c r="E221" i="25"/>
  <c r="S255" i="25"/>
  <c r="F153" i="25"/>
  <c r="D231" i="25"/>
  <c r="D232" i="25" s="1"/>
  <c r="H197" i="25"/>
  <c r="H198" i="25" s="1"/>
  <c r="L197" i="25"/>
  <c r="L198" i="25" s="1"/>
  <c r="D197" i="25"/>
  <c r="D198" i="25" s="1"/>
  <c r="E163" i="25"/>
  <c r="E164" i="25" s="1"/>
  <c r="M92" i="25"/>
  <c r="M91" i="25"/>
  <c r="I92" i="25"/>
  <c r="I91" i="25"/>
  <c r="H25" i="25"/>
  <c r="L92" i="25"/>
  <c r="L91" i="25"/>
  <c r="F91" i="25"/>
  <c r="J59" i="25"/>
  <c r="J58" i="25"/>
  <c r="F59" i="25"/>
  <c r="D58" i="25"/>
  <c r="D59" i="25"/>
  <c r="F25" i="25"/>
  <c r="F26" i="25"/>
  <c r="E222" i="25" l="1"/>
  <c r="E239" i="25"/>
  <c r="G97" i="25"/>
  <c r="G95" i="25"/>
  <c r="M273" i="25"/>
  <c r="M256" i="25"/>
  <c r="E256" i="25"/>
  <c r="E273" i="25"/>
  <c r="H222" i="25"/>
  <c r="H239" i="25"/>
  <c r="G62" i="25"/>
  <c r="G64" i="25"/>
  <c r="I222" i="25"/>
  <c r="I239" i="25"/>
  <c r="W273" i="25"/>
  <c r="W256" i="25"/>
  <c r="F256" i="25"/>
  <c r="F273" i="25"/>
  <c r="R256" i="25"/>
  <c r="R273" i="25"/>
  <c r="J239" i="25"/>
  <c r="J222" i="25"/>
  <c r="K222" i="25"/>
  <c r="K239" i="25"/>
  <c r="D128" i="25"/>
  <c r="D130" i="25"/>
  <c r="N239" i="25"/>
  <c r="N222" i="25"/>
  <c r="D256" i="25"/>
  <c r="D273" i="25"/>
  <c r="H154" i="25"/>
  <c r="H171" i="25"/>
  <c r="R239" i="25"/>
  <c r="R222" i="25"/>
  <c r="I188" i="25"/>
  <c r="I205" i="25"/>
  <c r="E64" i="25"/>
  <c r="E62" i="25"/>
  <c r="D188" i="25"/>
  <c r="D205" i="25"/>
  <c r="E282" i="25" s="1"/>
  <c r="G171" i="25"/>
  <c r="G154" i="25"/>
  <c r="N256" i="25"/>
  <c r="N273" i="25"/>
  <c r="V256" i="25"/>
  <c r="V273" i="25"/>
  <c r="D171" i="25"/>
  <c r="E281" i="25" s="1"/>
  <c r="D154" i="25"/>
  <c r="F154" i="25"/>
  <c r="F171" i="25"/>
  <c r="L256" i="25"/>
  <c r="L273" i="25"/>
  <c r="E154" i="25"/>
  <c r="E171" i="25"/>
  <c r="E95" i="25"/>
  <c r="E97" i="25"/>
  <c r="M205" i="25"/>
  <c r="M188" i="25"/>
  <c r="O256" i="25"/>
  <c r="O273" i="25"/>
  <c r="T256" i="25"/>
  <c r="T273" i="25"/>
  <c r="E188" i="25"/>
  <c r="E205" i="25"/>
  <c r="L188" i="25"/>
  <c r="L205" i="25"/>
  <c r="J205" i="25"/>
  <c r="J188" i="25"/>
  <c r="H256" i="25"/>
  <c r="H273" i="25"/>
  <c r="H97" i="25"/>
  <c r="H95" i="25"/>
  <c r="K256" i="25"/>
  <c r="K273" i="25"/>
  <c r="Q273" i="25"/>
  <c r="Q256" i="25"/>
  <c r="H188" i="25"/>
  <c r="H205" i="25"/>
  <c r="L222" i="25"/>
  <c r="L239" i="25"/>
  <c r="D97" i="25"/>
  <c r="D95" i="25"/>
  <c r="Q222" i="25"/>
  <c r="Q239" i="25"/>
  <c r="G205" i="25"/>
  <c r="G188" i="25"/>
  <c r="D222" i="25"/>
  <c r="D239" i="25"/>
  <c r="E283" i="25" s="1"/>
  <c r="E128" i="25"/>
  <c r="E130" i="25"/>
  <c r="F239" i="25"/>
  <c r="F222" i="25"/>
  <c r="J256" i="25"/>
  <c r="J273" i="25"/>
  <c r="S256" i="25"/>
  <c r="S273" i="25"/>
  <c r="F205" i="25"/>
  <c r="F188" i="25"/>
  <c r="O222" i="25"/>
  <c r="O239" i="25"/>
  <c r="P256" i="25"/>
  <c r="P273" i="25"/>
  <c r="G222" i="25"/>
  <c r="G239" i="25"/>
  <c r="U256" i="25"/>
  <c r="U273" i="25"/>
  <c r="F62" i="25"/>
  <c r="F64" i="25"/>
  <c r="E31" i="25"/>
  <c r="E29" i="25"/>
  <c r="M222" i="25"/>
  <c r="M239" i="25"/>
  <c r="P222" i="25"/>
  <c r="P239" i="25"/>
  <c r="K205" i="25"/>
  <c r="K188" i="25"/>
  <c r="I256" i="25"/>
  <c r="I273" i="25"/>
  <c r="G128" i="25"/>
  <c r="G130" i="25"/>
  <c r="G256" i="25"/>
  <c r="G273" i="25"/>
  <c r="D29" i="25"/>
  <c r="D31" i="25"/>
  <c r="H268" i="25"/>
  <c r="E284" i="25"/>
  <c r="G166" i="25"/>
  <c r="D166" i="25"/>
  <c r="I136" i="27"/>
  <c r="F135" i="27"/>
  <c r="G28" i="25"/>
  <c r="I265" i="25"/>
  <c r="I266" i="25" s="1"/>
  <c r="K197" i="25"/>
  <c r="K198" i="25" s="1"/>
  <c r="G197" i="25"/>
  <c r="G198" i="25" s="1"/>
  <c r="P231" i="25"/>
  <c r="P232" i="25" s="1"/>
  <c r="U265" i="25"/>
  <c r="U266" i="25" s="1"/>
  <c r="T268" i="25"/>
  <c r="P268" i="25"/>
  <c r="F94" i="25"/>
  <c r="F92" i="25"/>
  <c r="F28" i="25"/>
  <c r="L94" i="25"/>
  <c r="M94" i="25"/>
  <c r="F197" i="25"/>
  <c r="F198" i="25" s="1"/>
  <c r="F231" i="25"/>
  <c r="F232" i="25" s="1"/>
  <c r="F163" i="25"/>
  <c r="F164" i="25" s="1"/>
  <c r="H58" i="25"/>
  <c r="H61" i="25" s="1"/>
  <c r="E265" i="25"/>
  <c r="E266" i="25" s="1"/>
  <c r="L127" i="25"/>
  <c r="R231" i="25"/>
  <c r="R232" i="25" s="1"/>
  <c r="N231" i="25"/>
  <c r="N232" i="25" s="1"/>
  <c r="S265" i="25"/>
  <c r="S266" i="25" s="1"/>
  <c r="H28" i="25"/>
  <c r="L268" i="25"/>
  <c r="E197" i="25"/>
  <c r="E198" i="25" s="1"/>
  <c r="H163" i="25"/>
  <c r="H164" i="25" s="1"/>
  <c r="P91" i="25"/>
  <c r="P94" i="25" s="1"/>
  <c r="L231" i="25"/>
  <c r="L232" i="25" s="1"/>
  <c r="J61" i="25"/>
  <c r="I94" i="25"/>
  <c r="K125" i="25"/>
  <c r="K124" i="25"/>
  <c r="K127" i="25" s="1"/>
  <c r="M58" i="25"/>
  <c r="M61" i="25" s="1"/>
  <c r="M59" i="25"/>
  <c r="I58" i="25"/>
  <c r="I61" i="25" s="1"/>
  <c r="I59" i="25"/>
  <c r="Q234" i="25"/>
  <c r="H234" i="25"/>
  <c r="K231" i="25"/>
  <c r="K232" i="25" s="1"/>
  <c r="M265" i="25"/>
  <c r="M266" i="25" s="1"/>
  <c r="T125" i="25"/>
  <c r="T124" i="25"/>
  <c r="T127" i="25" s="1"/>
  <c r="J231" i="25"/>
  <c r="J232" i="25" s="1"/>
  <c r="D61" i="25"/>
  <c r="K265" i="25"/>
  <c r="K266" i="25" s="1"/>
  <c r="I125" i="25"/>
  <c r="I124" i="25"/>
  <c r="I127" i="25" s="1"/>
  <c r="R125" i="25"/>
  <c r="R124" i="25"/>
  <c r="R127" i="25" s="1"/>
  <c r="O265" i="25"/>
  <c r="O266" i="25" s="1"/>
  <c r="Q265" i="25"/>
  <c r="Q266" i="25" s="1"/>
  <c r="P125" i="25"/>
  <c r="P124" i="25"/>
  <c r="P127" i="25" s="1"/>
  <c r="I197" i="25"/>
  <c r="I198" i="25" s="1"/>
  <c r="K92" i="25"/>
  <c r="K91" i="25"/>
  <c r="K94" i="25" s="1"/>
  <c r="G265" i="25"/>
  <c r="G266" i="25" s="1"/>
  <c r="M125" i="25"/>
  <c r="M124" i="25"/>
  <c r="M127" i="25" s="1"/>
  <c r="U125" i="25"/>
  <c r="U124" i="25"/>
  <c r="U127" i="25" s="1"/>
  <c r="J197" i="25"/>
  <c r="J198" i="25" s="1"/>
  <c r="F265" i="25"/>
  <c r="F266" i="25" s="1"/>
  <c r="V125" i="25"/>
  <c r="V124" i="25"/>
  <c r="V127" i="25" s="1"/>
  <c r="R265" i="25"/>
  <c r="R266" i="25" s="1"/>
  <c r="L200" i="25"/>
  <c r="N92" i="25"/>
  <c r="N91" i="25"/>
  <c r="N94" i="25" s="1"/>
  <c r="O125" i="25"/>
  <c r="O124" i="25"/>
  <c r="O127" i="25" s="1"/>
  <c r="M197" i="25"/>
  <c r="M198" i="25" s="1"/>
  <c r="G231" i="25"/>
  <c r="G232" i="25" s="1"/>
  <c r="D268" i="25"/>
  <c r="Q125" i="25"/>
  <c r="Q124" i="25"/>
  <c r="Q127" i="25" s="1"/>
  <c r="O92" i="25"/>
  <c r="O91" i="25"/>
  <c r="O94" i="25" s="1"/>
  <c r="E231" i="25"/>
  <c r="E232" i="25" s="1"/>
  <c r="N265" i="25"/>
  <c r="N266" i="25" s="1"/>
  <c r="K58" i="25"/>
  <c r="K61" i="25" s="1"/>
  <c r="K59" i="25"/>
  <c r="I234" i="25"/>
  <c r="J92" i="25"/>
  <c r="J91" i="25"/>
  <c r="J94" i="25" s="1"/>
  <c r="R92" i="25"/>
  <c r="R91" i="25"/>
  <c r="R94" i="25" s="1"/>
  <c r="H200" i="25"/>
  <c r="H125" i="25"/>
  <c r="H124" i="25"/>
  <c r="H127" i="25" s="1"/>
  <c r="J125" i="25"/>
  <c r="J124" i="25"/>
  <c r="J127" i="25" s="1"/>
  <c r="L58" i="25"/>
  <c r="L61" i="25" s="1"/>
  <c r="L59" i="25"/>
  <c r="O231" i="25"/>
  <c r="O232" i="25" s="1"/>
  <c r="N125" i="25"/>
  <c r="N124" i="25"/>
  <c r="N127" i="25" s="1"/>
  <c r="J265" i="25"/>
  <c r="J266" i="25" s="1"/>
  <c r="S125" i="25"/>
  <c r="S124" i="25"/>
  <c r="S127" i="25" s="1"/>
  <c r="W125" i="25"/>
  <c r="W124" i="25"/>
  <c r="W127" i="25" s="1"/>
  <c r="Q91" i="25"/>
  <c r="Q94" i="25" s="1"/>
  <c r="Q92" i="25"/>
  <c r="V265" i="25"/>
  <c r="V266" i="25" s="1"/>
  <c r="W268" i="25"/>
  <c r="F124" i="25"/>
  <c r="F127" i="25" s="1"/>
  <c r="F125" i="25"/>
  <c r="M231" i="25"/>
  <c r="M232" i="25" s="1"/>
  <c r="D234" i="25"/>
  <c r="D200" i="25"/>
  <c r="E166" i="25"/>
  <c r="F128" i="25" l="1"/>
  <c r="F130" i="25"/>
  <c r="I237" i="25"/>
  <c r="I235" i="25"/>
  <c r="P128" i="25"/>
  <c r="P130" i="25"/>
  <c r="I64" i="25"/>
  <c r="I62" i="25"/>
  <c r="W269" i="25"/>
  <c r="W271" i="25"/>
  <c r="I95" i="25"/>
  <c r="I97" i="25"/>
  <c r="D32" i="25"/>
  <c r="D33" i="25"/>
  <c r="F65" i="25"/>
  <c r="F66" i="25"/>
  <c r="F69" i="25" s="1"/>
  <c r="E99" i="25"/>
  <c r="E102" i="25" s="1"/>
  <c r="E98" i="25"/>
  <c r="G66" i="25"/>
  <c r="G69" i="25" s="1"/>
  <c r="G65" i="25"/>
  <c r="N130" i="25"/>
  <c r="N128" i="25"/>
  <c r="L64" i="25"/>
  <c r="L62" i="25"/>
  <c r="J97" i="25"/>
  <c r="J95" i="25"/>
  <c r="O97" i="25"/>
  <c r="O95" i="25"/>
  <c r="D269" i="25"/>
  <c r="D271" i="25"/>
  <c r="D275" i="25" s="1"/>
  <c r="D284" i="25" s="1"/>
  <c r="M128" i="25"/>
  <c r="M130" i="25"/>
  <c r="I128" i="25"/>
  <c r="I130" i="25"/>
  <c r="Q237" i="25"/>
  <c r="Q235" i="25"/>
  <c r="M64" i="25"/>
  <c r="M62" i="25"/>
  <c r="J62" i="25"/>
  <c r="J64" i="25"/>
  <c r="H64" i="25"/>
  <c r="H62" i="25"/>
  <c r="M95" i="25"/>
  <c r="M97" i="25"/>
  <c r="F97" i="25"/>
  <c r="F95" i="25"/>
  <c r="G29" i="25"/>
  <c r="G31" i="25"/>
  <c r="G167" i="25"/>
  <c r="G169" i="25"/>
  <c r="H98" i="25"/>
  <c r="H99" i="25"/>
  <c r="H102" i="25" s="1"/>
  <c r="G98" i="25"/>
  <c r="G99" i="25"/>
  <c r="D201" i="25"/>
  <c r="D203" i="25"/>
  <c r="Q95" i="25"/>
  <c r="Q97" i="25"/>
  <c r="Q128" i="25"/>
  <c r="Q130" i="25"/>
  <c r="U128" i="25"/>
  <c r="U130" i="25"/>
  <c r="R128" i="25"/>
  <c r="R130" i="25"/>
  <c r="T128" i="25"/>
  <c r="T130" i="25"/>
  <c r="D237" i="25"/>
  <c r="D235" i="25"/>
  <c r="W128" i="25"/>
  <c r="W130" i="25"/>
  <c r="H128" i="25"/>
  <c r="H130" i="25"/>
  <c r="O128" i="25"/>
  <c r="O130" i="25"/>
  <c r="L201" i="25"/>
  <c r="L203" i="25"/>
  <c r="K97" i="25"/>
  <c r="K95" i="25"/>
  <c r="D64" i="25"/>
  <c r="D62" i="25"/>
  <c r="H237" i="25"/>
  <c r="H235" i="25"/>
  <c r="D167" i="25"/>
  <c r="D169" i="25"/>
  <c r="G131" i="25"/>
  <c r="G132" i="25"/>
  <c r="G135" i="25" s="1"/>
  <c r="E169" i="25"/>
  <c r="E167" i="25"/>
  <c r="S128" i="25"/>
  <c r="S130" i="25"/>
  <c r="J128" i="25"/>
  <c r="J130" i="25"/>
  <c r="H201" i="25"/>
  <c r="H203" i="25"/>
  <c r="K62" i="25"/>
  <c r="K64" i="25"/>
  <c r="N97" i="25"/>
  <c r="N95" i="25"/>
  <c r="V128" i="25"/>
  <c r="V130" i="25"/>
  <c r="K200" i="25"/>
  <c r="K128" i="25"/>
  <c r="K130" i="25"/>
  <c r="L269" i="25"/>
  <c r="L271" i="25"/>
  <c r="L97" i="25"/>
  <c r="L95" i="25"/>
  <c r="P269" i="25"/>
  <c r="P271" i="25"/>
  <c r="E132" i="25"/>
  <c r="E135" i="25" s="1"/>
  <c r="E131" i="25"/>
  <c r="D132" i="25"/>
  <c r="D141" i="25" s="1"/>
  <c r="D131" i="25"/>
  <c r="R97" i="25"/>
  <c r="R95" i="25"/>
  <c r="P97" i="25"/>
  <c r="P95" i="25"/>
  <c r="H29" i="25"/>
  <c r="H31" i="25"/>
  <c r="L128" i="25"/>
  <c r="L130" i="25"/>
  <c r="F31" i="25"/>
  <c r="F29" i="25"/>
  <c r="T269" i="25"/>
  <c r="T271" i="25"/>
  <c r="H269" i="25"/>
  <c r="H271" i="25"/>
  <c r="E32" i="25"/>
  <c r="E33" i="25"/>
  <c r="E36" i="25" s="1"/>
  <c r="D99" i="25"/>
  <c r="D102" i="25" s="1"/>
  <c r="D98" i="25"/>
  <c r="E66" i="25"/>
  <c r="E69" i="25" s="1"/>
  <c r="E65" i="25"/>
  <c r="D138" i="25"/>
  <c r="G102" i="25"/>
  <c r="I137" i="27"/>
  <c r="F136" i="27"/>
  <c r="I268" i="25"/>
  <c r="G200" i="25"/>
  <c r="P234" i="25"/>
  <c r="U268" i="25"/>
  <c r="F166" i="25"/>
  <c r="I200" i="25"/>
  <c r="F200" i="25"/>
  <c r="F234" i="25"/>
  <c r="S268" i="25"/>
  <c r="E200" i="25"/>
  <c r="G234" i="25"/>
  <c r="K268" i="25"/>
  <c r="E268" i="25"/>
  <c r="J234" i="25"/>
  <c r="M200" i="25"/>
  <c r="N234" i="25"/>
  <c r="M268" i="25"/>
  <c r="R234" i="25"/>
  <c r="H166" i="25"/>
  <c r="E234" i="25"/>
  <c r="L234" i="25"/>
  <c r="F268" i="25"/>
  <c r="M234" i="25"/>
  <c r="Q268" i="25"/>
  <c r="R268" i="25"/>
  <c r="K234" i="25"/>
  <c r="N268" i="25"/>
  <c r="O268" i="25"/>
  <c r="J268" i="25"/>
  <c r="V268" i="25"/>
  <c r="D36" i="25"/>
  <c r="O234" i="25"/>
  <c r="J200" i="25"/>
  <c r="G268" i="25"/>
  <c r="V132" i="25" l="1"/>
  <c r="V131" i="25"/>
  <c r="J132" i="25"/>
  <c r="J131" i="25"/>
  <c r="D170" i="25"/>
  <c r="D173" i="25"/>
  <c r="L204" i="25"/>
  <c r="L207" i="25"/>
  <c r="L209" i="25" s="1"/>
  <c r="H132" i="25"/>
  <c r="H131" i="25"/>
  <c r="R132" i="25"/>
  <c r="R135" i="25" s="1"/>
  <c r="R131" i="25"/>
  <c r="Q132" i="25"/>
  <c r="Q131" i="25"/>
  <c r="D207" i="25"/>
  <c r="D204" i="25"/>
  <c r="G33" i="25"/>
  <c r="G32" i="25"/>
  <c r="M99" i="25"/>
  <c r="M102" i="25" s="1"/>
  <c r="M98" i="25"/>
  <c r="J65" i="25"/>
  <c r="J66" i="25"/>
  <c r="M132" i="25"/>
  <c r="M135" i="25" s="1"/>
  <c r="M131" i="25"/>
  <c r="I99" i="25"/>
  <c r="I98" i="25"/>
  <c r="O131" i="25"/>
  <c r="O132" i="25"/>
  <c r="O135" i="25" s="1"/>
  <c r="W131" i="25"/>
  <c r="W132" i="25"/>
  <c r="T132" i="25"/>
  <c r="T135" i="25" s="1"/>
  <c r="T131" i="25"/>
  <c r="U132" i="25"/>
  <c r="U131" i="25"/>
  <c r="Q99" i="25"/>
  <c r="Q102" i="25" s="1"/>
  <c r="Q98" i="25"/>
  <c r="G173" i="25"/>
  <c r="G175" i="25" s="1"/>
  <c r="G170" i="25"/>
  <c r="I132" i="25"/>
  <c r="I131" i="25"/>
  <c r="D272" i="25"/>
  <c r="W272" i="25"/>
  <c r="W275" i="25"/>
  <c r="W277" i="25" s="1"/>
  <c r="P132" i="25"/>
  <c r="P131" i="25"/>
  <c r="F131" i="25"/>
  <c r="F132" i="25"/>
  <c r="F135" i="25" s="1"/>
  <c r="O235" i="25"/>
  <c r="O237" i="25"/>
  <c r="O269" i="25"/>
  <c r="O271" i="25"/>
  <c r="Q269" i="25"/>
  <c r="Q271" i="25"/>
  <c r="D135" i="25"/>
  <c r="R237" i="25"/>
  <c r="R235" i="25"/>
  <c r="J237" i="25"/>
  <c r="J235" i="25"/>
  <c r="E201" i="25"/>
  <c r="E203" i="25"/>
  <c r="F203" i="25"/>
  <c r="F201" i="25"/>
  <c r="P237" i="25"/>
  <c r="P235" i="25"/>
  <c r="P98" i="25"/>
  <c r="P99" i="25"/>
  <c r="P102" i="25" s="1"/>
  <c r="K66" i="25"/>
  <c r="K65" i="25"/>
  <c r="N271" i="25"/>
  <c r="N269" i="25"/>
  <c r="M237" i="25"/>
  <c r="M235" i="25"/>
  <c r="L237" i="25"/>
  <c r="L235" i="25"/>
  <c r="M271" i="25"/>
  <c r="M269" i="25"/>
  <c r="E271" i="25"/>
  <c r="E269" i="25"/>
  <c r="S269" i="25"/>
  <c r="S271" i="25"/>
  <c r="I201" i="25"/>
  <c r="I203" i="25"/>
  <c r="G203" i="25"/>
  <c r="G201" i="25"/>
  <c r="H275" i="25"/>
  <c r="H277" i="25" s="1"/>
  <c r="H272" i="25"/>
  <c r="H32" i="25"/>
  <c r="H33" i="25"/>
  <c r="K132" i="25"/>
  <c r="K135" i="25" s="1"/>
  <c r="K131" i="25"/>
  <c r="E173" i="25"/>
  <c r="E175" i="25" s="1"/>
  <c r="E170" i="25"/>
  <c r="D66" i="25"/>
  <c r="D69" i="25" s="1"/>
  <c r="D65" i="25"/>
  <c r="D241" i="25"/>
  <c r="D238" i="25"/>
  <c r="Q238" i="25"/>
  <c r="Q241" i="25"/>
  <c r="Q243" i="25" s="1"/>
  <c r="O98" i="25"/>
  <c r="O99" i="25"/>
  <c r="L66" i="25"/>
  <c r="L65" i="25"/>
  <c r="I66" i="25"/>
  <c r="I69" i="25" s="1"/>
  <c r="I65" i="25"/>
  <c r="I241" i="25"/>
  <c r="I243" i="25" s="1"/>
  <c r="I238" i="25"/>
  <c r="G269" i="25"/>
  <c r="G271" i="25"/>
  <c r="V269" i="25"/>
  <c r="V271" i="25"/>
  <c r="K235" i="25"/>
  <c r="K237" i="25"/>
  <c r="F271" i="25"/>
  <c r="F269" i="25"/>
  <c r="E237" i="25"/>
  <c r="E235" i="25"/>
  <c r="N237" i="25"/>
  <c r="N235" i="25"/>
  <c r="K269" i="25"/>
  <c r="K271" i="25"/>
  <c r="F237" i="25"/>
  <c r="F235" i="25"/>
  <c r="F167" i="25"/>
  <c r="F169" i="25"/>
  <c r="I269" i="25"/>
  <c r="I271" i="25"/>
  <c r="F32" i="25"/>
  <c r="F33" i="25"/>
  <c r="R98" i="25"/>
  <c r="R99" i="25"/>
  <c r="R102" i="25" s="1"/>
  <c r="L98" i="25"/>
  <c r="L99" i="25"/>
  <c r="H207" i="25"/>
  <c r="H209" i="25" s="1"/>
  <c r="H204" i="25"/>
  <c r="S132" i="25"/>
  <c r="S135" i="25" s="1"/>
  <c r="S131" i="25"/>
  <c r="J203" i="25"/>
  <c r="J201" i="25"/>
  <c r="J269" i="25"/>
  <c r="J271" i="25"/>
  <c r="R269" i="25"/>
  <c r="R271" i="25"/>
  <c r="H167" i="25"/>
  <c r="H169" i="25"/>
  <c r="M201" i="25"/>
  <c r="M203" i="25"/>
  <c r="G235" i="25"/>
  <c r="G237" i="25"/>
  <c r="U271" i="25"/>
  <c r="U269" i="25"/>
  <c r="T275" i="25"/>
  <c r="T277" i="25" s="1"/>
  <c r="T272" i="25"/>
  <c r="L132" i="25"/>
  <c r="L131" i="25"/>
  <c r="P275" i="25"/>
  <c r="P277" i="25" s="1"/>
  <c r="P272" i="25"/>
  <c r="L275" i="25"/>
  <c r="L277" i="25" s="1"/>
  <c r="L272" i="25"/>
  <c r="K203" i="25"/>
  <c r="K201" i="25"/>
  <c r="N99" i="25"/>
  <c r="N102" i="25" s="1"/>
  <c r="N98" i="25"/>
  <c r="H241" i="25"/>
  <c r="H243" i="25" s="1"/>
  <c r="H238" i="25"/>
  <c r="K98" i="25"/>
  <c r="K99" i="25"/>
  <c r="K102" i="25" s="1"/>
  <c r="F99" i="25"/>
  <c r="F102" i="25" s="1"/>
  <c r="F98" i="25"/>
  <c r="H65" i="25"/>
  <c r="H66" i="25"/>
  <c r="H69" i="25" s="1"/>
  <c r="M65" i="25"/>
  <c r="M66" i="25"/>
  <c r="J99" i="25"/>
  <c r="J102" i="25" s="1"/>
  <c r="J98" i="25"/>
  <c r="N131" i="25"/>
  <c r="N132" i="25"/>
  <c r="J69" i="25"/>
  <c r="G36" i="25"/>
  <c r="K69" i="25"/>
  <c r="H36" i="25"/>
  <c r="W135" i="25"/>
  <c r="Q135" i="25"/>
  <c r="D277" i="25"/>
  <c r="I102" i="25"/>
  <c r="U135" i="25"/>
  <c r="L135" i="25"/>
  <c r="L102" i="25"/>
  <c r="F36" i="25"/>
  <c r="I138" i="27"/>
  <c r="F137" i="27"/>
  <c r="D140" i="25"/>
  <c r="D139" i="25"/>
  <c r="O102" i="25"/>
  <c r="P135" i="25"/>
  <c r="I135" i="25"/>
  <c r="N135" i="25"/>
  <c r="M69" i="25"/>
  <c r="L69" i="25"/>
  <c r="V135" i="25"/>
  <c r="J135" i="25"/>
  <c r="H135" i="25"/>
  <c r="D175" i="25" l="1"/>
  <c r="D281" i="25"/>
  <c r="I275" i="25"/>
  <c r="I272" i="25"/>
  <c r="I207" i="25"/>
  <c r="I209" i="25" s="1"/>
  <c r="I204" i="25"/>
  <c r="G207" i="25"/>
  <c r="G209" i="25" s="1"/>
  <c r="G204" i="25"/>
  <c r="M238" i="25"/>
  <c r="M241" i="25"/>
  <c r="M243" i="25" s="1"/>
  <c r="P241" i="25"/>
  <c r="P243" i="25" s="1"/>
  <c r="P238" i="25"/>
  <c r="O275" i="25"/>
  <c r="O277" i="25" s="1"/>
  <c r="O272" i="25"/>
  <c r="R275" i="25"/>
  <c r="R277" i="25" s="1"/>
  <c r="R272" i="25"/>
  <c r="U275" i="25"/>
  <c r="U277" i="25" s="1"/>
  <c r="U272" i="25"/>
  <c r="J207" i="25"/>
  <c r="J209" i="25" s="1"/>
  <c r="J204" i="25"/>
  <c r="F241" i="25"/>
  <c r="F243" i="25" s="1"/>
  <c r="F238" i="25"/>
  <c r="N241" i="25"/>
  <c r="N243" i="25" s="1"/>
  <c r="N238" i="25"/>
  <c r="F275" i="25"/>
  <c r="F277" i="25" s="1"/>
  <c r="F272" i="25"/>
  <c r="E275" i="25"/>
  <c r="E272" i="25"/>
  <c r="L241" i="25"/>
  <c r="L243" i="25" s="1"/>
  <c r="L238" i="25"/>
  <c r="N275" i="25"/>
  <c r="N277" i="25" s="1"/>
  <c r="N272" i="25"/>
  <c r="F207" i="25"/>
  <c r="F209" i="25" s="1"/>
  <c r="F204" i="25"/>
  <c r="J238" i="25"/>
  <c r="J241" i="25"/>
  <c r="J243" i="25" s="1"/>
  <c r="Q275" i="25"/>
  <c r="Q277" i="25" s="1"/>
  <c r="Q272" i="25"/>
  <c r="O238" i="25"/>
  <c r="O241" i="25"/>
  <c r="O243" i="25" s="1"/>
  <c r="K207" i="25"/>
  <c r="K209" i="25" s="1"/>
  <c r="K204" i="25"/>
  <c r="E241" i="25"/>
  <c r="E243" i="25" s="1"/>
  <c r="E238" i="25"/>
  <c r="M275" i="25"/>
  <c r="M277" i="25" s="1"/>
  <c r="M272" i="25"/>
  <c r="R241" i="25"/>
  <c r="R243" i="25" s="1"/>
  <c r="R238" i="25"/>
  <c r="M204" i="25"/>
  <c r="M207" i="25"/>
  <c r="M209" i="25" s="1"/>
  <c r="V275" i="25"/>
  <c r="V277" i="25" s="1"/>
  <c r="V272" i="25"/>
  <c r="K327" i="25"/>
  <c r="K319" i="25"/>
  <c r="K325" i="25"/>
  <c r="K317" i="25"/>
  <c r="K311" i="25"/>
  <c r="K307" i="25"/>
  <c r="K303" i="25"/>
  <c r="K299" i="25"/>
  <c r="K323" i="25"/>
  <c r="K315" i="25"/>
  <c r="K305" i="25"/>
  <c r="K321" i="25"/>
  <c r="K301" i="25"/>
  <c r="K313" i="25"/>
  <c r="K309" i="25"/>
  <c r="K310" i="25"/>
  <c r="K312" i="25"/>
  <c r="K320" i="25"/>
  <c r="K306" i="25"/>
  <c r="K314" i="25"/>
  <c r="K322" i="25"/>
  <c r="K300" i="25"/>
  <c r="K308" i="25"/>
  <c r="K316" i="25"/>
  <c r="K324" i="25"/>
  <c r="K302" i="25"/>
  <c r="K318" i="25"/>
  <c r="K326" i="25"/>
  <c r="G241" i="25"/>
  <c r="G243" i="25" s="1"/>
  <c r="G238" i="25"/>
  <c r="H170" i="25"/>
  <c r="H173" i="25"/>
  <c r="H175" i="25" s="1"/>
  <c r="J275" i="25"/>
  <c r="J277" i="25" s="1"/>
  <c r="J272" i="25"/>
  <c r="F170" i="25"/>
  <c r="F173" i="25"/>
  <c r="F175" i="25" s="1"/>
  <c r="K275" i="25"/>
  <c r="K277" i="25" s="1"/>
  <c r="K272" i="25"/>
  <c r="K241" i="25"/>
  <c r="K243" i="25" s="1"/>
  <c r="K238" i="25"/>
  <c r="G275" i="25"/>
  <c r="G277" i="25" s="1"/>
  <c r="G272" i="25"/>
  <c r="S275" i="25"/>
  <c r="S277" i="25" s="1"/>
  <c r="S272" i="25"/>
  <c r="E207" i="25"/>
  <c r="E209" i="25" s="1"/>
  <c r="E204" i="25"/>
  <c r="I277" i="25"/>
  <c r="F16" i="5"/>
  <c r="I139" i="27"/>
  <c r="F138" i="27"/>
  <c r="E277" i="25"/>
  <c r="D37" i="25"/>
  <c r="D103" i="25"/>
  <c r="D243" i="25"/>
  <c r="D283" i="25"/>
  <c r="D209" i="25"/>
  <c r="D282" i="25"/>
  <c r="D136" i="25"/>
  <c r="D70" i="25"/>
  <c r="L694" i="25" l="1"/>
  <c r="I694" i="25" s="1"/>
  <c r="L696" i="25"/>
  <c r="I696" i="25" s="1"/>
  <c r="L698" i="25"/>
  <c r="I698" i="25" s="1"/>
  <c r="L700" i="25"/>
  <c r="I700" i="25" s="1"/>
  <c r="L702" i="25"/>
  <c r="I702" i="25" s="1"/>
  <c r="L704" i="25"/>
  <c r="I704" i="25" s="1"/>
  <c r="L706" i="25"/>
  <c r="I706" i="25" s="1"/>
  <c r="L708" i="25"/>
  <c r="I708" i="25" s="1"/>
  <c r="L710" i="25"/>
  <c r="I710" i="25" s="1"/>
  <c r="L712" i="25"/>
  <c r="I712" i="25" s="1"/>
  <c r="L714" i="25"/>
  <c r="I714" i="25" s="1"/>
  <c r="L716" i="25"/>
  <c r="I716" i="25" s="1"/>
  <c r="L718" i="25"/>
  <c r="I718" i="25" s="1"/>
  <c r="L720" i="25"/>
  <c r="I720" i="25" s="1"/>
  <c r="L722" i="25"/>
  <c r="I722" i="25" s="1"/>
  <c r="L693" i="25"/>
  <c r="I693" i="25" s="1"/>
  <c r="L701" i="25"/>
  <c r="I701" i="25" s="1"/>
  <c r="L709" i="25"/>
  <c r="I709" i="25" s="1"/>
  <c r="L717" i="25"/>
  <c r="I717" i="25" s="1"/>
  <c r="L339" i="25"/>
  <c r="I339" i="25" s="1"/>
  <c r="L341" i="25"/>
  <c r="I341" i="25" s="1"/>
  <c r="L343" i="25"/>
  <c r="I343" i="25" s="1"/>
  <c r="L345" i="25"/>
  <c r="I345" i="25" s="1"/>
  <c r="L347" i="25"/>
  <c r="I347" i="25" s="1"/>
  <c r="L349" i="25"/>
  <c r="I349" i="25" s="1"/>
  <c r="L351" i="25"/>
  <c r="I351" i="25" s="1"/>
  <c r="L353" i="25"/>
  <c r="I353" i="25" s="1"/>
  <c r="L355" i="25"/>
  <c r="I355" i="25" s="1"/>
  <c r="L357" i="25"/>
  <c r="I357" i="25" s="1"/>
  <c r="L359" i="25"/>
  <c r="I359" i="25" s="1"/>
  <c r="L361" i="25"/>
  <c r="I361" i="25" s="1"/>
  <c r="L363" i="25"/>
  <c r="I363" i="25" s="1"/>
  <c r="L365" i="25"/>
  <c r="I365" i="25" s="1"/>
  <c r="L367" i="25"/>
  <c r="I367" i="25" s="1"/>
  <c r="L369" i="25"/>
  <c r="I369" i="25" s="1"/>
  <c r="L371" i="25"/>
  <c r="I371" i="25" s="1"/>
  <c r="L373" i="25"/>
  <c r="I373" i="25" s="1"/>
  <c r="L375" i="25"/>
  <c r="I375" i="25" s="1"/>
  <c r="L377" i="25"/>
  <c r="I377" i="25" s="1"/>
  <c r="L379" i="25"/>
  <c r="I379" i="25" s="1"/>
  <c r="L381" i="25"/>
  <c r="I381" i="25" s="1"/>
  <c r="L383" i="25"/>
  <c r="I383" i="25" s="1"/>
  <c r="L385" i="25"/>
  <c r="I385" i="25" s="1"/>
  <c r="L387" i="25"/>
  <c r="I387" i="25" s="1"/>
  <c r="L389" i="25"/>
  <c r="I389" i="25" s="1"/>
  <c r="L391" i="25"/>
  <c r="I391" i="25" s="1"/>
  <c r="L393" i="25"/>
  <c r="I393" i="25" s="1"/>
  <c r="L395" i="25"/>
  <c r="I395" i="25" s="1"/>
  <c r="L397" i="25"/>
  <c r="I397" i="25" s="1"/>
  <c r="L399" i="25"/>
  <c r="I399" i="25" s="1"/>
  <c r="L401" i="25"/>
  <c r="I401" i="25" s="1"/>
  <c r="L403" i="25"/>
  <c r="I403" i="25" s="1"/>
  <c r="L405" i="25"/>
  <c r="I405" i="25" s="1"/>
  <c r="L407" i="25"/>
  <c r="I407" i="25" s="1"/>
  <c r="L409" i="25"/>
  <c r="I409" i="25" s="1"/>
  <c r="L411" i="25"/>
  <c r="I411" i="25" s="1"/>
  <c r="L413" i="25"/>
  <c r="I413" i="25" s="1"/>
  <c r="L415" i="25"/>
  <c r="I415" i="25" s="1"/>
  <c r="L417" i="25"/>
  <c r="I417" i="25" s="1"/>
  <c r="L419" i="25"/>
  <c r="I419" i="25" s="1"/>
  <c r="L421" i="25"/>
  <c r="I421" i="25" s="1"/>
  <c r="L423" i="25"/>
  <c r="I423" i="25" s="1"/>
  <c r="L425" i="25"/>
  <c r="I425" i="25" s="1"/>
  <c r="L427" i="25"/>
  <c r="I427" i="25" s="1"/>
  <c r="L429" i="25"/>
  <c r="I429" i="25" s="1"/>
  <c r="L431" i="25"/>
  <c r="I431" i="25" s="1"/>
  <c r="L433" i="25"/>
  <c r="I433" i="25" s="1"/>
  <c r="L435" i="25"/>
  <c r="I435" i="25" s="1"/>
  <c r="L437" i="25"/>
  <c r="I437" i="25" s="1"/>
  <c r="L699" i="25"/>
  <c r="I699" i="25" s="1"/>
  <c r="L707" i="25"/>
  <c r="I707" i="25" s="1"/>
  <c r="L715" i="25"/>
  <c r="I715" i="25" s="1"/>
  <c r="L723" i="25"/>
  <c r="I723" i="25" s="1"/>
  <c r="L725" i="25"/>
  <c r="I725" i="25" s="1"/>
  <c r="L727" i="25"/>
  <c r="I727" i="25" s="1"/>
  <c r="L729" i="25"/>
  <c r="I729" i="25" s="1"/>
  <c r="L731" i="25"/>
  <c r="I731" i="25" s="1"/>
  <c r="L733" i="25"/>
  <c r="I733" i="25" s="1"/>
  <c r="L735" i="25"/>
  <c r="I735" i="25" s="1"/>
  <c r="L737" i="25"/>
  <c r="I737" i="25" s="1"/>
  <c r="L739" i="25"/>
  <c r="I739" i="25" s="1"/>
  <c r="L741" i="25"/>
  <c r="I741" i="25" s="1"/>
  <c r="L743" i="25"/>
  <c r="I743" i="25" s="1"/>
  <c r="L745" i="25"/>
  <c r="I745" i="25" s="1"/>
  <c r="L747" i="25"/>
  <c r="I747" i="25" s="1"/>
  <c r="L749" i="25"/>
  <c r="I749" i="25" s="1"/>
  <c r="L751" i="25"/>
  <c r="I751" i="25" s="1"/>
  <c r="L753" i="25"/>
  <c r="I753" i="25" s="1"/>
  <c r="L755" i="25"/>
  <c r="I755" i="25" s="1"/>
  <c r="L757" i="25"/>
  <c r="I757" i="25" s="1"/>
  <c r="L759" i="25"/>
  <c r="I759" i="25" s="1"/>
  <c r="L761" i="25"/>
  <c r="I761" i="25" s="1"/>
  <c r="L763" i="25"/>
  <c r="I763" i="25" s="1"/>
  <c r="L765" i="25"/>
  <c r="I765" i="25" s="1"/>
  <c r="L767" i="25"/>
  <c r="I767" i="25" s="1"/>
  <c r="L769" i="25"/>
  <c r="I769" i="25" s="1"/>
  <c r="L771" i="25"/>
  <c r="I771" i="25" s="1"/>
  <c r="L773" i="25"/>
  <c r="I773" i="25" s="1"/>
  <c r="L775" i="25"/>
  <c r="I775" i="25" s="1"/>
  <c r="L777" i="25"/>
  <c r="I777" i="25" s="1"/>
  <c r="L779" i="25"/>
  <c r="I779" i="25" s="1"/>
  <c r="L781" i="25"/>
  <c r="I781" i="25" s="1"/>
  <c r="L783" i="25"/>
  <c r="I783" i="25" s="1"/>
  <c r="L785" i="25"/>
  <c r="I785" i="25" s="1"/>
  <c r="L787" i="25"/>
  <c r="I787" i="25" s="1"/>
  <c r="L789" i="25"/>
  <c r="I789" i="25" s="1"/>
  <c r="L791" i="25"/>
  <c r="I791" i="25" s="1"/>
  <c r="L793" i="25"/>
  <c r="I793" i="25" s="1"/>
  <c r="L795" i="25"/>
  <c r="I795" i="25" s="1"/>
  <c r="L797" i="25"/>
  <c r="I797" i="25" s="1"/>
  <c r="L799" i="25"/>
  <c r="I799" i="25" s="1"/>
  <c r="L801" i="25"/>
  <c r="I801" i="25" s="1"/>
  <c r="L803" i="25"/>
  <c r="I803" i="25" s="1"/>
  <c r="L805" i="25"/>
  <c r="I805" i="25" s="1"/>
  <c r="L807" i="25"/>
  <c r="I807" i="25" s="1"/>
  <c r="L809" i="25"/>
  <c r="I809" i="25" s="1"/>
  <c r="L811" i="25"/>
  <c r="I811" i="25" s="1"/>
  <c r="L813" i="25"/>
  <c r="I813" i="25" s="1"/>
  <c r="L815" i="25"/>
  <c r="I815" i="25" s="1"/>
  <c r="L817" i="25"/>
  <c r="I817" i="25" s="1"/>
  <c r="L819" i="25"/>
  <c r="I819" i="25" s="1"/>
  <c r="L821" i="25"/>
  <c r="I821" i="25" s="1"/>
  <c r="L823" i="25"/>
  <c r="I823" i="25" s="1"/>
  <c r="L825" i="25"/>
  <c r="I825" i="25" s="1"/>
  <c r="L827" i="25"/>
  <c r="I827" i="25" s="1"/>
  <c r="L829" i="25"/>
  <c r="I829" i="25" s="1"/>
  <c r="L831" i="25"/>
  <c r="I831" i="25" s="1"/>
  <c r="L833" i="25"/>
  <c r="I833" i="25" s="1"/>
  <c r="L835" i="25"/>
  <c r="I835" i="25" s="1"/>
  <c r="L837" i="25"/>
  <c r="I837" i="25" s="1"/>
  <c r="L839" i="25"/>
  <c r="I839" i="25" s="1"/>
  <c r="L841" i="25"/>
  <c r="I841" i="25" s="1"/>
  <c r="L843" i="25"/>
  <c r="I843" i="25" s="1"/>
  <c r="L845" i="25"/>
  <c r="I845" i="25" s="1"/>
  <c r="L847" i="25"/>
  <c r="I847" i="25" s="1"/>
  <c r="L849" i="25"/>
  <c r="I849" i="25" s="1"/>
  <c r="L851" i="25"/>
  <c r="I851" i="25" s="1"/>
  <c r="L853" i="25"/>
  <c r="I853" i="25" s="1"/>
  <c r="L855" i="25"/>
  <c r="I855" i="25" s="1"/>
  <c r="L857" i="25"/>
  <c r="I857" i="25" s="1"/>
  <c r="L859" i="25"/>
  <c r="I859" i="25" s="1"/>
  <c r="L861" i="25"/>
  <c r="I861" i="25" s="1"/>
  <c r="L863" i="25"/>
  <c r="I863" i="25" s="1"/>
  <c r="L865" i="25"/>
  <c r="I865" i="25" s="1"/>
  <c r="L867" i="25"/>
  <c r="I867" i="25" s="1"/>
  <c r="L869" i="25"/>
  <c r="I869" i="25" s="1"/>
  <c r="L871" i="25"/>
  <c r="I871" i="25" s="1"/>
  <c r="L873" i="25"/>
  <c r="I873" i="25" s="1"/>
  <c r="L875" i="25"/>
  <c r="I875" i="25" s="1"/>
  <c r="L877" i="25"/>
  <c r="I877" i="25" s="1"/>
  <c r="L879" i="25"/>
  <c r="I879" i="25" s="1"/>
  <c r="L881" i="25"/>
  <c r="I881" i="25" s="1"/>
  <c r="L883" i="25"/>
  <c r="I883" i="25" s="1"/>
  <c r="L885" i="25"/>
  <c r="I885" i="25" s="1"/>
  <c r="L887" i="25"/>
  <c r="I887" i="25" s="1"/>
  <c r="L889" i="25"/>
  <c r="I889" i="25" s="1"/>
  <c r="L891" i="25"/>
  <c r="I891" i="25" s="1"/>
  <c r="L893" i="25"/>
  <c r="I893" i="25" s="1"/>
  <c r="L895" i="25"/>
  <c r="I895" i="25" s="1"/>
  <c r="L897" i="25"/>
  <c r="I897" i="25" s="1"/>
  <c r="L899" i="25"/>
  <c r="I899" i="25" s="1"/>
  <c r="L697" i="25"/>
  <c r="I697" i="25" s="1"/>
  <c r="L705" i="25"/>
  <c r="I705" i="25" s="1"/>
  <c r="L713" i="25"/>
  <c r="I713" i="25" s="1"/>
  <c r="L721" i="25"/>
  <c r="I721" i="25" s="1"/>
  <c r="L338" i="25"/>
  <c r="I338" i="25" s="1"/>
  <c r="L340" i="25"/>
  <c r="I340" i="25" s="1"/>
  <c r="L342" i="25"/>
  <c r="I342" i="25" s="1"/>
  <c r="L344" i="25"/>
  <c r="I344" i="25" s="1"/>
  <c r="L346" i="25"/>
  <c r="I346" i="25" s="1"/>
  <c r="L348" i="25"/>
  <c r="I348" i="25" s="1"/>
  <c r="L350" i="25"/>
  <c r="I350" i="25" s="1"/>
  <c r="L352" i="25"/>
  <c r="I352" i="25" s="1"/>
  <c r="L354" i="25"/>
  <c r="I354" i="25" s="1"/>
  <c r="L356" i="25"/>
  <c r="I356" i="25" s="1"/>
  <c r="L358" i="25"/>
  <c r="I358" i="25" s="1"/>
  <c r="L360" i="25"/>
  <c r="I360" i="25" s="1"/>
  <c r="L362" i="25"/>
  <c r="I362" i="25" s="1"/>
  <c r="L364" i="25"/>
  <c r="I364" i="25" s="1"/>
  <c r="L366" i="25"/>
  <c r="I366" i="25" s="1"/>
  <c r="L368" i="25"/>
  <c r="I368" i="25" s="1"/>
  <c r="L370" i="25"/>
  <c r="I370" i="25" s="1"/>
  <c r="L372" i="25"/>
  <c r="I372" i="25" s="1"/>
  <c r="L374" i="25"/>
  <c r="I374" i="25" s="1"/>
  <c r="L376" i="25"/>
  <c r="I376" i="25" s="1"/>
  <c r="L378" i="25"/>
  <c r="I378" i="25" s="1"/>
  <c r="L380" i="25"/>
  <c r="I380" i="25" s="1"/>
  <c r="L382" i="25"/>
  <c r="I382" i="25" s="1"/>
  <c r="L384" i="25"/>
  <c r="I384" i="25" s="1"/>
  <c r="L386" i="25"/>
  <c r="I386" i="25" s="1"/>
  <c r="L388" i="25"/>
  <c r="I388" i="25" s="1"/>
  <c r="L390" i="25"/>
  <c r="I390" i="25" s="1"/>
  <c r="L392" i="25"/>
  <c r="I392" i="25" s="1"/>
  <c r="L394" i="25"/>
  <c r="I394" i="25" s="1"/>
  <c r="L396" i="25"/>
  <c r="I396" i="25" s="1"/>
  <c r="L398" i="25"/>
  <c r="I398" i="25" s="1"/>
  <c r="L711" i="25"/>
  <c r="I711" i="25" s="1"/>
  <c r="L730" i="25"/>
  <c r="I730" i="25" s="1"/>
  <c r="L738" i="25"/>
  <c r="I738" i="25" s="1"/>
  <c r="L746" i="25"/>
  <c r="I746" i="25" s="1"/>
  <c r="L754" i="25"/>
  <c r="I754" i="25" s="1"/>
  <c r="L762" i="25"/>
  <c r="I762" i="25" s="1"/>
  <c r="L770" i="25"/>
  <c r="I770" i="25" s="1"/>
  <c r="L778" i="25"/>
  <c r="I778" i="25" s="1"/>
  <c r="L786" i="25"/>
  <c r="I786" i="25" s="1"/>
  <c r="L794" i="25"/>
  <c r="I794" i="25" s="1"/>
  <c r="L802" i="25"/>
  <c r="I802" i="25" s="1"/>
  <c r="L810" i="25"/>
  <c r="I810" i="25" s="1"/>
  <c r="L818" i="25"/>
  <c r="I818" i="25" s="1"/>
  <c r="L826" i="25"/>
  <c r="I826" i="25" s="1"/>
  <c r="L834" i="25"/>
  <c r="I834" i="25" s="1"/>
  <c r="L842" i="25"/>
  <c r="I842" i="25" s="1"/>
  <c r="L850" i="25"/>
  <c r="I850" i="25" s="1"/>
  <c r="L858" i="25"/>
  <c r="I858" i="25" s="1"/>
  <c r="L866" i="25"/>
  <c r="I866" i="25" s="1"/>
  <c r="L874" i="25"/>
  <c r="I874" i="25" s="1"/>
  <c r="L882" i="25"/>
  <c r="I882" i="25" s="1"/>
  <c r="L890" i="25"/>
  <c r="I890" i="25" s="1"/>
  <c r="L898" i="25"/>
  <c r="I898" i="25" s="1"/>
  <c r="L406" i="25"/>
  <c r="I406" i="25" s="1"/>
  <c r="L414" i="25"/>
  <c r="I414" i="25" s="1"/>
  <c r="L422" i="25"/>
  <c r="I422" i="25" s="1"/>
  <c r="L430" i="25"/>
  <c r="I430" i="25" s="1"/>
  <c r="L438" i="25"/>
  <c r="I438" i="25" s="1"/>
  <c r="L440" i="25"/>
  <c r="I440" i="25" s="1"/>
  <c r="L442" i="25"/>
  <c r="I442" i="25" s="1"/>
  <c r="L444" i="25"/>
  <c r="I444" i="25" s="1"/>
  <c r="L446" i="25"/>
  <c r="I446" i="25" s="1"/>
  <c r="L448" i="25"/>
  <c r="I448" i="25" s="1"/>
  <c r="L450" i="25"/>
  <c r="I450" i="25" s="1"/>
  <c r="L452" i="25"/>
  <c r="I452" i="25" s="1"/>
  <c r="L454" i="25"/>
  <c r="I454" i="25" s="1"/>
  <c r="L456" i="25"/>
  <c r="I456" i="25" s="1"/>
  <c r="L458" i="25"/>
  <c r="I458" i="25" s="1"/>
  <c r="L460" i="25"/>
  <c r="I460" i="25" s="1"/>
  <c r="L462" i="25"/>
  <c r="I462" i="25" s="1"/>
  <c r="L464" i="25"/>
  <c r="I464" i="25" s="1"/>
  <c r="L466" i="25"/>
  <c r="I466" i="25" s="1"/>
  <c r="L468" i="25"/>
  <c r="I468" i="25" s="1"/>
  <c r="L470" i="25"/>
  <c r="I470" i="25" s="1"/>
  <c r="L472" i="25"/>
  <c r="I472" i="25" s="1"/>
  <c r="L474" i="25"/>
  <c r="I474" i="25" s="1"/>
  <c r="L476" i="25"/>
  <c r="I476" i="25" s="1"/>
  <c r="L478" i="25"/>
  <c r="I478" i="25" s="1"/>
  <c r="L480" i="25"/>
  <c r="I480" i="25" s="1"/>
  <c r="L482" i="25"/>
  <c r="I482" i="25" s="1"/>
  <c r="L484" i="25"/>
  <c r="I484" i="25" s="1"/>
  <c r="L486" i="25"/>
  <c r="I486" i="25" s="1"/>
  <c r="L488" i="25"/>
  <c r="I488" i="25" s="1"/>
  <c r="L490" i="25"/>
  <c r="I490" i="25" s="1"/>
  <c r="L492" i="25"/>
  <c r="I492" i="25" s="1"/>
  <c r="L494" i="25"/>
  <c r="I494" i="25" s="1"/>
  <c r="L496" i="25"/>
  <c r="I496" i="25" s="1"/>
  <c r="L498" i="25"/>
  <c r="I498" i="25" s="1"/>
  <c r="L500" i="25"/>
  <c r="I500" i="25" s="1"/>
  <c r="L502" i="25"/>
  <c r="I502" i="25" s="1"/>
  <c r="L504" i="25"/>
  <c r="I504" i="25" s="1"/>
  <c r="L506" i="25"/>
  <c r="I506" i="25" s="1"/>
  <c r="L508" i="25"/>
  <c r="I508" i="25" s="1"/>
  <c r="L510" i="25"/>
  <c r="I510" i="25" s="1"/>
  <c r="L512" i="25"/>
  <c r="I512" i="25" s="1"/>
  <c r="L514" i="25"/>
  <c r="I514" i="25" s="1"/>
  <c r="L516" i="25"/>
  <c r="I516" i="25" s="1"/>
  <c r="L518" i="25"/>
  <c r="I518" i="25" s="1"/>
  <c r="L520" i="25"/>
  <c r="I520" i="25" s="1"/>
  <c r="L522" i="25"/>
  <c r="I522" i="25" s="1"/>
  <c r="L524" i="25"/>
  <c r="I524" i="25" s="1"/>
  <c r="L526" i="25"/>
  <c r="I526" i="25" s="1"/>
  <c r="L528" i="25"/>
  <c r="I528" i="25" s="1"/>
  <c r="L530" i="25"/>
  <c r="I530" i="25" s="1"/>
  <c r="L532" i="25"/>
  <c r="I532" i="25" s="1"/>
  <c r="L534" i="25"/>
  <c r="I534" i="25" s="1"/>
  <c r="L536" i="25"/>
  <c r="I536" i="25" s="1"/>
  <c r="L538" i="25"/>
  <c r="I538" i="25" s="1"/>
  <c r="L540" i="25"/>
  <c r="I540" i="25" s="1"/>
  <c r="L542" i="25"/>
  <c r="I542" i="25" s="1"/>
  <c r="L544" i="25"/>
  <c r="I544" i="25" s="1"/>
  <c r="L546" i="25"/>
  <c r="I546" i="25" s="1"/>
  <c r="L548" i="25"/>
  <c r="I548" i="25" s="1"/>
  <c r="L550" i="25"/>
  <c r="I550" i="25" s="1"/>
  <c r="L552" i="25"/>
  <c r="I552" i="25" s="1"/>
  <c r="L554" i="25"/>
  <c r="I554" i="25" s="1"/>
  <c r="L556" i="25"/>
  <c r="I556" i="25" s="1"/>
  <c r="L558" i="25"/>
  <c r="I558" i="25" s="1"/>
  <c r="L560" i="25"/>
  <c r="I560" i="25" s="1"/>
  <c r="L562" i="25"/>
  <c r="I562" i="25" s="1"/>
  <c r="L564" i="25"/>
  <c r="I564" i="25" s="1"/>
  <c r="L566" i="25"/>
  <c r="I566" i="25" s="1"/>
  <c r="L568" i="25"/>
  <c r="I568" i="25" s="1"/>
  <c r="L570" i="25"/>
  <c r="I570" i="25" s="1"/>
  <c r="L572" i="25"/>
  <c r="I572" i="25" s="1"/>
  <c r="L574" i="25"/>
  <c r="I574" i="25" s="1"/>
  <c r="L576" i="25"/>
  <c r="I576" i="25" s="1"/>
  <c r="L578" i="25"/>
  <c r="I578" i="25" s="1"/>
  <c r="L580" i="25"/>
  <c r="I580" i="25" s="1"/>
  <c r="L582" i="25"/>
  <c r="I582" i="25" s="1"/>
  <c r="L584" i="25"/>
  <c r="I584" i="25" s="1"/>
  <c r="L586" i="25"/>
  <c r="I586" i="25" s="1"/>
  <c r="L588" i="25"/>
  <c r="I588" i="25" s="1"/>
  <c r="L590" i="25"/>
  <c r="I590" i="25" s="1"/>
  <c r="L592" i="25"/>
  <c r="I592" i="25" s="1"/>
  <c r="L594" i="25"/>
  <c r="I594" i="25" s="1"/>
  <c r="L596" i="25"/>
  <c r="I596" i="25" s="1"/>
  <c r="L598" i="25"/>
  <c r="I598" i="25" s="1"/>
  <c r="L600" i="25"/>
  <c r="I600" i="25" s="1"/>
  <c r="L719" i="25"/>
  <c r="I719" i="25" s="1"/>
  <c r="L728" i="25"/>
  <c r="I728" i="25" s="1"/>
  <c r="L736" i="25"/>
  <c r="I736" i="25" s="1"/>
  <c r="L744" i="25"/>
  <c r="I744" i="25" s="1"/>
  <c r="L752" i="25"/>
  <c r="I752" i="25" s="1"/>
  <c r="L760" i="25"/>
  <c r="I760" i="25" s="1"/>
  <c r="L768" i="25"/>
  <c r="I768" i="25" s="1"/>
  <c r="L776" i="25"/>
  <c r="I776" i="25" s="1"/>
  <c r="L784" i="25"/>
  <c r="I784" i="25" s="1"/>
  <c r="L792" i="25"/>
  <c r="I792" i="25" s="1"/>
  <c r="L800" i="25"/>
  <c r="I800" i="25" s="1"/>
  <c r="L808" i="25"/>
  <c r="I808" i="25" s="1"/>
  <c r="L816" i="25"/>
  <c r="I816" i="25" s="1"/>
  <c r="L824" i="25"/>
  <c r="I824" i="25" s="1"/>
  <c r="L832" i="25"/>
  <c r="I832" i="25" s="1"/>
  <c r="L840" i="25"/>
  <c r="I840" i="25" s="1"/>
  <c r="L848" i="25"/>
  <c r="I848" i="25" s="1"/>
  <c r="L856" i="25"/>
  <c r="I856" i="25" s="1"/>
  <c r="L864" i="25"/>
  <c r="I864" i="25" s="1"/>
  <c r="L872" i="25"/>
  <c r="I872" i="25" s="1"/>
  <c r="L880" i="25"/>
  <c r="I880" i="25" s="1"/>
  <c r="L888" i="25"/>
  <c r="I888" i="25" s="1"/>
  <c r="L896" i="25"/>
  <c r="I896" i="25" s="1"/>
  <c r="L901" i="25"/>
  <c r="I901" i="25" s="1"/>
  <c r="L903" i="25"/>
  <c r="I903" i="25" s="1"/>
  <c r="L905" i="25"/>
  <c r="I905" i="25" s="1"/>
  <c r="L907" i="25"/>
  <c r="I907" i="25" s="1"/>
  <c r="L909" i="25"/>
  <c r="I909" i="25" s="1"/>
  <c r="L911" i="25"/>
  <c r="I911" i="25" s="1"/>
  <c r="L913" i="25"/>
  <c r="I913" i="25" s="1"/>
  <c r="L915" i="25"/>
  <c r="I915" i="25" s="1"/>
  <c r="L917" i="25"/>
  <c r="I917" i="25" s="1"/>
  <c r="L919" i="25"/>
  <c r="I919" i="25" s="1"/>
  <c r="L921" i="25"/>
  <c r="I921" i="25" s="1"/>
  <c r="L923" i="25"/>
  <c r="I923" i="25" s="1"/>
  <c r="L925" i="25"/>
  <c r="I925" i="25" s="1"/>
  <c r="L927" i="25"/>
  <c r="I927" i="25" s="1"/>
  <c r="L929" i="25"/>
  <c r="I929" i="25" s="1"/>
  <c r="L931" i="25"/>
  <c r="I931" i="25" s="1"/>
  <c r="L933" i="25"/>
  <c r="I933" i="25" s="1"/>
  <c r="L935" i="25"/>
  <c r="I935" i="25" s="1"/>
  <c r="L937" i="25"/>
  <c r="I937" i="25" s="1"/>
  <c r="L939" i="25"/>
  <c r="I939" i="25" s="1"/>
  <c r="L941" i="25"/>
  <c r="I941" i="25" s="1"/>
  <c r="L943" i="25"/>
  <c r="I943" i="25" s="1"/>
  <c r="L945" i="25"/>
  <c r="I945" i="25" s="1"/>
  <c r="L947" i="25"/>
  <c r="I947" i="25" s="1"/>
  <c r="L949" i="25"/>
  <c r="I949" i="25" s="1"/>
  <c r="L951" i="25"/>
  <c r="I951" i="25" s="1"/>
  <c r="L953" i="25"/>
  <c r="I953" i="25" s="1"/>
  <c r="L955" i="25"/>
  <c r="I955" i="25" s="1"/>
  <c r="L957" i="25"/>
  <c r="I957" i="25" s="1"/>
  <c r="L959" i="25"/>
  <c r="I959" i="25" s="1"/>
  <c r="L961" i="25"/>
  <c r="I961" i="25" s="1"/>
  <c r="L963" i="25"/>
  <c r="I963" i="25" s="1"/>
  <c r="L965" i="25"/>
  <c r="I965" i="25" s="1"/>
  <c r="L967" i="25"/>
  <c r="I967" i="25" s="1"/>
  <c r="L969" i="25"/>
  <c r="I969" i="25" s="1"/>
  <c r="L971" i="25"/>
  <c r="I971" i="25" s="1"/>
  <c r="L973" i="25"/>
  <c r="I973" i="25" s="1"/>
  <c r="L975" i="25"/>
  <c r="I975" i="25" s="1"/>
  <c r="L977" i="25"/>
  <c r="I977" i="25" s="1"/>
  <c r="L979" i="25"/>
  <c r="I979" i="25" s="1"/>
  <c r="L981" i="25"/>
  <c r="I981" i="25" s="1"/>
  <c r="L983" i="25"/>
  <c r="I983" i="25" s="1"/>
  <c r="L985" i="25"/>
  <c r="I985" i="25" s="1"/>
  <c r="L987" i="25"/>
  <c r="I987" i="25" s="1"/>
  <c r="L989" i="25"/>
  <c r="I989" i="25" s="1"/>
  <c r="L991" i="25"/>
  <c r="I991" i="25" s="1"/>
  <c r="L993" i="25"/>
  <c r="I993" i="25" s="1"/>
  <c r="L995" i="25"/>
  <c r="I995" i="25" s="1"/>
  <c r="L997" i="25"/>
  <c r="I997" i="25" s="1"/>
  <c r="L999" i="25"/>
  <c r="I999" i="25" s="1"/>
  <c r="L1001" i="25"/>
  <c r="I1001" i="25" s="1"/>
  <c r="L1003" i="25"/>
  <c r="I1003" i="25" s="1"/>
  <c r="L1005" i="25"/>
  <c r="I1005" i="25" s="1"/>
  <c r="L1007" i="25"/>
  <c r="I1007" i="25" s="1"/>
  <c r="L1009" i="25"/>
  <c r="I1009" i="25" s="1"/>
  <c r="L1011" i="25"/>
  <c r="I1011" i="25" s="1"/>
  <c r="L1013" i="25"/>
  <c r="I1013" i="25" s="1"/>
  <c r="L1015" i="25"/>
  <c r="I1015" i="25" s="1"/>
  <c r="L1017" i="25"/>
  <c r="I1017" i="25" s="1"/>
  <c r="L1019" i="25"/>
  <c r="I1019" i="25" s="1"/>
  <c r="L1021" i="25"/>
  <c r="I1021" i="25" s="1"/>
  <c r="L1023" i="25"/>
  <c r="I1023" i="25" s="1"/>
  <c r="L1025" i="25"/>
  <c r="I1025" i="25" s="1"/>
  <c r="L1027" i="25"/>
  <c r="I1027" i="25" s="1"/>
  <c r="L1029" i="25"/>
  <c r="I1029" i="25" s="1"/>
  <c r="L1031" i="25"/>
  <c r="I1031" i="25" s="1"/>
  <c r="L1033" i="25"/>
  <c r="I1033" i="25" s="1"/>
  <c r="L1035" i="25"/>
  <c r="I1035" i="25" s="1"/>
  <c r="L1037" i="25"/>
  <c r="I1037" i="25" s="1"/>
  <c r="L1039" i="25"/>
  <c r="I1039" i="25" s="1"/>
  <c r="L1041" i="25"/>
  <c r="I1041" i="25" s="1"/>
  <c r="L1043" i="25"/>
  <c r="I1043" i="25" s="1"/>
  <c r="L1045" i="25"/>
  <c r="I1045" i="25" s="1"/>
  <c r="L1047" i="25"/>
  <c r="I1047" i="25" s="1"/>
  <c r="L1049" i="25"/>
  <c r="I1049" i="25" s="1"/>
  <c r="L1051" i="25"/>
  <c r="I1051" i="25" s="1"/>
  <c r="L1053" i="25"/>
  <c r="I1053" i="25" s="1"/>
  <c r="L1055" i="25"/>
  <c r="I1055" i="25" s="1"/>
  <c r="L1057" i="25"/>
  <c r="I1057" i="25" s="1"/>
  <c r="L1059" i="25"/>
  <c r="I1059" i="25" s="1"/>
  <c r="L1061" i="25"/>
  <c r="I1061" i="25" s="1"/>
  <c r="L1063" i="25"/>
  <c r="I1063" i="25" s="1"/>
  <c r="L1065" i="25"/>
  <c r="I1065" i="25" s="1"/>
  <c r="L1067" i="25"/>
  <c r="I1067" i="25" s="1"/>
  <c r="L1069" i="25"/>
  <c r="I1069" i="25" s="1"/>
  <c r="L1071" i="25"/>
  <c r="I1071" i="25" s="1"/>
  <c r="L1073" i="25"/>
  <c r="I1073" i="25" s="1"/>
  <c r="L1075" i="25"/>
  <c r="I1075" i="25" s="1"/>
  <c r="L1077" i="25"/>
  <c r="I1077" i="25" s="1"/>
  <c r="L1079" i="25"/>
  <c r="I1079" i="25" s="1"/>
  <c r="L1081" i="25"/>
  <c r="I1081" i="25" s="1"/>
  <c r="L1083" i="25"/>
  <c r="I1083" i="25" s="1"/>
  <c r="L1085" i="25"/>
  <c r="I1085" i="25" s="1"/>
  <c r="L1087" i="25"/>
  <c r="I1087" i="25" s="1"/>
  <c r="L1089" i="25"/>
  <c r="I1089" i="25" s="1"/>
  <c r="L1091" i="25"/>
  <c r="I1091" i="25" s="1"/>
  <c r="L1093" i="25"/>
  <c r="I1093" i="25" s="1"/>
  <c r="L1095" i="25"/>
  <c r="I1095" i="25" s="1"/>
  <c r="L1097" i="25"/>
  <c r="I1097" i="25" s="1"/>
  <c r="L1099" i="25"/>
  <c r="I1099" i="25" s="1"/>
  <c r="L1101" i="25"/>
  <c r="I1101" i="25" s="1"/>
  <c r="L1103" i="25"/>
  <c r="I1103" i="25" s="1"/>
  <c r="L1105" i="25"/>
  <c r="I1105" i="25" s="1"/>
  <c r="L1107" i="25"/>
  <c r="I1107" i="25" s="1"/>
  <c r="L1109" i="25"/>
  <c r="I1109" i="25" s="1"/>
  <c r="L1111" i="25"/>
  <c r="I1111" i="25" s="1"/>
  <c r="L1113" i="25"/>
  <c r="I1113" i="25" s="1"/>
  <c r="L1115" i="25"/>
  <c r="I1115" i="25" s="1"/>
  <c r="L1117" i="25"/>
  <c r="I1117" i="25" s="1"/>
  <c r="L1119" i="25"/>
  <c r="I1119" i="25" s="1"/>
  <c r="L1121" i="25"/>
  <c r="I1121" i="25" s="1"/>
  <c r="L1123" i="25"/>
  <c r="I1123" i="25" s="1"/>
  <c r="L1125" i="25"/>
  <c r="I1125" i="25" s="1"/>
  <c r="L1127" i="25"/>
  <c r="I1127" i="25" s="1"/>
  <c r="L1129" i="25"/>
  <c r="I1129" i="25" s="1"/>
  <c r="L1131" i="25"/>
  <c r="I1131" i="25" s="1"/>
  <c r="L1133" i="25"/>
  <c r="I1133" i="25" s="1"/>
  <c r="L1135" i="25"/>
  <c r="I1135" i="25" s="1"/>
  <c r="L1137" i="25"/>
  <c r="I1137" i="25" s="1"/>
  <c r="L1139" i="25"/>
  <c r="I1139" i="25" s="1"/>
  <c r="L1141" i="25"/>
  <c r="I1141" i="25" s="1"/>
  <c r="L1143" i="25"/>
  <c r="I1143" i="25" s="1"/>
  <c r="L1145" i="25"/>
  <c r="I1145" i="25" s="1"/>
  <c r="L1147" i="25"/>
  <c r="I1147" i="25" s="1"/>
  <c r="L1149" i="25"/>
  <c r="I1149" i="25" s="1"/>
  <c r="L1151" i="25"/>
  <c r="I1151" i="25" s="1"/>
  <c r="L1153" i="25"/>
  <c r="I1153" i="25" s="1"/>
  <c r="L1155" i="25"/>
  <c r="I1155" i="25" s="1"/>
  <c r="L695" i="25"/>
  <c r="I695" i="25" s="1"/>
  <c r="L726" i="25"/>
  <c r="I726" i="25" s="1"/>
  <c r="L734" i="25"/>
  <c r="I734" i="25" s="1"/>
  <c r="L742" i="25"/>
  <c r="I742" i="25" s="1"/>
  <c r="L750" i="25"/>
  <c r="I750" i="25" s="1"/>
  <c r="L758" i="25"/>
  <c r="I758" i="25" s="1"/>
  <c r="L766" i="25"/>
  <c r="I766" i="25" s="1"/>
  <c r="L774" i="25"/>
  <c r="I774" i="25" s="1"/>
  <c r="L782" i="25"/>
  <c r="I782" i="25" s="1"/>
  <c r="L790" i="25"/>
  <c r="I790" i="25" s="1"/>
  <c r="L798" i="25"/>
  <c r="I798" i="25" s="1"/>
  <c r="L806" i="25"/>
  <c r="I806" i="25" s="1"/>
  <c r="L814" i="25"/>
  <c r="I814" i="25" s="1"/>
  <c r="L822" i="25"/>
  <c r="I822" i="25" s="1"/>
  <c r="L830" i="25"/>
  <c r="I830" i="25" s="1"/>
  <c r="L838" i="25"/>
  <c r="I838" i="25" s="1"/>
  <c r="L846" i="25"/>
  <c r="I846" i="25" s="1"/>
  <c r="L854" i="25"/>
  <c r="I854" i="25" s="1"/>
  <c r="L862" i="25"/>
  <c r="I862" i="25" s="1"/>
  <c r="L870" i="25"/>
  <c r="I870" i="25" s="1"/>
  <c r="L878" i="25"/>
  <c r="I878" i="25" s="1"/>
  <c r="L886" i="25"/>
  <c r="I886" i="25" s="1"/>
  <c r="L894" i="25"/>
  <c r="I894" i="25" s="1"/>
  <c r="L402" i="25"/>
  <c r="I402" i="25" s="1"/>
  <c r="L410" i="25"/>
  <c r="I410" i="25" s="1"/>
  <c r="L418" i="25"/>
  <c r="I418" i="25" s="1"/>
  <c r="L426" i="25"/>
  <c r="I426" i="25" s="1"/>
  <c r="L434" i="25"/>
  <c r="I434" i="25" s="1"/>
  <c r="L439" i="25"/>
  <c r="I439" i="25" s="1"/>
  <c r="L441" i="25"/>
  <c r="I441" i="25" s="1"/>
  <c r="L443" i="25"/>
  <c r="I443" i="25" s="1"/>
  <c r="L445" i="25"/>
  <c r="I445" i="25" s="1"/>
  <c r="L447" i="25"/>
  <c r="I447" i="25" s="1"/>
  <c r="L449" i="25"/>
  <c r="I449" i="25" s="1"/>
  <c r="L451" i="25"/>
  <c r="I451" i="25" s="1"/>
  <c r="L453" i="25"/>
  <c r="I453" i="25" s="1"/>
  <c r="L455" i="25"/>
  <c r="I455" i="25" s="1"/>
  <c r="L457" i="25"/>
  <c r="I457" i="25" s="1"/>
  <c r="L459" i="25"/>
  <c r="I459" i="25" s="1"/>
  <c r="L461" i="25"/>
  <c r="I461" i="25" s="1"/>
  <c r="L463" i="25"/>
  <c r="I463" i="25" s="1"/>
  <c r="L465" i="25"/>
  <c r="I465" i="25" s="1"/>
  <c r="L467" i="25"/>
  <c r="I467" i="25" s="1"/>
  <c r="L469" i="25"/>
  <c r="I469" i="25" s="1"/>
  <c r="L471" i="25"/>
  <c r="I471" i="25" s="1"/>
  <c r="L473" i="25"/>
  <c r="I473" i="25" s="1"/>
  <c r="L475" i="25"/>
  <c r="I475" i="25" s="1"/>
  <c r="L477" i="25"/>
  <c r="I477" i="25" s="1"/>
  <c r="L479" i="25"/>
  <c r="I479" i="25" s="1"/>
  <c r="L481" i="25"/>
  <c r="I481" i="25" s="1"/>
  <c r="L483" i="25"/>
  <c r="I483" i="25" s="1"/>
  <c r="L485" i="25"/>
  <c r="I485" i="25" s="1"/>
  <c r="L487" i="25"/>
  <c r="I487" i="25" s="1"/>
  <c r="L489" i="25"/>
  <c r="I489" i="25" s="1"/>
  <c r="L491" i="25"/>
  <c r="I491" i="25" s="1"/>
  <c r="L493" i="25"/>
  <c r="I493" i="25" s="1"/>
  <c r="L495" i="25"/>
  <c r="I495" i="25" s="1"/>
  <c r="L497" i="25"/>
  <c r="I497" i="25" s="1"/>
  <c r="L499" i="25"/>
  <c r="I499" i="25" s="1"/>
  <c r="L501" i="25"/>
  <c r="I501" i="25" s="1"/>
  <c r="L503" i="25"/>
  <c r="I503" i="25" s="1"/>
  <c r="L505" i="25"/>
  <c r="I505" i="25" s="1"/>
  <c r="L507" i="25"/>
  <c r="I507" i="25" s="1"/>
  <c r="L509" i="25"/>
  <c r="I509" i="25" s="1"/>
  <c r="L511" i="25"/>
  <c r="I511" i="25" s="1"/>
  <c r="L513" i="25"/>
  <c r="I513" i="25" s="1"/>
  <c r="L515" i="25"/>
  <c r="I515" i="25" s="1"/>
  <c r="L517" i="25"/>
  <c r="I517" i="25" s="1"/>
  <c r="L519" i="25"/>
  <c r="I519" i="25" s="1"/>
  <c r="L521" i="25"/>
  <c r="I521" i="25" s="1"/>
  <c r="L523" i="25"/>
  <c r="I523" i="25" s="1"/>
  <c r="L525" i="25"/>
  <c r="I525" i="25" s="1"/>
  <c r="L527" i="25"/>
  <c r="I527" i="25" s="1"/>
  <c r="L529" i="25"/>
  <c r="I529" i="25" s="1"/>
  <c r="L531" i="25"/>
  <c r="I531" i="25" s="1"/>
  <c r="L533" i="25"/>
  <c r="I533" i="25" s="1"/>
  <c r="L535" i="25"/>
  <c r="I535" i="25" s="1"/>
  <c r="L537" i="25"/>
  <c r="I537" i="25" s="1"/>
  <c r="L539" i="25"/>
  <c r="I539" i="25" s="1"/>
  <c r="L541" i="25"/>
  <c r="I541" i="25" s="1"/>
  <c r="L543" i="25"/>
  <c r="I543" i="25" s="1"/>
  <c r="L545" i="25"/>
  <c r="I545" i="25" s="1"/>
  <c r="L547" i="25"/>
  <c r="I547" i="25" s="1"/>
  <c r="L549" i="25"/>
  <c r="I549" i="25" s="1"/>
  <c r="L551" i="25"/>
  <c r="I551" i="25" s="1"/>
  <c r="L553" i="25"/>
  <c r="I553" i="25" s="1"/>
  <c r="L555" i="25"/>
  <c r="I555" i="25" s="1"/>
  <c r="L557" i="25"/>
  <c r="I557" i="25" s="1"/>
  <c r="L559" i="25"/>
  <c r="I559" i="25" s="1"/>
  <c r="L561" i="25"/>
  <c r="I561" i="25" s="1"/>
  <c r="L563" i="25"/>
  <c r="I563" i="25" s="1"/>
  <c r="L565" i="25"/>
  <c r="I565" i="25" s="1"/>
  <c r="L567" i="25"/>
  <c r="I567" i="25" s="1"/>
  <c r="L569" i="25"/>
  <c r="I569" i="25" s="1"/>
  <c r="L571" i="25"/>
  <c r="I571" i="25" s="1"/>
  <c r="L573" i="25"/>
  <c r="I573" i="25" s="1"/>
  <c r="L575" i="25"/>
  <c r="I575" i="25" s="1"/>
  <c r="L577" i="25"/>
  <c r="I577" i="25" s="1"/>
  <c r="L579" i="25"/>
  <c r="I579" i="25" s="1"/>
  <c r="L581" i="25"/>
  <c r="I581" i="25" s="1"/>
  <c r="L583" i="25"/>
  <c r="I583" i="25" s="1"/>
  <c r="L585" i="25"/>
  <c r="I585" i="25" s="1"/>
  <c r="L587" i="25"/>
  <c r="I587" i="25" s="1"/>
  <c r="L589" i="25"/>
  <c r="I589" i="25" s="1"/>
  <c r="L591" i="25"/>
  <c r="I591" i="25" s="1"/>
  <c r="L593" i="25"/>
  <c r="I593" i="25" s="1"/>
  <c r="L595" i="25"/>
  <c r="I595" i="25" s="1"/>
  <c r="L597" i="25"/>
  <c r="I597" i="25" s="1"/>
  <c r="L599" i="25"/>
  <c r="I599" i="25" s="1"/>
  <c r="L601" i="25"/>
  <c r="I601" i="25" s="1"/>
  <c r="L603" i="25"/>
  <c r="I603" i="25" s="1"/>
  <c r="L605" i="25"/>
  <c r="I605" i="25" s="1"/>
  <c r="L607" i="25"/>
  <c r="I607" i="25" s="1"/>
  <c r="L609" i="25"/>
  <c r="I609" i="25" s="1"/>
  <c r="L611" i="25"/>
  <c r="I611" i="25" s="1"/>
  <c r="L613" i="25"/>
  <c r="I613" i="25" s="1"/>
  <c r="L615" i="25"/>
  <c r="I615" i="25" s="1"/>
  <c r="L617" i="25"/>
  <c r="I617" i="25" s="1"/>
  <c r="L619" i="25"/>
  <c r="I619" i="25" s="1"/>
  <c r="L621" i="25"/>
  <c r="I621" i="25" s="1"/>
  <c r="L623" i="25"/>
  <c r="I623" i="25" s="1"/>
  <c r="L625" i="25"/>
  <c r="I625" i="25" s="1"/>
  <c r="L627" i="25"/>
  <c r="I627" i="25" s="1"/>
  <c r="L629" i="25"/>
  <c r="I629" i="25" s="1"/>
  <c r="L631" i="25"/>
  <c r="I631" i="25" s="1"/>
  <c r="L633" i="25"/>
  <c r="I633" i="25" s="1"/>
  <c r="L635" i="25"/>
  <c r="I635" i="25" s="1"/>
  <c r="L637" i="25"/>
  <c r="I637" i="25" s="1"/>
  <c r="L639" i="25"/>
  <c r="I639" i="25" s="1"/>
  <c r="L641" i="25"/>
  <c r="I641" i="25" s="1"/>
  <c r="L643" i="25"/>
  <c r="I643" i="25" s="1"/>
  <c r="L645" i="25"/>
  <c r="I645" i="25" s="1"/>
  <c r="L647" i="25"/>
  <c r="I647" i="25" s="1"/>
  <c r="L649" i="25"/>
  <c r="I649" i="25" s="1"/>
  <c r="L651" i="25"/>
  <c r="I651" i="25" s="1"/>
  <c r="L653" i="25"/>
  <c r="I653" i="25" s="1"/>
  <c r="L655" i="25"/>
  <c r="I655" i="25" s="1"/>
  <c r="L657" i="25"/>
  <c r="I657" i="25" s="1"/>
  <c r="L659" i="25"/>
  <c r="I659" i="25" s="1"/>
  <c r="L661" i="25"/>
  <c r="I661" i="25" s="1"/>
  <c r="L703" i="25"/>
  <c r="I703" i="25" s="1"/>
  <c r="L740" i="25"/>
  <c r="I740" i="25" s="1"/>
  <c r="L772" i="25"/>
  <c r="I772" i="25" s="1"/>
  <c r="L804" i="25"/>
  <c r="I804" i="25" s="1"/>
  <c r="L836" i="25"/>
  <c r="I836" i="25" s="1"/>
  <c r="L868" i="25"/>
  <c r="I868" i="25" s="1"/>
  <c r="L900" i="25"/>
  <c r="I900" i="25" s="1"/>
  <c r="L908" i="25"/>
  <c r="I908" i="25" s="1"/>
  <c r="L916" i="25"/>
  <c r="I916" i="25" s="1"/>
  <c r="L924" i="25"/>
  <c r="I924" i="25" s="1"/>
  <c r="L932" i="25"/>
  <c r="I932" i="25" s="1"/>
  <c r="L940" i="25"/>
  <c r="I940" i="25" s="1"/>
  <c r="L948" i="25"/>
  <c r="I948" i="25" s="1"/>
  <c r="L956" i="25"/>
  <c r="I956" i="25" s="1"/>
  <c r="L964" i="25"/>
  <c r="I964" i="25" s="1"/>
  <c r="L972" i="25"/>
  <c r="I972" i="25" s="1"/>
  <c r="L980" i="25"/>
  <c r="I980" i="25" s="1"/>
  <c r="L988" i="25"/>
  <c r="I988" i="25" s="1"/>
  <c r="L996" i="25"/>
  <c r="I996" i="25" s="1"/>
  <c r="L1004" i="25"/>
  <c r="I1004" i="25" s="1"/>
  <c r="L1012" i="25"/>
  <c r="I1012" i="25" s="1"/>
  <c r="L1020" i="25"/>
  <c r="I1020" i="25" s="1"/>
  <c r="L1028" i="25"/>
  <c r="I1028" i="25" s="1"/>
  <c r="L1036" i="25"/>
  <c r="I1036" i="25" s="1"/>
  <c r="L1044" i="25"/>
  <c r="I1044" i="25" s="1"/>
  <c r="L1052" i="25"/>
  <c r="I1052" i="25" s="1"/>
  <c r="L1060" i="25"/>
  <c r="I1060" i="25" s="1"/>
  <c r="L1068" i="25"/>
  <c r="I1068" i="25" s="1"/>
  <c r="L1076" i="25"/>
  <c r="I1076" i="25" s="1"/>
  <c r="L1084" i="25"/>
  <c r="I1084" i="25" s="1"/>
  <c r="L1092" i="25"/>
  <c r="I1092" i="25" s="1"/>
  <c r="L1100" i="25"/>
  <c r="I1100" i="25" s="1"/>
  <c r="L1108" i="25"/>
  <c r="I1108" i="25" s="1"/>
  <c r="L1116" i="25"/>
  <c r="I1116" i="25" s="1"/>
  <c r="L1124" i="25"/>
  <c r="I1124" i="25" s="1"/>
  <c r="L1132" i="25"/>
  <c r="I1132" i="25" s="1"/>
  <c r="L1140" i="25"/>
  <c r="I1140" i="25" s="1"/>
  <c r="L1148" i="25"/>
  <c r="I1148" i="25" s="1"/>
  <c r="L1156" i="25"/>
  <c r="I1156" i="25" s="1"/>
  <c r="L412" i="25"/>
  <c r="I412" i="25" s="1"/>
  <c r="L428" i="25"/>
  <c r="I428" i="25" s="1"/>
  <c r="L604" i="25"/>
  <c r="I604" i="25" s="1"/>
  <c r="L612" i="25"/>
  <c r="I612" i="25" s="1"/>
  <c r="L620" i="25"/>
  <c r="I620" i="25" s="1"/>
  <c r="L628" i="25"/>
  <c r="I628" i="25" s="1"/>
  <c r="L636" i="25"/>
  <c r="I636" i="25" s="1"/>
  <c r="L644" i="25"/>
  <c r="I644" i="25" s="1"/>
  <c r="L652" i="25"/>
  <c r="I652" i="25" s="1"/>
  <c r="L660" i="25"/>
  <c r="I660" i="25" s="1"/>
  <c r="L1046" i="25"/>
  <c r="I1046" i="25" s="1"/>
  <c r="L1070" i="25"/>
  <c r="I1070" i="25" s="1"/>
  <c r="L1094" i="25"/>
  <c r="I1094" i="25" s="1"/>
  <c r="L1118" i="25"/>
  <c r="I1118" i="25" s="1"/>
  <c r="L1142" i="25"/>
  <c r="I1142" i="25" s="1"/>
  <c r="L424" i="25"/>
  <c r="I424" i="25" s="1"/>
  <c r="L606" i="25"/>
  <c r="I606" i="25" s="1"/>
  <c r="L630" i="25"/>
  <c r="I630" i="25" s="1"/>
  <c r="L654" i="25"/>
  <c r="I654" i="25" s="1"/>
  <c r="L666" i="25"/>
  <c r="I666" i="25" s="1"/>
  <c r="L674" i="25"/>
  <c r="I674" i="25" s="1"/>
  <c r="L680" i="25"/>
  <c r="I680" i="25" s="1"/>
  <c r="L686" i="25"/>
  <c r="I686" i="25" s="1"/>
  <c r="L329" i="25"/>
  <c r="I329" i="25" s="1"/>
  <c r="L337" i="25"/>
  <c r="I337" i="25" s="1"/>
  <c r="L748" i="25"/>
  <c r="I748" i="25" s="1"/>
  <c r="L780" i="25"/>
  <c r="I780" i="25" s="1"/>
  <c r="L812" i="25"/>
  <c r="I812" i="25" s="1"/>
  <c r="L844" i="25"/>
  <c r="I844" i="25" s="1"/>
  <c r="L876" i="25"/>
  <c r="I876" i="25" s="1"/>
  <c r="L906" i="25"/>
  <c r="I906" i="25" s="1"/>
  <c r="L914" i="25"/>
  <c r="I914" i="25" s="1"/>
  <c r="L922" i="25"/>
  <c r="I922" i="25" s="1"/>
  <c r="L930" i="25"/>
  <c r="I930" i="25" s="1"/>
  <c r="L938" i="25"/>
  <c r="I938" i="25" s="1"/>
  <c r="L946" i="25"/>
  <c r="I946" i="25" s="1"/>
  <c r="L954" i="25"/>
  <c r="I954" i="25" s="1"/>
  <c r="L962" i="25"/>
  <c r="I962" i="25" s="1"/>
  <c r="L970" i="25"/>
  <c r="I970" i="25" s="1"/>
  <c r="L978" i="25"/>
  <c r="I978" i="25" s="1"/>
  <c r="L986" i="25"/>
  <c r="I986" i="25" s="1"/>
  <c r="L994" i="25"/>
  <c r="I994" i="25" s="1"/>
  <c r="L1002" i="25"/>
  <c r="I1002" i="25" s="1"/>
  <c r="L1010" i="25"/>
  <c r="I1010" i="25" s="1"/>
  <c r="L1018" i="25"/>
  <c r="I1018" i="25" s="1"/>
  <c r="L1026" i="25"/>
  <c r="I1026" i="25" s="1"/>
  <c r="L1034" i="25"/>
  <c r="I1034" i="25" s="1"/>
  <c r="L1042" i="25"/>
  <c r="I1042" i="25" s="1"/>
  <c r="L1050" i="25"/>
  <c r="I1050" i="25" s="1"/>
  <c r="L1058" i="25"/>
  <c r="I1058" i="25" s="1"/>
  <c r="L1066" i="25"/>
  <c r="I1066" i="25" s="1"/>
  <c r="L1074" i="25"/>
  <c r="I1074" i="25" s="1"/>
  <c r="L1082" i="25"/>
  <c r="I1082" i="25" s="1"/>
  <c r="L1090" i="25"/>
  <c r="I1090" i="25" s="1"/>
  <c r="L1098" i="25"/>
  <c r="I1098" i="25" s="1"/>
  <c r="L1106" i="25"/>
  <c r="I1106" i="25" s="1"/>
  <c r="L1114" i="25"/>
  <c r="I1114" i="25" s="1"/>
  <c r="L1122" i="25"/>
  <c r="I1122" i="25" s="1"/>
  <c r="L1130" i="25"/>
  <c r="I1130" i="25" s="1"/>
  <c r="L1138" i="25"/>
  <c r="I1138" i="25" s="1"/>
  <c r="L1146" i="25"/>
  <c r="I1146" i="25" s="1"/>
  <c r="L1154" i="25"/>
  <c r="I1154" i="25" s="1"/>
  <c r="L400" i="25"/>
  <c r="I400" i="25" s="1"/>
  <c r="L416" i="25"/>
  <c r="I416" i="25" s="1"/>
  <c r="L432" i="25"/>
  <c r="I432" i="25" s="1"/>
  <c r="L602" i="25"/>
  <c r="I602" i="25" s="1"/>
  <c r="L610" i="25"/>
  <c r="I610" i="25" s="1"/>
  <c r="L618" i="25"/>
  <c r="I618" i="25" s="1"/>
  <c r="L626" i="25"/>
  <c r="I626" i="25" s="1"/>
  <c r="L634" i="25"/>
  <c r="I634" i="25" s="1"/>
  <c r="L642" i="25"/>
  <c r="I642" i="25" s="1"/>
  <c r="L650" i="25"/>
  <c r="I650" i="25" s="1"/>
  <c r="L658" i="25"/>
  <c r="I658" i="25" s="1"/>
  <c r="L663" i="25"/>
  <c r="I663" i="25" s="1"/>
  <c r="L665" i="25"/>
  <c r="I665" i="25" s="1"/>
  <c r="L667" i="25"/>
  <c r="I667" i="25" s="1"/>
  <c r="L669" i="25"/>
  <c r="I669" i="25" s="1"/>
  <c r="L671" i="25"/>
  <c r="I671" i="25" s="1"/>
  <c r="L673" i="25"/>
  <c r="I673" i="25" s="1"/>
  <c r="L675" i="25"/>
  <c r="I675" i="25" s="1"/>
  <c r="L677" i="25"/>
  <c r="I677" i="25" s="1"/>
  <c r="L679" i="25"/>
  <c r="I679" i="25" s="1"/>
  <c r="L681" i="25"/>
  <c r="I681" i="25" s="1"/>
  <c r="L683" i="25"/>
  <c r="I683" i="25" s="1"/>
  <c r="L685" i="25"/>
  <c r="I685" i="25" s="1"/>
  <c r="L687" i="25"/>
  <c r="I687" i="25" s="1"/>
  <c r="L689" i="25"/>
  <c r="I689" i="25" s="1"/>
  <c r="L691" i="25"/>
  <c r="I691" i="25" s="1"/>
  <c r="L328" i="25"/>
  <c r="I328" i="25" s="1"/>
  <c r="L330" i="25"/>
  <c r="I330" i="25" s="1"/>
  <c r="L332" i="25"/>
  <c r="I332" i="25" s="1"/>
  <c r="L334" i="25"/>
  <c r="I334" i="25" s="1"/>
  <c r="L336" i="25"/>
  <c r="I336" i="25" s="1"/>
  <c r="L974" i="25"/>
  <c r="I974" i="25" s="1"/>
  <c r="L990" i="25"/>
  <c r="I990" i="25" s="1"/>
  <c r="L1006" i="25"/>
  <c r="I1006" i="25" s="1"/>
  <c r="L1022" i="25"/>
  <c r="I1022" i="25" s="1"/>
  <c r="L1038" i="25"/>
  <c r="I1038" i="25" s="1"/>
  <c r="L1062" i="25"/>
  <c r="I1062" i="25" s="1"/>
  <c r="L1086" i="25"/>
  <c r="I1086" i="25" s="1"/>
  <c r="L1110" i="25"/>
  <c r="I1110" i="25" s="1"/>
  <c r="L1134" i="25"/>
  <c r="I1134" i="25" s="1"/>
  <c r="L408" i="25"/>
  <c r="I408" i="25" s="1"/>
  <c r="L622" i="25"/>
  <c r="I622" i="25" s="1"/>
  <c r="L646" i="25"/>
  <c r="I646" i="25" s="1"/>
  <c r="L664" i="25"/>
  <c r="I664" i="25" s="1"/>
  <c r="L670" i="25"/>
  <c r="I670" i="25" s="1"/>
  <c r="L676" i="25"/>
  <c r="I676" i="25" s="1"/>
  <c r="L682" i="25"/>
  <c r="I682" i="25" s="1"/>
  <c r="L688" i="25"/>
  <c r="I688" i="25" s="1"/>
  <c r="L692" i="25"/>
  <c r="I692" i="25" s="1"/>
  <c r="L333" i="25"/>
  <c r="L335" i="25"/>
  <c r="I335" i="25" s="1"/>
  <c r="L724" i="25"/>
  <c r="I724" i="25" s="1"/>
  <c r="L756" i="25"/>
  <c r="I756" i="25" s="1"/>
  <c r="L788" i="25"/>
  <c r="I788" i="25" s="1"/>
  <c r="L820" i="25"/>
  <c r="I820" i="25" s="1"/>
  <c r="L852" i="25"/>
  <c r="I852" i="25" s="1"/>
  <c r="L884" i="25"/>
  <c r="I884" i="25" s="1"/>
  <c r="L904" i="25"/>
  <c r="I904" i="25" s="1"/>
  <c r="L912" i="25"/>
  <c r="I912" i="25" s="1"/>
  <c r="L920" i="25"/>
  <c r="I920" i="25" s="1"/>
  <c r="L928" i="25"/>
  <c r="I928" i="25" s="1"/>
  <c r="L936" i="25"/>
  <c r="I936" i="25" s="1"/>
  <c r="L944" i="25"/>
  <c r="I944" i="25" s="1"/>
  <c r="L952" i="25"/>
  <c r="I952" i="25" s="1"/>
  <c r="L960" i="25"/>
  <c r="I960" i="25" s="1"/>
  <c r="L968" i="25"/>
  <c r="I968" i="25" s="1"/>
  <c r="L976" i="25"/>
  <c r="I976" i="25" s="1"/>
  <c r="L984" i="25"/>
  <c r="I984" i="25" s="1"/>
  <c r="L992" i="25"/>
  <c r="I992" i="25" s="1"/>
  <c r="L1000" i="25"/>
  <c r="I1000" i="25" s="1"/>
  <c r="L1008" i="25"/>
  <c r="I1008" i="25" s="1"/>
  <c r="L1016" i="25"/>
  <c r="I1016" i="25" s="1"/>
  <c r="L1024" i="25"/>
  <c r="I1024" i="25" s="1"/>
  <c r="L1032" i="25"/>
  <c r="I1032" i="25" s="1"/>
  <c r="L1040" i="25"/>
  <c r="I1040" i="25" s="1"/>
  <c r="L1048" i="25"/>
  <c r="I1048" i="25" s="1"/>
  <c r="L1056" i="25"/>
  <c r="I1056" i="25" s="1"/>
  <c r="L1064" i="25"/>
  <c r="I1064" i="25" s="1"/>
  <c r="L1072" i="25"/>
  <c r="I1072" i="25" s="1"/>
  <c r="L1080" i="25"/>
  <c r="I1080" i="25" s="1"/>
  <c r="L1088" i="25"/>
  <c r="I1088" i="25" s="1"/>
  <c r="L1096" i="25"/>
  <c r="I1096" i="25" s="1"/>
  <c r="L1104" i="25"/>
  <c r="I1104" i="25" s="1"/>
  <c r="L1112" i="25"/>
  <c r="I1112" i="25" s="1"/>
  <c r="L1120" i="25"/>
  <c r="I1120" i="25" s="1"/>
  <c r="L1128" i="25"/>
  <c r="I1128" i="25" s="1"/>
  <c r="L1136" i="25"/>
  <c r="I1136" i="25" s="1"/>
  <c r="L1144" i="25"/>
  <c r="I1144" i="25" s="1"/>
  <c r="L1152" i="25"/>
  <c r="I1152" i="25" s="1"/>
  <c r="L404" i="25"/>
  <c r="I404" i="25" s="1"/>
  <c r="L420" i="25"/>
  <c r="I420" i="25" s="1"/>
  <c r="L436" i="25"/>
  <c r="I436" i="25" s="1"/>
  <c r="L608" i="25"/>
  <c r="I608" i="25" s="1"/>
  <c r="L616" i="25"/>
  <c r="I616" i="25" s="1"/>
  <c r="L624" i="25"/>
  <c r="I624" i="25" s="1"/>
  <c r="L632" i="25"/>
  <c r="I632" i="25" s="1"/>
  <c r="L640" i="25"/>
  <c r="I640" i="25" s="1"/>
  <c r="L648" i="25"/>
  <c r="I648" i="25" s="1"/>
  <c r="L656" i="25"/>
  <c r="I656" i="25" s="1"/>
  <c r="L732" i="25"/>
  <c r="I732" i="25" s="1"/>
  <c r="L764" i="25"/>
  <c r="I764" i="25" s="1"/>
  <c r="L796" i="25"/>
  <c r="I796" i="25" s="1"/>
  <c r="L828" i="25"/>
  <c r="I828" i="25" s="1"/>
  <c r="L860" i="25"/>
  <c r="I860" i="25" s="1"/>
  <c r="L892" i="25"/>
  <c r="I892" i="25" s="1"/>
  <c r="L902" i="25"/>
  <c r="I902" i="25" s="1"/>
  <c r="L910" i="25"/>
  <c r="I910" i="25" s="1"/>
  <c r="L918" i="25"/>
  <c r="I918" i="25" s="1"/>
  <c r="L926" i="25"/>
  <c r="I926" i="25" s="1"/>
  <c r="L934" i="25"/>
  <c r="I934" i="25" s="1"/>
  <c r="L942" i="25"/>
  <c r="I942" i="25" s="1"/>
  <c r="L950" i="25"/>
  <c r="I950" i="25" s="1"/>
  <c r="L958" i="25"/>
  <c r="I958" i="25" s="1"/>
  <c r="L966" i="25"/>
  <c r="I966" i="25" s="1"/>
  <c r="L982" i="25"/>
  <c r="I982" i="25" s="1"/>
  <c r="L998" i="25"/>
  <c r="I998" i="25" s="1"/>
  <c r="L1014" i="25"/>
  <c r="I1014" i="25" s="1"/>
  <c r="L1030" i="25"/>
  <c r="I1030" i="25" s="1"/>
  <c r="L1054" i="25"/>
  <c r="I1054" i="25" s="1"/>
  <c r="L1078" i="25"/>
  <c r="I1078" i="25" s="1"/>
  <c r="L1102" i="25"/>
  <c r="I1102" i="25" s="1"/>
  <c r="L1126" i="25"/>
  <c r="I1126" i="25" s="1"/>
  <c r="L1150" i="25"/>
  <c r="I1150" i="25" s="1"/>
  <c r="L614" i="25"/>
  <c r="I614" i="25" s="1"/>
  <c r="L638" i="25"/>
  <c r="I638" i="25" s="1"/>
  <c r="L662" i="25"/>
  <c r="I662" i="25" s="1"/>
  <c r="L668" i="25"/>
  <c r="I668" i="25" s="1"/>
  <c r="L672" i="25"/>
  <c r="I672" i="25" s="1"/>
  <c r="L678" i="25"/>
  <c r="I678" i="25" s="1"/>
  <c r="L684" i="25"/>
  <c r="I684" i="25" s="1"/>
  <c r="L690" i="25"/>
  <c r="I690" i="25" s="1"/>
  <c r="L331" i="25"/>
  <c r="I331" i="25" s="1"/>
  <c r="L299" i="25"/>
  <c r="L303" i="25"/>
  <c r="I303" i="25" s="1"/>
  <c r="L307" i="25"/>
  <c r="I307" i="25" s="1"/>
  <c r="L311" i="25"/>
  <c r="I311" i="25" s="1"/>
  <c r="L315" i="25"/>
  <c r="I315" i="25" s="1"/>
  <c r="L319" i="25"/>
  <c r="I319" i="25" s="1"/>
  <c r="L323" i="25"/>
  <c r="I323" i="25" s="1"/>
  <c r="L327" i="25"/>
  <c r="I327" i="25" s="1"/>
  <c r="L300" i="25"/>
  <c r="I300" i="25" s="1"/>
  <c r="L304" i="25"/>
  <c r="I304" i="25" s="1"/>
  <c r="L308" i="25"/>
  <c r="I308" i="25" s="1"/>
  <c r="L312" i="25"/>
  <c r="I312" i="25" s="1"/>
  <c r="L316" i="25"/>
  <c r="I316" i="25" s="1"/>
  <c r="L320" i="25"/>
  <c r="I320" i="25" s="1"/>
  <c r="L324" i="25"/>
  <c r="I324" i="25" s="1"/>
  <c r="L306" i="25"/>
  <c r="I306" i="25" s="1"/>
  <c r="L318" i="25"/>
  <c r="I318" i="25" s="1"/>
  <c r="L301" i="25"/>
  <c r="I301" i="25" s="1"/>
  <c r="L305" i="25"/>
  <c r="I305" i="25" s="1"/>
  <c r="L309" i="25"/>
  <c r="I309" i="25" s="1"/>
  <c r="L313" i="25"/>
  <c r="I313" i="25" s="1"/>
  <c r="L317" i="25"/>
  <c r="I317" i="25" s="1"/>
  <c r="L321" i="25"/>
  <c r="I321" i="25" s="1"/>
  <c r="L325" i="25"/>
  <c r="I325" i="25" s="1"/>
  <c r="L302" i="25"/>
  <c r="I302" i="25" s="1"/>
  <c r="L310" i="25"/>
  <c r="I310" i="25" s="1"/>
  <c r="L314" i="25"/>
  <c r="I314" i="25" s="1"/>
  <c r="L322" i="25"/>
  <c r="I322" i="25" s="1"/>
  <c r="L326" i="25"/>
  <c r="I326" i="25" s="1"/>
  <c r="I333" i="25"/>
  <c r="I299" i="25"/>
  <c r="G16" i="5"/>
  <c r="I140" i="27"/>
  <c r="F139" i="27"/>
  <c r="D176" i="25"/>
  <c r="D278" i="25"/>
  <c r="D210" i="25"/>
  <c r="D244" i="25"/>
  <c r="H336" i="25" l="1"/>
  <c r="H338" i="25" s="1"/>
  <c r="I141" i="27"/>
  <c r="F140" i="27"/>
  <c r="I142" i="27" l="1"/>
  <c r="F142" i="27" s="1"/>
  <c r="F141" i="27"/>
  <c r="K38" i="5" l="1"/>
  <c r="K41" i="5"/>
  <c r="K40" i="5"/>
  <c r="K42" i="5"/>
  <c r="K43" i="5"/>
  <c r="K39" i="5"/>
  <c r="G33" i="5" l="1"/>
  <c r="G34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Cecilia Domizi</author>
  </authors>
  <commentList>
    <comment ref="M5" authorId="0" shapeId="0" xr:uid="{4ECCB4B6-5F34-4FDC-96BB-C9924F01F84D}">
      <text>
        <r>
          <rPr>
            <b/>
            <sz val="9"/>
            <color indexed="81"/>
            <rFont val="Tahoma"/>
            <family val="2"/>
          </rPr>
          <t>Cecilia Domizi:</t>
        </r>
        <r>
          <rPr>
            <sz val="9"/>
            <color indexed="81"/>
            <rFont val="Tahoma"/>
            <family val="2"/>
          </rPr>
          <t xml:space="preserve">
Lo puse a mano, luego tomarlo de donde lo defininos</t>
        </r>
      </text>
    </comment>
  </commentList>
</comments>
</file>

<file path=xl/sharedStrings.xml><?xml version="1.0" encoding="utf-8"?>
<sst xmlns="http://schemas.openxmlformats.org/spreadsheetml/2006/main" count="1243" uniqueCount="466">
  <si>
    <t>Parámetro</t>
  </si>
  <si>
    <t>Horas de Trabajo</t>
  </si>
  <si>
    <t>Horas de limpieza</t>
  </si>
  <si>
    <t>Horas de preparación</t>
  </si>
  <si>
    <t>Horas de Carga</t>
  </si>
  <si>
    <t>Horas de Descarga</t>
  </si>
  <si>
    <t>Velocidad</t>
  </si>
  <si>
    <t>Capacidad</t>
  </si>
  <si>
    <t>Eficiencia</t>
  </si>
  <si>
    <t>Densidad de RSU</t>
  </si>
  <si>
    <t>Factor de compactación</t>
  </si>
  <si>
    <t>Densidad de RSU en vehículos</t>
  </si>
  <si>
    <t>Tasa de reserva</t>
  </si>
  <si>
    <t>Costo de transporte</t>
  </si>
  <si>
    <t>KPL</t>
  </si>
  <si>
    <t>Tipo de combustible</t>
  </si>
  <si>
    <t>u</t>
  </si>
  <si>
    <t>Nafta</t>
  </si>
  <si>
    <t>h</t>
  </si>
  <si>
    <t>min</t>
  </si>
  <si>
    <t>km/h</t>
  </si>
  <si>
    <t>m³</t>
  </si>
  <si>
    <t>ton/m³</t>
  </si>
  <si>
    <t>-</t>
  </si>
  <si>
    <t>km/l</t>
  </si>
  <si>
    <t>kgCO2eq/l</t>
  </si>
  <si>
    <t>Valor</t>
  </si>
  <si>
    <t>Unidad</t>
  </si>
  <si>
    <t>Costos de Inversión y de Operación de CA y ET</t>
  </si>
  <si>
    <t>Costo de Inversión ET</t>
  </si>
  <si>
    <t>Costo Operativo ET</t>
  </si>
  <si>
    <t>K1</t>
  </si>
  <si>
    <t>J1</t>
  </si>
  <si>
    <t>DATOS GENERALES</t>
  </si>
  <si>
    <t>I1</t>
  </si>
  <si>
    <t>U</t>
  </si>
  <si>
    <t>USD/ton/km</t>
  </si>
  <si>
    <t>USD/ton</t>
  </si>
  <si>
    <t>Localidades a analizar</t>
  </si>
  <si>
    <t>ETs a analizar</t>
  </si>
  <si>
    <t>CAs a analizar</t>
  </si>
  <si>
    <t>Distancia Loc - ETs</t>
  </si>
  <si>
    <t>Distancia ETs - CAs</t>
  </si>
  <si>
    <t>Distancia Loc - CAs</t>
  </si>
  <si>
    <t>Generación de localidades</t>
  </si>
  <si>
    <t>Capacidad de ETs</t>
  </si>
  <si>
    <t>Capacidad de CAs</t>
  </si>
  <si>
    <t>[t/d]</t>
  </si>
  <si>
    <t>Recolectores</t>
  </si>
  <si>
    <t>De Transferencia</t>
  </si>
  <si>
    <t>Vehículos recolectores</t>
  </si>
  <si>
    <t>m3</t>
  </si>
  <si>
    <t>t/m3</t>
  </si>
  <si>
    <t>t</t>
  </si>
  <si>
    <t>Cantidad de vehículos</t>
  </si>
  <si>
    <t>Nro.</t>
  </si>
  <si>
    <t>Duración turno</t>
  </si>
  <si>
    <t>hs</t>
  </si>
  <si>
    <t>Días trabajados</t>
  </si>
  <si>
    <t>días/semana</t>
  </si>
  <si>
    <t>días/mes</t>
  </si>
  <si>
    <t>Minutos trabajados por mes</t>
  </si>
  <si>
    <t>minutos</t>
  </si>
  <si>
    <t>Precio recolector</t>
  </si>
  <si>
    <t>Costo total flota</t>
  </si>
  <si>
    <t>Vida útil</t>
  </si>
  <si>
    <t>años</t>
  </si>
  <si>
    <t>Valor residual (% de reventa respecto al precio de compra)</t>
  </si>
  <si>
    <t>%</t>
  </si>
  <si>
    <t>Rendimiento combustible</t>
  </si>
  <si>
    <t>km/L</t>
  </si>
  <si>
    <t>Velocidad desplazamiento</t>
  </si>
  <si>
    <t>Costo combustible</t>
  </si>
  <si>
    <t>% costo lubricante s/ costo combustible</t>
  </si>
  <si>
    <t>Costo mantenimiento (% combustible + lubricantes)</t>
  </si>
  <si>
    <t>Vehículos transferencia</t>
  </si>
  <si>
    <t>Precio vehículo transferencia</t>
  </si>
  <si>
    <t>Tiempo improductivo</t>
  </si>
  <si>
    <t>Tiempo para carga del camión de transfererencia</t>
  </si>
  <si>
    <t>Tiempo para descarga del camión de transfererencia</t>
  </si>
  <si>
    <t>Estación de Transferencia</t>
  </si>
  <si>
    <t>Costo de operación</t>
  </si>
  <si>
    <t>Criterios generales</t>
  </si>
  <si>
    <t>Tasa de interés anual</t>
  </si>
  <si>
    <t>Concepto</t>
  </si>
  <si>
    <t>Vehículo recolector</t>
  </si>
  <si>
    <t>Costos fijos por minuto/año</t>
  </si>
  <si>
    <t>Costo del capital</t>
  </si>
  <si>
    <t>Amortización</t>
  </si>
  <si>
    <t>Mano de obra</t>
  </si>
  <si>
    <t>Costo fijo total</t>
  </si>
  <si>
    <t>Costos variables por minuto/año</t>
  </si>
  <si>
    <t>Costo de combustible</t>
  </si>
  <si>
    <t>Costo de lubricante</t>
  </si>
  <si>
    <t>Costo de mantenimiento</t>
  </si>
  <si>
    <t>Costo variable total</t>
  </si>
  <si>
    <t>Costo de operación en desplazamiento</t>
  </si>
  <si>
    <t>Costo por tonelada-minuto</t>
  </si>
  <si>
    <t>Costo por tonelada-año</t>
  </si>
  <si>
    <t>Costo del Tiempo improductivo por tonelada</t>
  </si>
  <si>
    <t>ID Localidad</t>
  </si>
  <si>
    <t>Localidad</t>
  </si>
  <si>
    <t>Generación neta Año 10
(t/d)</t>
  </si>
  <si>
    <t>Generación neta Año 20
(t/d)</t>
  </si>
  <si>
    <t>Distancia a CDF
(km)</t>
  </si>
  <si>
    <t>Distancia a ET
(km)</t>
  </si>
  <si>
    <t>AAAA</t>
  </si>
  <si>
    <t>Automatizar para que tome de una tabla de datos</t>
  </si>
  <si>
    <t>BBB</t>
  </si>
  <si>
    <t>CCC</t>
  </si>
  <si>
    <t>Totales</t>
  </si>
  <si>
    <t>Definir</t>
  </si>
  <si>
    <t>Título del Escenario:</t>
  </si>
  <si>
    <t>Sueldo mensual Chofer</t>
  </si>
  <si>
    <t>Sueldo mensual ayudante</t>
  </si>
  <si>
    <t>Número de ayudantes</t>
  </si>
  <si>
    <t>Sueldo Total Mensual</t>
  </si>
  <si>
    <t>Mano de obra (chofer + ayudantes)</t>
  </si>
  <si>
    <t>Características del camión</t>
  </si>
  <si>
    <t>VIDA UTIL DE CADA CAMIÓN DE TRANSFERENCIA</t>
  </si>
  <si>
    <t>VIDA UTIL DE CADA CAMIÓN RECOLECTOR</t>
  </si>
  <si>
    <t>Semanas trabajadas al mes</t>
  </si>
  <si>
    <t>semanas/mes</t>
  </si>
  <si>
    <t>Costo por tonelada - kilómetro</t>
  </si>
  <si>
    <t>Coeficiente de descuento</t>
  </si>
  <si>
    <t>Flujo descontado</t>
  </si>
  <si>
    <t>VA - 5 años</t>
  </si>
  <si>
    <t>VA - 20 años</t>
  </si>
  <si>
    <t>VA - 15 años</t>
  </si>
  <si>
    <t>Valor Actual Neto a:</t>
  </si>
  <si>
    <t>Vehículo de Transferencia</t>
  </si>
  <si>
    <t>VA - 10 años</t>
  </si>
  <si>
    <t>t/d</t>
  </si>
  <si>
    <t>USD</t>
  </si>
  <si>
    <t>USD/t</t>
  </si>
  <si>
    <t>Años</t>
  </si>
  <si>
    <t>Centros Ambientales</t>
  </si>
  <si>
    <t>Parámetros específicos del modelo</t>
  </si>
  <si>
    <t>N° de iteraciones máximas a realizar</t>
  </si>
  <si>
    <t>% de generación como límite de iteración - ET</t>
  </si>
  <si>
    <t>% de generación como límite de iteración - CA</t>
  </si>
  <si>
    <t xml:space="preserve">Capacidad </t>
  </si>
  <si>
    <t>t/turno</t>
  </si>
  <si>
    <t>Semanas trabajadas por año</t>
  </si>
  <si>
    <t>semanas/año</t>
  </si>
  <si>
    <t>Valor residual</t>
  </si>
  <si>
    <t xml:space="preserve">Vida útil </t>
  </si>
  <si>
    <t>Costo de inversión</t>
  </si>
  <si>
    <t>Costo de Amortización</t>
  </si>
  <si>
    <t>Costo de transferencia</t>
  </si>
  <si>
    <t>Tiempo de viaje (min) o  Distancia (Km)</t>
  </si>
  <si>
    <t>Costo de Vehiculo Recolector</t>
  </si>
  <si>
    <t xml:space="preserve">Costo Vehiculo de Transferencia </t>
  </si>
  <si>
    <t>Tiempo para carga del camión recolector</t>
  </si>
  <si>
    <t>Tiempo para descarga del camión recolector</t>
  </si>
  <si>
    <t>Tiempo para preparación</t>
  </si>
  <si>
    <t>Tiempo para limpieza</t>
  </si>
  <si>
    <t>Tasa de interes mensual</t>
  </si>
  <si>
    <t>Titulo de archivo Macroruteo a leer</t>
  </si>
  <si>
    <t>Sueldo Total Anual por camión</t>
  </si>
  <si>
    <t>Sueldo Total Anual total Flota</t>
  </si>
  <si>
    <t>Cantidad de turnos</t>
  </si>
  <si>
    <t>D27</t>
  </si>
  <si>
    <t>Costo S/Coef. De Pase</t>
  </si>
  <si>
    <t>Costos camión recolector</t>
  </si>
  <si>
    <t>Datos</t>
  </si>
  <si>
    <t>D93</t>
  </si>
  <si>
    <t>MANO DE OBRA</t>
  </si>
  <si>
    <t>D43</t>
  </si>
  <si>
    <t>DATOS</t>
  </si>
  <si>
    <t>D36</t>
  </si>
  <si>
    <t>EVALUACION EC</t>
  </si>
  <si>
    <t>Q25</t>
  </si>
  <si>
    <t>D44</t>
  </si>
  <si>
    <t>D47</t>
  </si>
  <si>
    <t>D76</t>
  </si>
  <si>
    <t>D68</t>
  </si>
  <si>
    <t>Emisión de GEI por litro de combustible</t>
  </si>
  <si>
    <t>D70</t>
  </si>
  <si>
    <t>ta_evaluacion</t>
  </si>
  <si>
    <t>Q19</t>
  </si>
  <si>
    <t>D29</t>
  </si>
  <si>
    <t>Capacidad (m3)</t>
  </si>
  <si>
    <t>Costos camión transferencia</t>
  </si>
  <si>
    <t>TA_DATOS</t>
  </si>
  <si>
    <t>D17*60</t>
  </si>
  <si>
    <t>D18*60</t>
  </si>
  <si>
    <t>D77</t>
  </si>
  <si>
    <t>D96</t>
  </si>
  <si>
    <t>d96</t>
  </si>
  <si>
    <t>Tasa de material recuperado ET</t>
  </si>
  <si>
    <t>Costo de venta de material recuperado ET</t>
  </si>
  <si>
    <t>Vida util ET</t>
  </si>
  <si>
    <t>Costo de inversión de CA</t>
  </si>
  <si>
    <t>Costo operativo de CA</t>
  </si>
  <si>
    <t>Vida util CA</t>
  </si>
  <si>
    <t>Costo de venta de material recuperado CA</t>
  </si>
  <si>
    <t>Tasa de material recuperado CA</t>
  </si>
  <si>
    <t>¿PS en ET?</t>
  </si>
  <si>
    <t>¿PS en CA?</t>
  </si>
  <si>
    <t>SI</t>
  </si>
  <si>
    <t>NO</t>
  </si>
  <si>
    <t>Densidad RSU Suelto</t>
  </si>
  <si>
    <t>D17</t>
  </si>
  <si>
    <t>D11</t>
  </si>
  <si>
    <t>Macroruteo_V3.0-Loc101-Pehuajó_ALT B (reg)_.xlsm</t>
  </si>
  <si>
    <t>USD/mes</t>
  </si>
  <si>
    <t>USD/año</t>
  </si>
  <si>
    <t>USD/unidad</t>
  </si>
  <si>
    <t>USD/L</t>
  </si>
  <si>
    <t>Región a analizar</t>
  </si>
  <si>
    <t>RESUMEN DE GENERACIÓN Y VENTA PARA EL AÑO 10</t>
  </si>
  <si>
    <t>%sep origen año 10</t>
  </si>
  <si>
    <t>Región Nro.</t>
  </si>
  <si>
    <t>Nombre región</t>
  </si>
  <si>
    <t>i (nro localiad)</t>
  </si>
  <si>
    <t>Chequeo</t>
  </si>
  <si>
    <t>Partido</t>
  </si>
  <si>
    <t>Población al año 10</t>
  </si>
  <si>
    <t>Generación al año 10
(Tn/dìa)</t>
  </si>
  <si>
    <t>Venta de materiales reciclables
(USD/t)</t>
  </si>
  <si>
    <t>Total venta materiales reciclables año 10
(USD)</t>
  </si>
  <si>
    <t>BAHÍA BLANCA</t>
  </si>
  <si>
    <t>Bahía Blanca</t>
  </si>
  <si>
    <t>Villarino</t>
  </si>
  <si>
    <t>Médanos</t>
  </si>
  <si>
    <t>Coronel de Marina L. Rosales</t>
  </si>
  <si>
    <t>Punta Alta</t>
  </si>
  <si>
    <t>Tornquist</t>
  </si>
  <si>
    <t>San Antonio de Areco</t>
  </si>
  <si>
    <t>San Andrés de Giles</t>
  </si>
  <si>
    <t>Capitán Sarmiento</t>
  </si>
  <si>
    <t>Carmen de Areco</t>
  </si>
  <si>
    <t>Chivilcoy</t>
  </si>
  <si>
    <t>Bragado</t>
  </si>
  <si>
    <t>Alberti</t>
  </si>
  <si>
    <t>Ayacucho</t>
  </si>
  <si>
    <t>Maipú</t>
  </si>
  <si>
    <t>General Guido</t>
  </si>
  <si>
    <t>Labarden</t>
  </si>
  <si>
    <t>Azul</t>
  </si>
  <si>
    <t>Tapalqué</t>
  </si>
  <si>
    <t>Daireaux</t>
  </si>
  <si>
    <t>Hipólito Yrigoyen</t>
  </si>
  <si>
    <t>Henderson</t>
  </si>
  <si>
    <t>Bolívar</t>
  </si>
  <si>
    <t>San Carlos de Bolívar</t>
  </si>
  <si>
    <t>Exaltación de la Cruz</t>
  </si>
  <si>
    <t>Los Cardales</t>
  </si>
  <si>
    <t>Parada Robles - Pavón</t>
  </si>
  <si>
    <t>Capilla del Señor</t>
  </si>
  <si>
    <t>Guaminí</t>
  </si>
  <si>
    <t>Casbas</t>
  </si>
  <si>
    <t>Adolfo Alsina</t>
  </si>
  <si>
    <t>Rivera</t>
  </si>
  <si>
    <t>Salliqueló</t>
  </si>
  <si>
    <t>Carhué</t>
  </si>
  <si>
    <t>9 de Julio</t>
  </si>
  <si>
    <t>Pehuajó</t>
  </si>
  <si>
    <t>Carlos Casares</t>
  </si>
  <si>
    <t>Laprida</t>
  </si>
  <si>
    <t>Sierra de la Ventana</t>
  </si>
  <si>
    <t>Coronel Pringles</t>
  </si>
  <si>
    <t>Puán</t>
  </si>
  <si>
    <t>Darregueira</t>
  </si>
  <si>
    <t>General La Madrid</t>
  </si>
  <si>
    <t>Saavedra</t>
  </si>
  <si>
    <t>Pigüé</t>
  </si>
  <si>
    <t>Coronel Suárez</t>
  </si>
  <si>
    <t>Pila</t>
  </si>
  <si>
    <t>Tordillo</t>
  </si>
  <si>
    <t>General Conesa</t>
  </si>
  <si>
    <t>Castelli</t>
  </si>
  <si>
    <t>Dolores</t>
  </si>
  <si>
    <t>Monte</t>
  </si>
  <si>
    <t>San Miguel del Monte</t>
  </si>
  <si>
    <t>Brandsen</t>
  </si>
  <si>
    <t>Coronel Brandsen</t>
  </si>
  <si>
    <t>General Belgrano</t>
  </si>
  <si>
    <t>General Paz</t>
  </si>
  <si>
    <t>Ranchos</t>
  </si>
  <si>
    <t>Carlos Tejedor</t>
  </si>
  <si>
    <t>Florentino Ameghino</t>
  </si>
  <si>
    <t>Rivadavia</t>
  </si>
  <si>
    <t>América</t>
  </si>
  <si>
    <t>Tres Algarrobos</t>
  </si>
  <si>
    <t>General Villegas</t>
  </si>
  <si>
    <t>General Arenales</t>
  </si>
  <si>
    <t>Ascensión</t>
  </si>
  <si>
    <t>Arribeños</t>
  </si>
  <si>
    <t>Leandro N. Alem</t>
  </si>
  <si>
    <t>Juan Bautista Alberdi</t>
  </si>
  <si>
    <t>Chacabuco</t>
  </si>
  <si>
    <t>Vedia</t>
  </si>
  <si>
    <t>General Viamonte</t>
  </si>
  <si>
    <t>Los Toldos</t>
  </si>
  <si>
    <t>Junín</t>
  </si>
  <si>
    <t>General Pinto</t>
  </si>
  <si>
    <t>Lincoln</t>
  </si>
  <si>
    <t>Coronel Dorrego</t>
  </si>
  <si>
    <t>Monte Hermoso</t>
  </si>
  <si>
    <t>Suipacha</t>
  </si>
  <si>
    <t>Mercedes</t>
  </si>
  <si>
    <t>Lobos</t>
  </si>
  <si>
    <t>General Las Heras</t>
  </si>
  <si>
    <t>Navarro</t>
  </si>
  <si>
    <t>Necochea</t>
  </si>
  <si>
    <t>Necochea - Quequén</t>
  </si>
  <si>
    <t>Lobería</t>
  </si>
  <si>
    <t>Salto</t>
  </si>
  <si>
    <t>Colón</t>
  </si>
  <si>
    <t>Arrecifes</t>
  </si>
  <si>
    <t>Rojas</t>
  </si>
  <si>
    <t>Pergamino</t>
  </si>
  <si>
    <t>Ramallo</t>
  </si>
  <si>
    <t>Villa Ramallo</t>
  </si>
  <si>
    <t>San Nicolás</t>
  </si>
  <si>
    <t>San Nicolás de los Arroyos</t>
  </si>
  <si>
    <t>Las Flores</t>
  </si>
  <si>
    <t>Roque Pérez</t>
  </si>
  <si>
    <t>General Alvear</t>
  </si>
  <si>
    <t>25 de Mayo</t>
  </si>
  <si>
    <t>Saladillo</t>
  </si>
  <si>
    <t>Rauch</t>
  </si>
  <si>
    <t>Tandil</t>
  </si>
  <si>
    <t>Tres Lomas</t>
  </si>
  <si>
    <t>Pellegrini</t>
  </si>
  <si>
    <t>Trenque Lauquen</t>
  </si>
  <si>
    <t>Benito Juárez</t>
  </si>
  <si>
    <t>San Cayetano</t>
  </si>
  <si>
    <t>Adolfo Gonzáles Chaves</t>
  </si>
  <si>
    <t>Tres Arroyos</t>
  </si>
  <si>
    <t>Mayor Buratovich</t>
  </si>
  <si>
    <t>Pedro Luro</t>
  </si>
  <si>
    <t>Zárate</t>
  </si>
  <si>
    <t>Campana</t>
  </si>
  <si>
    <t>General Alvarado</t>
  </si>
  <si>
    <t>Miramar</t>
  </si>
  <si>
    <t>Comandante Nicanor Otamendi</t>
  </si>
  <si>
    <t>General Pueyrredón</t>
  </si>
  <si>
    <t>Mar del Plata</t>
  </si>
  <si>
    <t>Magdalena</t>
  </si>
  <si>
    <t>Berisso</t>
  </si>
  <si>
    <t>Ensenada</t>
  </si>
  <si>
    <t>La Plata</t>
  </si>
  <si>
    <t>Marcos Paz</t>
  </si>
  <si>
    <t>San Vicente</t>
  </si>
  <si>
    <t>Cañuelas</t>
  </si>
  <si>
    <t>Ezeiza</t>
  </si>
  <si>
    <t>La Matanza</t>
  </si>
  <si>
    <t>Almirante Brown</t>
  </si>
  <si>
    <t>Avellaneda</t>
  </si>
  <si>
    <t>Berazategui</t>
  </si>
  <si>
    <t>Escobar</t>
  </si>
  <si>
    <t>Esteban Echeverría</t>
  </si>
  <si>
    <t>Florencio Varela</t>
  </si>
  <si>
    <t>General Rodríguez</t>
  </si>
  <si>
    <t>General San Martín</t>
  </si>
  <si>
    <t>Hurlingham</t>
  </si>
  <si>
    <t>Ituzaingó</t>
  </si>
  <si>
    <t>José C. Paz</t>
  </si>
  <si>
    <t>Lanús</t>
  </si>
  <si>
    <t>Lomas de Zamora</t>
  </si>
  <si>
    <t>Malvinas Argentinas</t>
  </si>
  <si>
    <t>Merlo</t>
  </si>
  <si>
    <t>Moreno</t>
  </si>
  <si>
    <t>Morón</t>
  </si>
  <si>
    <t>Pilar</t>
  </si>
  <si>
    <t>Presidente Perón</t>
  </si>
  <si>
    <t>Quilmes</t>
  </si>
  <si>
    <t>San Fernando</t>
  </si>
  <si>
    <t>San Isidro</t>
  </si>
  <si>
    <t>San Miguel</t>
  </si>
  <si>
    <t>Tigre</t>
  </si>
  <si>
    <t>Tres de Febrero</t>
  </si>
  <si>
    <t>Vicente López</t>
  </si>
  <si>
    <t>CABA</t>
  </si>
  <si>
    <t>General Lavalle</t>
  </si>
  <si>
    <t>La Costa</t>
  </si>
  <si>
    <t>San Clemente del Tuyú</t>
  </si>
  <si>
    <t>Santa Teresita - Mar del Tuyú</t>
  </si>
  <si>
    <t>Mar de Ajó - San Bernardo</t>
  </si>
  <si>
    <t>Pavón</t>
  </si>
  <si>
    <t>General Juan Madariaga</t>
  </si>
  <si>
    <t>Pinamar</t>
  </si>
  <si>
    <t>Villa Gesell</t>
  </si>
  <si>
    <t>Mar Chiquita</t>
  </si>
  <si>
    <t>Santa Clara del Mar</t>
  </si>
  <si>
    <t>Coronel Vidal</t>
  </si>
  <si>
    <t>Baradero</t>
  </si>
  <si>
    <t>San Pedro</t>
  </si>
  <si>
    <t>SAN ANTONIO DE ARECO</t>
  </si>
  <si>
    <t>ALBERTI</t>
  </si>
  <si>
    <t>AYACUCHO</t>
  </si>
  <si>
    <t>AZUL</t>
  </si>
  <si>
    <t>BOLÍVAR</t>
  </si>
  <si>
    <t>CAPILLA DEL SEÑOR</t>
  </si>
  <si>
    <t>CARHUÉ</t>
  </si>
  <si>
    <t>CARLOS CASARES</t>
  </si>
  <si>
    <t>CORONEL PRINGLES</t>
  </si>
  <si>
    <t>CORONEL SUÁREZ</t>
  </si>
  <si>
    <t>DOLORES</t>
  </si>
  <si>
    <t>GENERAL PAZ RANCHOS</t>
  </si>
  <si>
    <t>GENERAL VILLEGAS</t>
  </si>
  <si>
    <t>GENERAL ARENALES</t>
  </si>
  <si>
    <t>JUNÍN</t>
  </si>
  <si>
    <t>LINCOLN</t>
  </si>
  <si>
    <t>MONTE HERMOSO</t>
  </si>
  <si>
    <t>NAVARRO</t>
  </si>
  <si>
    <t>NECOCHEA</t>
  </si>
  <si>
    <t>PERGAMINO</t>
  </si>
  <si>
    <t>SAN NICOLÁS DE LOS ARROYOS</t>
  </si>
  <si>
    <t>SALADILLO</t>
  </si>
  <si>
    <t>TANDIL</t>
  </si>
  <si>
    <t>TRENQUE LAUQUEN</t>
  </si>
  <si>
    <t>TRES ARROYOS</t>
  </si>
  <si>
    <t>VILLARINO</t>
  </si>
  <si>
    <t>ZÁRATE</t>
  </si>
  <si>
    <t>GENERAL PUEYRREDÓN  MDQ</t>
  </si>
  <si>
    <t>CEAMSE Ensenada</t>
  </si>
  <si>
    <t>CEAMSE Ezeiza</t>
  </si>
  <si>
    <t>CEAMSE González Catán</t>
  </si>
  <si>
    <t>CEAMSE Norte III</t>
  </si>
  <si>
    <t>MADARIAGA</t>
  </si>
  <si>
    <t>SAN PEDRO</t>
  </si>
  <si>
    <t>% eficiencia de separación de ET</t>
  </si>
  <si>
    <t>Región</t>
  </si>
  <si>
    <t>Orden</t>
  </si>
  <si>
    <t>I2</t>
  </si>
  <si>
    <t>I3</t>
  </si>
  <si>
    <t>I4</t>
  </si>
  <si>
    <t>I5</t>
  </si>
  <si>
    <t>I6</t>
  </si>
  <si>
    <t>Concatenar</t>
  </si>
  <si>
    <t xml:space="preserve">Código </t>
  </si>
  <si>
    <t>I7</t>
  </si>
  <si>
    <t>I8</t>
  </si>
  <si>
    <t>I9</t>
  </si>
  <si>
    <t>J2</t>
  </si>
  <si>
    <t>Promedio de generación bruta</t>
  </si>
  <si>
    <t>Eficiencia ET [%]</t>
  </si>
  <si>
    <t>Sep. Origen [%]</t>
  </si>
  <si>
    <t>VIDA UTIL</t>
  </si>
  <si>
    <t>Dif</t>
  </si>
  <si>
    <t>Min</t>
  </si>
  <si>
    <t>Punto de equilibrio</t>
  </si>
  <si>
    <t>Valor presente Costo Inversión</t>
  </si>
  <si>
    <t>Valor presente Amortización inversión</t>
  </si>
  <si>
    <t>Valor presente Inversión + Amortización</t>
  </si>
  <si>
    <t>USD/d</t>
  </si>
  <si>
    <t>Factor de compactacón</t>
  </si>
  <si>
    <t>USD/dia</t>
  </si>
  <si>
    <t>USD/min</t>
  </si>
  <si>
    <t>USD/(t-min)</t>
  </si>
  <si>
    <t>USD/(t-año)</t>
  </si>
  <si>
    <t>USD/(t-km)</t>
  </si>
  <si>
    <t>Costo de inversión (RS)</t>
  </si>
  <si>
    <t>Costo de inversión (Instalaciones Comunes)</t>
  </si>
  <si>
    <t>Costo de inversión (Equipamiento TS)</t>
  </si>
  <si>
    <t>Costo de inversión total</t>
  </si>
  <si>
    <t>Factor de Valor Presente ET</t>
  </si>
  <si>
    <t>Factor de Valor Presente CA</t>
  </si>
  <si>
    <t>Prueba3</t>
  </si>
  <si>
    <t>Centro Ambiental</t>
  </si>
  <si>
    <t>Capacidad et</t>
  </si>
  <si>
    <t>Km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</si>
</sst>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0.0"/>
    <numFmt numFmtId="165" formatCode="#,##0.0"/>
    <numFmt numFmtId="166" formatCode="0.000"/>
    <numFmt numFmtId="167" formatCode="0\ &quot;Años&quot;"/>
    <numFmt numFmtId="168" formatCode="#,##0.000"/>
    <numFmt numFmtId="169" formatCode="_ &quot;$&quot;\ * #,##0.00_ ;_ &quot;$&quot;\ * \-#,##0.00_ ;_ &quot;$&quot;\ * &quot;-&quot;??_ ;_ @_ "/>
    <numFmt numFmtId="170" formatCode="_-[$USD]\ * #,##0_-;\-[$USD]\ * #,##0_-;_-[$USD]\ * &quot;-&quot;_-;_-@_-"/>
    <numFmt numFmtId="171" formatCode="#\ &quot;km&quot;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  <font>
      <b/>
      <sz val="14"/>
      <color rgb="FF0070C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rgb="FFCC0000"/>
      </top>
      <bottom/>
      <diagonal/>
    </border>
    <border>
      <left/>
      <right style="medium">
        <color rgb="FFCC0000"/>
      </right>
      <top style="medium">
        <color rgb="FFCC0000"/>
      </top>
      <bottom/>
      <diagonal/>
    </border>
    <border>
      <left style="medium">
        <color rgb="FFCC0000"/>
      </left>
      <right/>
      <top/>
      <bottom/>
      <diagonal/>
    </border>
    <border>
      <left/>
      <right style="medium">
        <color rgb="FFCC0000"/>
      </right>
      <top/>
      <bottom/>
      <diagonal/>
    </border>
    <border>
      <left style="medium">
        <color rgb="FFCC0000"/>
      </left>
      <right/>
      <top/>
      <bottom style="medium">
        <color rgb="FFCC0000"/>
      </bottom>
      <diagonal/>
    </border>
    <border>
      <left/>
      <right/>
      <top/>
      <bottom style="medium">
        <color rgb="FFCC0000"/>
      </bottom>
      <diagonal/>
    </border>
    <border>
      <left/>
      <right style="medium">
        <color rgb="FFCC0000"/>
      </right>
      <top/>
      <bottom style="medium">
        <color rgb="FFCC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/>
    <xf numFmtId="0" fontId="1" fillId="0" borderId="0" applyNumberFormat="0" applyFont="0" applyFill="0" applyBorder="0" applyAlignment="0">
      <protection locked="0"/>
    </xf>
    <xf numFmtId="0" fontId="1" fillId="2" borderId="0" applyNumberFormat="0" applyBorder="0" applyAlignment="0">
      <protection locked="0"/>
    </xf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9" fontId="1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215">
    <xf numFmtId="0" fontId="0" fillId="0" borderId="0" xfId="0"/>
    <xf numFmtId="0" fontId="0" fillId="0" borderId="0" xfId="0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applyFill="1"/>
    <xf numFmtId="0" fontId="0" fillId="5" borderId="13" xfId="0" applyFill="1" applyBorder="1" applyAlignment="1">
      <alignment horizontal="center" vertical="center"/>
    </xf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 applyAlignment="1">
      <alignment horizontal="center" vertical="center"/>
    </xf>
    <xf numFmtId="0" fontId="0" fillId="5" borderId="16" xfId="0" applyFill="1" applyBorder="1"/>
    <xf numFmtId="0" fontId="0" fillId="5" borderId="17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8" xfId="0" applyFill="1" applyBorder="1"/>
    <xf numFmtId="0" fontId="0" fillId="5" borderId="19" xfId="0" applyFill="1" applyBorder="1"/>
    <xf numFmtId="164" fontId="0" fillId="5" borderId="15" xfId="0" applyNumberFormat="1" applyFill="1" applyBorder="1" applyAlignment="1">
      <alignment horizontal="center" vertical="center"/>
    </xf>
    <xf numFmtId="2" fontId="0" fillId="5" borderId="15" xfId="0" applyNumberForma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2" fillId="3" borderId="4" xfId="0" applyFont="1" applyFill="1" applyBorder="1" applyAlignment="1">
      <alignment vertical="center"/>
    </xf>
    <xf numFmtId="0" fontId="5" fillId="0" borderId="0" xfId="3"/>
    <xf numFmtId="0" fontId="5" fillId="0" borderId="0" xfId="3" applyAlignment="1">
      <alignment wrapText="1"/>
    </xf>
    <xf numFmtId="0" fontId="5" fillId="0" borderId="0" xfId="3" applyAlignment="1">
      <alignment horizontal="center" vertical="center"/>
    </xf>
    <xf numFmtId="0" fontId="6" fillId="0" borderId="0" xfId="3" applyFont="1"/>
    <xf numFmtId="0" fontId="6" fillId="0" borderId="0" xfId="3" applyFont="1" applyAlignment="1">
      <alignment horizontal="left" indent="1"/>
    </xf>
    <xf numFmtId="0" fontId="7" fillId="0" borderId="0" xfId="3" applyFont="1" applyAlignment="1">
      <alignment horizontal="left" indent="2"/>
    </xf>
    <xf numFmtId="0" fontId="7" fillId="0" borderId="0" xfId="3" applyFont="1" applyAlignment="1">
      <alignment horizontal="center"/>
    </xf>
    <xf numFmtId="0" fontId="5" fillId="0" borderId="0" xfId="3" applyAlignment="1">
      <alignment horizontal="left" indent="2"/>
    </xf>
    <xf numFmtId="0" fontId="5" fillId="0" borderId="0" xfId="3" applyAlignment="1">
      <alignment horizontal="center"/>
    </xf>
    <xf numFmtId="0" fontId="8" fillId="0" borderId="0" xfId="3" applyFont="1" applyAlignment="1">
      <alignment horizontal="left" indent="2"/>
    </xf>
    <xf numFmtId="0" fontId="8" fillId="0" borderId="0" xfId="3" applyFont="1" applyAlignment="1">
      <alignment horizontal="center"/>
    </xf>
    <xf numFmtId="0" fontId="5" fillId="0" borderId="0" xfId="3" applyAlignment="1">
      <alignment horizontal="left" indent="1"/>
    </xf>
    <xf numFmtId="0" fontId="7" fillId="0" borderId="0" xfId="3" applyFont="1" applyAlignment="1">
      <alignment horizontal="left" wrapText="1" indent="1"/>
    </xf>
    <xf numFmtId="0" fontId="7" fillId="0" borderId="0" xfId="3" applyFont="1" applyAlignment="1">
      <alignment horizontal="center" vertical="center"/>
    </xf>
    <xf numFmtId="0" fontId="8" fillId="0" borderId="0" xfId="3" applyFont="1" applyAlignment="1">
      <alignment horizontal="left" wrapText="1" indent="1"/>
    </xf>
    <xf numFmtId="0" fontId="8" fillId="0" borderId="0" xfId="3" applyFont="1" applyAlignment="1">
      <alignment horizontal="center" vertical="center"/>
    </xf>
    <xf numFmtId="0" fontId="8" fillId="0" borderId="0" xfId="3" applyFont="1" applyAlignment="1">
      <alignment horizontal="left" indent="1"/>
    </xf>
    <xf numFmtId="0" fontId="8" fillId="0" borderId="0" xfId="3" applyFont="1"/>
    <xf numFmtId="0" fontId="7" fillId="0" borderId="0" xfId="3" applyFont="1" applyAlignment="1">
      <alignment horizontal="left" vertical="center" wrapText="1" indent="1"/>
    </xf>
    <xf numFmtId="0" fontId="6" fillId="0" borderId="0" xfId="3" applyFont="1" applyAlignment="1">
      <alignment horizontal="center" vertical="center" wrapText="1"/>
    </xf>
    <xf numFmtId="0" fontId="5" fillId="7" borderId="0" xfId="3" applyFill="1" applyAlignment="1">
      <alignment horizontal="center"/>
    </xf>
    <xf numFmtId="0" fontId="0" fillId="8" borderId="1" xfId="0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0" fontId="2" fillId="4" borderId="29" xfId="0" applyFont="1" applyFill="1" applyBorder="1" applyAlignment="1">
      <alignment horizontal="center" vertical="center"/>
    </xf>
    <xf numFmtId="0" fontId="0" fillId="6" borderId="30" xfId="0" applyFont="1" applyFill="1" applyBorder="1" applyAlignment="1">
      <alignment horizontal="center" vertical="center"/>
    </xf>
    <xf numFmtId="0" fontId="6" fillId="0" borderId="31" xfId="3" applyFont="1" applyBorder="1" applyAlignment="1">
      <alignment horizontal="center" vertical="center"/>
    </xf>
    <xf numFmtId="167" fontId="6" fillId="6" borderId="32" xfId="3" applyNumberFormat="1" applyFont="1" applyFill="1" applyBorder="1" applyAlignment="1">
      <alignment horizontal="center" vertical="center"/>
    </xf>
    <xf numFmtId="1" fontId="5" fillId="0" borderId="0" xfId="3" applyNumberFormat="1" applyAlignment="1">
      <alignment horizontal="center" vertical="center"/>
    </xf>
    <xf numFmtId="2" fontId="5" fillId="0" borderId="0" xfId="3" applyNumberFormat="1" applyAlignment="1">
      <alignment horizontal="center" vertical="center"/>
    </xf>
    <xf numFmtId="3" fontId="5" fillId="0" borderId="0" xfId="3" applyNumberFormat="1" applyAlignment="1">
      <alignment horizontal="center" vertical="center"/>
    </xf>
    <xf numFmtId="0" fontId="5" fillId="0" borderId="0" xfId="3" applyFill="1"/>
    <xf numFmtId="3" fontId="5" fillId="0" borderId="0" xfId="3" applyNumberFormat="1" applyFill="1" applyAlignment="1">
      <alignment horizontal="center" vertical="center"/>
    </xf>
    <xf numFmtId="3" fontId="5" fillId="0" borderId="0" xfId="3" applyNumberFormat="1" applyFill="1"/>
    <xf numFmtId="0" fontId="5" fillId="0" borderId="0" xfId="3" applyFill="1" applyAlignment="1">
      <alignment horizontal="center"/>
    </xf>
    <xf numFmtId="0" fontId="6" fillId="0" borderId="0" xfId="3" applyFont="1" applyFill="1"/>
    <xf numFmtId="0" fontId="5" fillId="0" borderId="0" xfId="3" applyFill="1" applyAlignment="1">
      <alignment horizontal="right"/>
    </xf>
    <xf numFmtId="0" fontId="5" fillId="0" borderId="0" xfId="3" applyFill="1" applyAlignment="1">
      <alignment horizontal="center" vertical="center"/>
    </xf>
    <xf numFmtId="0" fontId="10" fillId="0" borderId="0" xfId="3" applyFont="1" applyAlignment="1">
      <alignment horizontal="left" indent="1"/>
    </xf>
    <xf numFmtId="0" fontId="11" fillId="0" borderId="0" xfId="3" applyFont="1"/>
    <xf numFmtId="167" fontId="10" fillId="0" borderId="32" xfId="3" applyNumberFormat="1" applyFont="1" applyFill="1" applyBorder="1" applyAlignment="1">
      <alignment horizontal="center" vertical="center"/>
    </xf>
    <xf numFmtId="0" fontId="10" fillId="0" borderId="28" xfId="3" applyFont="1" applyBorder="1" applyAlignment="1">
      <alignment horizontal="right" indent="1"/>
    </xf>
    <xf numFmtId="0" fontId="5" fillId="9" borderId="0" xfId="3" applyFill="1" applyAlignment="1">
      <alignment horizontal="left" indent="1"/>
    </xf>
    <xf numFmtId="0" fontId="5" fillId="9" borderId="0" xfId="3" applyFill="1" applyAlignment="1">
      <alignment horizontal="center"/>
    </xf>
    <xf numFmtId="0" fontId="6" fillId="9" borderId="0" xfId="3" applyFont="1" applyFill="1" applyAlignment="1">
      <alignment horizontal="left" indent="1"/>
    </xf>
    <xf numFmtId="167" fontId="12" fillId="0" borderId="1" xfId="3" applyNumberFormat="1" applyFont="1" applyFill="1" applyBorder="1" applyAlignment="1">
      <alignment horizontal="center" vertical="center"/>
    </xf>
    <xf numFmtId="167" fontId="12" fillId="0" borderId="3" xfId="3" applyNumberFormat="1" applyFont="1" applyFill="1" applyBorder="1" applyAlignment="1">
      <alignment horizontal="center" vertical="center"/>
    </xf>
    <xf numFmtId="167" fontId="12" fillId="0" borderId="8" xfId="3" applyNumberFormat="1" applyFont="1" applyFill="1" applyBorder="1" applyAlignment="1">
      <alignment horizontal="center" vertical="center"/>
    </xf>
    <xf numFmtId="168" fontId="5" fillId="0" borderId="4" xfId="3" applyNumberFormat="1" applyBorder="1" applyAlignment="1">
      <alignment horizontal="center" vertical="center"/>
    </xf>
    <xf numFmtId="168" fontId="5" fillId="0" borderId="6" xfId="3" applyNumberFormat="1" applyBorder="1" applyAlignment="1">
      <alignment horizontal="center" vertical="center"/>
    </xf>
    <xf numFmtId="168" fontId="5" fillId="0" borderId="9" xfId="3" applyNumberFormat="1" applyBorder="1" applyAlignment="1">
      <alignment horizontal="center" vertical="center"/>
    </xf>
    <xf numFmtId="166" fontId="0" fillId="0" borderId="1" xfId="0" applyNumberFormat="1" applyFill="1" applyBorder="1" applyAlignment="1">
      <alignment horizontal="center" vertical="center"/>
    </xf>
    <xf numFmtId="166" fontId="5" fillId="0" borderId="0" xfId="3" applyNumberFormat="1" applyAlignment="1">
      <alignment horizontal="center" vertical="center"/>
    </xf>
    <xf numFmtId="0" fontId="6" fillId="7" borderId="0" xfId="3" applyFont="1" applyFill="1" applyAlignment="1">
      <alignment horizontal="center" vertical="center"/>
    </xf>
    <xf numFmtId="168" fontId="5" fillId="0" borderId="0" xfId="3" applyNumberFormat="1" applyAlignment="1">
      <alignment horizontal="center" vertical="center"/>
    </xf>
    <xf numFmtId="165" fontId="5" fillId="0" borderId="0" xfId="3" applyNumberFormat="1" applyFill="1"/>
    <xf numFmtId="4" fontId="5" fillId="0" borderId="0" xfId="3" applyNumberFormat="1" applyFill="1" applyAlignment="1">
      <alignment horizontal="center" vertical="center"/>
    </xf>
    <xf numFmtId="4" fontId="0" fillId="8" borderId="1" xfId="0" applyNumberFormat="1" applyFill="1" applyBorder="1" applyAlignment="1">
      <alignment horizontal="center" vertical="center"/>
    </xf>
    <xf numFmtId="0" fontId="9" fillId="6" borderId="1" xfId="6" applyFill="1" applyBorder="1" applyAlignment="1">
      <alignment horizontal="center" vertical="center"/>
    </xf>
    <xf numFmtId="0" fontId="14" fillId="0" borderId="0" xfId="3" applyFont="1" applyFill="1"/>
    <xf numFmtId="0" fontId="15" fillId="5" borderId="0" xfId="0" applyFont="1" applyFill="1"/>
    <xf numFmtId="0" fontId="14" fillId="0" borderId="0" xfId="3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4" fontId="5" fillId="0" borderId="0" xfId="3" applyNumberFormat="1" applyAlignment="1">
      <alignment horizontal="center" vertical="center"/>
    </xf>
    <xf numFmtId="0" fontId="11" fillId="10" borderId="0" xfId="3" applyFont="1" applyFill="1"/>
    <xf numFmtId="0" fontId="10" fillId="0" borderId="0" xfId="3" applyFont="1" applyAlignment="1">
      <alignment horizontal="right" indent="1"/>
    </xf>
    <xf numFmtId="167" fontId="10" fillId="0" borderId="0" xfId="3" applyNumberFormat="1" applyFont="1" applyAlignment="1">
      <alignment horizontal="center" vertical="center"/>
    </xf>
    <xf numFmtId="164" fontId="5" fillId="0" borderId="0" xfId="3" applyNumberFormat="1" applyAlignment="1">
      <alignment horizontal="center" vertical="center"/>
    </xf>
    <xf numFmtId="0" fontId="5" fillId="10" borderId="0" xfId="3" applyFill="1"/>
    <xf numFmtId="0" fontId="5" fillId="10" borderId="0" xfId="3" applyFill="1" applyAlignment="1">
      <alignment horizontal="center"/>
    </xf>
    <xf numFmtId="2" fontId="5" fillId="10" borderId="0" xfId="3" applyNumberFormat="1" applyFill="1" applyAlignment="1">
      <alignment horizontal="center" vertical="center"/>
    </xf>
    <xf numFmtId="0" fontId="5" fillId="0" borderId="5" xfId="3" applyBorder="1" applyAlignment="1">
      <alignment horizontal="center" vertical="center"/>
    </xf>
    <xf numFmtId="164" fontId="5" fillId="0" borderId="1" xfId="3" applyNumberFormat="1" applyBorder="1" applyAlignment="1">
      <alignment horizontal="center" vertical="center"/>
    </xf>
    <xf numFmtId="164" fontId="5" fillId="0" borderId="6" xfId="3" applyNumberFormat="1" applyBorder="1" applyAlignment="1">
      <alignment horizontal="center" vertical="center"/>
    </xf>
    <xf numFmtId="0" fontId="5" fillId="0" borderId="2" xfId="3" applyBorder="1" applyAlignment="1">
      <alignment horizontal="center" vertical="center"/>
    </xf>
    <xf numFmtId="164" fontId="5" fillId="0" borderId="4" xfId="3" applyNumberFormat="1" applyBorder="1" applyAlignment="1">
      <alignment horizontal="center" vertical="center"/>
    </xf>
    <xf numFmtId="164" fontId="5" fillId="0" borderId="3" xfId="3" applyNumberFormat="1" applyBorder="1" applyAlignment="1">
      <alignment horizontal="center" vertical="center"/>
    </xf>
    <xf numFmtId="2" fontId="0" fillId="0" borderId="1" xfId="0" applyNumberFormat="1" applyFont="1" applyFill="1" applyBorder="1" applyAlignment="1">
      <alignment horizontal="center" vertical="center"/>
    </xf>
    <xf numFmtId="10" fontId="5" fillId="0" borderId="0" xfId="3" applyNumberFormat="1" applyFill="1" applyAlignment="1">
      <alignment horizontal="center" vertical="center"/>
    </xf>
    <xf numFmtId="10" fontId="5" fillId="6" borderId="0" xfId="4" applyNumberFormat="1" applyFont="1" applyFill="1" applyAlignment="1">
      <alignment horizontal="center" vertical="center"/>
    </xf>
    <xf numFmtId="4" fontId="5" fillId="6" borderId="0" xfId="3" applyNumberFormat="1" applyFill="1" applyAlignment="1">
      <alignment horizontal="center" vertical="center"/>
    </xf>
    <xf numFmtId="4" fontId="5" fillId="0" borderId="0" xfId="3" applyNumberFormat="1" applyAlignment="1">
      <alignment horizontal="center"/>
    </xf>
    <xf numFmtId="0" fontId="5" fillId="0" borderId="0" xfId="3" applyFill="1" applyAlignment="1">
      <alignment horizontal="left" vertical="center"/>
    </xf>
    <xf numFmtId="4" fontId="5" fillId="11" borderId="0" xfId="3" applyNumberFormat="1" applyFill="1" applyAlignment="1">
      <alignment horizontal="center" vertical="center"/>
    </xf>
    <xf numFmtId="0" fontId="6" fillId="0" borderId="0" xfId="3" applyFont="1" applyFill="1" applyAlignment="1"/>
    <xf numFmtId="0" fontId="6" fillId="0" borderId="20" xfId="3" applyFont="1" applyBorder="1" applyAlignment="1">
      <alignment horizontal="center" vertical="center"/>
    </xf>
    <xf numFmtId="167" fontId="6" fillId="6" borderId="22" xfId="3" applyNumberFormat="1" applyFont="1" applyFill="1" applyBorder="1" applyAlignment="1">
      <alignment horizontal="center" vertical="center"/>
    </xf>
    <xf numFmtId="10" fontId="5" fillId="11" borderId="0" xfId="4" applyNumberFormat="1" applyFont="1" applyFill="1" applyAlignment="1">
      <alignment horizontal="center" vertical="center"/>
    </xf>
    <xf numFmtId="4" fontId="5" fillId="11" borderId="0" xfId="3" applyNumberFormat="1" applyFont="1" applyFill="1" applyAlignment="1">
      <alignment horizontal="center" vertical="center"/>
    </xf>
    <xf numFmtId="0" fontId="5" fillId="0" borderId="5" xfId="3" applyFill="1" applyBorder="1" applyAlignment="1">
      <alignment horizontal="center" vertical="center"/>
    </xf>
    <xf numFmtId="0" fontId="5" fillId="0" borderId="6" xfId="3" applyFill="1" applyBorder="1"/>
    <xf numFmtId="0" fontId="0" fillId="0" borderId="5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5" fillId="0" borderId="5" xfId="3" applyFill="1" applyBorder="1" applyAlignment="1">
      <alignment horizontal="center"/>
    </xf>
    <xf numFmtId="170" fontId="0" fillId="11" borderId="6" xfId="7" applyNumberFormat="1" applyFont="1" applyFill="1" applyBorder="1" applyAlignment="1">
      <alignment horizontal="center" vertical="center"/>
    </xf>
    <xf numFmtId="170" fontId="0" fillId="11" borderId="9" xfId="7" applyNumberFormat="1" applyFont="1" applyFill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4" fontId="0" fillId="8" borderId="3" xfId="0" applyNumberFormat="1" applyFill="1" applyBorder="1" applyAlignment="1">
      <alignment horizontal="center" vertical="center"/>
    </xf>
    <xf numFmtId="167" fontId="13" fillId="6" borderId="34" xfId="3" applyNumberFormat="1" applyFont="1" applyFill="1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3" fontId="0" fillId="8" borderId="43" xfId="0" applyNumberFormat="1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3" fontId="0" fillId="8" borderId="8" xfId="0" applyNumberFormat="1" applyFill="1" applyBorder="1" applyAlignment="1">
      <alignment horizontal="center" vertical="center"/>
    </xf>
    <xf numFmtId="0" fontId="6" fillId="0" borderId="0" xfId="3" applyFont="1" applyAlignment="1">
      <alignment horizontal="center"/>
    </xf>
    <xf numFmtId="4" fontId="6" fillId="6" borderId="0" xfId="3" applyNumberFormat="1" applyFont="1" applyFill="1" applyAlignment="1">
      <alignment horizontal="center" vertical="center"/>
    </xf>
    <xf numFmtId="0" fontId="6" fillId="0" borderId="0" xfId="3" applyFont="1" applyAlignment="1">
      <alignment horizontal="right"/>
    </xf>
    <xf numFmtId="0" fontId="0" fillId="5" borderId="0" xfId="0" applyFont="1" applyFill="1" applyAlignment="1">
      <alignment horizontal="center" vertical="center"/>
    </xf>
    <xf numFmtId="0" fontId="5" fillId="0" borderId="0" xfId="3" applyAlignment="1">
      <alignment horizontal="center" vertical="center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9" fontId="2" fillId="6" borderId="0" xfId="9" applyFont="1" applyFill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3" fontId="0" fillId="0" borderId="0" xfId="0" applyNumberFormat="1" applyAlignment="1">
      <alignment vertical="center"/>
    </xf>
    <xf numFmtId="4" fontId="0" fillId="0" borderId="0" xfId="0" applyNumberFormat="1" applyAlignment="1">
      <alignment vertical="center"/>
    </xf>
    <xf numFmtId="4" fontId="2" fillId="0" borderId="0" xfId="0" applyNumberFormat="1" applyFont="1" applyAlignment="1">
      <alignment vertical="center" wrapText="1"/>
    </xf>
    <xf numFmtId="3" fontId="2" fillId="0" borderId="0" xfId="0" applyNumberFormat="1" applyFont="1" applyAlignment="1">
      <alignment vertical="center"/>
    </xf>
    <xf numFmtId="4" fontId="2" fillId="0" borderId="0" xfId="0" applyNumberFormat="1" applyFont="1" applyAlignment="1">
      <alignment vertical="center"/>
    </xf>
    <xf numFmtId="0" fontId="2" fillId="0" borderId="0" xfId="0" applyFont="1"/>
    <xf numFmtId="4" fontId="2" fillId="0" borderId="0" xfId="0" applyNumberFormat="1" applyFont="1"/>
    <xf numFmtId="2" fontId="0" fillId="8" borderId="1" xfId="0" applyNumberFormat="1" applyFill="1" applyBorder="1" applyAlignment="1">
      <alignment horizontal="center" vertical="center"/>
    </xf>
    <xf numFmtId="0" fontId="5" fillId="6" borderId="34" xfId="0" applyFont="1" applyFill="1" applyBorder="1" applyAlignment="1">
      <alignment horizontal="center" vertical="center"/>
    </xf>
    <xf numFmtId="0" fontId="0" fillId="0" borderId="45" xfId="0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49" xfId="0" applyFill="1" applyBorder="1" applyAlignment="1">
      <alignment horizontal="center"/>
    </xf>
    <xf numFmtId="0" fontId="0" fillId="0" borderId="50" xfId="0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5" fillId="0" borderId="0" xfId="3" applyAlignment="1">
      <alignment horizontal="center" vertical="center"/>
    </xf>
    <xf numFmtId="167" fontId="13" fillId="6" borderId="1" xfId="3" applyNumberFormat="1" applyFont="1" applyFill="1" applyBorder="1" applyAlignment="1">
      <alignment horizontal="center" vertical="center"/>
    </xf>
    <xf numFmtId="10" fontId="5" fillId="0" borderId="0" xfId="3" applyNumberFormat="1" applyAlignment="1">
      <alignment horizontal="center" vertical="center"/>
    </xf>
    <xf numFmtId="167" fontId="6" fillId="3" borderId="4" xfId="3" applyNumberFormat="1" applyFont="1" applyFill="1" applyBorder="1" applyAlignment="1">
      <alignment horizontal="center" vertical="center"/>
    </xf>
    <xf numFmtId="0" fontId="5" fillId="3" borderId="42" xfId="3" applyFill="1" applyBorder="1" applyAlignment="1">
      <alignment horizontal="center" vertical="center" wrapText="1"/>
    </xf>
    <xf numFmtId="0" fontId="5" fillId="3" borderId="43" xfId="3" applyFill="1" applyBorder="1" applyAlignment="1">
      <alignment horizontal="center" vertical="center" wrapText="1"/>
    </xf>
    <xf numFmtId="0" fontId="5" fillId="3" borderId="44" xfId="3" applyFill="1" applyBorder="1" applyAlignment="1">
      <alignment horizontal="center" vertical="center" wrapText="1"/>
    </xf>
    <xf numFmtId="0" fontId="6" fillId="0" borderId="0" xfId="3" applyFont="1" applyAlignment="1">
      <alignment horizontal="center" vertical="center"/>
    </xf>
    <xf numFmtId="2" fontId="6" fillId="0" borderId="0" xfId="3" applyNumberFormat="1" applyFont="1" applyAlignment="1">
      <alignment horizontal="center" vertical="center"/>
    </xf>
    <xf numFmtId="171" fontId="20" fillId="0" borderId="0" xfId="3" applyNumberFormat="1" applyFont="1" applyAlignment="1">
      <alignment horizontal="center" vertical="center"/>
    </xf>
    <xf numFmtId="2" fontId="20" fillId="0" borderId="0" xfId="3" applyNumberFormat="1" applyFont="1" applyFill="1" applyAlignment="1">
      <alignment horizontal="center" vertical="center"/>
    </xf>
    <xf numFmtId="3" fontId="20" fillId="0" borderId="0" xfId="3" applyNumberFormat="1" applyFont="1" applyFill="1" applyAlignment="1">
      <alignment horizontal="center" vertical="center"/>
    </xf>
    <xf numFmtId="4" fontId="6" fillId="0" borderId="0" xfId="3" applyNumberFormat="1" applyFont="1" applyFill="1" applyAlignment="1">
      <alignment horizontal="center" vertical="center"/>
    </xf>
    <xf numFmtId="2" fontId="0" fillId="0" borderId="8" xfId="0" applyNumberFormat="1" applyFill="1" applyBorder="1" applyAlignment="1">
      <alignment horizontal="center" vertical="center"/>
    </xf>
    <xf numFmtId="2" fontId="5" fillId="0" borderId="0" xfId="3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4" fillId="4" borderId="20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4" fillId="4" borderId="25" xfId="0" applyFont="1" applyFill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6" fillId="6" borderId="38" xfId="3" applyFont="1" applyFill="1" applyBorder="1" applyAlignment="1">
      <alignment horizontal="center"/>
    </xf>
    <xf numFmtId="0" fontId="6" fillId="6" borderId="32" xfId="3" applyFont="1" applyFill="1" applyBorder="1" applyAlignment="1">
      <alignment horizontal="center"/>
    </xf>
    <xf numFmtId="0" fontId="6" fillId="0" borderId="2" xfId="3" applyFont="1" applyFill="1" applyBorder="1" applyAlignment="1">
      <alignment horizontal="center" vertical="center"/>
    </xf>
    <xf numFmtId="0" fontId="6" fillId="0" borderId="4" xfId="3" applyFont="1" applyFill="1" applyBorder="1" applyAlignment="1">
      <alignment horizontal="center" vertical="center"/>
    </xf>
    <xf numFmtId="0" fontId="6" fillId="0" borderId="38" xfId="3" applyFont="1" applyFill="1" applyBorder="1" applyAlignment="1">
      <alignment horizontal="center"/>
    </xf>
    <xf numFmtId="0" fontId="6" fillId="0" borderId="32" xfId="3" applyFont="1" applyFill="1" applyBorder="1" applyAlignment="1">
      <alignment horizontal="center"/>
    </xf>
    <xf numFmtId="0" fontId="6" fillId="0" borderId="2" xfId="3" applyFont="1" applyBorder="1" applyAlignment="1">
      <alignment horizontal="center" vertical="center"/>
    </xf>
    <xf numFmtId="0" fontId="6" fillId="0" borderId="5" xfId="3" applyFont="1" applyBorder="1" applyAlignment="1">
      <alignment horizontal="center" vertical="center"/>
    </xf>
    <xf numFmtId="0" fontId="6" fillId="0" borderId="7" xfId="3" applyFont="1" applyBorder="1" applyAlignment="1">
      <alignment horizontal="center" vertical="center"/>
    </xf>
    <xf numFmtId="2" fontId="5" fillId="0" borderId="0" xfId="3" applyNumberFormat="1" applyAlignment="1">
      <alignment horizontal="center" vertical="center"/>
    </xf>
    <xf numFmtId="0" fontId="6" fillId="3" borderId="2" xfId="3" applyFont="1" applyFill="1" applyBorder="1" applyAlignment="1">
      <alignment horizontal="center" vertical="center"/>
    </xf>
    <xf numFmtId="0" fontId="6" fillId="3" borderId="3" xfId="3" applyFont="1" applyFill="1" applyBorder="1" applyAlignment="1">
      <alignment horizontal="center" vertical="center"/>
    </xf>
    <xf numFmtId="0" fontId="20" fillId="0" borderId="0" xfId="3" applyFont="1" applyAlignment="1">
      <alignment horizontal="center" vertical="center"/>
    </xf>
  </cellXfs>
  <cellStyles count="10">
    <cellStyle name="Adjustable" xfId="1" xr:uid="{D9BC8439-F949-4E6F-A760-F34F428791D5}"/>
    <cellStyle name="Best" xfId="2" xr:uid="{9A23DE85-5C9C-4015-8DB2-195CA8F22489}"/>
    <cellStyle name="Euro 2" xfId="7" xr:uid="{A72A4FD3-C556-431A-945B-FDC94B339C0F}"/>
    <cellStyle name="Hipervínculo" xfId="6" builtinId="8"/>
    <cellStyle name="Millares 2" xfId="5" xr:uid="{3CAA6E4D-7121-40AF-92B3-2EC1599F2D2B}"/>
    <cellStyle name="Normal" xfId="0" builtinId="0"/>
    <cellStyle name="Normal 2" xfId="3" xr:uid="{8CC2802C-971C-43DB-A406-0DF685D16083}"/>
    <cellStyle name="Normal 3" xfId="8" xr:uid="{09F7539E-4961-4A9F-93B2-137D4B74C0D0}"/>
    <cellStyle name="Porcentaje" xfId="9" builtinId="5"/>
    <cellStyle name="Porcentaje 2" xfId="4" xr:uid="{57A8C8F0-9C18-411D-B7BA-20EC5B6D3098}"/>
  </cellStyles>
  <dxfs count="8"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</dxfs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Costo de Transporte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'Analisis 20Años'!$K$298</c:f>
              <c:strCache>
                <c:ptCount val="1"/>
                <c:pt idx="0">
                  <c:v>Costo de Vehiculo Recolector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'Analisis 20Años'!$J$299:$J$335</c:f>
              <c:numCache>
                <c:formatCode>General</c:formatCod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numCache>
            </c:numRef>
          </c:xVal>
          <c:yVal>
            <c:numRef>
              <c:f>'Analisis 20Años'!$K$299:$K$335</c:f>
              <c:numCache>
                <c:formatCode>0.0</c:formatCode>
                <c:ptCount val="37"/>
                <c:pt idx="0">
                  <c:v>0</c:v>
                </c:pt>
                <c:pt idx="1">
                  <c:v>0.90608464597412575</c:v>
                </c:pt>
                <c:pt idx="2">
                  <c:v>1.8121692919482515</c:v>
                </c:pt>
                <c:pt idx="3">
                  <c:v>2.7182539379223774</c:v>
                </c:pt>
                <c:pt idx="4">
                  <c:v>3.624338583896503</c:v>
                </c:pt>
                <c:pt idx="5">
                  <c:v>4.5304232298706291</c:v>
                </c:pt>
                <c:pt idx="6">
                  <c:v>5.4365078758447547</c:v>
                </c:pt>
                <c:pt idx="7">
                  <c:v>6.3425925218188803</c:v>
                </c:pt>
                <c:pt idx="8">
                  <c:v>7.248677167793006</c:v>
                </c:pt>
                <c:pt idx="9">
                  <c:v>8.1547618137671325</c:v>
                </c:pt>
                <c:pt idx="10">
                  <c:v>9.0608464597412581</c:v>
                </c:pt>
                <c:pt idx="11">
                  <c:v>9.9669311057153838</c:v>
                </c:pt>
                <c:pt idx="12">
                  <c:v>10.873015751689509</c:v>
                </c:pt>
                <c:pt idx="13">
                  <c:v>11.779100397663635</c:v>
                </c:pt>
                <c:pt idx="14">
                  <c:v>12.685185043637761</c:v>
                </c:pt>
                <c:pt idx="15">
                  <c:v>13.591269689611886</c:v>
                </c:pt>
                <c:pt idx="16">
                  <c:v>14.497354335586012</c:v>
                </c:pt>
                <c:pt idx="17">
                  <c:v>15.403438981560138</c:v>
                </c:pt>
                <c:pt idx="18">
                  <c:v>16.309523627534265</c:v>
                </c:pt>
                <c:pt idx="19">
                  <c:v>17.215608273508391</c:v>
                </c:pt>
                <c:pt idx="20">
                  <c:v>18.121692919482516</c:v>
                </c:pt>
                <c:pt idx="21">
                  <c:v>19.027777565456642</c:v>
                </c:pt>
                <c:pt idx="22">
                  <c:v>19.933862211430768</c:v>
                </c:pt>
                <c:pt idx="23">
                  <c:v>20.839946857404893</c:v>
                </c:pt>
                <c:pt idx="24">
                  <c:v>21.746031503379019</c:v>
                </c:pt>
                <c:pt idx="25">
                  <c:v>22.652116149353144</c:v>
                </c:pt>
                <c:pt idx="26">
                  <c:v>23.55820079532727</c:v>
                </c:pt>
                <c:pt idx="27">
                  <c:v>24.464285441301396</c:v>
                </c:pt>
                <c:pt idx="28">
                  <c:v>25.370370087275521</c:v>
                </c:pt>
                <c:pt idx="29">
                  <c:v>26.276454733249647</c:v>
                </c:pt>
                <c:pt idx="30">
                  <c:v>27.182539379223773</c:v>
                </c:pt>
                <c:pt idx="31">
                  <c:v>28.088624025197898</c:v>
                </c:pt>
                <c:pt idx="32">
                  <c:v>28.994708671172024</c:v>
                </c:pt>
                <c:pt idx="33">
                  <c:v>29.90079331714615</c:v>
                </c:pt>
                <c:pt idx="34">
                  <c:v>30.806877963120275</c:v>
                </c:pt>
                <c:pt idx="35">
                  <c:v>31.712962609094401</c:v>
                </c:pt>
                <c:pt idx="36">
                  <c:v>32.61904725506853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EB-43AE-834C-62556AD0E415}"/>
            </c:ext>
          </c:extLst>
        </c:ser>
        <c:ser>
          <c:idx val="1"/>
          <c:order val="1"/>
          <c:tx>
            <c:strRef>
              <c:f>'Analisis 20Años'!$L$298</c:f>
              <c:strCache>
                <c:ptCount val="1"/>
                <c:pt idx="0">
                  <c:v>Costo Vehiculo de Transferencia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'Analisis 20Años'!$J$299:$J$335</c:f>
              <c:numCache>
                <c:formatCode>General</c:formatCod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numCache>
            </c:numRef>
          </c:xVal>
          <c:yVal>
            <c:numRef>
              <c:f>'Analisis 20Años'!$L$299:$L$335</c:f>
              <c:numCache>
                <c:formatCode>0.0</c:formatCode>
                <c:ptCount val="37"/>
                <c:pt idx="0">
                  <c:v>7.1022570186059841</c:v>
                </c:pt>
                <c:pt idx="1">
                  <c:v>7.2342556500438233</c:v>
                </c:pt>
                <c:pt idx="2">
                  <c:v>7.3662542814816625</c:v>
                </c:pt>
                <c:pt idx="3">
                  <c:v>7.4982529129195008</c:v>
                </c:pt>
                <c:pt idx="4">
                  <c:v>7.63025154435734</c:v>
                </c:pt>
                <c:pt idx="5">
                  <c:v>7.7622501757951792</c:v>
                </c:pt>
                <c:pt idx="6">
                  <c:v>7.8942488072330175</c:v>
                </c:pt>
                <c:pt idx="7">
                  <c:v>8.0262474386708575</c:v>
                </c:pt>
                <c:pt idx="8">
                  <c:v>8.1582460701086958</c:v>
                </c:pt>
                <c:pt idx="9">
                  <c:v>8.2902447015465341</c:v>
                </c:pt>
                <c:pt idx="10">
                  <c:v>8.4222433329843742</c:v>
                </c:pt>
                <c:pt idx="11">
                  <c:v>8.5542419644222125</c:v>
                </c:pt>
                <c:pt idx="12">
                  <c:v>8.6862405958600526</c:v>
                </c:pt>
                <c:pt idx="13">
                  <c:v>8.8182392272978909</c:v>
                </c:pt>
                <c:pt idx="14">
                  <c:v>8.9502378587357292</c:v>
                </c:pt>
                <c:pt idx="15">
                  <c:v>9.0822364901735693</c:v>
                </c:pt>
                <c:pt idx="16">
                  <c:v>9.2142351216114076</c:v>
                </c:pt>
                <c:pt idx="17">
                  <c:v>9.3462337530492476</c:v>
                </c:pt>
                <c:pt idx="18">
                  <c:v>9.4782323844870859</c:v>
                </c:pt>
                <c:pt idx="19">
                  <c:v>9.6102310159249242</c:v>
                </c:pt>
                <c:pt idx="20">
                  <c:v>9.7422296473627625</c:v>
                </c:pt>
                <c:pt idx="21">
                  <c:v>9.8742282788006026</c:v>
                </c:pt>
                <c:pt idx="22">
                  <c:v>10.006226910238441</c:v>
                </c:pt>
                <c:pt idx="23">
                  <c:v>10.138225541676281</c:v>
                </c:pt>
                <c:pt idx="24">
                  <c:v>10.270224173114119</c:v>
                </c:pt>
                <c:pt idx="25">
                  <c:v>10.402222804551958</c:v>
                </c:pt>
                <c:pt idx="26">
                  <c:v>10.534221435989798</c:v>
                </c:pt>
                <c:pt idx="27">
                  <c:v>10.666220067427636</c:v>
                </c:pt>
                <c:pt idx="28">
                  <c:v>10.798218698865476</c:v>
                </c:pt>
                <c:pt idx="29">
                  <c:v>10.930217330303314</c:v>
                </c:pt>
                <c:pt idx="30">
                  <c:v>11.062215961741153</c:v>
                </c:pt>
                <c:pt idx="31">
                  <c:v>11.194214593178991</c:v>
                </c:pt>
                <c:pt idx="32">
                  <c:v>11.326213224616831</c:v>
                </c:pt>
                <c:pt idx="33">
                  <c:v>11.458211856054671</c:v>
                </c:pt>
                <c:pt idx="34">
                  <c:v>11.590210487492509</c:v>
                </c:pt>
                <c:pt idx="35">
                  <c:v>11.722209118930348</c:v>
                </c:pt>
                <c:pt idx="36">
                  <c:v>11.854207750368186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EB-43AE-834C-62556AD0E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72351"/>
        <c:axId val="174955615"/>
      </c:scatterChart>
      <c:valAx>
        <c:axId val="164872351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Distancia (Km)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74955615"/>
        <c:crosses val="autoZero"/>
        <c:crossBetween val="midCat"/>
        <c:majorUnit val="10"/>
      </c:valAx>
      <c:valAx>
        <c:axId val="174955615"/>
        <c:scaling>
          <c:orientation val="minMax"/>
          <c:max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Cosro US$/Ton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48723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</a:t>
            </a:r>
            <a:r>
              <a:rPr lang="en-US" baseline="0"/>
              <a:t> de equilibrio vs Capacidad ET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Punto de Equilibrio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'Analisis 20Años'!$Y$302:$Y$314</c:f>
              <c:numCache>
                <c:formatCode>General</c:formatCode>
                <c:ptCount val="13"/>
                <c:pt idx="0">
                  <c:v>500</c:v>
                </c:pt>
                <c:pt idx="1">
                  <c:v>450</c:v>
                </c:pt>
                <c:pt idx="2">
                  <c:v>400</c:v>
                </c:pt>
                <c:pt idx="3">
                  <c:v>350</c:v>
                </c:pt>
                <c:pt idx="4">
                  <c:v>300</c:v>
                </c:pt>
                <c:pt idx="5">
                  <c:v>250</c:v>
                </c:pt>
                <c:pt idx="6">
                  <c:v>200</c:v>
                </c:pt>
                <c:pt idx="7">
                  <c:v>150</c:v>
                </c:pt>
                <c:pt idx="8">
                  <c:v>100</c:v>
                </c:pt>
                <c:pt idx="9">
                  <c:v>75</c:v>
                </c:pt>
                <c:pt idx="10">
                  <c:v>50</c:v>
                </c:pt>
                <c:pt idx="11">
                  <c:v>25</c:v>
                </c:pt>
                <c:pt idx="12">
                  <c:v>1</c:v>
                </c:pt>
              </c:numCache>
            </c:numRef>
          </c:xVal>
          <c:yVal>
            <c:numRef>
              <c:f>'Analisis 20Años'!$Z$302:$Z$314</c:f>
              <c:numCache>
                <c:formatCode>General</c:formatCode>
                <c:ptCount val="13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70</c:v>
                </c:pt>
                <c:pt idx="5">
                  <c:v>80</c:v>
                </c:pt>
                <c:pt idx="6">
                  <c:v>100</c:v>
                </c:pt>
                <c:pt idx="7">
                  <c:v>125</c:v>
                </c:pt>
                <c:pt idx="8">
                  <c:v>224</c:v>
                </c:pt>
                <c:pt idx="9">
                  <c:v>262</c:v>
                </c:pt>
                <c:pt idx="10">
                  <c:v>367</c:v>
                </c:pt>
                <c:pt idx="11">
                  <c:v>663</c:v>
                </c:pt>
                <c:pt idx="12">
                  <c:v>7331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09-4DCE-AB7B-A23FA26248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72351"/>
        <c:axId val="174955615"/>
      </c:scatterChart>
      <c:valAx>
        <c:axId val="164872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Capacidad 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74955615"/>
        <c:crosses val="autoZero"/>
        <c:crossBetween val="midCat"/>
        <c:majorUnit val="50"/>
      </c:valAx>
      <c:valAx>
        <c:axId val="174955615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KM de equilibrio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48723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99350</xdr:colOff>
      <xdr:row>4</xdr:row>
      <xdr:rowOff>169063</xdr:rowOff>
    </xdr:from>
    <xdr:to>
      <xdr:col>1</xdr:col>
      <xdr:colOff>707011</xdr:colOff>
      <xdr:row>14</xdr:row>
      <xdr:rowOff>52751</xdr:rowOff>
    </xdr:to>
    <xdr:sp macro="[0]!Matrices" textlink="">
      <xdr:nvSpPr>
        <xdr:cNvPr id="2" name="Elipse 1">
          <a:extLst>
            <a:ext uri="{FF2B5EF4-FFF2-40B4-BE49-F238E27FC236}">
              <a16:creationId xmlns:a16="http://schemas.microsoft.com/office/drawing/2014/main" id="{AD940153-07D0-3B47-9934-22D14BE82B30}"/>
            </a:ext>
          </a:extLst>
        </xdr:cNvPr>
        <xdr:cNvSpPr/>
      </xdr:nvSpPr>
      <xdr:spPr>
        <a:xfrm>
          <a:off x="99350" y="944670"/>
          <a:ext cx="2376590" cy="1965581"/>
        </a:xfrm>
        <a:prstGeom prst="ellipse">
          <a:avLst/>
        </a:prstGeom>
        <a:ln w="38100">
          <a:solidFill>
            <a:schemeClr val="tx1"/>
          </a:solidFill>
          <a:prstDash val="dashDot"/>
          <a:extLst>
            <a:ext uri="{C807C97D-BFC1-408E-A445-0C87EB9F89A2}">
              <ask:lineSketchStyleProps xmlns:ask="http://schemas.microsoft.com/office/drawing/2018/sketchyshapes" sd="981765707">
                <a:custGeom>
                  <a:avLst/>
                  <a:gdLst>
                    <a:gd name="connsiteX0" fmla="*/ 0 w 2322534"/>
                    <a:gd name="connsiteY0" fmla="*/ 717637 h 1435274"/>
                    <a:gd name="connsiteX1" fmla="*/ 1161267 w 2322534"/>
                    <a:gd name="connsiteY1" fmla="*/ 0 h 1435274"/>
                    <a:gd name="connsiteX2" fmla="*/ 2322534 w 2322534"/>
                    <a:gd name="connsiteY2" fmla="*/ 717637 h 1435274"/>
                    <a:gd name="connsiteX3" fmla="*/ 1161267 w 2322534"/>
                    <a:gd name="connsiteY3" fmla="*/ 1435274 h 1435274"/>
                    <a:gd name="connsiteX4" fmla="*/ 0 w 2322534"/>
                    <a:gd name="connsiteY4" fmla="*/ 717637 h 1435274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2322534" h="1435274" fill="none" extrusionOk="0">
                      <a:moveTo>
                        <a:pt x="0" y="717637"/>
                      </a:moveTo>
                      <a:cubicBezTo>
                        <a:pt x="57462" y="266682"/>
                        <a:pt x="632918" y="7457"/>
                        <a:pt x="1161267" y="0"/>
                      </a:cubicBezTo>
                      <a:cubicBezTo>
                        <a:pt x="1848702" y="78774"/>
                        <a:pt x="2206382" y="318801"/>
                        <a:pt x="2322534" y="717637"/>
                      </a:cubicBezTo>
                      <a:cubicBezTo>
                        <a:pt x="2432958" y="1129990"/>
                        <a:pt x="1782003" y="1425866"/>
                        <a:pt x="1161267" y="1435274"/>
                      </a:cubicBezTo>
                      <a:cubicBezTo>
                        <a:pt x="503666" y="1440124"/>
                        <a:pt x="41425" y="1057822"/>
                        <a:pt x="0" y="717637"/>
                      </a:cubicBezTo>
                      <a:close/>
                    </a:path>
                    <a:path w="2322534" h="1435274" stroke="0" extrusionOk="0">
                      <a:moveTo>
                        <a:pt x="0" y="717637"/>
                      </a:moveTo>
                      <a:cubicBezTo>
                        <a:pt x="-16745" y="350675"/>
                        <a:pt x="387479" y="-54689"/>
                        <a:pt x="1161267" y="0"/>
                      </a:cubicBezTo>
                      <a:cubicBezTo>
                        <a:pt x="1890761" y="-13012"/>
                        <a:pt x="2313240" y="338225"/>
                        <a:pt x="2322534" y="717637"/>
                      </a:cubicBezTo>
                      <a:cubicBezTo>
                        <a:pt x="2242111" y="1140857"/>
                        <a:pt x="1724286" y="1527901"/>
                        <a:pt x="1161267" y="1435274"/>
                      </a:cubicBezTo>
                      <a:cubicBezTo>
                        <a:pt x="603047" y="1381476"/>
                        <a:pt x="-33216" y="1121596"/>
                        <a:pt x="0" y="717637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800" b="1">
              <a:solidFill>
                <a:schemeClr val="tx1"/>
              </a:solidFill>
            </a:rPr>
            <a:t>Correr antes</a:t>
          </a:r>
          <a:r>
            <a:rPr lang="es-AR" sz="1800" b="1" baseline="0">
              <a:solidFill>
                <a:schemeClr val="tx1"/>
              </a:solidFill>
            </a:rPr>
            <a:t> de completar datos en solapas</a:t>
          </a:r>
          <a:endParaRPr lang="es-AR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50848</xdr:colOff>
      <xdr:row>23</xdr:row>
      <xdr:rowOff>95250</xdr:rowOff>
    </xdr:from>
    <xdr:to>
      <xdr:col>8</xdr:col>
      <xdr:colOff>758419</xdr:colOff>
      <xdr:row>23</xdr:row>
      <xdr:rowOff>95250</xdr:rowOff>
    </xdr:to>
    <xdr:cxnSp macro="">
      <xdr:nvCxnSpPr>
        <xdr:cNvPr id="5" name="Conector recto de flecha 4">
          <a:extLst>
            <a:ext uri="{FF2B5EF4-FFF2-40B4-BE49-F238E27FC236}">
              <a16:creationId xmlns:a16="http://schemas.microsoft.com/office/drawing/2014/main" id="{F2227FC1-3C4D-4936-8D04-CCA4E6BD181F}"/>
            </a:ext>
          </a:extLst>
        </xdr:cNvPr>
        <xdr:cNvCxnSpPr/>
      </xdr:nvCxnSpPr>
      <xdr:spPr>
        <a:xfrm>
          <a:off x="8944190" y="4687303"/>
          <a:ext cx="707571" cy="0"/>
        </a:xfrm>
        <a:prstGeom prst="straightConnector1">
          <a:avLst/>
        </a:prstGeom>
        <a:ln w="38100">
          <a:solidFill>
            <a:srgbClr val="0070C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54429</xdr:colOff>
      <xdr:row>28</xdr:row>
      <xdr:rowOff>121748</xdr:rowOff>
    </xdr:from>
    <xdr:to>
      <xdr:col>8</xdr:col>
      <xdr:colOff>762000</xdr:colOff>
      <xdr:row>28</xdr:row>
      <xdr:rowOff>121748</xdr:rowOff>
    </xdr:to>
    <xdr:cxnSp macro="">
      <xdr:nvCxnSpPr>
        <xdr:cNvPr id="6" name="Conector recto de flecha 5">
          <a:extLst>
            <a:ext uri="{FF2B5EF4-FFF2-40B4-BE49-F238E27FC236}">
              <a16:creationId xmlns:a16="http://schemas.microsoft.com/office/drawing/2014/main" id="{24D2C4F2-4DEC-47E9-92B5-42CBA1D4DCDA}"/>
            </a:ext>
          </a:extLst>
        </xdr:cNvPr>
        <xdr:cNvCxnSpPr/>
      </xdr:nvCxnSpPr>
      <xdr:spPr>
        <a:xfrm>
          <a:off x="8947771" y="5676327"/>
          <a:ext cx="707571" cy="0"/>
        </a:xfrm>
        <a:prstGeom prst="straightConnector1">
          <a:avLst/>
        </a:prstGeom>
        <a:ln w="38100">
          <a:solidFill>
            <a:srgbClr val="0070C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130342</xdr:colOff>
      <xdr:row>3</xdr:row>
      <xdr:rowOff>60158</xdr:rowOff>
    </xdr:from>
    <xdr:to>
      <xdr:col>8</xdr:col>
      <xdr:colOff>601579</xdr:colOff>
      <xdr:row>18</xdr:row>
      <xdr:rowOff>160420</xdr:rowOff>
    </xdr:to>
    <xdr:sp macro="" textlink="">
      <xdr:nvSpPr>
        <xdr:cNvPr id="3" name="Cerrar llave 2">
          <a:extLst>
            <a:ext uri="{FF2B5EF4-FFF2-40B4-BE49-F238E27FC236}">
              <a16:creationId xmlns:a16="http://schemas.microsoft.com/office/drawing/2014/main" id="{D2458B3D-8006-42E2-B0DC-ED294B16D718}"/>
            </a:ext>
          </a:extLst>
        </xdr:cNvPr>
        <xdr:cNvSpPr/>
      </xdr:nvSpPr>
      <xdr:spPr>
        <a:xfrm>
          <a:off x="9023684" y="641684"/>
          <a:ext cx="471237" cy="3138236"/>
        </a:xfrm>
        <a:prstGeom prst="rightBrace">
          <a:avLst/>
        </a:prstGeom>
        <a:ln w="38100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8</xdr:col>
      <xdr:colOff>30079</xdr:colOff>
      <xdr:row>32</xdr:row>
      <xdr:rowOff>110289</xdr:rowOff>
    </xdr:from>
    <xdr:to>
      <xdr:col>8</xdr:col>
      <xdr:colOff>737650</xdr:colOff>
      <xdr:row>32</xdr:row>
      <xdr:rowOff>110289</xdr:rowOff>
    </xdr:to>
    <xdr:cxnSp macro="">
      <xdr:nvCxnSpPr>
        <xdr:cNvPr id="7" name="Conector recto de flecha 6">
          <a:extLst>
            <a:ext uri="{FF2B5EF4-FFF2-40B4-BE49-F238E27FC236}">
              <a16:creationId xmlns:a16="http://schemas.microsoft.com/office/drawing/2014/main" id="{30FB2FAA-5A5A-42CD-80C2-9542BBE0260A}"/>
            </a:ext>
          </a:extLst>
        </xdr:cNvPr>
        <xdr:cNvCxnSpPr/>
      </xdr:nvCxnSpPr>
      <xdr:spPr>
        <a:xfrm>
          <a:off x="8923421" y="6446921"/>
          <a:ext cx="707571" cy="0"/>
        </a:xfrm>
        <a:prstGeom prst="straightConnector1">
          <a:avLst/>
        </a:prstGeom>
        <a:ln w="38100">
          <a:solidFill>
            <a:srgbClr val="0070C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123825</xdr:colOff>
      <xdr:row>0</xdr:row>
      <xdr:rowOff>0</xdr:rowOff>
    </xdr:from>
    <xdr:to>
      <xdr:col>7</xdr:col>
      <xdr:colOff>1104900</xdr:colOff>
      <xdr:row>4</xdr:row>
      <xdr:rowOff>9525</xdr:rowOff>
    </xdr:to>
    <xdr:sp macro="[0]!Buscar_macroruteo" textlink="">
      <xdr:nvSpPr>
        <xdr:cNvPr id="3" name="Triángulo isósceles 2">
          <a:extLst>
            <a:ext uri="{FF2B5EF4-FFF2-40B4-BE49-F238E27FC236}">
              <a16:creationId xmlns:a16="http://schemas.microsoft.com/office/drawing/2014/main" id="{D160BDDC-794C-41E5-A101-A815555E9D5B}"/>
            </a:ext>
          </a:extLst>
        </xdr:cNvPr>
        <xdr:cNvSpPr/>
      </xdr:nvSpPr>
      <xdr:spPr>
        <a:xfrm>
          <a:off x="9315450" y="0"/>
          <a:ext cx="981075" cy="8001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343181</xdr:colOff>
      <xdr:row>305</xdr:row>
      <xdr:rowOff>64433</xdr:rowOff>
    </xdr:from>
    <xdr:to>
      <xdr:col>21</xdr:col>
      <xdr:colOff>733986</xdr:colOff>
      <xdr:row>333</xdr:row>
      <xdr:rowOff>140072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8515C7-78ED-4C9D-A801-1409EF002B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437030</xdr:colOff>
      <xdr:row>303</xdr:row>
      <xdr:rowOff>145677</xdr:rowOff>
    </xdr:from>
    <xdr:to>
      <xdr:col>37</xdr:col>
      <xdr:colOff>65835</xdr:colOff>
      <xdr:row>332</xdr:row>
      <xdr:rowOff>42022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8B6B666-73BA-4BB0-ADD8-96171C9B89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396F2-1918-432B-87CB-82779EAE4A28}">
  <sheetPr codeName="Hoja3">
    <tabColor theme="4" tint="-0.249977111117893"/>
  </sheetPr>
  <dimension ref="A1:AU383"/>
  <sheetViews>
    <sheetView showGridLines="0" topLeftCell="A31" zoomScale="95" zoomScaleNormal="95" workbookViewId="0">
      <selection activeCell="G43" sqref="G43"/>
    </sheetView>
  </sheetViews>
  <sheetFormatPr baseColWidth="10" defaultRowHeight="15" x14ac:dyDescent="0.25"/>
  <cols>
    <col min="1" max="1" width="26.42578125" style="1" bestFit="1" customWidth="1"/>
    <col min="2" max="4" width="12.28515625" style="1" customWidth="1"/>
    <col min="5" max="5" width="13.85546875" style="1" customWidth="1"/>
    <col min="6" max="6" width="19.7109375" style="1" customWidth="1"/>
    <col min="7" max="7" width="21.42578125" bestFit="1" customWidth="1"/>
    <col min="8" max="8" width="14.85546875" bestFit="1" customWidth="1"/>
    <col min="9" max="9" width="12.28515625" customWidth="1"/>
    <col min="10" max="10" width="15.85546875" bestFit="1" customWidth="1"/>
    <col min="11" max="11" width="16.28515625" bestFit="1" customWidth="1"/>
    <col min="12" max="12" width="12.28515625" customWidth="1"/>
    <col min="13" max="13" width="2" style="6" customWidth="1"/>
    <col min="14" max="14" width="11.85546875" style="6" customWidth="1"/>
    <col min="15" max="16" width="7.5703125" style="5" customWidth="1"/>
    <col min="17" max="18" width="11.42578125" style="5"/>
    <col min="19" max="45" width="11.42578125" style="6"/>
    <col min="46" max="46" width="0" style="6" hidden="1" customWidth="1"/>
    <col min="47" max="47" width="0" hidden="1" customWidth="1"/>
  </cols>
  <sheetData>
    <row r="1" spans="1:47" ht="15" customHeight="1" x14ac:dyDescent="0.25">
      <c r="A1" s="46" t="s">
        <v>112</v>
      </c>
      <c r="B1" s="7"/>
      <c r="C1" s="7"/>
      <c r="D1" s="189" t="s">
        <v>33</v>
      </c>
      <c r="E1" s="190"/>
      <c r="F1" s="190"/>
      <c r="G1" s="190"/>
      <c r="H1" s="191"/>
      <c r="I1" s="8"/>
      <c r="J1" s="6"/>
      <c r="K1" s="8"/>
      <c r="L1" s="8"/>
      <c r="M1" s="9"/>
      <c r="AT1" s="6" t="s">
        <v>200</v>
      </c>
      <c r="AU1" t="s">
        <v>200</v>
      </c>
    </row>
    <row r="2" spans="1:47" ht="15.75" customHeight="1" thickBot="1" x14ac:dyDescent="0.3">
      <c r="A2" s="47" t="s">
        <v>462</v>
      </c>
      <c r="B2" s="5"/>
      <c r="C2" s="5"/>
      <c r="D2" s="192"/>
      <c r="E2" s="193"/>
      <c r="F2" s="193"/>
      <c r="G2" s="193"/>
      <c r="H2" s="194"/>
      <c r="I2" s="6"/>
      <c r="J2" s="6"/>
      <c r="K2" s="6"/>
      <c r="L2" s="6"/>
      <c r="M2" s="11"/>
      <c r="AT2" s="6" t="s">
        <v>201</v>
      </c>
      <c r="AU2" t="s">
        <v>201</v>
      </c>
    </row>
    <row r="3" spans="1:47" x14ac:dyDescent="0.25">
      <c r="A3" s="10"/>
      <c r="B3" s="130"/>
      <c r="C3" s="5"/>
      <c r="D3" s="187"/>
      <c r="E3" s="188"/>
      <c r="F3" s="85" t="s">
        <v>48</v>
      </c>
      <c r="G3" s="85" t="s">
        <v>49</v>
      </c>
      <c r="H3" s="22"/>
      <c r="I3" s="6"/>
      <c r="J3" s="6"/>
      <c r="K3" s="6"/>
      <c r="L3" s="6"/>
      <c r="M3" s="11"/>
    </row>
    <row r="4" spans="1:47" x14ac:dyDescent="0.25">
      <c r="A4" s="10"/>
      <c r="B4" s="5"/>
      <c r="C4" s="5"/>
      <c r="D4" s="180" t="s">
        <v>1</v>
      </c>
      <c r="E4" s="181"/>
      <c r="F4" s="45">
        <f>Analisis_Inputs_Grales!$D$16</f>
        <v>8</v>
      </c>
      <c r="G4" s="45">
        <f>Analisis_Inputs_Grales!$D$54</f>
        <v>8</v>
      </c>
      <c r="H4" s="2" t="s">
        <v>18</v>
      </c>
      <c r="I4" s="6"/>
      <c r="J4" s="6"/>
      <c r="K4" s="6"/>
      <c r="L4" s="6"/>
      <c r="M4" s="11"/>
    </row>
    <row r="5" spans="1:47" x14ac:dyDescent="0.25">
      <c r="A5" s="10"/>
      <c r="B5" s="5"/>
      <c r="C5" s="5"/>
      <c r="D5" s="180" t="s">
        <v>3</v>
      </c>
      <c r="E5" s="181"/>
      <c r="F5" s="45">
        <f>Analisis_Inputs_Grales!$D$43</f>
        <v>5</v>
      </c>
      <c r="G5" s="45">
        <f>Analisis_Inputs_Grales!$D$81</f>
        <v>5</v>
      </c>
      <c r="H5" s="2" t="s">
        <v>19</v>
      </c>
      <c r="I5" s="6"/>
      <c r="J5" s="6"/>
      <c r="K5" s="6"/>
      <c r="L5" s="6"/>
      <c r="M5" s="11"/>
    </row>
    <row r="6" spans="1:47" x14ac:dyDescent="0.25">
      <c r="A6" s="10"/>
      <c r="B6" s="5"/>
      <c r="C6" s="5"/>
      <c r="D6" s="180" t="s">
        <v>2</v>
      </c>
      <c r="E6" s="181"/>
      <c r="F6" s="45">
        <f>Analisis_Inputs_Grales!$D$44</f>
        <v>5</v>
      </c>
      <c r="G6" s="45">
        <f>Analisis_Inputs_Grales!$D$82</f>
        <v>5</v>
      </c>
      <c r="H6" s="2" t="s">
        <v>19</v>
      </c>
      <c r="I6" s="6"/>
      <c r="J6" s="6"/>
      <c r="K6" s="6"/>
      <c r="L6" s="6"/>
      <c r="M6" s="11"/>
    </row>
    <row r="7" spans="1:47" x14ac:dyDescent="0.25">
      <c r="A7" s="10"/>
      <c r="B7" s="5"/>
      <c r="C7" s="5"/>
      <c r="D7" s="180" t="s">
        <v>4</v>
      </c>
      <c r="E7" s="181"/>
      <c r="F7" s="45">
        <f>(Analisis_Inputs_Grales!$D$41)/60</f>
        <v>8.3333333333333329E-2</v>
      </c>
      <c r="G7" s="45">
        <f>(Analisis_Inputs_Grales!$D$79)/60</f>
        <v>0.33333333333333331</v>
      </c>
      <c r="H7" s="2" t="s">
        <v>18</v>
      </c>
      <c r="I7" s="6"/>
      <c r="J7" s="6"/>
      <c r="K7" s="82"/>
      <c r="L7" s="6"/>
      <c r="M7" s="11"/>
    </row>
    <row r="8" spans="1:47" x14ac:dyDescent="0.25">
      <c r="A8" s="10"/>
      <c r="B8" s="5"/>
      <c r="C8" s="5"/>
      <c r="D8" s="180" t="s">
        <v>5</v>
      </c>
      <c r="E8" s="181"/>
      <c r="F8" s="45">
        <f>Analisis_Inputs_Grales!$D$42</f>
        <v>5</v>
      </c>
      <c r="G8" s="45">
        <f>Analisis_Inputs_Grales!$D$80</f>
        <v>15</v>
      </c>
      <c r="H8" s="2" t="s">
        <v>19</v>
      </c>
      <c r="I8" s="6"/>
      <c r="J8" s="6"/>
      <c r="K8" s="6"/>
      <c r="L8" s="6"/>
      <c r="M8" s="11"/>
    </row>
    <row r="9" spans="1:47" x14ac:dyDescent="0.25">
      <c r="A9" s="10"/>
      <c r="B9" s="5"/>
      <c r="C9" s="5"/>
      <c r="D9" s="180" t="s">
        <v>6</v>
      </c>
      <c r="E9" s="181"/>
      <c r="F9" s="45">
        <f>Analisis_Inputs_Grales!$D$34</f>
        <v>51.042857142857137</v>
      </c>
      <c r="G9" s="45">
        <f>Analisis_Inputs_Grales!$D$72</f>
        <v>71.821782178217831</v>
      </c>
      <c r="H9" s="2" t="s">
        <v>20</v>
      </c>
      <c r="I9" s="6"/>
      <c r="J9" s="6"/>
      <c r="K9" s="6"/>
      <c r="L9" s="6"/>
      <c r="M9" s="11"/>
    </row>
    <row r="10" spans="1:47" x14ac:dyDescent="0.25">
      <c r="A10" s="10"/>
      <c r="B10" s="5"/>
      <c r="C10" s="5"/>
      <c r="D10" s="180" t="s">
        <v>7</v>
      </c>
      <c r="E10" s="181"/>
      <c r="F10" s="45">
        <f>Analisis_Inputs_Grales!$D$24</f>
        <v>12</v>
      </c>
      <c r="G10" s="45">
        <f>Analisis_Inputs_Grales!$D$62</f>
        <v>35</v>
      </c>
      <c r="H10" s="2" t="s">
        <v>21</v>
      </c>
      <c r="I10" s="6"/>
      <c r="J10" s="6"/>
      <c r="K10" s="6"/>
      <c r="L10" s="6"/>
      <c r="M10" s="11"/>
    </row>
    <row r="11" spans="1:47" x14ac:dyDescent="0.25">
      <c r="A11" s="10"/>
      <c r="B11" s="5"/>
      <c r="C11" s="5"/>
      <c r="D11" s="180" t="s">
        <v>8</v>
      </c>
      <c r="E11" s="181"/>
      <c r="F11" s="45">
        <v>0.8</v>
      </c>
      <c r="G11" s="45">
        <v>0.8</v>
      </c>
      <c r="H11" s="2" t="s">
        <v>23</v>
      </c>
      <c r="I11" s="6"/>
      <c r="J11" s="6"/>
      <c r="K11" s="6"/>
      <c r="L11" s="6"/>
      <c r="M11" s="11"/>
    </row>
    <row r="12" spans="1:47" ht="15" customHeight="1" x14ac:dyDescent="0.25">
      <c r="A12" s="10"/>
      <c r="B12" s="5"/>
      <c r="C12" s="5"/>
      <c r="D12" s="180" t="s">
        <v>9</v>
      </c>
      <c r="E12" s="181"/>
      <c r="F12" s="45">
        <f>Analisis_Inputs_Grales!D23</f>
        <v>0.27</v>
      </c>
      <c r="G12" s="45">
        <f>Analisis_Inputs_Grales!D61</f>
        <v>0.27</v>
      </c>
      <c r="H12" s="2" t="s">
        <v>22</v>
      </c>
      <c r="I12" s="6"/>
      <c r="J12" s="80" t="s">
        <v>111</v>
      </c>
      <c r="K12" s="6"/>
      <c r="L12" s="6"/>
      <c r="M12" s="11"/>
    </row>
    <row r="13" spans="1:47" x14ac:dyDescent="0.25">
      <c r="A13" s="10"/>
      <c r="B13" s="5"/>
      <c r="C13" s="5"/>
      <c r="D13" s="180" t="s">
        <v>10</v>
      </c>
      <c r="E13" s="181"/>
      <c r="F13" s="45">
        <f>Analisis_Inputs_Grales!D25</f>
        <v>2</v>
      </c>
      <c r="G13" s="45">
        <f>Analisis_Inputs_Grales!D63</f>
        <v>2</v>
      </c>
      <c r="H13" s="2" t="s">
        <v>23</v>
      </c>
      <c r="I13" s="6"/>
      <c r="J13" s="6"/>
      <c r="K13" s="6"/>
      <c r="L13" s="6"/>
      <c r="M13" s="11"/>
    </row>
    <row r="14" spans="1:47" ht="29.25" customHeight="1" x14ac:dyDescent="0.25">
      <c r="A14" s="10"/>
      <c r="B14" s="5"/>
      <c r="C14" s="5"/>
      <c r="D14" s="197" t="s">
        <v>11</v>
      </c>
      <c r="E14" s="198"/>
      <c r="F14" s="45">
        <f>F12*F13</f>
        <v>0.54</v>
      </c>
      <c r="G14" s="45">
        <f>G12*G13</f>
        <v>0.54</v>
      </c>
      <c r="H14" s="2" t="s">
        <v>22</v>
      </c>
      <c r="I14" s="6"/>
      <c r="J14" s="6"/>
      <c r="K14" s="6"/>
      <c r="L14" s="6"/>
      <c r="M14" s="11"/>
    </row>
    <row r="15" spans="1:47" x14ac:dyDescent="0.25">
      <c r="A15" s="10"/>
      <c r="B15" s="5"/>
      <c r="C15" s="5"/>
      <c r="D15" s="180" t="s">
        <v>12</v>
      </c>
      <c r="E15" s="181"/>
      <c r="F15" s="45">
        <f>Analisis_Inputs_Grales!D28</f>
        <v>0.1</v>
      </c>
      <c r="G15" s="45">
        <f>Analisis_Inputs_Grales!D66</f>
        <v>0.1</v>
      </c>
      <c r="H15" s="2" t="s">
        <v>23</v>
      </c>
      <c r="I15" s="6"/>
      <c r="J15" s="6"/>
      <c r="K15" s="6"/>
      <c r="L15" s="6"/>
      <c r="M15" s="11"/>
    </row>
    <row r="16" spans="1:47" x14ac:dyDescent="0.25">
      <c r="A16" s="10"/>
      <c r="B16" s="5"/>
      <c r="C16" s="5"/>
      <c r="D16" s="180" t="s">
        <v>13</v>
      </c>
      <c r="E16" s="181"/>
      <c r="F16" s="73">
        <f>VLOOKUP(Analisis_Inputs_Grales!$C$2,'Analisis 20Años'!$C$138:$D$141,2,FALSE)</f>
        <v>0.18121692919482515</v>
      </c>
      <c r="G16" s="73">
        <f>VLOOKUP(Analisis_Inputs_Grales!$C$3,'Analisis 20Años'!$C$281:$D$284,2,FALSE)</f>
        <v>2.6399726287567794E-2</v>
      </c>
      <c r="H16" s="2" t="s">
        <v>36</v>
      </c>
      <c r="I16" s="6"/>
      <c r="J16" s="6"/>
      <c r="K16" s="6"/>
      <c r="L16" s="6"/>
      <c r="M16" s="11"/>
    </row>
    <row r="17" spans="1:18" x14ac:dyDescent="0.25">
      <c r="A17" s="10"/>
      <c r="B17" s="5"/>
      <c r="C17" s="5"/>
      <c r="D17" s="180" t="s">
        <v>14</v>
      </c>
      <c r="E17" s="181"/>
      <c r="F17" s="100">
        <f>Analisis_Inputs_Grales!$D$33</f>
        <v>6</v>
      </c>
      <c r="G17" s="45">
        <f>Analisis_Inputs_Grales!$D$71</f>
        <v>6</v>
      </c>
      <c r="H17" s="2" t="s">
        <v>24</v>
      </c>
      <c r="I17" s="6"/>
      <c r="J17" s="6"/>
      <c r="K17" s="6"/>
      <c r="L17" s="6"/>
      <c r="M17" s="11"/>
      <c r="R17" s="84"/>
    </row>
    <row r="18" spans="1:18" x14ac:dyDescent="0.25">
      <c r="A18" s="10"/>
      <c r="B18" s="5"/>
      <c r="C18" s="5"/>
      <c r="D18" s="180" t="s">
        <v>15</v>
      </c>
      <c r="E18" s="181"/>
      <c r="F18" s="45" t="s">
        <v>17</v>
      </c>
      <c r="G18" s="45" t="s">
        <v>17</v>
      </c>
      <c r="H18" s="2" t="s">
        <v>23</v>
      </c>
      <c r="I18" s="6"/>
      <c r="J18" s="6"/>
      <c r="K18" s="6"/>
      <c r="L18" s="6"/>
      <c r="M18" s="11"/>
    </row>
    <row r="19" spans="1:18" x14ac:dyDescent="0.25">
      <c r="A19" s="10"/>
      <c r="B19" s="5"/>
      <c r="C19" s="5"/>
      <c r="D19" s="180" t="s">
        <v>16</v>
      </c>
      <c r="E19" s="181"/>
      <c r="F19" s="45">
        <f>Analisis_Inputs_Grales!D38</f>
        <v>2.35</v>
      </c>
      <c r="G19" s="45">
        <f>Analisis_Inputs_Grales!D76</f>
        <v>2.35</v>
      </c>
      <c r="H19" s="2" t="s">
        <v>25</v>
      </c>
      <c r="I19" s="6"/>
      <c r="J19" s="6"/>
      <c r="K19" s="6"/>
      <c r="L19" s="6"/>
      <c r="M19" s="11"/>
    </row>
    <row r="20" spans="1:18" ht="15.75" thickBot="1" x14ac:dyDescent="0.3">
      <c r="A20" s="10"/>
      <c r="B20" s="5"/>
      <c r="C20" s="5"/>
      <c r="D20" s="199" t="s">
        <v>28</v>
      </c>
      <c r="E20" s="200"/>
      <c r="F20" s="200"/>
      <c r="G20" s="200"/>
      <c r="H20" s="201"/>
      <c r="I20" s="6"/>
      <c r="J20" s="6"/>
      <c r="K20" s="6"/>
      <c r="L20" s="6"/>
      <c r="M20" s="11"/>
    </row>
    <row r="21" spans="1:18" ht="15.75" thickBot="1" x14ac:dyDescent="0.3">
      <c r="A21" s="10"/>
      <c r="B21" s="5"/>
      <c r="C21" s="5"/>
      <c r="D21" s="195" t="s">
        <v>0</v>
      </c>
      <c r="E21" s="196"/>
      <c r="F21" s="196"/>
      <c r="G21" s="119" t="s">
        <v>26</v>
      </c>
      <c r="H21" s="120" t="s">
        <v>27</v>
      </c>
      <c r="I21" s="6"/>
      <c r="J21" s="6"/>
      <c r="K21" s="6"/>
      <c r="L21" s="6"/>
      <c r="M21" s="11"/>
    </row>
    <row r="22" spans="1:18" x14ac:dyDescent="0.25">
      <c r="A22" s="10"/>
      <c r="B22" s="5"/>
      <c r="C22" s="5"/>
      <c r="D22" s="174" t="s">
        <v>29</v>
      </c>
      <c r="E22" s="175"/>
      <c r="F22" s="175"/>
      <c r="G22" s="121">
        <f>'Analisis 20Años'!E289</f>
        <v>2.9355858121286538</v>
      </c>
      <c r="H22" s="18" t="s">
        <v>37</v>
      </c>
      <c r="I22" s="6"/>
      <c r="J22" s="6"/>
      <c r="K22" s="6"/>
      <c r="L22" s="6"/>
      <c r="M22" s="11"/>
    </row>
    <row r="23" spans="1:18" x14ac:dyDescent="0.25">
      <c r="A23" s="10"/>
      <c r="B23" s="5"/>
      <c r="C23" s="5"/>
      <c r="D23" s="176" t="s">
        <v>30</v>
      </c>
      <c r="E23" s="177"/>
      <c r="F23" s="177"/>
      <c r="G23" s="79">
        <f>'Analisis 20Años'!E291</f>
        <v>3.2847932057914591</v>
      </c>
      <c r="H23" s="3" t="s">
        <v>37</v>
      </c>
      <c r="I23" s="6"/>
      <c r="J23" s="6"/>
      <c r="K23" s="6"/>
      <c r="L23" s="6"/>
      <c r="M23" s="11"/>
    </row>
    <row r="24" spans="1:18" x14ac:dyDescent="0.25">
      <c r="A24" s="10"/>
      <c r="B24" s="5"/>
      <c r="C24" s="5"/>
      <c r="D24" s="176" t="s">
        <v>190</v>
      </c>
      <c r="E24" s="177"/>
      <c r="F24" s="177"/>
      <c r="G24" s="79">
        <f>(K25*K26)/10000</f>
        <v>0.08</v>
      </c>
      <c r="H24" s="3" t="s">
        <v>23</v>
      </c>
      <c r="I24" s="6"/>
      <c r="J24" s="158" t="s">
        <v>198</v>
      </c>
      <c r="K24" s="160" t="s">
        <v>201</v>
      </c>
      <c r="L24" s="6"/>
      <c r="M24" s="11"/>
    </row>
    <row r="25" spans="1:18" x14ac:dyDescent="0.25">
      <c r="A25" s="10"/>
      <c r="B25" s="5"/>
      <c r="C25" s="5"/>
      <c r="D25" s="176" t="s">
        <v>191</v>
      </c>
      <c r="E25" s="177"/>
      <c r="F25" s="177"/>
      <c r="G25" s="147">
        <f>VLOOKUP($K$33,'Generación-venta_año 10'!$B$7:$L$154,11,FALSE)</f>
        <v>74.986441045886181</v>
      </c>
      <c r="H25" s="3" t="s">
        <v>37</v>
      </c>
      <c r="I25" s="6"/>
      <c r="J25" s="158" t="s">
        <v>441</v>
      </c>
      <c r="K25" s="20">
        <v>10</v>
      </c>
      <c r="L25" s="6"/>
      <c r="M25" s="11"/>
    </row>
    <row r="26" spans="1:18" ht="15.75" thickBot="1" x14ac:dyDescent="0.3">
      <c r="A26" s="10"/>
      <c r="B26" s="5"/>
      <c r="C26" s="5"/>
      <c r="D26" s="182" t="s">
        <v>192</v>
      </c>
      <c r="E26" s="183"/>
      <c r="F26" s="183"/>
      <c r="G26" s="124">
        <f>Analisis_Inputs_Grales!D86</f>
        <v>20</v>
      </c>
      <c r="H26" s="125" t="s">
        <v>135</v>
      </c>
      <c r="I26" s="6"/>
      <c r="J26" s="158" t="s">
        <v>440</v>
      </c>
      <c r="K26" s="20">
        <v>80</v>
      </c>
      <c r="L26" s="6"/>
      <c r="M26" s="11"/>
    </row>
    <row r="27" spans="1:18" x14ac:dyDescent="0.25">
      <c r="A27" s="10"/>
      <c r="B27" s="5"/>
      <c r="C27" s="5"/>
      <c r="D27" s="174" t="s">
        <v>193</v>
      </c>
      <c r="E27" s="175"/>
      <c r="F27" s="175"/>
      <c r="G27" s="121">
        <f>'Analisis 20Años'!E295</f>
        <v>38.396770350504191</v>
      </c>
      <c r="H27" s="18" t="s">
        <v>37</v>
      </c>
      <c r="I27" s="6"/>
      <c r="J27" s="6"/>
      <c r="K27" s="6"/>
      <c r="L27" s="6"/>
      <c r="M27" s="11"/>
    </row>
    <row r="28" spans="1:18" x14ac:dyDescent="0.25">
      <c r="A28" s="10"/>
      <c r="B28" s="5"/>
      <c r="C28" s="5"/>
      <c r="D28" s="176" t="s">
        <v>194</v>
      </c>
      <c r="E28" s="177"/>
      <c r="F28" s="177"/>
      <c r="G28" s="79">
        <f>'Analisis 20Años'!E297</f>
        <v>5.910956790123457</v>
      </c>
      <c r="H28" s="3" t="s">
        <v>37</v>
      </c>
      <c r="I28" s="6"/>
      <c r="J28" s="6"/>
      <c r="K28" s="6"/>
      <c r="L28" s="6"/>
      <c r="M28" s="11"/>
    </row>
    <row r="29" spans="1:18" x14ac:dyDescent="0.25">
      <c r="A29" s="10"/>
      <c r="B29" s="5"/>
      <c r="C29" s="5"/>
      <c r="D29" s="176" t="s">
        <v>197</v>
      </c>
      <c r="E29" s="177"/>
      <c r="F29" s="177"/>
      <c r="G29" s="44">
        <f>K25*(100-K26)/10000</f>
        <v>0.02</v>
      </c>
      <c r="H29" s="3" t="s">
        <v>23</v>
      </c>
      <c r="I29" s="6"/>
      <c r="J29" s="123" t="s">
        <v>199</v>
      </c>
      <c r="K29" s="122" t="s">
        <v>201</v>
      </c>
      <c r="L29" s="6"/>
      <c r="M29" s="11"/>
    </row>
    <row r="30" spans="1:18" x14ac:dyDescent="0.25">
      <c r="A30" s="16"/>
      <c r="B30" s="5"/>
      <c r="C30" s="5"/>
      <c r="D30" s="176" t="s">
        <v>196</v>
      </c>
      <c r="E30" s="177"/>
      <c r="F30" s="177"/>
      <c r="G30" s="147">
        <f>G25</f>
        <v>74.986441045886181</v>
      </c>
      <c r="H30" s="3" t="s">
        <v>37</v>
      </c>
      <c r="I30" s="6"/>
      <c r="J30" s="6"/>
      <c r="K30" s="6"/>
      <c r="L30" s="6"/>
      <c r="M30" s="11"/>
    </row>
    <row r="31" spans="1:18" ht="15.75" thickBot="1" x14ac:dyDescent="0.3">
      <c r="A31" s="17"/>
      <c r="B31" s="5"/>
      <c r="C31" s="5"/>
      <c r="D31" s="178" t="s">
        <v>195</v>
      </c>
      <c r="E31" s="179"/>
      <c r="F31" s="179"/>
      <c r="G31" s="126">
        <f>Analisis_Inputs_Grales!D106</f>
        <v>20</v>
      </c>
      <c r="H31" s="4" t="s">
        <v>135</v>
      </c>
      <c r="I31" s="6"/>
      <c r="J31" s="6"/>
      <c r="K31" s="6"/>
      <c r="L31" s="6"/>
      <c r="M31" s="11"/>
    </row>
    <row r="32" spans="1:18" ht="15.75" thickBot="1" x14ac:dyDescent="0.3">
      <c r="A32" s="17"/>
      <c r="B32" s="5"/>
      <c r="C32" s="5"/>
      <c r="D32" s="5"/>
      <c r="E32" s="5"/>
      <c r="F32" s="5"/>
      <c r="G32" s="5"/>
      <c r="H32" s="5"/>
      <c r="I32" s="6"/>
      <c r="J32" s="6"/>
      <c r="K32" s="6"/>
      <c r="L32" s="6"/>
      <c r="M32" s="11"/>
    </row>
    <row r="33" spans="1:25" x14ac:dyDescent="0.25">
      <c r="A33" s="17"/>
      <c r="B33" s="5"/>
      <c r="C33" s="5"/>
      <c r="D33" s="174" t="s">
        <v>38</v>
      </c>
      <c r="E33" s="175"/>
      <c r="F33" s="175"/>
      <c r="G33" s="157">
        <f>COUNTIF($K$35:$K$43,"&lt;&gt;-")</f>
        <v>5</v>
      </c>
      <c r="H33" s="18" t="s">
        <v>35</v>
      </c>
      <c r="I33" s="6"/>
      <c r="J33" s="123" t="s">
        <v>426</v>
      </c>
      <c r="K33" s="148" t="s">
        <v>408</v>
      </c>
      <c r="L33" s="6"/>
      <c r="M33" s="11"/>
      <c r="Y33" s="5"/>
    </row>
    <row r="34" spans="1:25" x14ac:dyDescent="0.25">
      <c r="A34" s="17"/>
      <c r="B34" s="5"/>
      <c r="C34" s="5"/>
      <c r="D34" s="176" t="s">
        <v>39</v>
      </c>
      <c r="E34" s="177"/>
      <c r="F34" s="177"/>
      <c r="G34" s="158">
        <f>G33</f>
        <v>5</v>
      </c>
      <c r="H34" s="3" t="s">
        <v>35</v>
      </c>
      <c r="I34" s="6"/>
      <c r="J34" s="153" t="s">
        <v>434</v>
      </c>
      <c r="K34" s="154">
        <f>VLOOKUP($K$33,'Generación-venta_año 10'!$B$7:$H$154,7,FALSE)</f>
        <v>19</v>
      </c>
      <c r="L34" s="6"/>
      <c r="M34" s="11"/>
      <c r="Y34" s="5"/>
    </row>
    <row r="35" spans="1:25" ht="15.75" thickBot="1" x14ac:dyDescent="0.3">
      <c r="A35" s="17"/>
      <c r="B35" s="5"/>
      <c r="C35" s="5"/>
      <c r="D35" s="178" t="s">
        <v>40</v>
      </c>
      <c r="E35" s="179"/>
      <c r="F35" s="179"/>
      <c r="G35" s="21">
        <v>1</v>
      </c>
      <c r="H35" s="4" t="s">
        <v>35</v>
      </c>
      <c r="I35" s="6"/>
      <c r="J35" s="155" t="s">
        <v>34</v>
      </c>
      <c r="K35" s="156" t="str">
        <f>IFERROR(VLOOKUP(CONCATENATE($K$34," - ",RIGHT(J35,1)),'Generación-venta_año 10'!$F$7:$G$154,2,FALSE),"-")</f>
        <v>Suipacha</v>
      </c>
      <c r="L35" s="6"/>
      <c r="M35" s="11"/>
      <c r="Y35" s="5"/>
    </row>
    <row r="36" spans="1:25" x14ac:dyDescent="0.25">
      <c r="A36" s="17"/>
      <c r="B36" s="5"/>
      <c r="C36" s="5"/>
      <c r="D36" s="5"/>
      <c r="E36" s="5"/>
      <c r="F36" s="5"/>
      <c r="G36" s="5"/>
      <c r="H36" s="5"/>
      <c r="I36" s="6"/>
      <c r="J36" s="149" t="s">
        <v>428</v>
      </c>
      <c r="K36" s="151" t="str">
        <f>IFERROR(VLOOKUP(CONCATENATE($K$34," - ",RIGHT(J36,1)),'Generación-venta_año 10'!$F$7:$G$154,2,FALSE),"-")</f>
        <v>Mercedes</v>
      </c>
      <c r="L36" s="6"/>
      <c r="M36" s="11"/>
      <c r="Y36" s="5"/>
    </row>
    <row r="37" spans="1:25" x14ac:dyDescent="0.25">
      <c r="A37" s="17"/>
      <c r="B37" s="5"/>
      <c r="C37" s="5"/>
      <c r="D37" s="184" t="s">
        <v>137</v>
      </c>
      <c r="E37" s="185"/>
      <c r="F37" s="185"/>
      <c r="G37" s="185"/>
      <c r="H37" s="186"/>
      <c r="I37" s="6"/>
      <c r="J37" s="149" t="s">
        <v>429</v>
      </c>
      <c r="K37" s="151" t="str">
        <f>IFERROR(VLOOKUP(CONCATENATE($K$34," - ",RIGHT(J37,1)),'Generación-venta_año 10'!$F$7:$G$154,2,FALSE),"-")</f>
        <v>Lobos</v>
      </c>
      <c r="L37" s="6"/>
      <c r="M37" s="11"/>
      <c r="Y37" s="5"/>
    </row>
    <row r="38" spans="1:25" ht="15.75" thickBot="1" x14ac:dyDescent="0.3">
      <c r="A38" s="17"/>
      <c r="B38" s="5"/>
      <c r="C38" s="5"/>
      <c r="D38" s="5"/>
      <c r="E38" s="5"/>
      <c r="F38" s="5"/>
      <c r="G38" s="5"/>
      <c r="H38" s="5"/>
      <c r="I38" s="6"/>
      <c r="J38" s="149" t="s">
        <v>430</v>
      </c>
      <c r="K38" s="151" t="str">
        <f>IFERROR(VLOOKUP(CONCATENATE($K$34," - ",RIGHT(J38,1)),'Generación-venta_año 10'!$F$7:$G$154,2,FALSE),"-")</f>
        <v>General Las Heras</v>
      </c>
      <c r="L38" s="6"/>
      <c r="M38" s="11"/>
      <c r="Y38" s="5"/>
    </row>
    <row r="39" spans="1:25" x14ac:dyDescent="0.25">
      <c r="A39" s="17"/>
      <c r="B39" s="5"/>
      <c r="C39" s="5"/>
      <c r="D39" s="174" t="s">
        <v>138</v>
      </c>
      <c r="E39" s="175"/>
      <c r="F39" s="175"/>
      <c r="G39" s="19">
        <v>4</v>
      </c>
      <c r="H39" s="18" t="s">
        <v>23</v>
      </c>
      <c r="I39" s="6"/>
      <c r="J39" s="149" t="s">
        <v>431</v>
      </c>
      <c r="K39" s="151" t="str">
        <f>IFERROR(VLOOKUP(CONCATENATE($K$34," - ",RIGHT(J39,1)),'Generación-venta_año 10'!$F$7:$G$154,2,FALSE),"-")</f>
        <v>Navarro</v>
      </c>
      <c r="L39" s="6"/>
      <c r="M39" s="11"/>
      <c r="Y39" s="5"/>
    </row>
    <row r="40" spans="1:25" x14ac:dyDescent="0.25">
      <c r="A40" s="17"/>
      <c r="B40" s="5"/>
      <c r="C40" s="5"/>
      <c r="D40" s="176" t="s">
        <v>139</v>
      </c>
      <c r="E40" s="177"/>
      <c r="F40" s="177"/>
      <c r="G40" s="20">
        <v>25</v>
      </c>
      <c r="H40" s="3" t="s">
        <v>68</v>
      </c>
      <c r="I40" s="6"/>
      <c r="J40" s="149" t="s">
        <v>432</v>
      </c>
      <c r="K40" s="151" t="str">
        <f>IFERROR(VLOOKUP(CONCATENATE($K$34," - ",RIGHT(J40,1)),'Generación-venta_año 10'!$F$7:$G$154,2,FALSE),"-")</f>
        <v>-</v>
      </c>
      <c r="L40" s="6"/>
      <c r="M40" s="11"/>
      <c r="Y40" s="5"/>
    </row>
    <row r="41" spans="1:25" x14ac:dyDescent="0.25">
      <c r="A41" s="17"/>
      <c r="B41" s="5"/>
      <c r="C41" s="5"/>
      <c r="D41" s="176" t="s">
        <v>140</v>
      </c>
      <c r="E41" s="177"/>
      <c r="F41" s="177"/>
      <c r="G41" s="20">
        <v>25</v>
      </c>
      <c r="H41" s="3" t="s">
        <v>68</v>
      </c>
      <c r="I41" s="6"/>
      <c r="J41" s="149" t="s">
        <v>435</v>
      </c>
      <c r="K41" s="151" t="str">
        <f>IFERROR(VLOOKUP(CONCATENATE($K$34," - ",RIGHT(J41,1)),'Generación-venta_año 10'!$F$7:$G$154,2,FALSE),"-")</f>
        <v>-</v>
      </c>
      <c r="L41" s="6"/>
      <c r="M41" s="11"/>
      <c r="Y41" s="5"/>
    </row>
    <row r="42" spans="1:25" x14ac:dyDescent="0.25">
      <c r="A42" s="17"/>
      <c r="B42" s="5"/>
      <c r="C42" s="5"/>
      <c r="D42" s="176" t="s">
        <v>439</v>
      </c>
      <c r="E42" s="177"/>
      <c r="F42" s="177"/>
      <c r="G42" s="158">
        <f>AVERAGE('Gen-Cap'!$B$2:$O$2)</f>
        <v>500</v>
      </c>
      <c r="H42" s="3" t="s">
        <v>132</v>
      </c>
      <c r="I42" s="6"/>
      <c r="J42" s="149" t="s">
        <v>436</v>
      </c>
      <c r="K42" s="151" t="str">
        <f>IFERROR(VLOOKUP(CONCATENATE($K$34," - ",RIGHT(J42,1)),'Generación-venta_año 10'!$F$7:$G$154,2,FALSE),"-")</f>
        <v>-</v>
      </c>
      <c r="L42" s="6"/>
      <c r="M42" s="11"/>
      <c r="Y42" s="5"/>
    </row>
    <row r="43" spans="1:25" ht="15.75" thickBot="1" x14ac:dyDescent="0.3">
      <c r="A43" s="17"/>
      <c r="B43" s="5"/>
      <c r="C43" s="5"/>
      <c r="D43" s="178" t="s">
        <v>83</v>
      </c>
      <c r="E43" s="179"/>
      <c r="F43" s="179"/>
      <c r="G43" s="172">
        <f>Analisis_Inputs_Grales!D127</f>
        <v>0.12</v>
      </c>
      <c r="H43" s="4" t="s">
        <v>23</v>
      </c>
      <c r="I43" s="6"/>
      <c r="J43" s="150" t="s">
        <v>437</v>
      </c>
      <c r="K43" s="152" t="str">
        <f>IFERROR(VLOOKUP(CONCATENATE($K$34," - ",RIGHT(J43,1)),'Generación-venta_año 10'!$F$7:$G$154,2,FALSE),"-")</f>
        <v>-</v>
      </c>
      <c r="L43" s="6"/>
      <c r="M43" s="11"/>
      <c r="Y43" s="5"/>
    </row>
    <row r="44" spans="1:25" ht="15" customHeight="1" thickBot="1" x14ac:dyDescent="0.3">
      <c r="A44" s="12"/>
      <c r="B44" s="13"/>
      <c r="C44" s="13"/>
      <c r="D44" s="13"/>
      <c r="E44" s="13"/>
      <c r="F44" s="13"/>
      <c r="G44" s="14"/>
      <c r="H44" s="14"/>
      <c r="I44" s="14"/>
      <c r="J44" s="14"/>
      <c r="K44" s="14"/>
      <c r="L44" s="14"/>
      <c r="M44" s="15"/>
    </row>
    <row r="45" spans="1:25" s="6" customFormat="1" x14ac:dyDescent="0.25">
      <c r="A45" s="5"/>
      <c r="B45" s="5"/>
      <c r="C45" s="5"/>
      <c r="D45" s="5"/>
      <c r="E45" s="5"/>
      <c r="F45" s="5"/>
      <c r="O45" s="5"/>
      <c r="P45" s="5"/>
      <c r="Q45" s="5"/>
      <c r="R45" s="5"/>
    </row>
    <row r="46" spans="1:25" s="6" customFormat="1" x14ac:dyDescent="0.25">
      <c r="A46" s="5"/>
      <c r="B46" s="5"/>
      <c r="C46" s="5"/>
      <c r="D46" s="5"/>
      <c r="E46" s="5"/>
      <c r="F46" s="5"/>
      <c r="O46" s="5"/>
      <c r="P46" s="5"/>
      <c r="Q46" s="5"/>
      <c r="R46" s="5"/>
    </row>
    <row r="47" spans="1:25" s="6" customFormat="1" x14ac:dyDescent="0.25">
      <c r="A47" s="5"/>
      <c r="B47" s="5"/>
      <c r="C47" s="5"/>
      <c r="D47" s="5"/>
      <c r="E47" s="5"/>
      <c r="F47" s="5"/>
      <c r="O47" s="5"/>
      <c r="P47" s="5"/>
      <c r="Q47" s="5"/>
      <c r="R47" s="5"/>
    </row>
    <row r="48" spans="1:25" s="6" customFormat="1" x14ac:dyDescent="0.25">
      <c r="A48" s="5"/>
      <c r="B48" s="5"/>
      <c r="C48" s="5"/>
      <c r="D48" s="5"/>
      <c r="E48" s="5"/>
      <c r="F48" s="5"/>
      <c r="O48" s="5"/>
      <c r="P48" s="5"/>
      <c r="Q48" s="5"/>
      <c r="R48" s="5"/>
    </row>
    <row r="49" spans="1:18" s="6" customFormat="1" x14ac:dyDescent="0.25">
      <c r="A49" s="5"/>
      <c r="B49" s="5"/>
      <c r="C49" s="5"/>
      <c r="D49" s="5"/>
      <c r="E49" s="5"/>
      <c r="F49" s="5"/>
      <c r="O49" s="5"/>
      <c r="P49" s="5"/>
      <c r="Q49" s="5"/>
      <c r="R49" s="5"/>
    </row>
    <row r="50" spans="1:18" s="6" customFormat="1" x14ac:dyDescent="0.25">
      <c r="A50" s="5"/>
      <c r="B50" s="5"/>
      <c r="C50" s="5"/>
      <c r="D50" s="5"/>
      <c r="E50" s="5"/>
      <c r="F50" s="5"/>
      <c r="O50" s="5"/>
      <c r="P50" s="5"/>
      <c r="Q50" s="5"/>
      <c r="R50" s="5"/>
    </row>
    <row r="51" spans="1:18" s="6" customFormat="1" x14ac:dyDescent="0.25">
      <c r="A51" s="5"/>
      <c r="B51" s="5"/>
      <c r="C51" s="5"/>
      <c r="D51" s="5"/>
      <c r="E51" s="5"/>
      <c r="F51" s="5"/>
      <c r="O51" s="5"/>
      <c r="P51" s="5"/>
      <c r="Q51" s="5"/>
      <c r="R51" s="5"/>
    </row>
    <row r="52" spans="1:18" s="6" customFormat="1" x14ac:dyDescent="0.25">
      <c r="A52" s="5"/>
      <c r="B52" s="5"/>
      <c r="C52" s="5"/>
      <c r="D52" s="5"/>
      <c r="E52" s="5"/>
      <c r="F52" s="5"/>
      <c r="O52" s="5"/>
      <c r="P52" s="5"/>
      <c r="Q52" s="5"/>
      <c r="R52" s="5"/>
    </row>
    <row r="53" spans="1:18" s="6" customFormat="1" x14ac:dyDescent="0.25">
      <c r="A53" s="5"/>
      <c r="B53" s="5"/>
      <c r="C53" s="5"/>
      <c r="D53" s="5"/>
      <c r="E53" s="5"/>
      <c r="F53" s="5"/>
      <c r="O53" s="5"/>
      <c r="P53" s="5"/>
      <c r="Q53" s="5"/>
      <c r="R53" s="5"/>
    </row>
    <row r="54" spans="1:18" s="6" customFormat="1" x14ac:dyDescent="0.25">
      <c r="A54" s="5"/>
      <c r="B54" s="5"/>
      <c r="C54" s="5"/>
      <c r="D54" s="5"/>
      <c r="E54" s="5"/>
      <c r="F54" s="5"/>
      <c r="O54" s="5"/>
      <c r="P54" s="5"/>
      <c r="Q54" s="5"/>
      <c r="R54" s="5"/>
    </row>
    <row r="55" spans="1:18" s="6" customFormat="1" x14ac:dyDescent="0.25">
      <c r="A55" s="5"/>
      <c r="B55" s="5"/>
      <c r="C55" s="5"/>
      <c r="D55" s="5"/>
      <c r="E55" s="5"/>
      <c r="F55" s="5"/>
      <c r="O55" s="5"/>
      <c r="P55" s="5"/>
      <c r="Q55" s="5"/>
      <c r="R55" s="5"/>
    </row>
    <row r="56" spans="1:18" s="6" customFormat="1" x14ac:dyDescent="0.25">
      <c r="A56" s="5"/>
      <c r="B56" s="5"/>
      <c r="C56" s="5"/>
      <c r="D56" s="5"/>
      <c r="E56" s="5"/>
      <c r="F56" s="5"/>
      <c r="O56" s="5"/>
      <c r="P56" s="5"/>
      <c r="Q56" s="5"/>
      <c r="R56" s="5"/>
    </row>
    <row r="57" spans="1:18" s="6" customFormat="1" x14ac:dyDescent="0.25">
      <c r="A57" s="5"/>
      <c r="B57" s="5"/>
      <c r="C57" s="5"/>
      <c r="D57" s="5"/>
      <c r="E57" s="5"/>
      <c r="F57" s="5"/>
      <c r="O57" s="5"/>
      <c r="P57" s="5"/>
      <c r="Q57" s="5"/>
      <c r="R57" s="5"/>
    </row>
    <row r="58" spans="1:18" s="6" customFormat="1" x14ac:dyDescent="0.25">
      <c r="A58" s="5"/>
      <c r="B58" s="5"/>
      <c r="C58" s="5"/>
      <c r="D58" s="5"/>
      <c r="E58" s="5"/>
      <c r="F58" s="5"/>
      <c r="O58" s="5"/>
      <c r="P58" s="5"/>
      <c r="Q58" s="5"/>
      <c r="R58" s="5"/>
    </row>
    <row r="59" spans="1:18" s="6" customFormat="1" x14ac:dyDescent="0.25">
      <c r="A59" s="5"/>
      <c r="B59" s="5"/>
      <c r="C59" s="5"/>
      <c r="D59" s="5"/>
      <c r="E59" s="5"/>
      <c r="F59" s="5"/>
      <c r="O59" s="5"/>
      <c r="P59" s="5"/>
      <c r="Q59" s="5"/>
      <c r="R59" s="5"/>
    </row>
    <row r="60" spans="1:18" s="6" customFormat="1" x14ac:dyDescent="0.25">
      <c r="A60" s="5"/>
      <c r="B60" s="5"/>
      <c r="C60" s="5"/>
      <c r="D60" s="5"/>
      <c r="E60" s="5"/>
      <c r="F60" s="5"/>
      <c r="O60" s="5"/>
      <c r="P60" s="5"/>
      <c r="Q60" s="5"/>
      <c r="R60" s="5"/>
    </row>
    <row r="61" spans="1:18" s="6" customFormat="1" x14ac:dyDescent="0.25">
      <c r="A61" s="5"/>
      <c r="B61" s="5"/>
      <c r="C61" s="5"/>
      <c r="D61" s="5"/>
      <c r="E61" s="5"/>
      <c r="F61" s="5"/>
      <c r="O61" s="5"/>
      <c r="P61" s="5"/>
      <c r="Q61" s="5"/>
      <c r="R61" s="5"/>
    </row>
    <row r="62" spans="1:18" s="6" customFormat="1" x14ac:dyDescent="0.25">
      <c r="A62" s="5"/>
      <c r="B62" s="5"/>
      <c r="C62" s="5"/>
      <c r="D62" s="5"/>
      <c r="E62" s="5"/>
      <c r="F62" s="5"/>
      <c r="O62" s="5"/>
      <c r="P62" s="5"/>
      <c r="Q62" s="5"/>
      <c r="R62" s="5"/>
    </row>
    <row r="63" spans="1:18" s="6" customFormat="1" x14ac:dyDescent="0.25">
      <c r="A63" s="5"/>
      <c r="B63" s="5"/>
      <c r="C63" s="5"/>
      <c r="D63" s="5"/>
      <c r="E63" s="5"/>
      <c r="F63" s="5"/>
      <c r="O63" s="5"/>
      <c r="P63" s="5"/>
      <c r="Q63" s="5"/>
      <c r="R63" s="5"/>
    </row>
    <row r="64" spans="1:18" s="6" customFormat="1" x14ac:dyDescent="0.25">
      <c r="A64" s="5"/>
      <c r="B64" s="5"/>
      <c r="C64" s="5"/>
      <c r="D64" s="5"/>
      <c r="E64" s="5"/>
      <c r="F64" s="5"/>
      <c r="O64" s="5"/>
      <c r="P64" s="5"/>
      <c r="Q64" s="5"/>
      <c r="R64" s="5"/>
    </row>
    <row r="65" spans="1:18" s="6" customFormat="1" x14ac:dyDescent="0.25">
      <c r="A65" s="5"/>
      <c r="B65" s="5"/>
      <c r="C65" s="5"/>
      <c r="D65" s="5"/>
      <c r="E65" s="5"/>
      <c r="F65" s="5"/>
      <c r="O65" s="5"/>
      <c r="P65" s="5"/>
      <c r="Q65" s="5"/>
      <c r="R65" s="5"/>
    </row>
    <row r="66" spans="1:18" s="6" customFormat="1" x14ac:dyDescent="0.25">
      <c r="A66" s="5"/>
      <c r="B66" s="5"/>
      <c r="C66" s="5"/>
      <c r="D66" s="5"/>
      <c r="E66" s="5"/>
      <c r="F66" s="5"/>
      <c r="O66" s="5"/>
      <c r="P66" s="5"/>
      <c r="Q66" s="5"/>
      <c r="R66" s="5"/>
    </row>
    <row r="67" spans="1:18" s="6" customFormat="1" x14ac:dyDescent="0.25">
      <c r="A67" s="5"/>
      <c r="B67" s="5"/>
      <c r="C67" s="5"/>
      <c r="D67" s="5"/>
      <c r="E67" s="5"/>
      <c r="F67" s="5"/>
      <c r="O67" s="5"/>
      <c r="P67" s="5"/>
      <c r="Q67" s="5"/>
      <c r="R67" s="5"/>
    </row>
    <row r="68" spans="1:18" s="6" customFormat="1" x14ac:dyDescent="0.25">
      <c r="A68" s="5"/>
      <c r="B68" s="5"/>
      <c r="C68" s="5"/>
      <c r="D68" s="5"/>
      <c r="E68" s="5"/>
      <c r="F68" s="5"/>
      <c r="O68" s="5"/>
      <c r="P68" s="5"/>
      <c r="Q68" s="5"/>
      <c r="R68" s="5"/>
    </row>
    <row r="69" spans="1:18" s="6" customFormat="1" x14ac:dyDescent="0.25">
      <c r="A69" s="5"/>
      <c r="B69" s="5"/>
      <c r="C69" s="5"/>
      <c r="D69" s="5"/>
      <c r="E69" s="5"/>
      <c r="F69" s="5"/>
      <c r="O69" s="5"/>
      <c r="P69" s="5"/>
      <c r="Q69" s="5"/>
      <c r="R69" s="5"/>
    </row>
    <row r="70" spans="1:18" s="6" customFormat="1" x14ac:dyDescent="0.25">
      <c r="A70" s="5"/>
      <c r="B70" s="5"/>
      <c r="C70" s="5"/>
      <c r="D70" s="5"/>
      <c r="E70" s="5"/>
      <c r="F70" s="5"/>
      <c r="O70" s="5"/>
      <c r="P70" s="5"/>
      <c r="Q70" s="5"/>
      <c r="R70" s="5"/>
    </row>
    <row r="71" spans="1:18" s="6" customFormat="1" x14ac:dyDescent="0.25">
      <c r="A71" s="5"/>
      <c r="B71" s="5"/>
      <c r="C71" s="5"/>
      <c r="D71" s="5"/>
      <c r="E71" s="5"/>
      <c r="F71" s="5"/>
      <c r="O71" s="5"/>
      <c r="P71" s="5"/>
      <c r="Q71" s="5"/>
      <c r="R71" s="5"/>
    </row>
    <row r="72" spans="1:18" s="6" customFormat="1" x14ac:dyDescent="0.25">
      <c r="A72" s="5"/>
      <c r="B72" s="5"/>
      <c r="C72" s="5"/>
      <c r="D72" s="5"/>
      <c r="E72" s="5"/>
      <c r="F72" s="5"/>
      <c r="O72" s="5"/>
      <c r="P72" s="5"/>
      <c r="Q72" s="5"/>
      <c r="R72" s="5"/>
    </row>
    <row r="73" spans="1:18" s="6" customFormat="1" x14ac:dyDescent="0.25">
      <c r="A73" s="5"/>
      <c r="B73" s="5"/>
      <c r="C73" s="5"/>
      <c r="D73" s="5"/>
      <c r="E73" s="5"/>
      <c r="F73" s="5"/>
      <c r="O73" s="5"/>
      <c r="P73" s="5"/>
      <c r="Q73" s="5"/>
      <c r="R73" s="5"/>
    </row>
    <row r="74" spans="1:18" s="6" customFormat="1" x14ac:dyDescent="0.25">
      <c r="A74" s="5"/>
      <c r="B74" s="5"/>
      <c r="C74" s="5"/>
      <c r="D74" s="5"/>
      <c r="E74" s="5"/>
      <c r="F74" s="5"/>
      <c r="O74" s="5"/>
      <c r="P74" s="5"/>
      <c r="Q74" s="5"/>
      <c r="R74" s="5"/>
    </row>
    <row r="75" spans="1:18" s="6" customFormat="1" x14ac:dyDescent="0.25">
      <c r="A75" s="5"/>
      <c r="B75" s="5"/>
      <c r="C75" s="5"/>
      <c r="D75" s="5"/>
      <c r="E75" s="5"/>
      <c r="F75" s="5"/>
      <c r="O75" s="5"/>
      <c r="P75" s="5"/>
      <c r="Q75" s="5"/>
      <c r="R75" s="5"/>
    </row>
    <row r="76" spans="1:18" s="6" customFormat="1" x14ac:dyDescent="0.25">
      <c r="A76" s="5"/>
      <c r="B76" s="5"/>
      <c r="C76" s="5"/>
      <c r="D76" s="5"/>
      <c r="E76" s="5"/>
      <c r="F76" s="5"/>
      <c r="O76" s="5"/>
      <c r="P76" s="5"/>
      <c r="Q76" s="5"/>
      <c r="R76" s="5"/>
    </row>
    <row r="77" spans="1:18" s="6" customFormat="1" x14ac:dyDescent="0.25">
      <c r="A77" s="5"/>
      <c r="B77" s="5"/>
      <c r="C77" s="5"/>
      <c r="D77" s="5"/>
      <c r="E77" s="5"/>
      <c r="F77" s="5"/>
      <c r="O77" s="5"/>
      <c r="P77" s="5"/>
      <c r="Q77" s="5"/>
      <c r="R77" s="5"/>
    </row>
    <row r="78" spans="1:18" s="6" customFormat="1" x14ac:dyDescent="0.25">
      <c r="A78" s="5"/>
      <c r="B78" s="5"/>
      <c r="C78" s="5"/>
      <c r="D78" s="5"/>
      <c r="E78" s="5"/>
      <c r="F78" s="5"/>
      <c r="O78" s="5"/>
      <c r="P78" s="5"/>
      <c r="Q78" s="5"/>
      <c r="R78" s="5"/>
    </row>
    <row r="79" spans="1:18" s="6" customFormat="1" x14ac:dyDescent="0.25">
      <c r="A79" s="5"/>
      <c r="B79" s="5"/>
      <c r="C79" s="5"/>
      <c r="D79" s="5"/>
      <c r="E79" s="5"/>
      <c r="F79" s="5"/>
      <c r="O79" s="5"/>
      <c r="P79" s="5"/>
      <c r="Q79" s="5"/>
      <c r="R79" s="5"/>
    </row>
    <row r="80" spans="1:18" s="6" customFormat="1" x14ac:dyDescent="0.25">
      <c r="A80" s="5"/>
      <c r="B80" s="5"/>
      <c r="C80" s="5"/>
      <c r="D80" s="5"/>
      <c r="E80" s="5"/>
      <c r="F80" s="5"/>
      <c r="O80" s="5"/>
      <c r="P80" s="5"/>
      <c r="Q80" s="5"/>
      <c r="R80" s="5"/>
    </row>
    <row r="81" spans="1:18" s="6" customFormat="1" x14ac:dyDescent="0.25">
      <c r="A81" s="5"/>
      <c r="B81" s="5"/>
      <c r="C81" s="5"/>
      <c r="D81" s="5"/>
      <c r="E81" s="5"/>
      <c r="F81" s="5"/>
      <c r="O81" s="5"/>
      <c r="P81" s="5"/>
      <c r="Q81" s="5"/>
      <c r="R81" s="5"/>
    </row>
    <row r="82" spans="1:18" s="6" customFormat="1" x14ac:dyDescent="0.25">
      <c r="A82" s="5"/>
      <c r="B82" s="5"/>
      <c r="C82" s="5"/>
      <c r="D82" s="5"/>
      <c r="E82" s="5"/>
      <c r="F82" s="5"/>
      <c r="O82" s="5"/>
      <c r="P82" s="5"/>
      <c r="Q82" s="5"/>
      <c r="R82" s="5"/>
    </row>
    <row r="83" spans="1:18" s="6" customFormat="1" x14ac:dyDescent="0.25">
      <c r="A83" s="5"/>
      <c r="B83" s="5"/>
      <c r="C83" s="5"/>
      <c r="D83" s="5"/>
      <c r="E83" s="5"/>
      <c r="F83" s="5"/>
      <c r="O83" s="5"/>
      <c r="P83" s="5"/>
      <c r="Q83" s="5"/>
      <c r="R83" s="5"/>
    </row>
    <row r="84" spans="1:18" s="6" customFormat="1" x14ac:dyDescent="0.25">
      <c r="A84" s="5"/>
      <c r="B84" s="5"/>
      <c r="C84" s="5"/>
      <c r="D84" s="5"/>
      <c r="E84" s="5"/>
      <c r="F84" s="5"/>
      <c r="O84" s="5"/>
      <c r="P84" s="5"/>
      <c r="Q84" s="5"/>
      <c r="R84" s="5"/>
    </row>
    <row r="85" spans="1:18" s="6" customFormat="1" x14ac:dyDescent="0.25">
      <c r="A85" s="5"/>
      <c r="B85" s="5"/>
      <c r="C85" s="5"/>
      <c r="D85" s="5"/>
      <c r="E85" s="5"/>
      <c r="F85" s="5"/>
      <c r="O85" s="5"/>
      <c r="P85" s="5"/>
      <c r="Q85" s="5"/>
      <c r="R85" s="5"/>
    </row>
    <row r="86" spans="1:18" s="6" customFormat="1" x14ac:dyDescent="0.25">
      <c r="A86" s="5"/>
      <c r="B86" s="5"/>
      <c r="C86" s="5"/>
      <c r="D86" s="5"/>
      <c r="E86" s="5"/>
      <c r="F86" s="5"/>
      <c r="O86" s="5"/>
      <c r="P86" s="5"/>
      <c r="Q86" s="5"/>
      <c r="R86" s="5"/>
    </row>
    <row r="87" spans="1:18" s="6" customFormat="1" x14ac:dyDescent="0.25">
      <c r="A87" s="5"/>
      <c r="B87" s="5"/>
      <c r="C87" s="5"/>
      <c r="D87" s="5"/>
      <c r="E87" s="5"/>
      <c r="F87" s="5"/>
      <c r="O87" s="5"/>
      <c r="P87" s="5"/>
      <c r="Q87" s="5"/>
      <c r="R87" s="5"/>
    </row>
    <row r="88" spans="1:18" s="6" customFormat="1" x14ac:dyDescent="0.25">
      <c r="A88" s="5"/>
      <c r="B88" s="5"/>
      <c r="C88" s="5"/>
      <c r="D88" s="5"/>
      <c r="E88" s="5"/>
      <c r="F88" s="5"/>
      <c r="O88" s="5"/>
      <c r="P88" s="5"/>
      <c r="Q88" s="5"/>
      <c r="R88" s="5"/>
    </row>
    <row r="89" spans="1:18" s="6" customFormat="1" x14ac:dyDescent="0.25">
      <c r="A89" s="5"/>
      <c r="B89" s="5"/>
      <c r="C89" s="5"/>
      <c r="D89" s="5"/>
      <c r="E89" s="5"/>
      <c r="F89" s="5"/>
      <c r="O89" s="5"/>
      <c r="P89" s="5"/>
      <c r="Q89" s="5"/>
      <c r="R89" s="5"/>
    </row>
    <row r="90" spans="1:18" s="6" customFormat="1" x14ac:dyDescent="0.25">
      <c r="A90" s="5"/>
      <c r="B90" s="5"/>
      <c r="C90" s="5"/>
      <c r="D90" s="5"/>
      <c r="E90" s="5"/>
      <c r="F90" s="5"/>
      <c r="O90" s="5"/>
      <c r="P90" s="5"/>
      <c r="Q90" s="5"/>
      <c r="R90" s="5"/>
    </row>
    <row r="91" spans="1:18" s="6" customFormat="1" x14ac:dyDescent="0.25">
      <c r="A91" s="5"/>
      <c r="B91" s="5"/>
      <c r="C91" s="5"/>
      <c r="D91" s="5"/>
      <c r="E91" s="5"/>
      <c r="F91" s="5"/>
      <c r="O91" s="5"/>
      <c r="P91" s="5"/>
      <c r="Q91" s="5"/>
      <c r="R91" s="5"/>
    </row>
    <row r="92" spans="1:18" s="6" customFormat="1" x14ac:dyDescent="0.25">
      <c r="A92" s="5"/>
      <c r="B92" s="5"/>
      <c r="C92" s="5"/>
      <c r="D92" s="5"/>
      <c r="E92" s="5"/>
      <c r="F92" s="5"/>
      <c r="O92" s="5"/>
      <c r="P92" s="5"/>
      <c r="Q92" s="5"/>
      <c r="R92" s="5"/>
    </row>
    <row r="93" spans="1:18" s="6" customFormat="1" x14ac:dyDescent="0.25">
      <c r="A93" s="5"/>
      <c r="B93" s="5"/>
      <c r="C93" s="5"/>
      <c r="D93" s="5"/>
      <c r="E93" s="5"/>
      <c r="F93" s="5"/>
      <c r="O93" s="5"/>
      <c r="P93" s="5"/>
      <c r="Q93" s="5"/>
      <c r="R93" s="5"/>
    </row>
    <row r="94" spans="1:18" s="6" customFormat="1" x14ac:dyDescent="0.25">
      <c r="A94" s="5"/>
      <c r="B94" s="5"/>
      <c r="C94" s="5"/>
      <c r="D94" s="5"/>
      <c r="E94" s="5"/>
      <c r="F94" s="5"/>
      <c r="O94" s="5"/>
      <c r="P94" s="5"/>
      <c r="Q94" s="5"/>
      <c r="R94" s="5"/>
    </row>
    <row r="95" spans="1:18" s="6" customFormat="1" x14ac:dyDescent="0.25">
      <c r="A95" s="5"/>
      <c r="B95" s="5"/>
      <c r="C95" s="5"/>
      <c r="D95" s="5"/>
      <c r="E95" s="5"/>
      <c r="F95" s="5"/>
      <c r="O95" s="5"/>
      <c r="P95" s="5"/>
      <c r="Q95" s="5"/>
      <c r="R95" s="5"/>
    </row>
    <row r="96" spans="1:18" s="6" customFormat="1" x14ac:dyDescent="0.25">
      <c r="A96" s="5"/>
      <c r="B96" s="5"/>
      <c r="C96" s="5"/>
      <c r="D96" s="5"/>
      <c r="E96" s="5"/>
      <c r="F96" s="5"/>
      <c r="O96" s="5"/>
      <c r="P96" s="5"/>
      <c r="Q96" s="5"/>
      <c r="R96" s="5"/>
    </row>
    <row r="97" spans="1:18" s="6" customFormat="1" x14ac:dyDescent="0.25">
      <c r="A97" s="5"/>
      <c r="B97" s="5"/>
      <c r="C97" s="5"/>
      <c r="D97" s="5"/>
      <c r="E97" s="5"/>
      <c r="F97" s="5"/>
      <c r="O97" s="5"/>
      <c r="P97" s="5"/>
      <c r="Q97" s="5"/>
      <c r="R97" s="5"/>
    </row>
    <row r="98" spans="1:18" s="6" customFormat="1" x14ac:dyDescent="0.25">
      <c r="A98" s="5"/>
      <c r="B98" s="5"/>
      <c r="C98" s="5"/>
      <c r="D98" s="5"/>
      <c r="E98" s="5"/>
      <c r="F98" s="5"/>
      <c r="O98" s="5"/>
      <c r="P98" s="5"/>
      <c r="Q98" s="5"/>
      <c r="R98" s="5"/>
    </row>
    <row r="99" spans="1:18" s="6" customFormat="1" x14ac:dyDescent="0.25">
      <c r="A99" s="5"/>
      <c r="B99" s="5"/>
      <c r="C99" s="5"/>
      <c r="D99" s="5"/>
      <c r="E99" s="5"/>
      <c r="F99" s="5"/>
      <c r="O99" s="5"/>
      <c r="P99" s="5"/>
      <c r="Q99" s="5"/>
      <c r="R99" s="5"/>
    </row>
    <row r="100" spans="1:18" s="6" customFormat="1" x14ac:dyDescent="0.25">
      <c r="A100" s="5"/>
      <c r="B100" s="5"/>
      <c r="C100" s="5"/>
      <c r="D100" s="5"/>
      <c r="E100" s="5"/>
      <c r="F100" s="5"/>
      <c r="O100" s="5"/>
      <c r="P100" s="5"/>
      <c r="Q100" s="5"/>
      <c r="R100" s="5"/>
    </row>
    <row r="101" spans="1:18" s="6" customFormat="1" x14ac:dyDescent="0.25">
      <c r="A101" s="5"/>
      <c r="B101" s="5"/>
      <c r="C101" s="5"/>
      <c r="D101" s="5"/>
      <c r="E101" s="5"/>
      <c r="F101" s="5"/>
      <c r="O101" s="5"/>
      <c r="P101" s="5"/>
      <c r="Q101" s="5"/>
      <c r="R101" s="5"/>
    </row>
    <row r="102" spans="1:18" s="6" customFormat="1" x14ac:dyDescent="0.25">
      <c r="A102" s="5"/>
      <c r="B102" s="5"/>
      <c r="C102" s="5"/>
      <c r="D102" s="5"/>
      <c r="E102" s="5"/>
      <c r="F102" s="5"/>
      <c r="O102" s="5"/>
      <c r="P102" s="5"/>
      <c r="Q102" s="5"/>
      <c r="R102" s="5"/>
    </row>
    <row r="103" spans="1:18" s="6" customFormat="1" x14ac:dyDescent="0.25">
      <c r="A103" s="5"/>
      <c r="B103" s="5"/>
      <c r="C103" s="5"/>
      <c r="D103" s="5"/>
      <c r="E103" s="5"/>
      <c r="F103" s="5"/>
      <c r="O103" s="5"/>
      <c r="P103" s="5"/>
      <c r="Q103" s="5"/>
      <c r="R103" s="5"/>
    </row>
    <row r="104" spans="1:18" s="6" customFormat="1" x14ac:dyDescent="0.25">
      <c r="A104" s="5"/>
      <c r="B104" s="5"/>
      <c r="C104" s="5"/>
      <c r="D104" s="5"/>
      <c r="E104" s="5"/>
      <c r="F104" s="5"/>
      <c r="O104" s="5"/>
      <c r="P104" s="5"/>
      <c r="Q104" s="5"/>
      <c r="R104" s="5"/>
    </row>
    <row r="105" spans="1:18" s="6" customFormat="1" x14ac:dyDescent="0.25">
      <c r="A105" s="5"/>
      <c r="B105" s="5"/>
      <c r="C105" s="5"/>
      <c r="D105" s="5"/>
      <c r="E105" s="5"/>
      <c r="F105" s="5"/>
      <c r="O105" s="5"/>
      <c r="P105" s="5"/>
      <c r="Q105" s="5"/>
      <c r="R105" s="5"/>
    </row>
    <row r="106" spans="1:18" s="6" customFormat="1" x14ac:dyDescent="0.25">
      <c r="A106" s="5"/>
      <c r="B106" s="5"/>
      <c r="C106" s="5"/>
      <c r="D106" s="5"/>
      <c r="E106" s="5"/>
      <c r="F106" s="5"/>
      <c r="O106" s="5"/>
      <c r="P106" s="5"/>
      <c r="Q106" s="5"/>
      <c r="R106" s="5"/>
    </row>
    <row r="107" spans="1:18" s="6" customFormat="1" x14ac:dyDescent="0.25">
      <c r="A107" s="5"/>
      <c r="B107" s="5"/>
      <c r="C107" s="5"/>
      <c r="D107" s="5"/>
      <c r="E107" s="5"/>
      <c r="F107" s="5"/>
      <c r="O107" s="5"/>
      <c r="P107" s="5"/>
      <c r="Q107" s="5"/>
      <c r="R107" s="5"/>
    </row>
    <row r="108" spans="1:18" s="6" customFormat="1" x14ac:dyDescent="0.25">
      <c r="A108" s="5"/>
      <c r="B108" s="5"/>
      <c r="C108" s="5"/>
      <c r="D108" s="5"/>
      <c r="E108" s="5"/>
      <c r="F108" s="5"/>
      <c r="O108" s="5"/>
      <c r="P108" s="5"/>
      <c r="Q108" s="5"/>
      <c r="R108" s="5"/>
    </row>
    <row r="109" spans="1:18" s="6" customFormat="1" x14ac:dyDescent="0.25">
      <c r="A109" s="5"/>
      <c r="B109" s="5"/>
      <c r="C109" s="5"/>
      <c r="D109" s="5"/>
      <c r="E109" s="5"/>
      <c r="F109" s="5"/>
      <c r="O109" s="5"/>
      <c r="P109" s="5"/>
      <c r="Q109" s="5"/>
      <c r="R109" s="5"/>
    </row>
    <row r="110" spans="1:18" s="6" customFormat="1" x14ac:dyDescent="0.25">
      <c r="A110" s="5"/>
      <c r="B110" s="5"/>
      <c r="C110" s="5"/>
      <c r="D110" s="5"/>
      <c r="E110" s="5"/>
      <c r="F110" s="5"/>
      <c r="O110" s="5"/>
      <c r="P110" s="5"/>
      <c r="Q110" s="5"/>
      <c r="R110" s="5"/>
    </row>
    <row r="111" spans="1:18" s="6" customFormat="1" x14ac:dyDescent="0.25">
      <c r="A111" s="5"/>
      <c r="B111" s="5"/>
      <c r="C111" s="5"/>
      <c r="D111" s="5"/>
      <c r="E111" s="5"/>
      <c r="F111" s="5"/>
      <c r="O111" s="5"/>
      <c r="P111" s="5"/>
      <c r="Q111" s="5"/>
      <c r="R111" s="5"/>
    </row>
    <row r="112" spans="1:18" s="6" customFormat="1" x14ac:dyDescent="0.25">
      <c r="A112" s="5"/>
      <c r="B112" s="5"/>
      <c r="C112" s="5"/>
      <c r="D112" s="5"/>
      <c r="E112" s="5"/>
      <c r="F112" s="5"/>
      <c r="O112" s="5"/>
      <c r="P112" s="5"/>
      <c r="Q112" s="5"/>
      <c r="R112" s="5"/>
    </row>
    <row r="113" spans="1:18" s="6" customFormat="1" x14ac:dyDescent="0.25">
      <c r="A113" s="5"/>
      <c r="B113" s="5"/>
      <c r="C113" s="5"/>
      <c r="D113" s="5"/>
      <c r="E113" s="5"/>
      <c r="F113" s="5"/>
      <c r="O113" s="5"/>
      <c r="P113" s="5"/>
      <c r="Q113" s="5"/>
      <c r="R113" s="5"/>
    </row>
    <row r="114" spans="1:18" s="6" customFormat="1" x14ac:dyDescent="0.25">
      <c r="A114" s="5"/>
      <c r="B114" s="5"/>
      <c r="C114" s="5"/>
      <c r="D114" s="5"/>
      <c r="E114" s="5"/>
      <c r="F114" s="5"/>
      <c r="O114" s="5"/>
      <c r="P114" s="5"/>
      <c r="Q114" s="5"/>
      <c r="R114" s="5"/>
    </row>
    <row r="115" spans="1:18" s="6" customFormat="1" x14ac:dyDescent="0.25">
      <c r="A115" s="5"/>
      <c r="B115" s="5"/>
      <c r="C115" s="5"/>
      <c r="D115" s="5"/>
      <c r="E115" s="5"/>
      <c r="F115" s="5"/>
      <c r="O115" s="5"/>
      <c r="P115" s="5"/>
      <c r="Q115" s="5"/>
      <c r="R115" s="5"/>
    </row>
    <row r="116" spans="1:18" s="6" customFormat="1" x14ac:dyDescent="0.25">
      <c r="A116" s="5"/>
      <c r="B116" s="5"/>
      <c r="C116" s="5"/>
      <c r="D116" s="5"/>
      <c r="E116" s="5"/>
      <c r="F116" s="5"/>
      <c r="O116" s="5"/>
      <c r="P116" s="5"/>
      <c r="Q116" s="5"/>
      <c r="R116" s="5"/>
    </row>
    <row r="117" spans="1:18" s="6" customFormat="1" x14ac:dyDescent="0.25">
      <c r="A117" s="5"/>
      <c r="B117" s="5"/>
      <c r="C117" s="5"/>
      <c r="D117" s="5"/>
      <c r="E117" s="5"/>
      <c r="F117" s="5"/>
      <c r="O117" s="5"/>
      <c r="P117" s="5"/>
      <c r="Q117" s="5"/>
      <c r="R117" s="5"/>
    </row>
    <row r="118" spans="1:18" s="6" customFormat="1" x14ac:dyDescent="0.25">
      <c r="A118" s="5"/>
      <c r="B118" s="5"/>
      <c r="C118" s="5"/>
      <c r="D118" s="5"/>
      <c r="E118" s="5"/>
      <c r="F118" s="5"/>
      <c r="O118" s="5"/>
      <c r="P118" s="5"/>
      <c r="Q118" s="5"/>
      <c r="R118" s="5"/>
    </row>
    <row r="119" spans="1:18" s="6" customFormat="1" x14ac:dyDescent="0.25">
      <c r="A119" s="5"/>
      <c r="B119" s="5"/>
      <c r="C119" s="5"/>
      <c r="D119" s="5"/>
      <c r="E119" s="5"/>
      <c r="F119" s="5"/>
      <c r="O119" s="5"/>
      <c r="P119" s="5"/>
      <c r="Q119" s="5"/>
      <c r="R119" s="5"/>
    </row>
    <row r="120" spans="1:18" s="6" customFormat="1" x14ac:dyDescent="0.25">
      <c r="A120" s="5"/>
      <c r="B120" s="5"/>
      <c r="C120" s="5"/>
      <c r="D120" s="5"/>
      <c r="E120" s="5"/>
      <c r="F120" s="5"/>
      <c r="O120" s="5"/>
      <c r="P120" s="5"/>
      <c r="Q120" s="5"/>
      <c r="R120" s="5"/>
    </row>
    <row r="121" spans="1:18" s="6" customFormat="1" x14ac:dyDescent="0.25">
      <c r="A121" s="5"/>
      <c r="B121" s="5"/>
      <c r="C121" s="5"/>
      <c r="D121" s="5"/>
      <c r="E121" s="5"/>
      <c r="F121" s="5"/>
      <c r="O121" s="5"/>
      <c r="P121" s="5"/>
      <c r="Q121" s="5"/>
      <c r="R121" s="5"/>
    </row>
    <row r="122" spans="1:18" s="6" customFormat="1" x14ac:dyDescent="0.25">
      <c r="A122" s="5"/>
      <c r="B122" s="5"/>
      <c r="C122" s="5"/>
      <c r="D122" s="5"/>
      <c r="E122" s="5"/>
      <c r="F122" s="5"/>
      <c r="O122" s="5"/>
      <c r="P122" s="5"/>
      <c r="Q122" s="5"/>
      <c r="R122" s="5"/>
    </row>
    <row r="123" spans="1:18" s="6" customFormat="1" x14ac:dyDescent="0.25">
      <c r="A123" s="5"/>
      <c r="B123" s="5"/>
      <c r="C123" s="5"/>
      <c r="D123" s="5"/>
      <c r="E123" s="5"/>
      <c r="F123" s="5"/>
      <c r="O123" s="5"/>
      <c r="P123" s="5"/>
      <c r="Q123" s="5"/>
      <c r="R123" s="5"/>
    </row>
    <row r="124" spans="1:18" s="6" customFormat="1" x14ac:dyDescent="0.25">
      <c r="A124" s="5"/>
      <c r="B124" s="5"/>
      <c r="C124" s="5"/>
      <c r="D124" s="5"/>
      <c r="E124" s="5"/>
      <c r="F124" s="5"/>
      <c r="O124" s="5"/>
      <c r="P124" s="5"/>
      <c r="Q124" s="5"/>
      <c r="R124" s="5"/>
    </row>
    <row r="125" spans="1:18" s="6" customFormat="1" x14ac:dyDescent="0.25">
      <c r="A125" s="5"/>
      <c r="B125" s="5"/>
      <c r="C125" s="5"/>
      <c r="D125" s="5"/>
      <c r="E125" s="5"/>
      <c r="F125" s="5"/>
      <c r="O125" s="5"/>
      <c r="P125" s="5"/>
      <c r="Q125" s="5"/>
      <c r="R125" s="5"/>
    </row>
    <row r="126" spans="1:18" s="6" customFormat="1" x14ac:dyDescent="0.25">
      <c r="A126" s="5"/>
      <c r="B126" s="5"/>
      <c r="C126" s="5"/>
      <c r="D126" s="5"/>
      <c r="E126" s="5"/>
      <c r="F126" s="5"/>
      <c r="O126" s="5"/>
      <c r="P126" s="5"/>
      <c r="Q126" s="5"/>
      <c r="R126" s="5"/>
    </row>
    <row r="127" spans="1:18" s="6" customFormat="1" x14ac:dyDescent="0.25">
      <c r="A127" s="5"/>
      <c r="B127" s="5"/>
      <c r="C127" s="5"/>
      <c r="D127" s="5"/>
      <c r="E127" s="5"/>
      <c r="F127" s="5"/>
      <c r="O127" s="5"/>
      <c r="P127" s="5"/>
      <c r="Q127" s="5"/>
      <c r="R127" s="5"/>
    </row>
    <row r="128" spans="1:18" s="6" customFormat="1" x14ac:dyDescent="0.25">
      <c r="A128" s="5"/>
      <c r="B128" s="5"/>
      <c r="C128" s="5"/>
      <c r="D128" s="5"/>
      <c r="E128" s="5"/>
      <c r="F128" s="5"/>
      <c r="O128" s="5"/>
      <c r="P128" s="5"/>
      <c r="Q128" s="5"/>
      <c r="R128" s="5"/>
    </row>
    <row r="129" spans="1:18" s="6" customFormat="1" x14ac:dyDescent="0.25">
      <c r="A129" s="5"/>
      <c r="B129" s="5"/>
      <c r="C129" s="5"/>
      <c r="D129" s="5"/>
      <c r="E129" s="5"/>
      <c r="F129" s="5"/>
      <c r="O129" s="5"/>
      <c r="P129" s="5"/>
      <c r="Q129" s="5"/>
      <c r="R129" s="5"/>
    </row>
    <row r="130" spans="1:18" s="6" customFormat="1" x14ac:dyDescent="0.25">
      <c r="A130" s="5"/>
      <c r="B130" s="5"/>
      <c r="C130" s="5"/>
      <c r="D130" s="5"/>
      <c r="E130" s="5"/>
      <c r="F130" s="5"/>
      <c r="O130" s="5"/>
      <c r="P130" s="5"/>
      <c r="Q130" s="5"/>
      <c r="R130" s="5"/>
    </row>
    <row r="131" spans="1:18" s="6" customFormat="1" x14ac:dyDescent="0.25">
      <c r="A131" s="5"/>
      <c r="B131" s="5"/>
      <c r="C131" s="5"/>
      <c r="D131" s="5"/>
      <c r="E131" s="5"/>
      <c r="F131" s="5"/>
      <c r="O131" s="5"/>
      <c r="P131" s="5"/>
      <c r="Q131" s="5"/>
      <c r="R131" s="5"/>
    </row>
    <row r="132" spans="1:18" s="6" customFormat="1" x14ac:dyDescent="0.25">
      <c r="A132" s="5"/>
      <c r="B132" s="5"/>
      <c r="C132" s="5"/>
      <c r="D132" s="5"/>
      <c r="E132" s="5"/>
      <c r="F132" s="5"/>
      <c r="O132" s="5"/>
      <c r="P132" s="5"/>
      <c r="Q132" s="5"/>
      <c r="R132" s="5"/>
    </row>
    <row r="133" spans="1:18" s="6" customFormat="1" x14ac:dyDescent="0.25">
      <c r="A133" s="5"/>
      <c r="B133" s="5"/>
      <c r="C133" s="5"/>
      <c r="D133" s="5"/>
      <c r="E133" s="5"/>
      <c r="F133" s="5"/>
      <c r="O133" s="5"/>
      <c r="P133" s="5"/>
      <c r="Q133" s="5"/>
      <c r="R133" s="5"/>
    </row>
    <row r="134" spans="1:18" s="6" customFormat="1" x14ac:dyDescent="0.25">
      <c r="A134" s="5"/>
      <c r="B134" s="5"/>
      <c r="C134" s="5"/>
      <c r="D134" s="5"/>
      <c r="E134" s="5"/>
      <c r="F134" s="5"/>
      <c r="O134" s="5"/>
      <c r="P134" s="5"/>
      <c r="Q134" s="5"/>
      <c r="R134" s="5"/>
    </row>
    <row r="135" spans="1:18" s="6" customFormat="1" x14ac:dyDescent="0.25">
      <c r="A135" s="5"/>
      <c r="B135" s="5"/>
      <c r="C135" s="5"/>
      <c r="D135" s="5"/>
      <c r="E135" s="5"/>
      <c r="F135" s="5"/>
      <c r="O135" s="5"/>
      <c r="P135" s="5"/>
      <c r="Q135" s="5"/>
      <c r="R135" s="5"/>
    </row>
    <row r="136" spans="1:18" s="6" customFormat="1" x14ac:dyDescent="0.25">
      <c r="A136" s="5"/>
      <c r="B136" s="5"/>
      <c r="C136" s="5"/>
      <c r="D136" s="5"/>
      <c r="E136" s="5"/>
      <c r="F136" s="5"/>
      <c r="O136" s="5"/>
      <c r="P136" s="5"/>
      <c r="Q136" s="5"/>
      <c r="R136" s="5"/>
    </row>
    <row r="137" spans="1:18" s="6" customFormat="1" x14ac:dyDescent="0.25">
      <c r="A137" s="5"/>
      <c r="B137" s="5"/>
      <c r="C137" s="5"/>
      <c r="D137" s="5"/>
      <c r="E137" s="5"/>
      <c r="F137" s="5"/>
      <c r="O137" s="5"/>
      <c r="P137" s="5"/>
      <c r="Q137" s="5"/>
      <c r="R137" s="5"/>
    </row>
    <row r="138" spans="1:18" s="6" customFormat="1" x14ac:dyDescent="0.25">
      <c r="A138" s="5"/>
      <c r="B138" s="5"/>
      <c r="C138" s="5"/>
      <c r="D138" s="5"/>
      <c r="E138" s="5"/>
      <c r="F138" s="5"/>
      <c r="O138" s="5"/>
      <c r="P138" s="5"/>
      <c r="Q138" s="5"/>
      <c r="R138" s="5"/>
    </row>
    <row r="139" spans="1:18" s="6" customFormat="1" x14ac:dyDescent="0.25">
      <c r="A139" s="5"/>
      <c r="B139" s="5"/>
      <c r="C139" s="5"/>
      <c r="D139" s="5"/>
      <c r="E139" s="5"/>
      <c r="F139" s="5"/>
      <c r="O139" s="5"/>
      <c r="P139" s="5"/>
      <c r="Q139" s="5"/>
      <c r="R139" s="5"/>
    </row>
    <row r="140" spans="1:18" s="6" customFormat="1" x14ac:dyDescent="0.25">
      <c r="A140" s="5"/>
      <c r="B140" s="5"/>
      <c r="C140" s="5"/>
      <c r="D140" s="5"/>
      <c r="E140" s="5"/>
      <c r="F140" s="5"/>
      <c r="O140" s="5"/>
      <c r="P140" s="5"/>
      <c r="Q140" s="5"/>
      <c r="R140" s="5"/>
    </row>
    <row r="141" spans="1:18" s="6" customFormat="1" x14ac:dyDescent="0.25">
      <c r="A141" s="5"/>
      <c r="B141" s="5"/>
      <c r="C141" s="5"/>
      <c r="D141" s="5"/>
      <c r="E141" s="5"/>
      <c r="F141" s="5"/>
      <c r="O141" s="5"/>
      <c r="P141" s="5"/>
      <c r="Q141" s="5"/>
      <c r="R141" s="5"/>
    </row>
    <row r="142" spans="1:18" s="6" customFormat="1" x14ac:dyDescent="0.25">
      <c r="A142" s="5"/>
      <c r="B142" s="5"/>
      <c r="C142" s="5"/>
      <c r="D142" s="5"/>
      <c r="E142" s="5"/>
      <c r="F142" s="5"/>
      <c r="O142" s="5"/>
      <c r="P142" s="5"/>
      <c r="Q142" s="5"/>
      <c r="R142" s="5"/>
    </row>
    <row r="143" spans="1:18" s="6" customFormat="1" x14ac:dyDescent="0.25">
      <c r="A143" s="5"/>
      <c r="B143" s="5"/>
      <c r="C143" s="5"/>
      <c r="D143" s="5"/>
      <c r="E143" s="5"/>
      <c r="F143" s="5"/>
      <c r="O143" s="5"/>
      <c r="P143" s="5"/>
      <c r="Q143" s="5"/>
      <c r="R143" s="5"/>
    </row>
    <row r="144" spans="1:18" s="6" customFormat="1" x14ac:dyDescent="0.25">
      <c r="A144" s="5"/>
      <c r="B144" s="5"/>
      <c r="C144" s="5"/>
      <c r="D144" s="5"/>
      <c r="E144" s="5"/>
      <c r="F144" s="5"/>
      <c r="O144" s="5"/>
      <c r="P144" s="5"/>
      <c r="Q144" s="5"/>
      <c r="R144" s="5"/>
    </row>
    <row r="145" spans="1:18" s="6" customFormat="1" x14ac:dyDescent="0.25">
      <c r="A145" s="5"/>
      <c r="B145" s="5"/>
      <c r="C145" s="5"/>
      <c r="D145" s="5"/>
      <c r="E145" s="5"/>
      <c r="F145" s="5"/>
      <c r="O145" s="5"/>
      <c r="P145" s="5"/>
      <c r="Q145" s="5"/>
      <c r="R145" s="5"/>
    </row>
    <row r="146" spans="1:18" s="6" customFormat="1" x14ac:dyDescent="0.25">
      <c r="A146" s="5"/>
      <c r="B146" s="5"/>
      <c r="C146" s="5"/>
      <c r="D146" s="5"/>
      <c r="E146" s="5"/>
      <c r="F146" s="5"/>
      <c r="O146" s="5"/>
      <c r="P146" s="5"/>
      <c r="Q146" s="5"/>
      <c r="R146" s="5"/>
    </row>
    <row r="147" spans="1:18" s="6" customFormat="1" x14ac:dyDescent="0.25">
      <c r="A147" s="5"/>
      <c r="B147" s="5"/>
      <c r="C147" s="5"/>
      <c r="D147" s="5"/>
      <c r="E147" s="5"/>
      <c r="F147" s="5"/>
      <c r="O147" s="5"/>
      <c r="P147" s="5"/>
      <c r="Q147" s="5"/>
      <c r="R147" s="5"/>
    </row>
    <row r="148" spans="1:18" s="6" customFormat="1" x14ac:dyDescent="0.25">
      <c r="A148" s="5"/>
      <c r="B148" s="5"/>
      <c r="C148" s="5"/>
      <c r="D148" s="5"/>
      <c r="E148" s="5"/>
      <c r="F148" s="5"/>
      <c r="O148" s="5"/>
      <c r="P148" s="5"/>
      <c r="Q148" s="5"/>
      <c r="R148" s="5"/>
    </row>
    <row r="149" spans="1:18" s="6" customFormat="1" x14ac:dyDescent="0.25">
      <c r="A149" s="5"/>
      <c r="B149" s="5"/>
      <c r="C149" s="5"/>
      <c r="D149" s="5"/>
      <c r="E149" s="5"/>
      <c r="F149" s="5"/>
      <c r="O149" s="5"/>
      <c r="P149" s="5"/>
      <c r="Q149" s="5"/>
      <c r="R149" s="5"/>
    </row>
    <row r="150" spans="1:18" s="6" customFormat="1" x14ac:dyDescent="0.25">
      <c r="A150" s="5"/>
      <c r="B150" s="5"/>
      <c r="C150" s="5"/>
      <c r="D150" s="5"/>
      <c r="E150" s="5"/>
      <c r="F150" s="5"/>
      <c r="O150" s="5"/>
      <c r="P150" s="5"/>
      <c r="Q150" s="5"/>
      <c r="R150" s="5"/>
    </row>
    <row r="151" spans="1:18" s="6" customFormat="1" x14ac:dyDescent="0.25">
      <c r="A151" s="5"/>
      <c r="B151" s="5"/>
      <c r="C151" s="5"/>
      <c r="D151" s="5"/>
      <c r="E151" s="5"/>
      <c r="F151" s="5"/>
      <c r="O151" s="5"/>
      <c r="P151" s="5"/>
      <c r="Q151" s="5"/>
      <c r="R151" s="5"/>
    </row>
    <row r="152" spans="1:18" s="6" customFormat="1" x14ac:dyDescent="0.25">
      <c r="A152" s="5"/>
      <c r="B152" s="5"/>
      <c r="C152" s="5"/>
      <c r="D152" s="5"/>
      <c r="E152" s="5"/>
      <c r="F152" s="5"/>
      <c r="O152" s="5"/>
      <c r="P152" s="5"/>
      <c r="Q152" s="5"/>
      <c r="R152" s="5"/>
    </row>
    <row r="153" spans="1:18" s="6" customFormat="1" x14ac:dyDescent="0.25">
      <c r="A153" s="5"/>
      <c r="B153" s="5"/>
      <c r="C153" s="5"/>
      <c r="D153" s="5"/>
      <c r="E153" s="5"/>
      <c r="F153" s="5"/>
      <c r="O153" s="5"/>
      <c r="P153" s="5"/>
      <c r="Q153" s="5"/>
      <c r="R153" s="5"/>
    </row>
    <row r="154" spans="1:18" s="6" customFormat="1" x14ac:dyDescent="0.25">
      <c r="A154" s="5"/>
      <c r="B154" s="5"/>
      <c r="C154" s="5"/>
      <c r="D154" s="5"/>
      <c r="E154" s="5"/>
      <c r="F154" s="5"/>
      <c r="O154" s="5"/>
      <c r="P154" s="5"/>
      <c r="Q154" s="5"/>
      <c r="R154" s="5"/>
    </row>
    <row r="155" spans="1:18" s="6" customFormat="1" x14ac:dyDescent="0.25">
      <c r="A155" s="5"/>
      <c r="B155" s="5"/>
      <c r="C155" s="5"/>
      <c r="D155" s="5"/>
      <c r="E155" s="5"/>
      <c r="F155" s="5"/>
      <c r="O155" s="5"/>
      <c r="P155" s="5"/>
      <c r="Q155" s="5"/>
      <c r="R155" s="5"/>
    </row>
    <row r="156" spans="1:18" s="6" customFormat="1" x14ac:dyDescent="0.25">
      <c r="A156" s="5"/>
      <c r="B156" s="5"/>
      <c r="C156" s="5"/>
      <c r="D156" s="5"/>
      <c r="E156" s="5"/>
      <c r="F156" s="5"/>
      <c r="O156" s="5"/>
      <c r="P156" s="5"/>
      <c r="Q156" s="5"/>
      <c r="R156" s="5"/>
    </row>
    <row r="157" spans="1:18" s="6" customFormat="1" x14ac:dyDescent="0.25">
      <c r="A157" s="5"/>
      <c r="B157" s="5"/>
      <c r="C157" s="5"/>
      <c r="D157" s="5"/>
      <c r="E157" s="5"/>
      <c r="F157" s="5"/>
      <c r="O157" s="5"/>
      <c r="P157" s="5"/>
      <c r="Q157" s="5"/>
      <c r="R157" s="5"/>
    </row>
    <row r="158" spans="1:18" s="6" customFormat="1" x14ac:dyDescent="0.25">
      <c r="A158" s="5"/>
      <c r="B158" s="5"/>
      <c r="C158" s="5"/>
      <c r="D158" s="5"/>
      <c r="E158" s="5"/>
      <c r="F158" s="5"/>
      <c r="O158" s="5"/>
      <c r="P158" s="5"/>
      <c r="Q158" s="5"/>
      <c r="R158" s="5"/>
    </row>
    <row r="159" spans="1:18" s="6" customFormat="1" x14ac:dyDescent="0.25">
      <c r="A159" s="5"/>
      <c r="B159" s="5"/>
      <c r="C159" s="5"/>
      <c r="D159" s="5"/>
      <c r="E159" s="5"/>
      <c r="F159" s="5"/>
      <c r="O159" s="5"/>
      <c r="P159" s="5"/>
      <c r="Q159" s="5"/>
      <c r="R159" s="5"/>
    </row>
    <row r="160" spans="1:18" s="6" customFormat="1" x14ac:dyDescent="0.25">
      <c r="A160" s="5"/>
      <c r="B160" s="5"/>
      <c r="C160" s="5"/>
      <c r="D160" s="5"/>
      <c r="E160" s="5"/>
      <c r="F160" s="5"/>
      <c r="O160" s="5"/>
      <c r="P160" s="5"/>
      <c r="Q160" s="5"/>
      <c r="R160" s="5"/>
    </row>
    <row r="161" spans="1:18" s="6" customFormat="1" x14ac:dyDescent="0.25">
      <c r="A161" s="5"/>
      <c r="B161" s="5"/>
      <c r="C161" s="5"/>
      <c r="D161" s="5"/>
      <c r="E161" s="5"/>
      <c r="F161" s="5"/>
      <c r="O161" s="5"/>
      <c r="P161" s="5"/>
      <c r="Q161" s="5"/>
      <c r="R161" s="5"/>
    </row>
    <row r="162" spans="1:18" s="6" customFormat="1" x14ac:dyDescent="0.25">
      <c r="A162" s="5"/>
      <c r="B162" s="5"/>
      <c r="C162" s="5"/>
      <c r="D162" s="5"/>
      <c r="E162" s="5"/>
      <c r="F162" s="5"/>
      <c r="O162" s="5"/>
      <c r="P162" s="5"/>
      <c r="Q162" s="5"/>
      <c r="R162" s="5"/>
    </row>
    <row r="163" spans="1:18" s="6" customFormat="1" x14ac:dyDescent="0.25">
      <c r="A163" s="5"/>
      <c r="B163" s="5"/>
      <c r="C163" s="5"/>
      <c r="D163" s="5"/>
      <c r="E163" s="5"/>
      <c r="F163" s="5"/>
      <c r="O163" s="5"/>
      <c r="P163" s="5"/>
      <c r="Q163" s="5"/>
      <c r="R163" s="5"/>
    </row>
    <row r="164" spans="1:18" s="6" customFormat="1" x14ac:dyDescent="0.25">
      <c r="A164" s="5"/>
      <c r="B164" s="5"/>
      <c r="C164" s="5"/>
      <c r="D164" s="5"/>
      <c r="E164" s="5"/>
      <c r="F164" s="5"/>
      <c r="O164" s="5"/>
      <c r="P164" s="5"/>
      <c r="Q164" s="5"/>
      <c r="R164" s="5"/>
    </row>
    <row r="165" spans="1:18" s="6" customFormat="1" x14ac:dyDescent="0.25">
      <c r="A165" s="5"/>
      <c r="B165" s="5"/>
      <c r="C165" s="5"/>
      <c r="D165" s="5"/>
      <c r="E165" s="5"/>
      <c r="F165" s="5"/>
      <c r="O165" s="5"/>
      <c r="P165" s="5"/>
      <c r="Q165" s="5"/>
      <c r="R165" s="5"/>
    </row>
    <row r="166" spans="1:18" s="6" customFormat="1" x14ac:dyDescent="0.25">
      <c r="A166" s="5"/>
      <c r="B166" s="5"/>
      <c r="C166" s="5"/>
      <c r="D166" s="5"/>
      <c r="E166" s="5"/>
      <c r="F166" s="5"/>
      <c r="O166" s="5"/>
      <c r="P166" s="5"/>
      <c r="Q166" s="5"/>
      <c r="R166" s="5"/>
    </row>
    <row r="167" spans="1:18" s="6" customFormat="1" x14ac:dyDescent="0.25">
      <c r="A167" s="5"/>
      <c r="B167" s="5"/>
      <c r="C167" s="5"/>
      <c r="D167" s="5"/>
      <c r="E167" s="5"/>
      <c r="F167" s="5"/>
      <c r="O167" s="5"/>
      <c r="P167" s="5"/>
      <c r="Q167" s="5"/>
      <c r="R167" s="5"/>
    </row>
    <row r="168" spans="1:18" s="6" customFormat="1" x14ac:dyDescent="0.25">
      <c r="A168" s="5"/>
      <c r="B168" s="5"/>
      <c r="C168" s="5"/>
      <c r="D168" s="5"/>
      <c r="E168" s="5"/>
      <c r="F168" s="5"/>
      <c r="O168" s="5"/>
      <c r="P168" s="5"/>
      <c r="Q168" s="5"/>
      <c r="R168" s="5"/>
    </row>
    <row r="169" spans="1:18" s="6" customFormat="1" x14ac:dyDescent="0.25">
      <c r="A169" s="5"/>
      <c r="B169" s="5"/>
      <c r="C169" s="5"/>
      <c r="D169" s="5"/>
      <c r="E169" s="5"/>
      <c r="F169" s="5"/>
      <c r="O169" s="5"/>
      <c r="P169" s="5"/>
      <c r="Q169" s="5"/>
      <c r="R169" s="5"/>
    </row>
    <row r="170" spans="1:18" s="6" customFormat="1" x14ac:dyDescent="0.25">
      <c r="A170" s="5"/>
      <c r="B170" s="5"/>
      <c r="C170" s="5"/>
      <c r="D170" s="5"/>
      <c r="E170" s="5"/>
      <c r="F170" s="5"/>
      <c r="O170" s="5"/>
      <c r="P170" s="5"/>
      <c r="Q170" s="5"/>
      <c r="R170" s="5"/>
    </row>
    <row r="171" spans="1:18" s="6" customFormat="1" x14ac:dyDescent="0.25">
      <c r="A171" s="5"/>
      <c r="B171" s="5"/>
      <c r="C171" s="5"/>
      <c r="D171" s="5"/>
      <c r="E171" s="5"/>
      <c r="F171" s="5"/>
      <c r="O171" s="5"/>
      <c r="P171" s="5"/>
      <c r="Q171" s="5"/>
      <c r="R171" s="5"/>
    </row>
    <row r="172" spans="1:18" s="6" customFormat="1" x14ac:dyDescent="0.25">
      <c r="A172" s="5"/>
      <c r="B172" s="5"/>
      <c r="C172" s="5"/>
      <c r="D172" s="5"/>
      <c r="E172" s="5"/>
      <c r="F172" s="5"/>
      <c r="O172" s="5"/>
      <c r="P172" s="5"/>
      <c r="Q172" s="5"/>
      <c r="R172" s="5"/>
    </row>
    <row r="173" spans="1:18" s="6" customFormat="1" x14ac:dyDescent="0.25">
      <c r="A173" s="5"/>
      <c r="B173" s="5"/>
      <c r="C173" s="5"/>
      <c r="D173" s="5"/>
      <c r="E173" s="5"/>
      <c r="F173" s="5"/>
      <c r="O173" s="5"/>
      <c r="P173" s="5"/>
      <c r="Q173" s="5"/>
      <c r="R173" s="5"/>
    </row>
    <row r="174" spans="1:18" s="6" customFormat="1" x14ac:dyDescent="0.25">
      <c r="A174" s="5"/>
      <c r="B174" s="5"/>
      <c r="C174" s="5"/>
      <c r="D174" s="5"/>
      <c r="E174" s="5"/>
      <c r="F174" s="5"/>
      <c r="O174" s="5"/>
      <c r="P174" s="5"/>
      <c r="Q174" s="5"/>
      <c r="R174" s="5"/>
    </row>
    <row r="175" spans="1:18" s="6" customFormat="1" x14ac:dyDescent="0.25">
      <c r="A175" s="5"/>
      <c r="B175" s="5"/>
      <c r="C175" s="5"/>
      <c r="D175" s="5"/>
      <c r="E175" s="5"/>
      <c r="F175" s="5"/>
      <c r="O175" s="5"/>
      <c r="P175" s="5"/>
      <c r="Q175" s="5"/>
      <c r="R175" s="5"/>
    </row>
    <row r="176" spans="1:18" s="6" customFormat="1" x14ac:dyDescent="0.25">
      <c r="A176" s="5"/>
      <c r="B176" s="5"/>
      <c r="C176" s="5"/>
      <c r="D176" s="5"/>
      <c r="E176" s="5"/>
      <c r="F176" s="5"/>
      <c r="O176" s="5"/>
      <c r="P176" s="5"/>
      <c r="Q176" s="5"/>
      <c r="R176" s="5"/>
    </row>
    <row r="177" spans="1:18" s="6" customFormat="1" x14ac:dyDescent="0.25">
      <c r="A177" s="5"/>
      <c r="B177" s="5"/>
      <c r="C177" s="5"/>
      <c r="D177" s="5"/>
      <c r="E177" s="5"/>
      <c r="F177" s="5"/>
      <c r="O177" s="5"/>
      <c r="P177" s="5"/>
      <c r="Q177" s="5"/>
      <c r="R177" s="5"/>
    </row>
    <row r="178" spans="1:18" s="6" customFormat="1" x14ac:dyDescent="0.25">
      <c r="A178" s="5"/>
      <c r="B178" s="5"/>
      <c r="C178" s="5"/>
      <c r="D178" s="5"/>
      <c r="E178" s="5"/>
      <c r="F178" s="5"/>
      <c r="O178" s="5"/>
      <c r="P178" s="5"/>
      <c r="Q178" s="5"/>
      <c r="R178" s="5"/>
    </row>
    <row r="179" spans="1:18" s="6" customFormat="1" x14ac:dyDescent="0.25">
      <c r="A179" s="5"/>
      <c r="B179" s="5"/>
      <c r="C179" s="5"/>
      <c r="D179" s="5"/>
      <c r="E179" s="5"/>
      <c r="F179" s="5"/>
      <c r="O179" s="5"/>
      <c r="P179" s="5"/>
      <c r="Q179" s="5"/>
      <c r="R179" s="5"/>
    </row>
    <row r="180" spans="1:18" s="6" customFormat="1" x14ac:dyDescent="0.25">
      <c r="A180" s="5"/>
      <c r="B180" s="5"/>
      <c r="C180" s="5"/>
      <c r="D180" s="5"/>
      <c r="E180" s="5"/>
      <c r="F180" s="5"/>
      <c r="O180" s="5"/>
      <c r="P180" s="5"/>
      <c r="Q180" s="5"/>
      <c r="R180" s="5"/>
    </row>
    <row r="181" spans="1:18" s="6" customFormat="1" x14ac:dyDescent="0.25">
      <c r="A181" s="5"/>
      <c r="B181" s="5"/>
      <c r="C181" s="5"/>
      <c r="D181" s="5"/>
      <c r="E181" s="5"/>
      <c r="F181" s="5"/>
      <c r="O181" s="5"/>
      <c r="P181" s="5"/>
      <c r="Q181" s="5"/>
      <c r="R181" s="5"/>
    </row>
    <row r="182" spans="1:18" s="6" customFormat="1" x14ac:dyDescent="0.25">
      <c r="A182" s="5"/>
      <c r="B182" s="5"/>
      <c r="C182" s="5"/>
      <c r="D182" s="5"/>
      <c r="E182" s="5"/>
      <c r="F182" s="5"/>
      <c r="O182" s="5"/>
      <c r="P182" s="5"/>
      <c r="Q182" s="5"/>
      <c r="R182" s="5"/>
    </row>
    <row r="183" spans="1:18" s="6" customFormat="1" x14ac:dyDescent="0.25">
      <c r="A183" s="5"/>
      <c r="B183" s="5"/>
      <c r="C183" s="5"/>
      <c r="D183" s="5"/>
      <c r="E183" s="5"/>
      <c r="F183" s="5"/>
      <c r="O183" s="5"/>
      <c r="P183" s="5"/>
      <c r="Q183" s="5"/>
      <c r="R183" s="5"/>
    </row>
    <row r="184" spans="1:18" s="6" customFormat="1" x14ac:dyDescent="0.25">
      <c r="A184" s="5"/>
      <c r="B184" s="5"/>
      <c r="C184" s="5"/>
      <c r="D184" s="5"/>
      <c r="E184" s="5"/>
      <c r="F184" s="5"/>
      <c r="O184" s="5"/>
      <c r="P184" s="5"/>
      <c r="Q184" s="5"/>
      <c r="R184" s="5"/>
    </row>
    <row r="185" spans="1:18" s="6" customFormat="1" x14ac:dyDescent="0.25">
      <c r="A185" s="5"/>
      <c r="B185" s="5"/>
      <c r="C185" s="5"/>
      <c r="D185" s="5"/>
      <c r="E185" s="5"/>
      <c r="F185" s="5"/>
      <c r="O185" s="5"/>
      <c r="P185" s="5"/>
      <c r="Q185" s="5"/>
      <c r="R185" s="5"/>
    </row>
    <row r="186" spans="1:18" s="6" customFormat="1" x14ac:dyDescent="0.25">
      <c r="A186" s="5"/>
      <c r="B186" s="5"/>
      <c r="C186" s="5"/>
      <c r="D186" s="5"/>
      <c r="E186" s="5"/>
      <c r="F186" s="5"/>
      <c r="O186" s="5"/>
      <c r="P186" s="5"/>
      <c r="Q186" s="5"/>
      <c r="R186" s="5"/>
    </row>
    <row r="187" spans="1:18" s="6" customFormat="1" x14ac:dyDescent="0.25">
      <c r="A187" s="5"/>
      <c r="B187" s="5"/>
      <c r="C187" s="5"/>
      <c r="D187" s="5"/>
      <c r="E187" s="5"/>
      <c r="F187" s="5"/>
      <c r="O187" s="5"/>
      <c r="P187" s="5"/>
      <c r="Q187" s="5"/>
      <c r="R187" s="5"/>
    </row>
    <row r="188" spans="1:18" s="6" customFormat="1" x14ac:dyDescent="0.25">
      <c r="A188" s="5"/>
      <c r="B188" s="5"/>
      <c r="C188" s="5"/>
      <c r="D188" s="5"/>
      <c r="E188" s="5"/>
      <c r="F188" s="5"/>
      <c r="O188" s="5"/>
      <c r="P188" s="5"/>
      <c r="Q188" s="5"/>
      <c r="R188" s="5"/>
    </row>
    <row r="189" spans="1:18" s="6" customFormat="1" x14ac:dyDescent="0.25">
      <c r="A189" s="5"/>
      <c r="B189" s="5"/>
      <c r="C189" s="5"/>
      <c r="D189" s="5"/>
      <c r="E189" s="5"/>
      <c r="F189" s="5"/>
      <c r="O189" s="5"/>
      <c r="P189" s="5"/>
      <c r="Q189" s="5"/>
      <c r="R189" s="5"/>
    </row>
    <row r="190" spans="1:18" s="6" customFormat="1" x14ac:dyDescent="0.25">
      <c r="A190" s="5"/>
      <c r="B190" s="5"/>
      <c r="C190" s="5"/>
      <c r="D190" s="5"/>
      <c r="E190" s="5"/>
      <c r="F190" s="5"/>
      <c r="O190" s="5"/>
      <c r="P190" s="5"/>
      <c r="Q190" s="5"/>
      <c r="R190" s="5"/>
    </row>
    <row r="191" spans="1:18" s="6" customFormat="1" x14ac:dyDescent="0.25">
      <c r="A191" s="5"/>
      <c r="B191" s="5"/>
      <c r="C191" s="5"/>
      <c r="D191" s="5"/>
      <c r="E191" s="5"/>
      <c r="F191" s="5"/>
      <c r="O191" s="5"/>
      <c r="P191" s="5"/>
      <c r="Q191" s="5"/>
      <c r="R191" s="5"/>
    </row>
    <row r="192" spans="1:18" s="6" customFormat="1" x14ac:dyDescent="0.25">
      <c r="A192" s="5"/>
      <c r="B192" s="5"/>
      <c r="C192" s="5"/>
      <c r="D192" s="5"/>
      <c r="E192" s="5"/>
      <c r="F192" s="5"/>
      <c r="O192" s="5"/>
      <c r="P192" s="5"/>
      <c r="Q192" s="5"/>
      <c r="R192" s="5"/>
    </row>
    <row r="193" spans="1:18" s="6" customFormat="1" x14ac:dyDescent="0.25">
      <c r="A193" s="5"/>
      <c r="B193" s="5"/>
      <c r="C193" s="5"/>
      <c r="D193" s="5"/>
      <c r="E193" s="5"/>
      <c r="F193" s="5"/>
      <c r="O193" s="5"/>
      <c r="P193" s="5"/>
      <c r="Q193" s="5"/>
      <c r="R193" s="5"/>
    </row>
    <row r="194" spans="1:18" s="6" customFormat="1" x14ac:dyDescent="0.25">
      <c r="A194" s="5"/>
      <c r="B194" s="5"/>
      <c r="C194" s="5"/>
      <c r="D194" s="5"/>
      <c r="E194" s="5"/>
      <c r="F194" s="5"/>
      <c r="O194" s="5"/>
      <c r="P194" s="5"/>
      <c r="Q194" s="5"/>
      <c r="R194" s="5"/>
    </row>
    <row r="195" spans="1:18" s="6" customFormat="1" x14ac:dyDescent="0.25">
      <c r="A195" s="5"/>
      <c r="B195" s="5"/>
      <c r="C195" s="5"/>
      <c r="D195" s="5"/>
      <c r="E195" s="5"/>
      <c r="F195" s="5"/>
      <c r="O195" s="5"/>
      <c r="P195" s="5"/>
      <c r="Q195" s="5"/>
      <c r="R195" s="5"/>
    </row>
    <row r="196" spans="1:18" s="6" customFormat="1" x14ac:dyDescent="0.25">
      <c r="A196" s="5"/>
      <c r="B196" s="5"/>
      <c r="C196" s="5"/>
      <c r="D196" s="5"/>
      <c r="E196" s="5"/>
      <c r="F196" s="5"/>
      <c r="O196" s="5"/>
      <c r="P196" s="5"/>
      <c r="Q196" s="5"/>
      <c r="R196" s="5"/>
    </row>
    <row r="197" spans="1:18" s="6" customFormat="1" x14ac:dyDescent="0.25">
      <c r="A197" s="5"/>
      <c r="B197" s="5"/>
      <c r="C197" s="5"/>
      <c r="D197" s="5"/>
      <c r="E197" s="5"/>
      <c r="F197" s="5"/>
      <c r="O197" s="5"/>
      <c r="P197" s="5"/>
      <c r="Q197" s="5"/>
      <c r="R197" s="5"/>
    </row>
    <row r="198" spans="1:18" s="6" customFormat="1" x14ac:dyDescent="0.25">
      <c r="A198" s="5"/>
      <c r="B198" s="5"/>
      <c r="C198" s="5"/>
      <c r="D198" s="5"/>
      <c r="E198" s="5"/>
      <c r="F198" s="5"/>
      <c r="O198" s="5"/>
      <c r="P198" s="5"/>
      <c r="Q198" s="5"/>
      <c r="R198" s="5"/>
    </row>
    <row r="199" spans="1:18" s="6" customFormat="1" x14ac:dyDescent="0.25">
      <c r="A199" s="5"/>
      <c r="B199" s="5"/>
      <c r="C199" s="5"/>
      <c r="D199" s="5"/>
      <c r="E199" s="5"/>
      <c r="F199" s="5"/>
      <c r="O199" s="5"/>
      <c r="P199" s="5"/>
      <c r="Q199" s="5"/>
      <c r="R199" s="5"/>
    </row>
    <row r="200" spans="1:18" s="6" customFormat="1" x14ac:dyDescent="0.25">
      <c r="A200" s="5"/>
      <c r="B200" s="5"/>
      <c r="C200" s="5"/>
      <c r="D200" s="5"/>
      <c r="E200" s="5"/>
      <c r="F200" s="5"/>
      <c r="O200" s="5"/>
      <c r="P200" s="5"/>
      <c r="Q200" s="5"/>
      <c r="R200" s="5"/>
    </row>
    <row r="201" spans="1:18" s="6" customFormat="1" x14ac:dyDescent="0.25">
      <c r="A201" s="5"/>
      <c r="B201" s="5"/>
      <c r="C201" s="5"/>
      <c r="D201" s="5"/>
      <c r="E201" s="5"/>
      <c r="F201" s="5"/>
      <c r="O201" s="5"/>
      <c r="P201" s="5"/>
      <c r="Q201" s="5"/>
      <c r="R201" s="5"/>
    </row>
    <row r="202" spans="1:18" s="6" customFormat="1" x14ac:dyDescent="0.25">
      <c r="A202" s="5"/>
      <c r="B202" s="5"/>
      <c r="C202" s="5"/>
      <c r="D202" s="5"/>
      <c r="E202" s="5"/>
      <c r="F202" s="5"/>
      <c r="O202" s="5"/>
      <c r="P202" s="5"/>
      <c r="Q202" s="5"/>
      <c r="R202" s="5"/>
    </row>
    <row r="203" spans="1:18" s="6" customFormat="1" x14ac:dyDescent="0.25">
      <c r="A203" s="5"/>
      <c r="B203" s="5"/>
      <c r="C203" s="5"/>
      <c r="D203" s="5"/>
      <c r="E203" s="5"/>
      <c r="F203" s="5"/>
      <c r="O203" s="5"/>
      <c r="P203" s="5"/>
      <c r="Q203" s="5"/>
      <c r="R203" s="5"/>
    </row>
    <row r="204" spans="1:18" s="6" customFormat="1" x14ac:dyDescent="0.25">
      <c r="A204" s="5"/>
      <c r="B204" s="5"/>
      <c r="C204" s="5"/>
      <c r="D204" s="5"/>
      <c r="E204" s="5"/>
      <c r="F204" s="5"/>
      <c r="O204" s="5"/>
      <c r="P204" s="5"/>
      <c r="Q204" s="5"/>
      <c r="R204" s="5"/>
    </row>
    <row r="205" spans="1:18" s="6" customFormat="1" x14ac:dyDescent="0.25">
      <c r="A205" s="5"/>
      <c r="B205" s="5"/>
      <c r="C205" s="5"/>
      <c r="D205" s="5"/>
      <c r="E205" s="5"/>
      <c r="F205" s="5"/>
      <c r="O205" s="5"/>
      <c r="P205" s="5"/>
      <c r="Q205" s="5"/>
      <c r="R205" s="5"/>
    </row>
    <row r="206" spans="1:18" s="6" customFormat="1" x14ac:dyDescent="0.25">
      <c r="A206" s="5"/>
      <c r="B206" s="5"/>
      <c r="C206" s="5"/>
      <c r="D206" s="5"/>
      <c r="E206" s="5"/>
      <c r="F206" s="5"/>
      <c r="O206" s="5"/>
      <c r="P206" s="5"/>
      <c r="Q206" s="5"/>
      <c r="R206" s="5"/>
    </row>
    <row r="207" spans="1:18" s="6" customFormat="1" x14ac:dyDescent="0.25">
      <c r="A207" s="5"/>
      <c r="B207" s="5"/>
      <c r="C207" s="5"/>
      <c r="D207" s="5"/>
      <c r="E207" s="5"/>
      <c r="F207" s="5"/>
      <c r="O207" s="5"/>
      <c r="P207" s="5"/>
      <c r="Q207" s="5"/>
      <c r="R207" s="5"/>
    </row>
    <row r="208" spans="1:18" s="6" customFormat="1" x14ac:dyDescent="0.25">
      <c r="A208" s="5"/>
      <c r="B208" s="5"/>
      <c r="C208" s="5"/>
      <c r="D208" s="5"/>
      <c r="E208" s="5"/>
      <c r="F208" s="5"/>
      <c r="O208" s="5"/>
      <c r="P208" s="5"/>
      <c r="Q208" s="5"/>
      <c r="R208" s="5"/>
    </row>
    <row r="209" spans="1:18" s="6" customFormat="1" x14ac:dyDescent="0.25">
      <c r="A209" s="5"/>
      <c r="B209" s="5"/>
      <c r="C209" s="5"/>
      <c r="D209" s="5"/>
      <c r="E209" s="5"/>
      <c r="F209" s="5"/>
      <c r="O209" s="5"/>
      <c r="P209" s="5"/>
      <c r="Q209" s="5"/>
      <c r="R209" s="5"/>
    </row>
    <row r="210" spans="1:18" s="6" customFormat="1" x14ac:dyDescent="0.25">
      <c r="A210" s="5"/>
      <c r="B210" s="5"/>
      <c r="C210" s="5"/>
      <c r="D210" s="5"/>
      <c r="E210" s="5"/>
      <c r="F210" s="5"/>
      <c r="O210" s="5"/>
      <c r="P210" s="5"/>
      <c r="Q210" s="5"/>
      <c r="R210" s="5"/>
    </row>
    <row r="211" spans="1:18" s="6" customFormat="1" x14ac:dyDescent="0.25">
      <c r="A211" s="5"/>
      <c r="B211" s="5"/>
      <c r="C211" s="5"/>
      <c r="D211" s="5"/>
      <c r="E211" s="5"/>
      <c r="F211" s="5"/>
      <c r="O211" s="5"/>
      <c r="P211" s="5"/>
      <c r="Q211" s="5"/>
      <c r="R211" s="5"/>
    </row>
    <row r="212" spans="1:18" s="6" customFormat="1" x14ac:dyDescent="0.25">
      <c r="A212" s="5"/>
      <c r="B212" s="5"/>
      <c r="C212" s="5"/>
      <c r="D212" s="5"/>
      <c r="E212" s="5"/>
      <c r="F212" s="5"/>
      <c r="O212" s="5"/>
      <c r="P212" s="5"/>
      <c r="Q212" s="5"/>
      <c r="R212" s="5"/>
    </row>
    <row r="213" spans="1:18" s="6" customFormat="1" x14ac:dyDescent="0.25">
      <c r="A213" s="5"/>
      <c r="B213" s="5"/>
      <c r="C213" s="5"/>
      <c r="D213" s="5"/>
      <c r="E213" s="5"/>
      <c r="F213" s="5"/>
      <c r="O213" s="5"/>
      <c r="P213" s="5"/>
      <c r="Q213" s="5"/>
      <c r="R213" s="5"/>
    </row>
    <row r="214" spans="1:18" s="6" customFormat="1" x14ac:dyDescent="0.25">
      <c r="A214" s="5"/>
      <c r="B214" s="5"/>
      <c r="C214" s="5"/>
      <c r="D214" s="5"/>
      <c r="E214" s="5"/>
      <c r="F214" s="5"/>
      <c r="O214" s="5"/>
      <c r="P214" s="5"/>
      <c r="Q214" s="5"/>
      <c r="R214" s="5"/>
    </row>
    <row r="215" spans="1:18" s="6" customFormat="1" x14ac:dyDescent="0.25">
      <c r="A215" s="5"/>
      <c r="B215" s="5"/>
      <c r="C215" s="5"/>
      <c r="D215" s="5"/>
      <c r="E215" s="5"/>
      <c r="F215" s="5"/>
      <c r="O215" s="5"/>
      <c r="P215" s="5"/>
      <c r="Q215" s="5"/>
      <c r="R215" s="5"/>
    </row>
    <row r="216" spans="1:18" s="6" customFormat="1" x14ac:dyDescent="0.25">
      <c r="A216" s="5"/>
      <c r="B216" s="5"/>
      <c r="C216" s="5"/>
      <c r="D216" s="5"/>
      <c r="E216" s="5"/>
      <c r="F216" s="5"/>
      <c r="O216" s="5"/>
      <c r="P216" s="5"/>
      <c r="Q216" s="5"/>
      <c r="R216" s="5"/>
    </row>
    <row r="217" spans="1:18" s="6" customFormat="1" x14ac:dyDescent="0.25">
      <c r="A217" s="5"/>
      <c r="B217" s="5"/>
      <c r="C217" s="5"/>
      <c r="D217" s="5"/>
      <c r="E217" s="5"/>
      <c r="F217" s="5"/>
      <c r="O217" s="5"/>
      <c r="P217" s="5"/>
      <c r="Q217" s="5"/>
      <c r="R217" s="5"/>
    </row>
    <row r="218" spans="1:18" s="6" customFormat="1" x14ac:dyDescent="0.25">
      <c r="A218" s="5"/>
      <c r="B218" s="5"/>
      <c r="C218" s="5"/>
      <c r="D218" s="5"/>
      <c r="E218" s="5"/>
      <c r="F218" s="5"/>
      <c r="O218" s="5"/>
      <c r="P218" s="5"/>
      <c r="Q218" s="5"/>
      <c r="R218" s="5"/>
    </row>
    <row r="219" spans="1:18" s="6" customFormat="1" x14ac:dyDescent="0.25">
      <c r="A219" s="5"/>
      <c r="B219" s="5"/>
      <c r="C219" s="5"/>
      <c r="D219" s="5"/>
      <c r="E219" s="5"/>
      <c r="F219" s="5"/>
      <c r="O219" s="5"/>
      <c r="P219" s="5"/>
      <c r="Q219" s="5"/>
      <c r="R219" s="5"/>
    </row>
    <row r="220" spans="1:18" s="6" customFormat="1" x14ac:dyDescent="0.25">
      <c r="A220" s="5"/>
      <c r="B220" s="5"/>
      <c r="C220" s="5"/>
      <c r="D220" s="5"/>
      <c r="E220" s="5"/>
      <c r="F220" s="5"/>
      <c r="O220" s="5"/>
      <c r="P220" s="5"/>
      <c r="Q220" s="5"/>
      <c r="R220" s="5"/>
    </row>
    <row r="221" spans="1:18" s="6" customFormat="1" x14ac:dyDescent="0.25">
      <c r="A221" s="5"/>
      <c r="B221" s="5"/>
      <c r="C221" s="5"/>
      <c r="D221" s="5"/>
      <c r="E221" s="5"/>
      <c r="F221" s="5"/>
      <c r="O221" s="5"/>
      <c r="P221" s="5"/>
      <c r="Q221" s="5"/>
      <c r="R221" s="5"/>
    </row>
    <row r="222" spans="1:18" s="6" customFormat="1" x14ac:dyDescent="0.25">
      <c r="A222" s="5"/>
      <c r="B222" s="5"/>
      <c r="C222" s="5"/>
      <c r="D222" s="5"/>
      <c r="E222" s="5"/>
      <c r="F222" s="5"/>
      <c r="O222" s="5"/>
      <c r="P222" s="5"/>
      <c r="Q222" s="5"/>
      <c r="R222" s="5"/>
    </row>
    <row r="223" spans="1:18" s="6" customFormat="1" x14ac:dyDescent="0.25">
      <c r="A223" s="5"/>
      <c r="B223" s="5"/>
      <c r="C223" s="5"/>
      <c r="D223" s="5"/>
      <c r="E223" s="5"/>
      <c r="F223" s="5"/>
      <c r="O223" s="5"/>
      <c r="P223" s="5"/>
      <c r="Q223" s="5"/>
      <c r="R223" s="5"/>
    </row>
    <row r="224" spans="1:18" s="6" customFormat="1" x14ac:dyDescent="0.25">
      <c r="A224" s="5"/>
      <c r="B224" s="5"/>
      <c r="C224" s="5"/>
      <c r="D224" s="5"/>
      <c r="E224" s="5"/>
      <c r="F224" s="5"/>
      <c r="O224" s="5"/>
      <c r="P224" s="5"/>
      <c r="Q224" s="5"/>
      <c r="R224" s="5"/>
    </row>
    <row r="225" spans="1:18" s="6" customFormat="1" x14ac:dyDescent="0.25">
      <c r="A225" s="5"/>
      <c r="B225" s="5"/>
      <c r="C225" s="5"/>
      <c r="D225" s="5"/>
      <c r="E225" s="5"/>
      <c r="F225" s="5"/>
      <c r="O225" s="5"/>
      <c r="P225" s="5"/>
      <c r="Q225" s="5"/>
      <c r="R225" s="5"/>
    </row>
    <row r="226" spans="1:18" s="6" customFormat="1" x14ac:dyDescent="0.25">
      <c r="A226" s="5"/>
      <c r="B226" s="5"/>
      <c r="C226" s="5"/>
      <c r="D226" s="5"/>
      <c r="E226" s="5"/>
      <c r="F226" s="5"/>
      <c r="O226" s="5"/>
      <c r="P226" s="5"/>
      <c r="Q226" s="5"/>
      <c r="R226" s="5"/>
    </row>
    <row r="227" spans="1:18" s="6" customFormat="1" x14ac:dyDescent="0.25">
      <c r="A227" s="5"/>
      <c r="B227" s="5"/>
      <c r="C227" s="5"/>
      <c r="D227" s="5"/>
      <c r="E227" s="5"/>
      <c r="F227" s="5"/>
      <c r="O227" s="5"/>
      <c r="P227" s="5"/>
      <c r="Q227" s="5"/>
      <c r="R227" s="5"/>
    </row>
    <row r="228" spans="1:18" s="6" customFormat="1" x14ac:dyDescent="0.25">
      <c r="A228" s="5"/>
      <c r="B228" s="5"/>
      <c r="C228" s="5"/>
      <c r="D228" s="5"/>
      <c r="E228" s="5"/>
      <c r="F228" s="5"/>
      <c r="O228" s="5"/>
      <c r="P228" s="5"/>
      <c r="Q228" s="5"/>
      <c r="R228" s="5"/>
    </row>
    <row r="229" spans="1:18" s="6" customFormat="1" x14ac:dyDescent="0.25">
      <c r="A229" s="5"/>
      <c r="B229" s="5"/>
      <c r="C229" s="5"/>
      <c r="D229" s="5"/>
      <c r="E229" s="5"/>
      <c r="F229" s="5"/>
      <c r="O229" s="5"/>
      <c r="P229" s="5"/>
      <c r="Q229" s="5"/>
      <c r="R229" s="5"/>
    </row>
    <row r="230" spans="1:18" s="6" customFormat="1" x14ac:dyDescent="0.25">
      <c r="A230" s="5"/>
      <c r="B230" s="5"/>
      <c r="C230" s="5"/>
      <c r="D230" s="5"/>
      <c r="E230" s="5"/>
      <c r="F230" s="5"/>
      <c r="O230" s="5"/>
      <c r="P230" s="5"/>
      <c r="Q230" s="5"/>
      <c r="R230" s="5"/>
    </row>
    <row r="231" spans="1:18" s="6" customFormat="1" x14ac:dyDescent="0.25">
      <c r="A231" s="5"/>
      <c r="B231" s="5"/>
      <c r="C231" s="5"/>
      <c r="D231" s="5"/>
      <c r="E231" s="5"/>
      <c r="F231" s="5"/>
      <c r="O231" s="5"/>
      <c r="P231" s="5"/>
      <c r="Q231" s="5"/>
      <c r="R231" s="5"/>
    </row>
    <row r="232" spans="1:18" s="6" customFormat="1" x14ac:dyDescent="0.25">
      <c r="A232" s="5"/>
      <c r="B232" s="5"/>
      <c r="C232" s="5"/>
      <c r="D232" s="5"/>
      <c r="E232" s="5"/>
      <c r="F232" s="5"/>
      <c r="O232" s="5"/>
      <c r="P232" s="5"/>
      <c r="Q232" s="5"/>
      <c r="R232" s="5"/>
    </row>
    <row r="233" spans="1:18" s="6" customFormat="1" x14ac:dyDescent="0.25">
      <c r="A233" s="5"/>
      <c r="B233" s="5"/>
      <c r="C233" s="5"/>
      <c r="D233" s="5"/>
      <c r="E233" s="5"/>
      <c r="F233" s="5"/>
      <c r="O233" s="5"/>
      <c r="P233" s="5"/>
      <c r="Q233" s="5"/>
      <c r="R233" s="5"/>
    </row>
    <row r="234" spans="1:18" s="6" customFormat="1" x14ac:dyDescent="0.25">
      <c r="A234" s="5"/>
      <c r="B234" s="5"/>
      <c r="C234" s="5"/>
      <c r="D234" s="5"/>
      <c r="E234" s="5"/>
      <c r="F234" s="5"/>
      <c r="O234" s="5"/>
      <c r="P234" s="5"/>
      <c r="Q234" s="5"/>
      <c r="R234" s="5"/>
    </row>
    <row r="235" spans="1:18" s="6" customFormat="1" x14ac:dyDescent="0.25">
      <c r="A235" s="5"/>
      <c r="B235" s="5"/>
      <c r="C235" s="5"/>
      <c r="D235" s="5"/>
      <c r="E235" s="5"/>
      <c r="F235" s="5"/>
      <c r="O235" s="5"/>
      <c r="P235" s="5"/>
      <c r="Q235" s="5"/>
      <c r="R235" s="5"/>
    </row>
    <row r="236" spans="1:18" s="6" customFormat="1" x14ac:dyDescent="0.25">
      <c r="A236" s="5"/>
      <c r="B236" s="5"/>
      <c r="C236" s="5"/>
      <c r="D236" s="5"/>
      <c r="E236" s="5"/>
      <c r="F236" s="5"/>
      <c r="O236" s="5"/>
      <c r="P236" s="5"/>
      <c r="Q236" s="5"/>
      <c r="R236" s="5"/>
    </row>
    <row r="237" spans="1:18" s="6" customFormat="1" x14ac:dyDescent="0.25">
      <c r="A237" s="5"/>
      <c r="B237" s="5"/>
      <c r="C237" s="5"/>
      <c r="D237" s="5"/>
      <c r="E237" s="5"/>
      <c r="F237" s="5"/>
      <c r="O237" s="5"/>
      <c r="P237" s="5"/>
      <c r="Q237" s="5"/>
      <c r="R237" s="5"/>
    </row>
    <row r="238" spans="1:18" s="6" customFormat="1" x14ac:dyDescent="0.25">
      <c r="A238" s="5"/>
      <c r="B238" s="5"/>
      <c r="C238" s="5"/>
      <c r="D238" s="5"/>
      <c r="E238" s="5"/>
      <c r="F238" s="5"/>
      <c r="O238" s="5"/>
      <c r="P238" s="5"/>
      <c r="Q238" s="5"/>
      <c r="R238" s="5"/>
    </row>
    <row r="239" spans="1:18" s="6" customFormat="1" x14ac:dyDescent="0.25">
      <c r="A239" s="5"/>
      <c r="B239" s="5"/>
      <c r="C239" s="5"/>
      <c r="D239" s="5"/>
      <c r="E239" s="5"/>
      <c r="F239" s="5"/>
      <c r="O239" s="5"/>
      <c r="P239" s="5"/>
      <c r="Q239" s="5"/>
      <c r="R239" s="5"/>
    </row>
    <row r="240" spans="1:18" s="6" customFormat="1" x14ac:dyDescent="0.25">
      <c r="A240" s="5"/>
      <c r="B240" s="5"/>
      <c r="C240" s="5"/>
      <c r="D240" s="5"/>
      <c r="E240" s="5"/>
      <c r="F240" s="5"/>
      <c r="O240" s="5"/>
      <c r="P240" s="5"/>
      <c r="Q240" s="5"/>
      <c r="R240" s="5"/>
    </row>
    <row r="241" spans="1:18" s="6" customFormat="1" x14ac:dyDescent="0.25">
      <c r="A241" s="5"/>
      <c r="B241" s="5"/>
      <c r="C241" s="5"/>
      <c r="D241" s="5"/>
      <c r="E241" s="5"/>
      <c r="F241" s="5"/>
      <c r="O241" s="5"/>
      <c r="P241" s="5"/>
      <c r="Q241" s="5"/>
      <c r="R241" s="5"/>
    </row>
    <row r="242" spans="1:18" s="6" customFormat="1" x14ac:dyDescent="0.25">
      <c r="A242" s="5"/>
      <c r="B242" s="5"/>
      <c r="C242" s="5"/>
      <c r="D242" s="5"/>
      <c r="E242" s="5"/>
      <c r="F242" s="5"/>
      <c r="O242" s="5"/>
      <c r="P242" s="5"/>
      <c r="Q242" s="5"/>
      <c r="R242" s="5"/>
    </row>
    <row r="243" spans="1:18" s="6" customFormat="1" x14ac:dyDescent="0.25">
      <c r="A243" s="5"/>
      <c r="B243" s="5"/>
      <c r="C243" s="5"/>
      <c r="D243" s="5"/>
      <c r="E243" s="5"/>
      <c r="F243" s="5"/>
      <c r="O243" s="5"/>
      <c r="P243" s="5"/>
      <c r="Q243" s="5"/>
      <c r="R243" s="5"/>
    </row>
    <row r="244" spans="1:18" s="6" customFormat="1" x14ac:dyDescent="0.25">
      <c r="A244" s="5"/>
      <c r="B244" s="5"/>
      <c r="C244" s="5"/>
      <c r="D244" s="5"/>
      <c r="E244" s="5"/>
      <c r="F244" s="5"/>
      <c r="O244" s="5"/>
      <c r="P244" s="5"/>
      <c r="Q244" s="5"/>
      <c r="R244" s="5"/>
    </row>
    <row r="245" spans="1:18" s="6" customFormat="1" x14ac:dyDescent="0.25">
      <c r="A245" s="5"/>
      <c r="B245" s="5"/>
      <c r="C245" s="5"/>
      <c r="D245" s="5"/>
      <c r="E245" s="5"/>
      <c r="F245" s="5"/>
      <c r="O245" s="5"/>
      <c r="P245" s="5"/>
      <c r="Q245" s="5"/>
      <c r="R245" s="5"/>
    </row>
    <row r="246" spans="1:18" s="6" customFormat="1" x14ac:dyDescent="0.25">
      <c r="A246" s="5"/>
      <c r="B246" s="5"/>
      <c r="C246" s="5"/>
      <c r="D246" s="5"/>
      <c r="E246" s="5"/>
      <c r="F246" s="5"/>
      <c r="O246" s="5"/>
      <c r="P246" s="5"/>
      <c r="Q246" s="5"/>
      <c r="R246" s="5"/>
    </row>
    <row r="247" spans="1:18" s="6" customFormat="1" x14ac:dyDescent="0.25">
      <c r="A247" s="5"/>
      <c r="B247" s="5"/>
      <c r="C247" s="5"/>
      <c r="D247" s="5"/>
      <c r="E247" s="5"/>
      <c r="F247" s="5"/>
      <c r="O247" s="5"/>
      <c r="P247" s="5"/>
      <c r="Q247" s="5"/>
      <c r="R247" s="5"/>
    </row>
    <row r="248" spans="1:18" s="6" customFormat="1" x14ac:dyDescent="0.25">
      <c r="A248" s="5"/>
      <c r="B248" s="5"/>
      <c r="C248" s="5"/>
      <c r="D248" s="5"/>
      <c r="E248" s="5"/>
      <c r="F248" s="5"/>
      <c r="O248" s="5"/>
      <c r="P248" s="5"/>
      <c r="Q248" s="5"/>
      <c r="R248" s="5"/>
    </row>
    <row r="249" spans="1:18" s="6" customFormat="1" x14ac:dyDescent="0.25">
      <c r="A249" s="5"/>
      <c r="B249" s="5"/>
      <c r="C249" s="5"/>
      <c r="D249" s="5"/>
      <c r="E249" s="5"/>
      <c r="F249" s="5"/>
      <c r="O249" s="5"/>
      <c r="P249" s="5"/>
      <c r="Q249" s="5"/>
      <c r="R249" s="5"/>
    </row>
    <row r="250" spans="1:18" s="6" customFormat="1" x14ac:dyDescent="0.25">
      <c r="A250" s="5"/>
      <c r="B250" s="5"/>
      <c r="C250" s="5"/>
      <c r="D250" s="5"/>
      <c r="E250" s="5"/>
      <c r="F250" s="5"/>
      <c r="O250" s="5"/>
      <c r="P250" s="5"/>
      <c r="Q250" s="5"/>
      <c r="R250" s="5"/>
    </row>
    <row r="251" spans="1:18" s="6" customFormat="1" x14ac:dyDescent="0.25">
      <c r="A251" s="5"/>
      <c r="B251" s="5"/>
      <c r="C251" s="5"/>
      <c r="D251" s="5"/>
      <c r="E251" s="5"/>
      <c r="F251" s="5"/>
      <c r="O251" s="5"/>
      <c r="P251" s="5"/>
      <c r="Q251" s="5"/>
      <c r="R251" s="5"/>
    </row>
    <row r="252" spans="1:18" s="6" customFormat="1" x14ac:dyDescent="0.25">
      <c r="A252" s="5"/>
      <c r="B252" s="5"/>
      <c r="C252" s="5"/>
      <c r="D252" s="5"/>
      <c r="E252" s="5"/>
      <c r="F252" s="5"/>
      <c r="O252" s="5"/>
      <c r="P252" s="5"/>
      <c r="Q252" s="5"/>
      <c r="R252" s="5"/>
    </row>
    <row r="253" spans="1:18" s="6" customFormat="1" x14ac:dyDescent="0.25">
      <c r="A253" s="5"/>
      <c r="B253" s="5"/>
      <c r="C253" s="5"/>
      <c r="D253" s="5"/>
      <c r="E253" s="5"/>
      <c r="F253" s="5"/>
      <c r="O253" s="5"/>
      <c r="P253" s="5"/>
      <c r="Q253" s="5"/>
      <c r="R253" s="5"/>
    </row>
    <row r="254" spans="1:18" s="6" customFormat="1" x14ac:dyDescent="0.25">
      <c r="A254" s="5"/>
      <c r="B254" s="5"/>
      <c r="C254" s="5"/>
      <c r="D254" s="5"/>
      <c r="E254" s="5"/>
      <c r="F254" s="5"/>
      <c r="O254" s="5"/>
      <c r="P254" s="5"/>
      <c r="Q254" s="5"/>
      <c r="R254" s="5"/>
    </row>
    <row r="255" spans="1:18" s="6" customFormat="1" x14ac:dyDescent="0.25">
      <c r="A255" s="5"/>
      <c r="B255" s="5"/>
      <c r="C255" s="5"/>
      <c r="D255" s="5"/>
      <c r="E255" s="5"/>
      <c r="F255" s="5"/>
      <c r="O255" s="5"/>
      <c r="P255" s="5"/>
      <c r="Q255" s="5"/>
      <c r="R255" s="5"/>
    </row>
    <row r="256" spans="1:18" s="6" customFormat="1" x14ac:dyDescent="0.25">
      <c r="A256" s="5"/>
      <c r="B256" s="5"/>
      <c r="C256" s="5"/>
      <c r="D256" s="5"/>
      <c r="E256" s="5"/>
      <c r="F256" s="5"/>
      <c r="O256" s="5"/>
      <c r="P256" s="5"/>
      <c r="Q256" s="5"/>
      <c r="R256" s="5"/>
    </row>
    <row r="257" spans="1:18" s="6" customFormat="1" x14ac:dyDescent="0.25">
      <c r="A257" s="5"/>
      <c r="B257" s="5"/>
      <c r="C257" s="5"/>
      <c r="D257" s="5"/>
      <c r="E257" s="5"/>
      <c r="F257" s="5"/>
      <c r="O257" s="5"/>
      <c r="P257" s="5"/>
      <c r="Q257" s="5"/>
      <c r="R257" s="5"/>
    </row>
    <row r="258" spans="1:18" s="6" customFormat="1" x14ac:dyDescent="0.25">
      <c r="A258" s="5"/>
      <c r="B258" s="5"/>
      <c r="C258" s="5"/>
      <c r="D258" s="5"/>
      <c r="E258" s="5"/>
      <c r="F258" s="5"/>
      <c r="O258" s="5"/>
      <c r="P258" s="5"/>
      <c r="Q258" s="5"/>
      <c r="R258" s="5"/>
    </row>
    <row r="259" spans="1:18" s="6" customFormat="1" x14ac:dyDescent="0.25">
      <c r="A259" s="5"/>
      <c r="B259" s="5"/>
      <c r="C259" s="5"/>
      <c r="D259" s="5"/>
      <c r="E259" s="5"/>
      <c r="F259" s="5"/>
      <c r="O259" s="5"/>
      <c r="P259" s="5"/>
      <c r="Q259" s="5"/>
      <c r="R259" s="5"/>
    </row>
    <row r="260" spans="1:18" s="6" customFormat="1" x14ac:dyDescent="0.25">
      <c r="A260" s="5"/>
      <c r="B260" s="5"/>
      <c r="C260" s="5"/>
      <c r="D260" s="5"/>
      <c r="E260" s="5"/>
      <c r="F260" s="5"/>
      <c r="O260" s="5"/>
      <c r="P260" s="5"/>
      <c r="Q260" s="5"/>
      <c r="R260" s="5"/>
    </row>
    <row r="261" spans="1:18" s="6" customFormat="1" x14ac:dyDescent="0.25">
      <c r="A261" s="5"/>
      <c r="B261" s="5"/>
      <c r="C261" s="5"/>
      <c r="D261" s="5"/>
      <c r="E261" s="5"/>
      <c r="F261" s="5"/>
      <c r="O261" s="5"/>
      <c r="P261" s="5"/>
      <c r="Q261" s="5"/>
      <c r="R261" s="5"/>
    </row>
    <row r="262" spans="1:18" s="6" customFormat="1" x14ac:dyDescent="0.25">
      <c r="A262" s="5"/>
      <c r="B262" s="5"/>
      <c r="C262" s="5"/>
      <c r="D262" s="5"/>
      <c r="E262" s="5"/>
      <c r="F262" s="5"/>
      <c r="O262" s="5"/>
      <c r="P262" s="5"/>
      <c r="Q262" s="5"/>
      <c r="R262" s="5"/>
    </row>
    <row r="263" spans="1:18" s="6" customFormat="1" x14ac:dyDescent="0.25">
      <c r="A263" s="5"/>
      <c r="B263" s="5"/>
      <c r="C263" s="5"/>
      <c r="D263" s="5"/>
      <c r="E263" s="5"/>
      <c r="F263" s="5"/>
      <c r="O263" s="5"/>
      <c r="P263" s="5"/>
      <c r="Q263" s="5"/>
      <c r="R263" s="5"/>
    </row>
    <row r="264" spans="1:18" s="6" customFormat="1" x14ac:dyDescent="0.25">
      <c r="A264" s="5"/>
      <c r="B264" s="5"/>
      <c r="C264" s="5"/>
      <c r="D264" s="5"/>
      <c r="E264" s="5"/>
      <c r="F264" s="5"/>
      <c r="O264" s="5"/>
      <c r="P264" s="5"/>
      <c r="Q264" s="5"/>
      <c r="R264" s="5"/>
    </row>
    <row r="265" spans="1:18" s="6" customFormat="1" x14ac:dyDescent="0.25">
      <c r="A265" s="5"/>
      <c r="B265" s="5"/>
      <c r="C265" s="5"/>
      <c r="D265" s="5"/>
      <c r="E265" s="5"/>
      <c r="F265" s="5"/>
      <c r="O265" s="5"/>
      <c r="P265" s="5"/>
      <c r="Q265" s="5"/>
      <c r="R265" s="5"/>
    </row>
    <row r="266" spans="1:18" s="6" customFormat="1" x14ac:dyDescent="0.25">
      <c r="A266" s="5"/>
      <c r="B266" s="5"/>
      <c r="C266" s="5"/>
      <c r="D266" s="5"/>
      <c r="E266" s="5"/>
      <c r="F266" s="5"/>
      <c r="O266" s="5"/>
      <c r="P266" s="5"/>
      <c r="Q266" s="5"/>
      <c r="R266" s="5"/>
    </row>
    <row r="267" spans="1:18" s="6" customFormat="1" x14ac:dyDescent="0.25">
      <c r="A267" s="5"/>
      <c r="B267" s="5"/>
      <c r="C267" s="5"/>
      <c r="D267" s="5"/>
      <c r="E267" s="5"/>
      <c r="F267" s="5"/>
      <c r="O267" s="5"/>
      <c r="P267" s="5"/>
      <c r="Q267" s="5"/>
      <c r="R267" s="5"/>
    </row>
    <row r="268" spans="1:18" s="6" customFormat="1" x14ac:dyDescent="0.25">
      <c r="A268" s="5"/>
      <c r="B268" s="5"/>
      <c r="C268" s="5"/>
      <c r="D268" s="5"/>
      <c r="E268" s="5"/>
      <c r="F268" s="5"/>
      <c r="O268" s="5"/>
      <c r="P268" s="5"/>
      <c r="Q268" s="5"/>
      <c r="R268" s="5"/>
    </row>
    <row r="269" spans="1:18" s="6" customFormat="1" x14ac:dyDescent="0.25">
      <c r="A269" s="5"/>
      <c r="B269" s="5"/>
      <c r="C269" s="5"/>
      <c r="D269" s="5"/>
      <c r="E269" s="5"/>
      <c r="F269" s="5"/>
      <c r="O269" s="5"/>
      <c r="P269" s="5"/>
      <c r="Q269" s="5"/>
      <c r="R269" s="5"/>
    </row>
    <row r="270" spans="1:18" s="6" customFormat="1" x14ac:dyDescent="0.25">
      <c r="A270" s="5"/>
      <c r="B270" s="5"/>
      <c r="C270" s="5"/>
      <c r="D270" s="5"/>
      <c r="E270" s="5"/>
      <c r="F270" s="5"/>
      <c r="O270" s="5"/>
      <c r="P270" s="5"/>
      <c r="Q270" s="5"/>
      <c r="R270" s="5"/>
    </row>
    <row r="271" spans="1:18" s="6" customFormat="1" x14ac:dyDescent="0.25">
      <c r="A271" s="5"/>
      <c r="B271" s="5"/>
      <c r="C271" s="5"/>
      <c r="D271" s="5"/>
      <c r="E271" s="5"/>
      <c r="F271" s="5"/>
      <c r="O271" s="5"/>
      <c r="P271" s="5"/>
      <c r="Q271" s="5"/>
      <c r="R271" s="5"/>
    </row>
    <row r="272" spans="1:18" s="6" customFormat="1" x14ac:dyDescent="0.25">
      <c r="A272" s="5"/>
      <c r="B272" s="5"/>
      <c r="C272" s="5"/>
      <c r="D272" s="5"/>
      <c r="E272" s="5"/>
      <c r="F272" s="5"/>
      <c r="O272" s="5"/>
      <c r="P272" s="5"/>
      <c r="Q272" s="5"/>
      <c r="R272" s="5"/>
    </row>
    <row r="273" spans="1:18" s="6" customFormat="1" x14ac:dyDescent="0.25">
      <c r="A273" s="5"/>
      <c r="B273" s="5"/>
      <c r="C273" s="5"/>
      <c r="D273" s="5"/>
      <c r="E273" s="5"/>
      <c r="F273" s="5"/>
      <c r="O273" s="5"/>
      <c r="P273" s="5"/>
      <c r="Q273" s="5"/>
      <c r="R273" s="5"/>
    </row>
    <row r="274" spans="1:18" s="6" customFormat="1" x14ac:dyDescent="0.25">
      <c r="A274" s="5"/>
      <c r="B274" s="5"/>
      <c r="C274" s="5"/>
      <c r="D274" s="5"/>
      <c r="E274" s="5"/>
      <c r="F274" s="5"/>
      <c r="O274" s="5"/>
      <c r="P274" s="5"/>
      <c r="Q274" s="5"/>
      <c r="R274" s="5"/>
    </row>
    <row r="275" spans="1:18" s="6" customFormat="1" x14ac:dyDescent="0.25">
      <c r="A275" s="5"/>
      <c r="B275" s="5"/>
      <c r="C275" s="5"/>
      <c r="D275" s="5"/>
      <c r="E275" s="5"/>
      <c r="F275" s="5"/>
      <c r="O275" s="5"/>
      <c r="P275" s="5"/>
      <c r="Q275" s="5"/>
      <c r="R275" s="5"/>
    </row>
    <row r="276" spans="1:18" s="6" customFormat="1" x14ac:dyDescent="0.25">
      <c r="A276" s="5"/>
      <c r="B276" s="5"/>
      <c r="C276" s="5"/>
      <c r="D276" s="5"/>
      <c r="E276" s="5"/>
      <c r="F276" s="5"/>
      <c r="O276" s="5"/>
      <c r="P276" s="5"/>
      <c r="Q276" s="5"/>
      <c r="R276" s="5"/>
    </row>
    <row r="277" spans="1:18" s="6" customFormat="1" x14ac:dyDescent="0.25">
      <c r="A277" s="5"/>
      <c r="B277" s="5"/>
      <c r="C277" s="5"/>
      <c r="D277" s="5"/>
      <c r="E277" s="5"/>
      <c r="F277" s="5"/>
      <c r="O277" s="5"/>
      <c r="P277" s="5"/>
      <c r="Q277" s="5"/>
      <c r="R277" s="5"/>
    </row>
    <row r="278" spans="1:18" s="6" customFormat="1" x14ac:dyDescent="0.25">
      <c r="A278" s="5"/>
      <c r="B278" s="5"/>
      <c r="C278" s="5"/>
      <c r="D278" s="5"/>
      <c r="E278" s="5"/>
      <c r="F278" s="5"/>
      <c r="O278" s="5"/>
      <c r="P278" s="5"/>
      <c r="Q278" s="5"/>
      <c r="R278" s="5"/>
    </row>
    <row r="279" spans="1:18" s="6" customFormat="1" x14ac:dyDescent="0.25">
      <c r="A279" s="5"/>
      <c r="B279" s="5"/>
      <c r="C279" s="5"/>
      <c r="D279" s="5"/>
      <c r="E279" s="5"/>
      <c r="F279" s="5"/>
      <c r="O279" s="5"/>
      <c r="P279" s="5"/>
      <c r="Q279" s="5"/>
      <c r="R279" s="5"/>
    </row>
    <row r="280" spans="1:18" s="6" customFormat="1" x14ac:dyDescent="0.25">
      <c r="A280" s="5"/>
      <c r="B280" s="5"/>
      <c r="C280" s="5"/>
      <c r="D280" s="5"/>
      <c r="E280" s="5"/>
      <c r="F280" s="5"/>
      <c r="O280" s="5"/>
      <c r="P280" s="5"/>
      <c r="Q280" s="5"/>
      <c r="R280" s="5"/>
    </row>
    <row r="281" spans="1:18" s="6" customFormat="1" x14ac:dyDescent="0.25">
      <c r="A281" s="5"/>
      <c r="B281" s="5"/>
      <c r="C281" s="5"/>
      <c r="D281" s="5"/>
      <c r="E281" s="5"/>
      <c r="F281" s="5"/>
      <c r="O281" s="5"/>
      <c r="P281" s="5"/>
      <c r="Q281" s="5"/>
      <c r="R281" s="5"/>
    </row>
    <row r="282" spans="1:18" s="6" customFormat="1" x14ac:dyDescent="0.25">
      <c r="A282" s="5"/>
      <c r="B282" s="5"/>
      <c r="C282" s="5"/>
      <c r="D282" s="5"/>
      <c r="E282" s="5"/>
      <c r="F282" s="5"/>
      <c r="O282" s="5"/>
      <c r="P282" s="5"/>
      <c r="Q282" s="5"/>
      <c r="R282" s="5"/>
    </row>
    <row r="283" spans="1:18" s="6" customFormat="1" x14ac:dyDescent="0.25">
      <c r="A283" s="5"/>
      <c r="B283" s="5"/>
      <c r="C283" s="5"/>
      <c r="D283" s="5"/>
      <c r="E283" s="5"/>
      <c r="F283" s="5"/>
      <c r="O283" s="5"/>
      <c r="P283" s="5"/>
      <c r="Q283" s="5"/>
      <c r="R283" s="5"/>
    </row>
    <row r="284" spans="1:18" s="6" customFormat="1" x14ac:dyDescent="0.25">
      <c r="A284" s="5"/>
      <c r="B284" s="5"/>
      <c r="C284" s="5"/>
      <c r="D284" s="5"/>
      <c r="E284" s="5"/>
      <c r="F284" s="5"/>
      <c r="O284" s="5"/>
      <c r="P284" s="5"/>
      <c r="Q284" s="5"/>
      <c r="R284" s="5"/>
    </row>
    <row r="285" spans="1:18" s="6" customFormat="1" x14ac:dyDescent="0.25">
      <c r="A285" s="5"/>
      <c r="B285" s="5"/>
      <c r="C285" s="5"/>
      <c r="D285" s="5"/>
      <c r="E285" s="5"/>
      <c r="F285" s="5"/>
      <c r="O285" s="5"/>
      <c r="P285" s="5"/>
      <c r="Q285" s="5"/>
      <c r="R285" s="5"/>
    </row>
    <row r="286" spans="1:18" s="6" customFormat="1" x14ac:dyDescent="0.25">
      <c r="A286" s="5"/>
      <c r="B286" s="5"/>
      <c r="C286" s="5"/>
      <c r="D286" s="5"/>
      <c r="E286" s="5"/>
      <c r="F286" s="5"/>
      <c r="O286" s="5"/>
      <c r="P286" s="5"/>
      <c r="Q286" s="5"/>
      <c r="R286" s="5"/>
    </row>
    <row r="287" spans="1:18" s="6" customFormat="1" x14ac:dyDescent="0.25">
      <c r="A287" s="5"/>
      <c r="B287" s="5"/>
      <c r="C287" s="5"/>
      <c r="D287" s="5"/>
      <c r="E287" s="5"/>
      <c r="F287" s="5"/>
      <c r="O287" s="5"/>
      <c r="P287" s="5"/>
      <c r="Q287" s="5"/>
      <c r="R287" s="5"/>
    </row>
    <row r="288" spans="1:18" s="6" customFormat="1" x14ac:dyDescent="0.25">
      <c r="A288" s="5"/>
      <c r="B288" s="5"/>
      <c r="C288" s="5"/>
      <c r="D288" s="5"/>
      <c r="E288" s="5"/>
      <c r="F288" s="5"/>
      <c r="O288" s="5"/>
      <c r="P288" s="5"/>
      <c r="Q288" s="5"/>
      <c r="R288" s="5"/>
    </row>
    <row r="289" spans="1:18" s="6" customFormat="1" x14ac:dyDescent="0.25">
      <c r="A289" s="5"/>
      <c r="B289" s="5"/>
      <c r="C289" s="5"/>
      <c r="D289" s="5"/>
      <c r="E289" s="5"/>
      <c r="F289" s="5"/>
      <c r="O289" s="5"/>
      <c r="P289" s="5"/>
      <c r="Q289" s="5"/>
      <c r="R289" s="5"/>
    </row>
    <row r="290" spans="1:18" s="6" customFormat="1" x14ac:dyDescent="0.25">
      <c r="A290" s="5"/>
      <c r="B290" s="5"/>
      <c r="C290" s="5"/>
      <c r="D290" s="5"/>
      <c r="E290" s="5"/>
      <c r="F290" s="5"/>
      <c r="O290" s="5"/>
      <c r="P290" s="5"/>
      <c r="Q290" s="5"/>
      <c r="R290" s="5"/>
    </row>
    <row r="291" spans="1:18" s="6" customFormat="1" x14ac:dyDescent="0.25">
      <c r="A291" s="5"/>
      <c r="B291" s="5"/>
      <c r="C291" s="5"/>
      <c r="D291" s="5"/>
      <c r="E291" s="5"/>
      <c r="F291" s="5"/>
      <c r="O291" s="5"/>
      <c r="P291" s="5"/>
      <c r="Q291" s="5"/>
      <c r="R291" s="5"/>
    </row>
    <row r="292" spans="1:18" s="6" customFormat="1" x14ac:dyDescent="0.25">
      <c r="A292" s="5"/>
      <c r="B292" s="5"/>
      <c r="C292" s="5"/>
      <c r="D292" s="5"/>
      <c r="E292" s="5"/>
      <c r="F292" s="5"/>
      <c r="O292" s="5"/>
      <c r="P292" s="5"/>
      <c r="Q292" s="5"/>
      <c r="R292" s="5"/>
    </row>
    <row r="293" spans="1:18" s="6" customFormat="1" x14ac:dyDescent="0.25">
      <c r="A293" s="5"/>
      <c r="B293" s="5"/>
      <c r="C293" s="5"/>
      <c r="D293" s="5"/>
      <c r="E293" s="5"/>
      <c r="F293" s="5"/>
      <c r="O293" s="5"/>
      <c r="P293" s="5"/>
      <c r="Q293" s="5"/>
      <c r="R293" s="5"/>
    </row>
    <row r="294" spans="1:18" s="6" customFormat="1" x14ac:dyDescent="0.25">
      <c r="A294" s="5"/>
      <c r="B294" s="5"/>
      <c r="C294" s="5"/>
      <c r="D294" s="5"/>
      <c r="E294" s="5"/>
      <c r="F294" s="5"/>
      <c r="O294" s="5"/>
      <c r="P294" s="5"/>
      <c r="Q294" s="5"/>
      <c r="R294" s="5"/>
    </row>
    <row r="295" spans="1:18" s="6" customFormat="1" x14ac:dyDescent="0.25">
      <c r="A295" s="5"/>
      <c r="B295" s="5"/>
      <c r="C295" s="5"/>
      <c r="D295" s="5"/>
      <c r="E295" s="5"/>
      <c r="F295" s="5"/>
      <c r="O295" s="5"/>
      <c r="P295" s="5"/>
      <c r="Q295" s="5"/>
      <c r="R295" s="5"/>
    </row>
    <row r="296" spans="1:18" s="6" customFormat="1" x14ac:dyDescent="0.25">
      <c r="A296" s="5"/>
      <c r="B296" s="5"/>
      <c r="C296" s="5"/>
      <c r="D296" s="5"/>
      <c r="E296" s="5"/>
      <c r="F296" s="5"/>
      <c r="O296" s="5"/>
      <c r="P296" s="5"/>
      <c r="Q296" s="5"/>
      <c r="R296" s="5"/>
    </row>
    <row r="297" spans="1:18" s="6" customFormat="1" x14ac:dyDescent="0.25">
      <c r="A297" s="5"/>
      <c r="B297" s="5"/>
      <c r="C297" s="5"/>
      <c r="D297" s="5"/>
      <c r="E297" s="5"/>
      <c r="F297" s="5"/>
      <c r="O297" s="5"/>
      <c r="P297" s="5"/>
      <c r="Q297" s="5"/>
      <c r="R297" s="5"/>
    </row>
    <row r="298" spans="1:18" s="6" customFormat="1" x14ac:dyDescent="0.25">
      <c r="A298" s="5"/>
      <c r="B298" s="5"/>
      <c r="C298" s="5"/>
      <c r="D298" s="5"/>
      <c r="E298" s="5"/>
      <c r="F298" s="5"/>
      <c r="O298" s="5"/>
      <c r="P298" s="5"/>
      <c r="Q298" s="5"/>
      <c r="R298" s="5"/>
    </row>
    <row r="299" spans="1:18" s="6" customFormat="1" x14ac:dyDescent="0.25">
      <c r="A299" s="5"/>
      <c r="B299" s="5"/>
      <c r="C299" s="5"/>
      <c r="D299" s="5"/>
      <c r="E299" s="5"/>
      <c r="F299" s="5"/>
      <c r="O299" s="5"/>
      <c r="P299" s="5"/>
      <c r="Q299" s="5"/>
      <c r="R299" s="5"/>
    </row>
    <row r="300" spans="1:18" s="6" customFormat="1" x14ac:dyDescent="0.25">
      <c r="A300" s="5"/>
      <c r="B300" s="5"/>
      <c r="C300" s="5"/>
      <c r="D300" s="5"/>
      <c r="E300" s="5"/>
      <c r="F300" s="5"/>
      <c r="O300" s="5"/>
      <c r="P300" s="5"/>
      <c r="Q300" s="5"/>
      <c r="R300" s="5"/>
    </row>
    <row r="301" spans="1:18" s="6" customFormat="1" x14ac:dyDescent="0.25">
      <c r="A301" s="5"/>
      <c r="B301" s="5"/>
      <c r="C301" s="5"/>
      <c r="D301" s="5"/>
      <c r="E301" s="5"/>
      <c r="F301" s="5"/>
      <c r="O301" s="5"/>
      <c r="P301" s="5"/>
      <c r="Q301" s="5"/>
      <c r="R301" s="5"/>
    </row>
    <row r="302" spans="1:18" s="6" customFormat="1" x14ac:dyDescent="0.25">
      <c r="A302" s="5"/>
      <c r="B302" s="5"/>
      <c r="C302" s="5"/>
      <c r="D302" s="5"/>
      <c r="E302" s="5"/>
      <c r="F302" s="5"/>
      <c r="O302" s="5"/>
      <c r="P302" s="5"/>
      <c r="Q302" s="5"/>
      <c r="R302" s="5"/>
    </row>
    <row r="303" spans="1:18" s="6" customFormat="1" x14ac:dyDescent="0.25">
      <c r="A303" s="5"/>
      <c r="B303" s="5"/>
      <c r="C303" s="5"/>
      <c r="D303" s="5"/>
      <c r="E303" s="5"/>
      <c r="F303" s="5"/>
      <c r="O303" s="5"/>
      <c r="P303" s="5"/>
      <c r="Q303" s="5"/>
      <c r="R303" s="5"/>
    </row>
    <row r="304" spans="1:18" s="6" customFormat="1" x14ac:dyDescent="0.25">
      <c r="A304" s="5"/>
      <c r="B304" s="5"/>
      <c r="C304" s="5"/>
      <c r="D304" s="5"/>
      <c r="E304" s="5"/>
      <c r="F304" s="5"/>
      <c r="O304" s="5"/>
      <c r="P304" s="5"/>
      <c r="Q304" s="5"/>
      <c r="R304" s="5"/>
    </row>
    <row r="305" spans="1:18" s="6" customFormat="1" x14ac:dyDescent="0.25">
      <c r="A305" s="5"/>
      <c r="B305" s="5"/>
      <c r="C305" s="5"/>
      <c r="D305" s="5"/>
      <c r="E305" s="5"/>
      <c r="F305" s="5"/>
      <c r="O305" s="5"/>
      <c r="P305" s="5"/>
      <c r="Q305" s="5"/>
      <c r="R305" s="5"/>
    </row>
    <row r="306" spans="1:18" s="6" customFormat="1" x14ac:dyDescent="0.25">
      <c r="A306" s="5"/>
      <c r="B306" s="5"/>
      <c r="C306" s="5"/>
      <c r="D306" s="5"/>
      <c r="E306" s="5"/>
      <c r="F306" s="5"/>
      <c r="O306" s="5"/>
      <c r="P306" s="5"/>
      <c r="Q306" s="5"/>
      <c r="R306" s="5"/>
    </row>
    <row r="307" spans="1:18" s="6" customFormat="1" x14ac:dyDescent="0.25">
      <c r="A307" s="5"/>
      <c r="B307" s="5"/>
      <c r="C307" s="5"/>
      <c r="D307" s="5"/>
      <c r="E307" s="5"/>
      <c r="F307" s="5"/>
      <c r="O307" s="5"/>
      <c r="P307" s="5"/>
      <c r="Q307" s="5"/>
      <c r="R307" s="5"/>
    </row>
    <row r="308" spans="1:18" s="6" customFormat="1" x14ac:dyDescent="0.25">
      <c r="A308" s="5"/>
      <c r="B308" s="5"/>
      <c r="C308" s="5"/>
      <c r="D308" s="5"/>
      <c r="E308" s="5"/>
      <c r="F308" s="5"/>
      <c r="O308" s="5"/>
      <c r="P308" s="5"/>
      <c r="Q308" s="5"/>
      <c r="R308" s="5"/>
    </row>
    <row r="309" spans="1:18" s="6" customFormat="1" x14ac:dyDescent="0.25">
      <c r="A309" s="5"/>
      <c r="B309" s="5"/>
      <c r="C309" s="5"/>
      <c r="D309" s="5"/>
      <c r="E309" s="5"/>
      <c r="F309" s="5"/>
      <c r="O309" s="5"/>
      <c r="P309" s="5"/>
      <c r="Q309" s="5"/>
      <c r="R309" s="5"/>
    </row>
    <row r="310" spans="1:18" s="6" customFormat="1" x14ac:dyDescent="0.25">
      <c r="A310" s="5"/>
      <c r="B310" s="5"/>
      <c r="C310" s="5"/>
      <c r="D310" s="5"/>
      <c r="E310" s="5"/>
      <c r="F310" s="5"/>
      <c r="O310" s="5"/>
      <c r="P310" s="5"/>
      <c r="Q310" s="5"/>
      <c r="R310" s="5"/>
    </row>
    <row r="311" spans="1:18" s="6" customFormat="1" x14ac:dyDescent="0.25">
      <c r="A311" s="5"/>
      <c r="B311" s="5"/>
      <c r="C311" s="5"/>
      <c r="D311" s="5"/>
      <c r="E311" s="5"/>
      <c r="F311" s="5"/>
      <c r="O311" s="5"/>
      <c r="P311" s="5"/>
      <c r="Q311" s="5"/>
      <c r="R311" s="5"/>
    </row>
    <row r="312" spans="1:18" s="6" customFormat="1" x14ac:dyDescent="0.25">
      <c r="A312" s="5"/>
      <c r="B312" s="5"/>
      <c r="C312" s="5"/>
      <c r="D312" s="5"/>
      <c r="E312" s="5"/>
      <c r="F312" s="5"/>
      <c r="O312" s="5"/>
      <c r="P312" s="5"/>
      <c r="Q312" s="5"/>
      <c r="R312" s="5"/>
    </row>
    <row r="313" spans="1:18" s="6" customFormat="1" x14ac:dyDescent="0.25">
      <c r="A313" s="5"/>
      <c r="B313" s="5"/>
      <c r="C313" s="5"/>
      <c r="D313" s="5"/>
      <c r="E313" s="5"/>
      <c r="F313" s="5"/>
      <c r="O313" s="5"/>
      <c r="P313" s="5"/>
      <c r="Q313" s="5"/>
      <c r="R313" s="5"/>
    </row>
    <row r="314" spans="1:18" s="6" customFormat="1" x14ac:dyDescent="0.25">
      <c r="A314" s="5"/>
      <c r="B314" s="5"/>
      <c r="C314" s="5"/>
      <c r="D314" s="5"/>
      <c r="E314" s="5"/>
      <c r="F314" s="5"/>
      <c r="O314" s="5"/>
      <c r="P314" s="5"/>
      <c r="Q314" s="5"/>
      <c r="R314" s="5"/>
    </row>
    <row r="315" spans="1:18" s="6" customFormat="1" x14ac:dyDescent="0.25">
      <c r="A315" s="5"/>
      <c r="B315" s="5"/>
      <c r="C315" s="5"/>
      <c r="D315" s="5"/>
      <c r="E315" s="5"/>
      <c r="F315" s="5"/>
      <c r="O315" s="5"/>
      <c r="P315" s="5"/>
      <c r="Q315" s="5"/>
      <c r="R315" s="5"/>
    </row>
    <row r="316" spans="1:18" s="6" customFormat="1" x14ac:dyDescent="0.25">
      <c r="A316" s="5"/>
      <c r="B316" s="5"/>
      <c r="C316" s="5"/>
      <c r="D316" s="5"/>
      <c r="E316" s="5"/>
      <c r="F316" s="5"/>
      <c r="O316" s="5"/>
      <c r="P316" s="5"/>
      <c r="Q316" s="5"/>
      <c r="R316" s="5"/>
    </row>
    <row r="317" spans="1:18" s="6" customFormat="1" x14ac:dyDescent="0.25">
      <c r="A317" s="5"/>
      <c r="B317" s="5"/>
      <c r="C317" s="5"/>
      <c r="D317" s="5"/>
      <c r="E317" s="5"/>
      <c r="F317" s="5"/>
      <c r="O317" s="5"/>
      <c r="P317" s="5"/>
      <c r="Q317" s="5"/>
      <c r="R317" s="5"/>
    </row>
    <row r="318" spans="1:18" s="6" customFormat="1" x14ac:dyDescent="0.25">
      <c r="A318" s="5"/>
      <c r="B318" s="5"/>
      <c r="C318" s="5"/>
      <c r="D318" s="5"/>
      <c r="E318" s="5"/>
      <c r="F318" s="5"/>
      <c r="O318" s="5"/>
      <c r="P318" s="5"/>
      <c r="Q318" s="5"/>
      <c r="R318" s="5"/>
    </row>
    <row r="319" spans="1:18" s="6" customFormat="1" x14ac:dyDescent="0.25">
      <c r="A319" s="5"/>
      <c r="B319" s="5"/>
      <c r="C319" s="5"/>
      <c r="D319" s="5"/>
      <c r="E319" s="5"/>
      <c r="F319" s="5"/>
      <c r="O319" s="5"/>
      <c r="P319" s="5"/>
      <c r="Q319" s="5"/>
      <c r="R319" s="5"/>
    </row>
    <row r="320" spans="1:18" s="6" customFormat="1" x14ac:dyDescent="0.25">
      <c r="A320" s="5"/>
      <c r="B320" s="5"/>
      <c r="C320" s="5"/>
      <c r="D320" s="5"/>
      <c r="E320" s="5"/>
      <c r="F320" s="5"/>
      <c r="O320" s="5"/>
      <c r="P320" s="5"/>
      <c r="Q320" s="5"/>
      <c r="R320" s="5"/>
    </row>
    <row r="321" spans="1:18" s="6" customFormat="1" x14ac:dyDescent="0.25">
      <c r="A321" s="5"/>
      <c r="B321" s="5"/>
      <c r="C321" s="5"/>
      <c r="D321" s="5"/>
      <c r="E321" s="5"/>
      <c r="F321" s="5"/>
      <c r="O321" s="5"/>
      <c r="P321" s="5"/>
      <c r="Q321" s="5"/>
      <c r="R321" s="5"/>
    </row>
    <row r="322" spans="1:18" s="6" customFormat="1" x14ac:dyDescent="0.25">
      <c r="A322" s="5"/>
      <c r="B322" s="5"/>
      <c r="C322" s="5"/>
      <c r="D322" s="5"/>
      <c r="E322" s="5"/>
      <c r="F322" s="5"/>
      <c r="O322" s="5"/>
      <c r="P322" s="5"/>
      <c r="Q322" s="5"/>
      <c r="R322" s="5"/>
    </row>
    <row r="323" spans="1:18" s="6" customFormat="1" x14ac:dyDescent="0.25">
      <c r="A323" s="5"/>
      <c r="B323" s="5"/>
      <c r="C323" s="5"/>
      <c r="D323" s="5"/>
      <c r="E323" s="5"/>
      <c r="F323" s="5"/>
      <c r="O323" s="5"/>
      <c r="P323" s="5"/>
      <c r="Q323" s="5"/>
      <c r="R323" s="5"/>
    </row>
    <row r="324" spans="1:18" s="6" customFormat="1" x14ac:dyDescent="0.25">
      <c r="A324" s="5"/>
      <c r="B324" s="5"/>
      <c r="C324" s="5"/>
      <c r="D324" s="5"/>
      <c r="E324" s="5"/>
      <c r="F324" s="5"/>
      <c r="O324" s="5"/>
      <c r="P324" s="5"/>
      <c r="Q324" s="5"/>
      <c r="R324" s="5"/>
    </row>
    <row r="325" spans="1:18" s="6" customFormat="1" x14ac:dyDescent="0.25">
      <c r="A325" s="5"/>
      <c r="B325" s="5"/>
      <c r="C325" s="5"/>
      <c r="D325" s="5"/>
      <c r="E325" s="5"/>
      <c r="F325" s="5"/>
      <c r="O325" s="5"/>
      <c r="P325" s="5"/>
      <c r="Q325" s="5"/>
      <c r="R325" s="5"/>
    </row>
    <row r="326" spans="1:18" s="6" customFormat="1" x14ac:dyDescent="0.25">
      <c r="A326" s="5"/>
      <c r="B326" s="5"/>
      <c r="C326" s="5"/>
      <c r="D326" s="5"/>
      <c r="E326" s="5"/>
      <c r="F326" s="5"/>
      <c r="O326" s="5"/>
      <c r="P326" s="5"/>
      <c r="Q326" s="5"/>
      <c r="R326" s="5"/>
    </row>
    <row r="327" spans="1:18" s="6" customFormat="1" x14ac:dyDescent="0.25">
      <c r="A327" s="5"/>
      <c r="B327" s="5"/>
      <c r="C327" s="5"/>
      <c r="D327" s="5"/>
      <c r="E327" s="5"/>
      <c r="F327" s="5"/>
      <c r="O327" s="5"/>
      <c r="P327" s="5"/>
      <c r="Q327" s="5"/>
      <c r="R327" s="5"/>
    </row>
    <row r="328" spans="1:18" s="6" customFormat="1" x14ac:dyDescent="0.25">
      <c r="A328" s="5"/>
      <c r="B328" s="5"/>
      <c r="C328" s="5"/>
      <c r="D328" s="5"/>
      <c r="E328" s="5"/>
      <c r="F328" s="5"/>
      <c r="O328" s="5"/>
      <c r="P328" s="5"/>
      <c r="Q328" s="5"/>
      <c r="R328" s="5"/>
    </row>
    <row r="329" spans="1:18" s="6" customFormat="1" x14ac:dyDescent="0.25">
      <c r="A329" s="5"/>
      <c r="B329" s="5"/>
      <c r="C329" s="5"/>
      <c r="D329" s="5"/>
      <c r="E329" s="5"/>
      <c r="F329" s="5"/>
      <c r="O329" s="5"/>
      <c r="P329" s="5"/>
      <c r="Q329" s="5"/>
      <c r="R329" s="5"/>
    </row>
    <row r="330" spans="1:18" s="6" customFormat="1" x14ac:dyDescent="0.25">
      <c r="A330" s="5"/>
      <c r="B330" s="5"/>
      <c r="C330" s="5"/>
      <c r="D330" s="5"/>
      <c r="E330" s="5"/>
      <c r="F330" s="5"/>
      <c r="O330" s="5"/>
      <c r="P330" s="5"/>
      <c r="Q330" s="5"/>
      <c r="R330" s="5"/>
    </row>
    <row r="331" spans="1:18" s="6" customFormat="1" x14ac:dyDescent="0.25">
      <c r="A331" s="5"/>
      <c r="B331" s="5"/>
      <c r="C331" s="5"/>
      <c r="D331" s="5"/>
      <c r="E331" s="5"/>
      <c r="F331" s="5"/>
      <c r="O331" s="5"/>
      <c r="P331" s="5"/>
      <c r="Q331" s="5"/>
      <c r="R331" s="5"/>
    </row>
    <row r="332" spans="1:18" s="6" customFormat="1" x14ac:dyDescent="0.25">
      <c r="A332" s="5"/>
      <c r="B332" s="5"/>
      <c r="C332" s="5"/>
      <c r="D332" s="5"/>
      <c r="E332" s="5"/>
      <c r="F332" s="5"/>
      <c r="O332" s="5"/>
      <c r="P332" s="5"/>
      <c r="Q332" s="5"/>
      <c r="R332" s="5"/>
    </row>
    <row r="333" spans="1:18" s="6" customFormat="1" x14ac:dyDescent="0.25">
      <c r="A333" s="5"/>
      <c r="B333" s="5"/>
      <c r="C333" s="5"/>
      <c r="D333" s="5"/>
      <c r="E333" s="5"/>
      <c r="F333" s="5"/>
      <c r="O333" s="5"/>
      <c r="P333" s="5"/>
      <c r="Q333" s="5"/>
      <c r="R333" s="5"/>
    </row>
    <row r="334" spans="1:18" s="6" customFormat="1" x14ac:dyDescent="0.25">
      <c r="A334" s="5"/>
      <c r="B334" s="5"/>
      <c r="C334" s="5"/>
      <c r="D334" s="5"/>
      <c r="E334" s="5"/>
      <c r="F334" s="5"/>
      <c r="O334" s="5"/>
      <c r="P334" s="5"/>
      <c r="Q334" s="5"/>
      <c r="R334" s="5"/>
    </row>
    <row r="335" spans="1:18" s="6" customFormat="1" x14ac:dyDescent="0.25">
      <c r="A335" s="5"/>
      <c r="B335" s="5"/>
      <c r="C335" s="5"/>
      <c r="D335" s="5"/>
      <c r="E335" s="5"/>
      <c r="F335" s="5"/>
      <c r="O335" s="5"/>
      <c r="P335" s="5"/>
      <c r="Q335" s="5"/>
      <c r="R335" s="5"/>
    </row>
    <row r="336" spans="1:18" s="6" customFormat="1" x14ac:dyDescent="0.25">
      <c r="A336" s="5"/>
      <c r="B336" s="5"/>
      <c r="C336" s="5"/>
      <c r="D336" s="5"/>
      <c r="E336" s="5"/>
      <c r="F336" s="5"/>
      <c r="O336" s="5"/>
      <c r="P336" s="5"/>
      <c r="Q336" s="5"/>
      <c r="R336" s="5"/>
    </row>
    <row r="337" spans="1:18" s="6" customFormat="1" x14ac:dyDescent="0.25">
      <c r="A337" s="5"/>
      <c r="B337" s="5"/>
      <c r="C337" s="5"/>
      <c r="D337" s="5"/>
      <c r="E337" s="5"/>
      <c r="F337" s="5"/>
      <c r="O337" s="5"/>
      <c r="P337" s="5"/>
      <c r="Q337" s="5"/>
      <c r="R337" s="5"/>
    </row>
    <row r="338" spans="1:18" s="6" customFormat="1" x14ac:dyDescent="0.25">
      <c r="A338" s="5"/>
      <c r="B338" s="5"/>
      <c r="C338" s="5"/>
      <c r="D338" s="5"/>
      <c r="E338" s="5"/>
      <c r="F338" s="5"/>
      <c r="O338" s="5"/>
      <c r="P338" s="5"/>
      <c r="Q338" s="5"/>
      <c r="R338" s="5"/>
    </row>
    <row r="339" spans="1:18" s="6" customFormat="1" x14ac:dyDescent="0.25">
      <c r="A339" s="5"/>
      <c r="B339" s="5"/>
      <c r="C339" s="5"/>
      <c r="D339" s="5"/>
      <c r="E339" s="5"/>
      <c r="F339" s="5"/>
      <c r="O339" s="5"/>
      <c r="P339" s="5"/>
      <c r="Q339" s="5"/>
      <c r="R339" s="5"/>
    </row>
    <row r="340" spans="1:18" s="6" customFormat="1" x14ac:dyDescent="0.25">
      <c r="A340" s="5"/>
      <c r="B340" s="5"/>
      <c r="C340" s="5"/>
      <c r="D340" s="5"/>
      <c r="E340" s="5"/>
      <c r="F340" s="5"/>
      <c r="O340" s="5"/>
      <c r="P340" s="5"/>
      <c r="Q340" s="5"/>
      <c r="R340" s="5"/>
    </row>
    <row r="341" spans="1:18" s="6" customFormat="1" x14ac:dyDescent="0.25">
      <c r="A341" s="5"/>
      <c r="B341" s="5"/>
      <c r="C341" s="5"/>
      <c r="D341" s="5"/>
      <c r="E341" s="5"/>
      <c r="F341" s="5"/>
      <c r="O341" s="5"/>
      <c r="P341" s="5"/>
      <c r="Q341" s="5"/>
      <c r="R341" s="5"/>
    </row>
    <row r="342" spans="1:18" s="6" customFormat="1" x14ac:dyDescent="0.25">
      <c r="A342" s="5"/>
      <c r="B342" s="5"/>
      <c r="C342" s="5"/>
      <c r="D342" s="5"/>
      <c r="E342" s="5"/>
      <c r="F342" s="5"/>
      <c r="O342" s="5"/>
      <c r="P342" s="5"/>
      <c r="Q342" s="5"/>
      <c r="R342" s="5"/>
    </row>
    <row r="343" spans="1:18" s="6" customFormat="1" x14ac:dyDescent="0.25">
      <c r="A343" s="5"/>
      <c r="B343" s="5"/>
      <c r="C343" s="5"/>
      <c r="D343" s="5"/>
      <c r="E343" s="5"/>
      <c r="F343" s="5"/>
      <c r="O343" s="5"/>
      <c r="P343" s="5"/>
      <c r="Q343" s="5"/>
      <c r="R343" s="5"/>
    </row>
    <row r="344" spans="1:18" s="6" customFormat="1" x14ac:dyDescent="0.25">
      <c r="A344" s="5"/>
      <c r="B344" s="5"/>
      <c r="C344" s="5"/>
      <c r="D344" s="5"/>
      <c r="E344" s="5"/>
      <c r="F344" s="5"/>
      <c r="O344" s="5"/>
      <c r="P344" s="5"/>
      <c r="Q344" s="5"/>
      <c r="R344" s="5"/>
    </row>
    <row r="345" spans="1:18" s="6" customFormat="1" x14ac:dyDescent="0.25">
      <c r="A345" s="5"/>
      <c r="B345" s="5"/>
      <c r="C345" s="5"/>
      <c r="D345" s="5"/>
      <c r="E345" s="5"/>
      <c r="F345" s="5"/>
      <c r="O345" s="5"/>
      <c r="P345" s="5"/>
      <c r="Q345" s="5"/>
      <c r="R345" s="5"/>
    </row>
    <row r="346" spans="1:18" s="6" customFormat="1" x14ac:dyDescent="0.25">
      <c r="A346" s="5"/>
      <c r="B346" s="5"/>
      <c r="C346" s="5"/>
      <c r="D346" s="5"/>
      <c r="E346" s="5"/>
      <c r="F346" s="5"/>
      <c r="O346" s="5"/>
      <c r="P346" s="5"/>
      <c r="Q346" s="5"/>
      <c r="R346" s="5"/>
    </row>
    <row r="347" spans="1:18" s="6" customFormat="1" x14ac:dyDescent="0.25">
      <c r="A347" s="5"/>
      <c r="B347" s="5"/>
      <c r="C347" s="5"/>
      <c r="D347" s="5"/>
      <c r="E347" s="5"/>
      <c r="F347" s="5"/>
      <c r="O347" s="5"/>
      <c r="P347" s="5"/>
      <c r="Q347" s="5"/>
      <c r="R347" s="5"/>
    </row>
    <row r="348" spans="1:18" s="6" customFormat="1" x14ac:dyDescent="0.25">
      <c r="A348" s="5"/>
      <c r="B348" s="5"/>
      <c r="C348" s="5"/>
      <c r="D348" s="5"/>
      <c r="E348" s="5"/>
      <c r="F348" s="5"/>
      <c r="O348" s="5"/>
      <c r="P348" s="5"/>
      <c r="Q348" s="5"/>
      <c r="R348" s="5"/>
    </row>
    <row r="349" spans="1:18" s="6" customFormat="1" x14ac:dyDescent="0.25">
      <c r="A349" s="5"/>
      <c r="B349" s="5"/>
      <c r="C349" s="5"/>
      <c r="D349" s="5"/>
      <c r="E349" s="5"/>
      <c r="F349" s="5"/>
      <c r="O349" s="5"/>
      <c r="P349" s="5"/>
      <c r="Q349" s="5"/>
      <c r="R349" s="5"/>
    </row>
    <row r="350" spans="1:18" s="6" customFormat="1" x14ac:dyDescent="0.25">
      <c r="A350" s="5"/>
      <c r="B350" s="5"/>
      <c r="C350" s="5"/>
      <c r="D350" s="5"/>
      <c r="E350" s="5"/>
      <c r="F350" s="5"/>
      <c r="O350" s="5"/>
      <c r="P350" s="5"/>
      <c r="Q350" s="5"/>
      <c r="R350" s="5"/>
    </row>
    <row r="351" spans="1:18" s="6" customFormat="1" x14ac:dyDescent="0.25">
      <c r="A351" s="5"/>
      <c r="B351" s="5"/>
      <c r="C351" s="5"/>
      <c r="D351" s="5"/>
      <c r="E351" s="5"/>
      <c r="F351" s="5"/>
      <c r="O351" s="5"/>
      <c r="P351" s="5"/>
      <c r="Q351" s="5"/>
      <c r="R351" s="5"/>
    </row>
    <row r="352" spans="1:18" s="6" customFormat="1" x14ac:dyDescent="0.25">
      <c r="A352" s="5"/>
      <c r="B352" s="5"/>
      <c r="C352" s="5"/>
      <c r="D352" s="5"/>
      <c r="E352" s="5"/>
      <c r="F352" s="5"/>
      <c r="O352" s="5"/>
      <c r="P352" s="5"/>
      <c r="Q352" s="5"/>
      <c r="R352" s="5"/>
    </row>
    <row r="353" spans="1:18" s="6" customFormat="1" x14ac:dyDescent="0.25">
      <c r="A353" s="5"/>
      <c r="B353" s="5"/>
      <c r="C353" s="5"/>
      <c r="D353" s="5"/>
      <c r="E353" s="5"/>
      <c r="F353" s="5"/>
      <c r="O353" s="5"/>
      <c r="P353" s="5"/>
      <c r="Q353" s="5"/>
      <c r="R353" s="5"/>
    </row>
    <row r="354" spans="1:18" s="6" customFormat="1" x14ac:dyDescent="0.25">
      <c r="A354" s="5"/>
      <c r="B354" s="5"/>
      <c r="C354" s="5"/>
      <c r="D354" s="5"/>
      <c r="E354" s="5"/>
      <c r="F354" s="5"/>
      <c r="O354" s="5"/>
      <c r="P354" s="5"/>
      <c r="Q354" s="5"/>
      <c r="R354" s="5"/>
    </row>
    <row r="355" spans="1:18" s="6" customFormat="1" x14ac:dyDescent="0.25">
      <c r="A355" s="5"/>
      <c r="B355" s="5"/>
      <c r="C355" s="5"/>
      <c r="D355" s="5"/>
      <c r="E355" s="5"/>
      <c r="F355" s="5"/>
      <c r="O355" s="5"/>
      <c r="P355" s="5"/>
      <c r="Q355" s="5"/>
      <c r="R355" s="5"/>
    </row>
    <row r="356" spans="1:18" s="6" customFormat="1" x14ac:dyDescent="0.25">
      <c r="A356" s="5"/>
      <c r="B356" s="5"/>
      <c r="C356" s="5"/>
      <c r="D356" s="5"/>
      <c r="E356" s="5"/>
      <c r="F356" s="5"/>
      <c r="O356" s="5"/>
      <c r="P356" s="5"/>
      <c r="Q356" s="5"/>
      <c r="R356" s="5"/>
    </row>
    <row r="357" spans="1:18" s="6" customFormat="1" x14ac:dyDescent="0.25">
      <c r="A357" s="5"/>
      <c r="B357" s="5"/>
      <c r="C357" s="5"/>
      <c r="D357" s="5"/>
      <c r="E357" s="5"/>
      <c r="F357" s="5"/>
      <c r="O357" s="5"/>
      <c r="P357" s="5"/>
      <c r="Q357" s="5"/>
      <c r="R357" s="5"/>
    </row>
    <row r="358" spans="1:18" s="6" customFormat="1" x14ac:dyDescent="0.25">
      <c r="A358" s="5"/>
      <c r="B358" s="5"/>
      <c r="C358" s="5"/>
      <c r="D358" s="5"/>
      <c r="E358" s="5"/>
      <c r="F358" s="5"/>
      <c r="O358" s="5"/>
      <c r="P358" s="5"/>
      <c r="Q358" s="5"/>
      <c r="R358" s="5"/>
    </row>
    <row r="359" spans="1:18" s="6" customFormat="1" x14ac:dyDescent="0.25">
      <c r="A359" s="5"/>
      <c r="B359" s="5"/>
      <c r="C359" s="5"/>
      <c r="D359" s="5"/>
      <c r="E359" s="5"/>
      <c r="F359" s="5"/>
      <c r="O359" s="5"/>
      <c r="P359" s="5"/>
      <c r="Q359" s="5"/>
      <c r="R359" s="5"/>
    </row>
    <row r="360" spans="1:18" s="6" customFormat="1" x14ac:dyDescent="0.25">
      <c r="A360" s="5"/>
      <c r="B360" s="5"/>
      <c r="C360" s="5"/>
      <c r="D360" s="5"/>
      <c r="E360" s="5"/>
      <c r="F360" s="5"/>
      <c r="O360" s="5"/>
      <c r="P360" s="5"/>
      <c r="Q360" s="5"/>
      <c r="R360" s="5"/>
    </row>
    <row r="361" spans="1:18" s="6" customFormat="1" x14ac:dyDescent="0.25">
      <c r="A361" s="5"/>
      <c r="B361" s="5"/>
      <c r="C361" s="5"/>
      <c r="D361" s="5"/>
      <c r="E361" s="5"/>
      <c r="F361" s="5"/>
      <c r="O361" s="5"/>
      <c r="P361" s="5"/>
      <c r="Q361" s="5"/>
      <c r="R361" s="5"/>
    </row>
    <row r="362" spans="1:18" s="6" customFormat="1" x14ac:dyDescent="0.25">
      <c r="A362" s="5"/>
      <c r="B362" s="5"/>
      <c r="C362" s="5"/>
      <c r="D362" s="5"/>
      <c r="E362" s="5"/>
      <c r="F362" s="5"/>
      <c r="O362" s="5"/>
      <c r="P362" s="5"/>
      <c r="Q362" s="5"/>
      <c r="R362" s="5"/>
    </row>
    <row r="363" spans="1:18" s="6" customFormat="1" x14ac:dyDescent="0.25">
      <c r="A363" s="5"/>
      <c r="B363" s="5"/>
      <c r="C363" s="5"/>
      <c r="D363" s="5"/>
      <c r="E363" s="5"/>
      <c r="F363" s="5"/>
      <c r="O363" s="5"/>
      <c r="P363" s="5"/>
      <c r="Q363" s="5"/>
      <c r="R363" s="5"/>
    </row>
    <row r="364" spans="1:18" s="6" customFormat="1" x14ac:dyDescent="0.25">
      <c r="A364" s="5"/>
      <c r="B364" s="5"/>
      <c r="C364" s="5"/>
      <c r="D364" s="5"/>
      <c r="E364" s="5"/>
      <c r="F364" s="5"/>
      <c r="O364" s="5"/>
      <c r="P364" s="5"/>
      <c r="Q364" s="5"/>
      <c r="R364" s="5"/>
    </row>
    <row r="365" spans="1:18" s="6" customFormat="1" x14ac:dyDescent="0.25">
      <c r="A365" s="5"/>
      <c r="B365" s="5"/>
      <c r="C365" s="5"/>
      <c r="D365" s="5"/>
      <c r="E365" s="5"/>
      <c r="F365" s="5"/>
      <c r="O365" s="5"/>
      <c r="P365" s="5"/>
      <c r="Q365" s="5"/>
      <c r="R365" s="5"/>
    </row>
    <row r="366" spans="1:18" s="6" customFormat="1" x14ac:dyDescent="0.25">
      <c r="A366" s="5"/>
      <c r="B366" s="5"/>
      <c r="C366" s="5"/>
      <c r="D366" s="5"/>
      <c r="E366" s="5"/>
      <c r="F366" s="5"/>
      <c r="O366" s="5"/>
      <c r="P366" s="5"/>
      <c r="Q366" s="5"/>
      <c r="R366" s="5"/>
    </row>
    <row r="367" spans="1:18" s="6" customFormat="1" x14ac:dyDescent="0.25">
      <c r="A367" s="5"/>
      <c r="B367" s="5"/>
      <c r="C367" s="5"/>
      <c r="D367" s="5"/>
      <c r="E367" s="5"/>
      <c r="F367" s="5"/>
      <c r="O367" s="5"/>
      <c r="P367" s="5"/>
      <c r="Q367" s="5"/>
      <c r="R367" s="5"/>
    </row>
    <row r="368" spans="1:18" s="6" customFormat="1" x14ac:dyDescent="0.25">
      <c r="A368" s="5"/>
      <c r="B368" s="5"/>
      <c r="C368" s="5"/>
      <c r="D368" s="5"/>
      <c r="E368" s="5"/>
      <c r="F368" s="5"/>
      <c r="O368" s="5"/>
      <c r="P368" s="5"/>
      <c r="Q368" s="5"/>
      <c r="R368" s="5"/>
    </row>
    <row r="369" spans="1:18" s="6" customFormat="1" x14ac:dyDescent="0.25">
      <c r="A369" s="5"/>
      <c r="B369" s="5"/>
      <c r="C369" s="5"/>
      <c r="D369" s="5"/>
      <c r="E369" s="5"/>
      <c r="F369" s="5"/>
      <c r="O369" s="5"/>
      <c r="P369" s="5"/>
      <c r="Q369" s="5"/>
      <c r="R369" s="5"/>
    </row>
    <row r="370" spans="1:18" s="6" customFormat="1" x14ac:dyDescent="0.25">
      <c r="A370" s="5"/>
      <c r="B370" s="5"/>
      <c r="C370" s="5"/>
      <c r="D370" s="5"/>
      <c r="E370" s="5"/>
      <c r="F370" s="5"/>
      <c r="O370" s="5"/>
      <c r="P370" s="5"/>
      <c r="Q370" s="5"/>
      <c r="R370" s="5"/>
    </row>
    <row r="371" spans="1:18" s="6" customFormat="1" x14ac:dyDescent="0.25">
      <c r="A371" s="5"/>
      <c r="B371" s="5"/>
      <c r="C371" s="5"/>
      <c r="D371" s="5"/>
      <c r="E371" s="5"/>
      <c r="F371" s="5"/>
      <c r="O371" s="5"/>
      <c r="P371" s="5"/>
      <c r="Q371" s="5"/>
      <c r="R371" s="5"/>
    </row>
    <row r="372" spans="1:18" s="6" customFormat="1" x14ac:dyDescent="0.25">
      <c r="A372" s="5"/>
      <c r="B372" s="5"/>
      <c r="C372" s="5"/>
      <c r="D372" s="5"/>
      <c r="E372" s="5"/>
      <c r="F372" s="5"/>
      <c r="O372" s="5"/>
      <c r="P372" s="5"/>
      <c r="Q372" s="5"/>
      <c r="R372" s="5"/>
    </row>
    <row r="373" spans="1:18" s="6" customFormat="1" x14ac:dyDescent="0.25">
      <c r="A373" s="5"/>
      <c r="B373" s="5"/>
      <c r="C373" s="5"/>
      <c r="D373" s="5"/>
      <c r="E373" s="5"/>
      <c r="F373" s="5"/>
      <c r="O373" s="5"/>
      <c r="P373" s="5"/>
      <c r="Q373" s="5"/>
      <c r="R373" s="5"/>
    </row>
    <row r="374" spans="1:18" s="6" customFormat="1" x14ac:dyDescent="0.25">
      <c r="A374" s="5"/>
      <c r="B374" s="5"/>
      <c r="C374" s="5"/>
      <c r="D374" s="5"/>
      <c r="E374" s="5"/>
      <c r="F374" s="5"/>
      <c r="O374" s="5"/>
      <c r="P374" s="5"/>
      <c r="Q374" s="5"/>
      <c r="R374" s="5"/>
    </row>
    <row r="375" spans="1:18" s="6" customFormat="1" x14ac:dyDescent="0.25">
      <c r="A375" s="5"/>
      <c r="B375" s="5"/>
      <c r="C375" s="5"/>
      <c r="D375" s="5"/>
      <c r="E375" s="5"/>
      <c r="F375" s="5"/>
      <c r="O375" s="5"/>
      <c r="P375" s="5"/>
      <c r="Q375" s="5"/>
      <c r="R375" s="5"/>
    </row>
    <row r="376" spans="1:18" s="6" customFormat="1" x14ac:dyDescent="0.25">
      <c r="A376" s="5"/>
      <c r="B376" s="5"/>
      <c r="C376" s="5"/>
      <c r="D376" s="5"/>
      <c r="E376" s="5"/>
      <c r="F376" s="5"/>
      <c r="O376" s="5"/>
      <c r="P376" s="5"/>
      <c r="Q376" s="5"/>
      <c r="R376" s="5"/>
    </row>
    <row r="377" spans="1:18" s="6" customFormat="1" x14ac:dyDescent="0.25">
      <c r="A377" s="5"/>
      <c r="B377" s="5"/>
      <c r="C377" s="5"/>
      <c r="D377" s="5"/>
      <c r="E377" s="5"/>
      <c r="F377" s="5"/>
      <c r="O377" s="5"/>
      <c r="P377" s="5"/>
      <c r="Q377" s="5"/>
      <c r="R377" s="5"/>
    </row>
    <row r="378" spans="1:18" s="6" customFormat="1" x14ac:dyDescent="0.25">
      <c r="A378" s="5"/>
      <c r="B378" s="5"/>
      <c r="C378" s="5"/>
      <c r="D378" s="5"/>
      <c r="E378" s="5"/>
      <c r="F378" s="5"/>
      <c r="O378" s="5"/>
      <c r="P378" s="5"/>
      <c r="Q378" s="5"/>
      <c r="R378" s="5"/>
    </row>
    <row r="379" spans="1:18" s="6" customFormat="1" x14ac:dyDescent="0.25">
      <c r="A379" s="5"/>
      <c r="B379" s="5"/>
      <c r="C379" s="5"/>
      <c r="D379" s="5"/>
      <c r="E379" s="5"/>
      <c r="F379" s="5"/>
      <c r="O379" s="5"/>
      <c r="P379" s="5"/>
      <c r="Q379" s="5"/>
      <c r="R379" s="5"/>
    </row>
    <row r="380" spans="1:18" s="6" customFormat="1" x14ac:dyDescent="0.25">
      <c r="A380" s="5"/>
      <c r="B380" s="5"/>
      <c r="C380" s="5"/>
      <c r="D380" s="5"/>
      <c r="E380" s="5"/>
      <c r="F380" s="5"/>
      <c r="O380" s="5"/>
      <c r="P380" s="5"/>
      <c r="Q380" s="5"/>
      <c r="R380" s="5"/>
    </row>
    <row r="381" spans="1:18" s="6" customFormat="1" x14ac:dyDescent="0.25">
      <c r="A381" s="5"/>
      <c r="B381" s="5"/>
      <c r="C381" s="5"/>
      <c r="D381" s="5"/>
      <c r="E381" s="5"/>
      <c r="F381" s="5"/>
      <c r="O381" s="5"/>
      <c r="P381" s="5"/>
      <c r="Q381" s="5"/>
      <c r="R381" s="5"/>
    </row>
    <row r="382" spans="1:18" s="6" customFormat="1" x14ac:dyDescent="0.25">
      <c r="A382" s="5"/>
      <c r="B382" s="5"/>
      <c r="C382" s="5"/>
      <c r="D382" s="5"/>
      <c r="E382" s="5"/>
      <c r="F382" s="5"/>
      <c r="O382" s="5"/>
      <c r="P382" s="5"/>
      <c r="Q382" s="5"/>
      <c r="R382" s="5"/>
    </row>
    <row r="383" spans="1:18" s="6" customFormat="1" x14ac:dyDescent="0.25">
      <c r="A383" s="1"/>
      <c r="B383" s="1"/>
      <c r="C383" s="1"/>
      <c r="D383" s="1"/>
      <c r="E383" s="1"/>
      <c r="F383" s="1"/>
      <c r="G383"/>
      <c r="H383"/>
      <c r="I383"/>
      <c r="J383"/>
      <c r="K383"/>
      <c r="L383"/>
      <c r="O383" s="5"/>
      <c r="P383" s="5"/>
      <c r="Q383" s="5"/>
      <c r="R383" s="5"/>
    </row>
  </sheetData>
  <mergeCells count="39">
    <mergeCell ref="D43:F43"/>
    <mergeCell ref="D1:H2"/>
    <mergeCell ref="D21:F21"/>
    <mergeCell ref="D22:F22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D4:E4"/>
    <mergeCell ref="D10:E10"/>
    <mergeCell ref="D20:H20"/>
    <mergeCell ref="D3:E3"/>
    <mergeCell ref="D5:E5"/>
    <mergeCell ref="D6:E6"/>
    <mergeCell ref="D7:E7"/>
    <mergeCell ref="D8:E8"/>
    <mergeCell ref="D33:F33"/>
    <mergeCell ref="D34:F34"/>
    <mergeCell ref="D37:H37"/>
    <mergeCell ref="D30:F30"/>
    <mergeCell ref="D31:F31"/>
    <mergeCell ref="D9:E9"/>
    <mergeCell ref="D23:F23"/>
    <mergeCell ref="D24:F24"/>
    <mergeCell ref="D25:F25"/>
    <mergeCell ref="D29:F29"/>
    <mergeCell ref="D27:F27"/>
    <mergeCell ref="D26:F26"/>
    <mergeCell ref="D28:F28"/>
    <mergeCell ref="D39:F39"/>
    <mergeCell ref="D40:F40"/>
    <mergeCell ref="D41:F41"/>
    <mergeCell ref="D42:F42"/>
    <mergeCell ref="D35:F35"/>
  </mergeCells>
  <phoneticPr fontId="3" type="noConversion"/>
  <conditionalFormatting sqref="J39:K39">
    <cfRule type="expression" dxfId="7" priority="9">
      <formula>$K$39="-"</formula>
    </cfRule>
  </conditionalFormatting>
  <conditionalFormatting sqref="J40:K40">
    <cfRule type="expression" dxfId="6" priority="7">
      <formula>$K$40="-"</formula>
    </cfRule>
  </conditionalFormatting>
  <conditionalFormatting sqref="J41:K41">
    <cfRule type="expression" dxfId="5" priority="6">
      <formula>$K$41="-"</formula>
    </cfRule>
  </conditionalFormatting>
  <conditionalFormatting sqref="J42:K42">
    <cfRule type="expression" dxfId="4" priority="5">
      <formula>$K$42="-"</formula>
    </cfRule>
  </conditionalFormatting>
  <conditionalFormatting sqref="J43:K43">
    <cfRule type="expression" dxfId="3" priority="4">
      <formula>$K$43="-"</formula>
    </cfRule>
  </conditionalFormatting>
  <conditionalFormatting sqref="J38:K38">
    <cfRule type="expression" dxfId="2" priority="3">
      <formula>$K$38="-"</formula>
    </cfRule>
  </conditionalFormatting>
  <conditionalFormatting sqref="J37:K37">
    <cfRule type="expression" dxfId="1" priority="2">
      <formula>$K$37="-"</formula>
    </cfRule>
  </conditionalFormatting>
  <conditionalFormatting sqref="J36:K36">
    <cfRule type="expression" dxfId="0" priority="1">
      <formula>$K$36="-"</formula>
    </cfRule>
  </conditionalFormatting>
  <dataValidations count="2">
    <dataValidation type="list" allowBlank="1" showInputMessage="1" showErrorMessage="1" sqref="K24" xr:uid="{DA55AF6F-744B-46E0-A1BF-494CD3A188F6}">
      <formula1>$AT$1:$AT$2</formula1>
    </dataValidation>
    <dataValidation type="list" allowBlank="1" showInputMessage="1" showErrorMessage="1" sqref="K29" xr:uid="{ABFDA5F4-32C1-4237-A056-281B1CD6828E}">
      <formula1>$AU$1:$AU$2</formula1>
    </dataValidation>
  </dataValidations>
  <hyperlinks>
    <hyperlink ref="J12" location="Analisis_Inputs_Grales!A1" display="Definir" xr:uid="{BC345B02-D058-4964-BAE1-B8C014B94775}"/>
  </hyperlinks>
  <pageMargins left="0.7" right="0.7" top="0.75" bottom="0.75" header="0.3" footer="0.3"/>
  <pageSetup paperSize="9"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43EAC3E-3F59-496A-862D-8AD3DA2EA782}">
          <x14:formula1>
            <xm:f>Analisis_Inputs_Grales!$X$2:$X$36</xm:f>
          </x14:formula1>
          <xm:sqref>K33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63A98-7CA5-4218-93F1-2A6D13CFB808}">
  <sheetPr codeName="Hoja2">
    <tabColor theme="4" tint="-0.249977111117893"/>
  </sheetPr>
  <dimension ref="A1:C8"/>
  <sheetViews>
    <sheetView workbookViewId="0">
      <selection activeCell="A23" sqref="A23"/>
    </sheetView>
  </sheetViews>
  <sheetFormatPr baseColWidth="10" defaultRowHeight="15" x14ac:dyDescent="0.25"/>
  <cols>
    <col min="1" max="1" width="24.5703125" bestFit="1" customWidth="1"/>
  </cols>
  <sheetData>
    <row r="1" spans="1:3" x14ac:dyDescent="0.25">
      <c r="A1" t="s">
        <v>44</v>
      </c>
      <c r="B1" t="s">
        <v>34</v>
      </c>
      <c r="C1" t="s">
        <v>428</v>
      </c>
    </row>
    <row r="2" spans="1:3" x14ac:dyDescent="0.25">
      <c r="A2" t="s">
        <v>47</v>
      </c>
      <c r="B2">
        <v>500</v>
      </c>
      <c r="C2">
        <v>500</v>
      </c>
    </row>
    <row r="4" spans="1:3" x14ac:dyDescent="0.25">
      <c r="A4" t="s">
        <v>45</v>
      </c>
      <c r="B4" t="s">
        <v>32</v>
      </c>
      <c r="C4" t="s">
        <v>438</v>
      </c>
    </row>
    <row r="5" spans="1:3" x14ac:dyDescent="0.25">
      <c r="A5" t="s">
        <v>47</v>
      </c>
      <c r="B5">
        <v>0</v>
      </c>
      <c r="C5">
        <v>0</v>
      </c>
    </row>
    <row r="7" spans="1:3" x14ac:dyDescent="0.25">
      <c r="A7" t="s">
        <v>46</v>
      </c>
      <c r="B7" t="s">
        <v>31</v>
      </c>
    </row>
    <row r="8" spans="1:3" x14ac:dyDescent="0.25">
      <c r="A8" t="s">
        <v>47</v>
      </c>
      <c r="B8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D84F1-BB8D-4943-A370-47B4C751AF37}">
  <sheetPr codeName="Hoja1">
    <tabColor theme="4" tint="-0.249977111117893"/>
  </sheetPr>
  <dimension ref="A1:AP3"/>
  <sheetViews>
    <sheetView workbookViewId="0">
      <selection activeCell="B4" sqref="B4"/>
    </sheetView>
  </sheetViews>
  <sheetFormatPr baseColWidth="10" defaultRowHeight="15" x14ac:dyDescent="0.25"/>
  <cols>
    <col min="1" max="1" width="16.85546875" style="1" bestFit="1" customWidth="1"/>
    <col min="2" max="42" width="11.42578125" style="1"/>
  </cols>
  <sheetData>
    <row r="1" spans="1:3" x14ac:dyDescent="0.25">
      <c r="A1" s="1" t="s">
        <v>41</v>
      </c>
      <c r="B1" s="1" t="s">
        <v>32</v>
      </c>
      <c r="C1" s="1" t="s">
        <v>438</v>
      </c>
    </row>
    <row r="2" spans="1:3" x14ac:dyDescent="0.25">
      <c r="A2" s="1" t="s">
        <v>34</v>
      </c>
      <c r="B2" s="1">
        <v>8</v>
      </c>
      <c r="C2" s="1">
        <v>250</v>
      </c>
    </row>
    <row r="3" spans="1:3" x14ac:dyDescent="0.25">
      <c r="A3" s="1" t="s">
        <v>428</v>
      </c>
      <c r="B3" s="1">
        <v>230</v>
      </c>
      <c r="C3" s="1">
        <v>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14DC0-3ECB-421F-99E0-C24E87D0232F}">
  <sheetPr codeName="Hoja6">
    <tabColor theme="4" tint="-0.249977111117893"/>
  </sheetPr>
  <dimension ref="A1:AP3"/>
  <sheetViews>
    <sheetView workbookViewId="0">
      <selection activeCell="B4" sqref="B4"/>
    </sheetView>
  </sheetViews>
  <sheetFormatPr baseColWidth="10" defaultRowHeight="15" x14ac:dyDescent="0.25"/>
  <cols>
    <col min="1" max="1" width="17.28515625" style="1" bestFit="1" customWidth="1"/>
    <col min="2" max="42" width="11.42578125" style="1"/>
  </cols>
  <sheetData>
    <row r="1" spans="1:2" x14ac:dyDescent="0.25">
      <c r="A1" s="1" t="s">
        <v>42</v>
      </c>
      <c r="B1" s="1" t="s">
        <v>31</v>
      </c>
    </row>
    <row r="2" spans="1:2" x14ac:dyDescent="0.25">
      <c r="A2" s="1" t="s">
        <v>32</v>
      </c>
      <c r="B2" s="1">
        <v>90</v>
      </c>
    </row>
    <row r="3" spans="1:2" x14ac:dyDescent="0.25">
      <c r="A3" s="1" t="s">
        <v>438</v>
      </c>
      <c r="B3" s="1">
        <v>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FF46C-8E19-4E58-8750-746CF22596CA}">
  <sheetPr codeName="Hoja5">
    <tabColor theme="4" tint="-0.249977111117893"/>
  </sheetPr>
  <dimension ref="A1:AP3"/>
  <sheetViews>
    <sheetView workbookViewId="0">
      <selection activeCell="B4" sqref="B4"/>
    </sheetView>
  </sheetViews>
  <sheetFormatPr baseColWidth="10" defaultRowHeight="15" x14ac:dyDescent="0.25"/>
  <cols>
    <col min="1" max="1" width="17.28515625" style="1" bestFit="1" customWidth="1"/>
    <col min="2" max="42" width="11.42578125" style="1"/>
  </cols>
  <sheetData>
    <row r="1" spans="1:2" x14ac:dyDescent="0.25">
      <c r="A1" s="1" t="s">
        <v>43</v>
      </c>
      <c r="B1" s="1" t="s">
        <v>31</v>
      </c>
    </row>
    <row r="2" spans="1:2" x14ac:dyDescent="0.25">
      <c r="A2" s="1" t="s">
        <v>34</v>
      </c>
      <c r="B2" s="1">
        <v>130</v>
      </c>
    </row>
    <row r="3" spans="1:2" x14ac:dyDescent="0.25">
      <c r="A3" s="1" t="s">
        <v>428</v>
      </c>
      <c r="B3" s="1">
        <v>150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3E37C-4384-41BE-9751-32CE805CE083}">
  <sheetPr codeName="Hoja4">
    <tabColor rgb="FFFF0000"/>
  </sheetPr>
  <dimension ref="B1:X127"/>
  <sheetViews>
    <sheetView tabSelected="1" topLeftCell="A11" zoomScaleNormal="100" workbookViewId="0">
      <selection activeCell="D18" sqref="D18"/>
    </sheetView>
  </sheetViews>
  <sheetFormatPr baseColWidth="10" defaultRowHeight="14.25" x14ac:dyDescent="0.2"/>
  <cols>
    <col min="1" max="1" width="11.42578125" style="23"/>
    <col min="2" max="2" width="53.42578125" style="23" bestFit="1" customWidth="1"/>
    <col min="3" max="3" width="15.42578125" style="31" customWidth="1"/>
    <col min="4" max="4" width="15.28515625" style="25" bestFit="1" customWidth="1"/>
    <col min="5" max="5" width="14.28515625" style="53" bestFit="1" customWidth="1"/>
    <col min="6" max="6" width="11.42578125" style="53"/>
    <col min="7" max="7" width="26.5703125" style="53" bestFit="1" customWidth="1"/>
    <col min="8" max="8" width="23.28515625" style="59" bestFit="1" customWidth="1"/>
    <col min="9" max="9" width="23.140625" style="53" bestFit="1" customWidth="1"/>
    <col min="10" max="12" width="11.42578125" style="53"/>
    <col min="13" max="19" width="11.42578125" style="23"/>
    <col min="20" max="20" width="3.28515625" style="23" bestFit="1" customWidth="1"/>
    <col min="21" max="16384" width="11.42578125" style="23"/>
  </cols>
  <sheetData>
    <row r="1" spans="2:24" ht="15" thickBot="1" x14ac:dyDescent="0.25"/>
    <row r="2" spans="2:24" ht="15.75" thickBot="1" x14ac:dyDescent="0.25">
      <c r="B2" s="48" t="s">
        <v>120</v>
      </c>
      <c r="C2" s="49">
        <v>10</v>
      </c>
      <c r="T2" s="23">
        <v>5</v>
      </c>
      <c r="X2" s="131" t="s">
        <v>222</v>
      </c>
    </row>
    <row r="3" spans="2:24" ht="15.75" thickBot="1" x14ac:dyDescent="0.25">
      <c r="B3" s="108" t="s">
        <v>119</v>
      </c>
      <c r="C3" s="109">
        <v>10</v>
      </c>
      <c r="T3" s="23">
        <v>10</v>
      </c>
      <c r="X3" s="131" t="s">
        <v>391</v>
      </c>
    </row>
    <row r="4" spans="2:24" ht="15.75" thickBot="1" x14ac:dyDescent="0.3">
      <c r="B4" s="48" t="s">
        <v>158</v>
      </c>
      <c r="C4" s="202" t="s">
        <v>205</v>
      </c>
      <c r="D4" s="202"/>
      <c r="E4" s="202"/>
      <c r="F4" s="203"/>
      <c r="G4" s="107"/>
      <c r="T4" s="23">
        <v>15</v>
      </c>
      <c r="W4" s="53"/>
      <c r="X4" s="59" t="s">
        <v>392</v>
      </c>
    </row>
    <row r="5" spans="2:24" ht="15.75" thickBot="1" x14ac:dyDescent="0.3">
      <c r="B5" s="48" t="s">
        <v>210</v>
      </c>
      <c r="C5" s="206" t="str">
        <f>INPUTS_Generales!K33</f>
        <v>NAVARRO</v>
      </c>
      <c r="D5" s="206"/>
      <c r="E5" s="206"/>
      <c r="F5" s="207"/>
      <c r="T5" s="23">
        <v>20</v>
      </c>
      <c r="W5" s="53"/>
      <c r="X5" s="59" t="s">
        <v>393</v>
      </c>
    </row>
    <row r="6" spans="2:24" x14ac:dyDescent="0.2">
      <c r="X6" s="131" t="s">
        <v>394</v>
      </c>
    </row>
    <row r="7" spans="2:24" x14ac:dyDescent="0.2">
      <c r="X7" s="131" t="s">
        <v>395</v>
      </c>
    </row>
    <row r="8" spans="2:24" ht="18" x14ac:dyDescent="0.25">
      <c r="B8" s="61" t="s">
        <v>50</v>
      </c>
      <c r="X8" s="131" t="s">
        <v>396</v>
      </c>
    </row>
    <row r="9" spans="2:24" ht="15" x14ac:dyDescent="0.25">
      <c r="B9" s="57" t="s">
        <v>117</v>
      </c>
      <c r="D9" s="78"/>
      <c r="J9" s="55"/>
      <c r="K9" s="55"/>
      <c r="X9" s="131" t="s">
        <v>397</v>
      </c>
    </row>
    <row r="10" spans="2:24" s="53" customFormat="1" x14ac:dyDescent="0.2">
      <c r="B10" s="53" t="s">
        <v>113</v>
      </c>
      <c r="C10" s="56" t="s">
        <v>206</v>
      </c>
      <c r="D10" s="106">
        <v>1578.11</v>
      </c>
      <c r="E10" s="53" t="s">
        <v>165</v>
      </c>
      <c r="F10" s="53" t="s">
        <v>166</v>
      </c>
      <c r="H10" s="59"/>
      <c r="J10" s="55"/>
      <c r="K10" s="55"/>
      <c r="W10" s="23"/>
      <c r="X10" s="131" t="s">
        <v>398</v>
      </c>
    </row>
    <row r="11" spans="2:24" s="53" customFormat="1" x14ac:dyDescent="0.2">
      <c r="B11" s="53" t="s">
        <v>114</v>
      </c>
      <c r="C11" s="56" t="s">
        <v>206</v>
      </c>
      <c r="D11" s="106">
        <v>1346.43</v>
      </c>
      <c r="E11" s="53" t="s">
        <v>165</v>
      </c>
      <c r="F11" s="53" t="s">
        <v>188</v>
      </c>
      <c r="H11" s="59"/>
      <c r="J11" s="55"/>
      <c r="K11" s="55"/>
      <c r="W11" s="23"/>
      <c r="X11" s="131" t="s">
        <v>399</v>
      </c>
    </row>
    <row r="12" spans="2:24" s="53" customFormat="1" x14ac:dyDescent="0.2">
      <c r="B12" s="53" t="s">
        <v>115</v>
      </c>
      <c r="C12" s="56" t="s">
        <v>16</v>
      </c>
      <c r="D12" s="106">
        <v>2</v>
      </c>
      <c r="E12" s="53" t="s">
        <v>167</v>
      </c>
      <c r="F12" s="53" t="s">
        <v>168</v>
      </c>
      <c r="H12" s="59"/>
      <c r="J12" s="55"/>
      <c r="K12" s="55"/>
      <c r="W12" s="23"/>
      <c r="X12" s="131" t="s">
        <v>400</v>
      </c>
    </row>
    <row r="13" spans="2:24" s="53" customFormat="1" x14ac:dyDescent="0.2">
      <c r="B13" s="53" t="s">
        <v>116</v>
      </c>
      <c r="C13" s="56" t="s">
        <v>206</v>
      </c>
      <c r="D13" s="78">
        <f>D10+D12*D11</f>
        <v>4270.97</v>
      </c>
      <c r="H13" s="59"/>
      <c r="J13" s="55"/>
      <c r="K13" s="55"/>
      <c r="W13" s="23"/>
      <c r="X13" s="131" t="s">
        <v>401</v>
      </c>
    </row>
    <row r="14" spans="2:24" s="53" customFormat="1" x14ac:dyDescent="0.2">
      <c r="B14" s="58" t="s">
        <v>159</v>
      </c>
      <c r="C14" s="56" t="s">
        <v>207</v>
      </c>
      <c r="D14" s="78">
        <f>D13*12</f>
        <v>51251.64</v>
      </c>
      <c r="H14" s="59"/>
      <c r="J14" s="55"/>
      <c r="K14" s="55"/>
      <c r="W14" s="23"/>
      <c r="X14" s="131" t="s">
        <v>402</v>
      </c>
    </row>
    <row r="15" spans="2:24" s="53" customFormat="1" x14ac:dyDescent="0.2">
      <c r="B15" s="58" t="s">
        <v>160</v>
      </c>
      <c r="C15" s="56" t="s">
        <v>207</v>
      </c>
      <c r="D15" s="78">
        <f>$D$14*$D$27</f>
        <v>51251.64</v>
      </c>
      <c r="H15" s="59"/>
      <c r="J15" s="55"/>
      <c r="K15" s="55"/>
      <c r="W15" s="23"/>
      <c r="X15" s="131" t="s">
        <v>403</v>
      </c>
    </row>
    <row r="16" spans="2:24" x14ac:dyDescent="0.2">
      <c r="B16" s="23" t="s">
        <v>56</v>
      </c>
      <c r="C16" s="31" t="s">
        <v>57</v>
      </c>
      <c r="D16" s="106">
        <v>8</v>
      </c>
      <c r="E16" s="53" t="s">
        <v>169</v>
      </c>
      <c r="F16" s="53" t="s">
        <v>170</v>
      </c>
      <c r="X16" s="131" t="s">
        <v>404</v>
      </c>
    </row>
    <row r="17" spans="2:24" x14ac:dyDescent="0.2">
      <c r="B17" s="23" t="s">
        <v>161</v>
      </c>
      <c r="C17" s="31" t="s">
        <v>16</v>
      </c>
      <c r="D17" s="106">
        <v>1</v>
      </c>
      <c r="E17" s="53" t="s">
        <v>171</v>
      </c>
      <c r="F17" s="53" t="s">
        <v>172</v>
      </c>
      <c r="X17" s="131" t="s">
        <v>405</v>
      </c>
    </row>
    <row r="18" spans="2:24" x14ac:dyDescent="0.2">
      <c r="B18" s="23" t="s">
        <v>58</v>
      </c>
      <c r="C18" s="31" t="s">
        <v>59</v>
      </c>
      <c r="D18" s="106">
        <v>4</v>
      </c>
      <c r="E18" s="53" t="s">
        <v>169</v>
      </c>
      <c r="F18" s="53" t="s">
        <v>173</v>
      </c>
      <c r="X18" s="131" t="s">
        <v>406</v>
      </c>
    </row>
    <row r="19" spans="2:24" x14ac:dyDescent="0.2">
      <c r="B19" s="23" t="s">
        <v>121</v>
      </c>
      <c r="C19" s="31" t="s">
        <v>122</v>
      </c>
      <c r="D19" s="103">
        <v>4.5</v>
      </c>
      <c r="X19" s="131" t="s">
        <v>407</v>
      </c>
    </row>
    <row r="20" spans="2:24" x14ac:dyDescent="0.2">
      <c r="B20" s="23" t="s">
        <v>58</v>
      </c>
      <c r="C20" s="31" t="s">
        <v>60</v>
      </c>
      <c r="D20" s="78">
        <f>D19*D18</f>
        <v>18</v>
      </c>
      <c r="X20" s="131" t="s">
        <v>408</v>
      </c>
    </row>
    <row r="21" spans="2:24" x14ac:dyDescent="0.2">
      <c r="B21" s="23" t="s">
        <v>61</v>
      </c>
      <c r="C21" s="31" t="s">
        <v>62</v>
      </c>
      <c r="D21" s="86">
        <f>60*D16*D20*D17</f>
        <v>8640</v>
      </c>
      <c r="X21" s="131" t="s">
        <v>409</v>
      </c>
    </row>
    <row r="22" spans="2:24" ht="15.75" thickBot="1" x14ac:dyDescent="0.3">
      <c r="B22" s="26" t="s">
        <v>118</v>
      </c>
      <c r="D22" s="86"/>
      <c r="X22" s="131" t="s">
        <v>410</v>
      </c>
    </row>
    <row r="23" spans="2:24" ht="15" x14ac:dyDescent="0.2">
      <c r="B23" s="23" t="s">
        <v>202</v>
      </c>
      <c r="C23" s="31" t="s">
        <v>52</v>
      </c>
      <c r="D23" s="103">
        <f>D61</f>
        <v>0.27</v>
      </c>
      <c r="H23" s="204" t="s">
        <v>164</v>
      </c>
      <c r="I23" s="205"/>
      <c r="X23" s="131" t="s">
        <v>411</v>
      </c>
    </row>
    <row r="24" spans="2:24" ht="15" x14ac:dyDescent="0.25">
      <c r="B24" s="129" t="s">
        <v>7</v>
      </c>
      <c r="C24" s="127" t="s">
        <v>51</v>
      </c>
      <c r="D24" s="128">
        <v>12</v>
      </c>
      <c r="E24" s="57"/>
      <c r="H24" s="116" t="s">
        <v>182</v>
      </c>
      <c r="I24" s="113" t="s">
        <v>163</v>
      </c>
      <c r="X24" s="131" t="s">
        <v>412</v>
      </c>
    </row>
    <row r="25" spans="2:24" ht="13.5" customHeight="1" x14ac:dyDescent="0.2">
      <c r="B25" s="23" t="s">
        <v>450</v>
      </c>
      <c r="C25" s="31" t="s">
        <v>23</v>
      </c>
      <c r="D25" s="106">
        <v>2</v>
      </c>
      <c r="E25" s="53" t="s">
        <v>169</v>
      </c>
      <c r="F25" s="53" t="s">
        <v>174</v>
      </c>
      <c r="H25" s="114">
        <v>9</v>
      </c>
      <c r="I25" s="117">
        <v>146334.31228261493</v>
      </c>
      <c r="X25" s="131" t="s">
        <v>413</v>
      </c>
    </row>
    <row r="26" spans="2:24" ht="15" x14ac:dyDescent="0.2">
      <c r="B26" s="23" t="s">
        <v>7</v>
      </c>
      <c r="C26" s="31" t="s">
        <v>53</v>
      </c>
      <c r="D26" s="78">
        <f>D24/D25</f>
        <v>6</v>
      </c>
      <c r="H26" s="114">
        <v>12</v>
      </c>
      <c r="I26" s="117">
        <v>151762.46468843042</v>
      </c>
      <c r="X26" s="131" t="s">
        <v>414</v>
      </c>
    </row>
    <row r="27" spans="2:24" ht="15" x14ac:dyDescent="0.2">
      <c r="B27" s="23" t="s">
        <v>54</v>
      </c>
      <c r="C27" s="31" t="s">
        <v>55</v>
      </c>
      <c r="D27" s="78">
        <v>1</v>
      </c>
      <c r="H27" s="114">
        <v>15</v>
      </c>
      <c r="I27" s="117">
        <v>157190.61709424594</v>
      </c>
      <c r="X27" s="131" t="s">
        <v>415</v>
      </c>
    </row>
    <row r="28" spans="2:24" ht="15" x14ac:dyDescent="0.2">
      <c r="B28" s="23" t="s">
        <v>12</v>
      </c>
      <c r="C28" s="31" t="s">
        <v>23</v>
      </c>
      <c r="D28" s="103">
        <v>0.1</v>
      </c>
      <c r="H28" s="114">
        <v>16</v>
      </c>
      <c r="I28" s="117">
        <v>159000.00122951777</v>
      </c>
      <c r="X28" s="131" t="s">
        <v>416</v>
      </c>
    </row>
    <row r="29" spans="2:24" ht="15" x14ac:dyDescent="0.2">
      <c r="B29" s="23" t="s">
        <v>63</v>
      </c>
      <c r="C29" s="31" t="s">
        <v>208</v>
      </c>
      <c r="D29" s="78">
        <f>VLOOKUP($D$24,$H$25:$I$33,2,FALSE)</f>
        <v>151762.46468843042</v>
      </c>
      <c r="H29" s="114">
        <v>17</v>
      </c>
      <c r="I29" s="117">
        <v>160809.3853647896</v>
      </c>
      <c r="J29" s="55"/>
      <c r="K29" s="55"/>
      <c r="X29" s="131" t="s">
        <v>417</v>
      </c>
    </row>
    <row r="30" spans="2:24" ht="15" x14ac:dyDescent="0.2">
      <c r="B30" s="23" t="s">
        <v>64</v>
      </c>
      <c r="C30" s="31" t="s">
        <v>133</v>
      </c>
      <c r="D30" s="78">
        <f>D29*D27</f>
        <v>151762.46468843042</v>
      </c>
      <c r="E30" s="55"/>
      <c r="F30" s="55"/>
      <c r="H30" s="114">
        <v>18</v>
      </c>
      <c r="I30" s="117">
        <v>162618.76950006143</v>
      </c>
      <c r="X30" s="131" t="s">
        <v>418</v>
      </c>
    </row>
    <row r="31" spans="2:24" ht="15" x14ac:dyDescent="0.2">
      <c r="B31" s="23" t="s">
        <v>65</v>
      </c>
      <c r="C31" s="31" t="s">
        <v>66</v>
      </c>
      <c r="D31" s="78">
        <f>C2</f>
        <v>10</v>
      </c>
      <c r="H31" s="114">
        <v>19</v>
      </c>
      <c r="I31" s="117">
        <v>164428.15363533326</v>
      </c>
      <c r="X31" s="131" t="s">
        <v>419</v>
      </c>
    </row>
    <row r="32" spans="2:24" ht="28.5" x14ac:dyDescent="0.2">
      <c r="B32" s="24" t="s">
        <v>67</v>
      </c>
      <c r="C32" s="25" t="s">
        <v>68</v>
      </c>
      <c r="D32" s="110">
        <v>0.1</v>
      </c>
      <c r="E32" s="53" t="s">
        <v>169</v>
      </c>
      <c r="F32" s="53" t="s">
        <v>187</v>
      </c>
      <c r="H32" s="114">
        <v>21</v>
      </c>
      <c r="I32" s="117">
        <v>168046.92190587695</v>
      </c>
      <c r="N32" s="105"/>
      <c r="X32" s="131" t="s">
        <v>420</v>
      </c>
    </row>
    <row r="33" spans="2:24" ht="15.75" thickBot="1" x14ac:dyDescent="0.25">
      <c r="B33" s="24" t="s">
        <v>69</v>
      </c>
      <c r="C33" s="31" t="s">
        <v>70</v>
      </c>
      <c r="D33" s="111">
        <v>6</v>
      </c>
      <c r="E33" s="53" t="s">
        <v>169</v>
      </c>
      <c r="F33" s="53" t="s">
        <v>175</v>
      </c>
      <c r="H33" s="115">
        <v>24</v>
      </c>
      <c r="I33" s="118">
        <v>173475.07431169244</v>
      </c>
      <c r="X33" s="131" t="s">
        <v>421</v>
      </c>
    </row>
    <row r="34" spans="2:24" x14ac:dyDescent="0.2">
      <c r="B34" s="24" t="s">
        <v>71</v>
      </c>
      <c r="C34" s="31" t="s">
        <v>20</v>
      </c>
      <c r="D34" s="111">
        <v>51.042857142857137</v>
      </c>
      <c r="E34" s="53" t="s">
        <v>169</v>
      </c>
      <c r="F34" s="53" t="s">
        <v>203</v>
      </c>
      <c r="X34" s="131" t="s">
        <v>422</v>
      </c>
    </row>
    <row r="35" spans="2:24" x14ac:dyDescent="0.2">
      <c r="B35" s="24" t="s">
        <v>72</v>
      </c>
      <c r="C35" s="31" t="s">
        <v>209</v>
      </c>
      <c r="D35" s="111">
        <v>0.54</v>
      </c>
      <c r="E35" s="53" t="s">
        <v>169</v>
      </c>
      <c r="F35" s="53" t="s">
        <v>176</v>
      </c>
      <c r="J35" s="77"/>
      <c r="X35" s="131" t="s">
        <v>423</v>
      </c>
    </row>
    <row r="36" spans="2:24" x14ac:dyDescent="0.2">
      <c r="B36" s="24" t="s">
        <v>73</v>
      </c>
      <c r="C36" s="31" t="s">
        <v>68</v>
      </c>
      <c r="D36" s="102">
        <v>0.15</v>
      </c>
      <c r="X36" s="131" t="s">
        <v>424</v>
      </c>
    </row>
    <row r="37" spans="2:24" x14ac:dyDescent="0.2">
      <c r="B37" s="24" t="s">
        <v>74</v>
      </c>
      <c r="C37" s="31" t="s">
        <v>68</v>
      </c>
      <c r="D37" s="102">
        <v>0.4</v>
      </c>
    </row>
    <row r="38" spans="2:24" x14ac:dyDescent="0.2">
      <c r="B38" s="24" t="s">
        <v>177</v>
      </c>
      <c r="C38" s="31" t="s">
        <v>25</v>
      </c>
      <c r="D38" s="103">
        <v>2.35</v>
      </c>
    </row>
    <row r="39" spans="2:24" x14ac:dyDescent="0.2">
      <c r="B39" s="24"/>
      <c r="D39" s="104"/>
    </row>
    <row r="40" spans="2:24" ht="15" x14ac:dyDescent="0.25">
      <c r="B40" s="26" t="s">
        <v>77</v>
      </c>
      <c r="D40" s="86"/>
    </row>
    <row r="41" spans="2:24" x14ac:dyDescent="0.2">
      <c r="B41" s="24" t="s">
        <v>153</v>
      </c>
      <c r="C41" s="25" t="s">
        <v>19</v>
      </c>
      <c r="D41" s="103">
        <v>5</v>
      </c>
    </row>
    <row r="42" spans="2:24" x14ac:dyDescent="0.2">
      <c r="B42" s="24" t="s">
        <v>154</v>
      </c>
      <c r="C42" s="25" t="s">
        <v>19</v>
      </c>
      <c r="D42" s="106">
        <v>5</v>
      </c>
      <c r="E42" s="53" t="s">
        <v>169</v>
      </c>
      <c r="F42" s="53" t="s">
        <v>162</v>
      </c>
    </row>
    <row r="43" spans="2:24" x14ac:dyDescent="0.2">
      <c r="B43" s="24" t="s">
        <v>155</v>
      </c>
      <c r="C43" s="25" t="s">
        <v>19</v>
      </c>
      <c r="D43" s="103">
        <v>5</v>
      </c>
    </row>
    <row r="44" spans="2:24" x14ac:dyDescent="0.2">
      <c r="B44" s="24" t="s">
        <v>156</v>
      </c>
      <c r="C44" s="25" t="s">
        <v>19</v>
      </c>
      <c r="D44" s="78">
        <f>D43</f>
        <v>5</v>
      </c>
    </row>
    <row r="45" spans="2:24" x14ac:dyDescent="0.2">
      <c r="D45" s="86"/>
    </row>
    <row r="46" spans="2:24" ht="18" x14ac:dyDescent="0.25">
      <c r="B46" s="61" t="s">
        <v>75</v>
      </c>
      <c r="D46" s="86"/>
    </row>
    <row r="47" spans="2:24" ht="15" x14ac:dyDescent="0.25">
      <c r="B47" s="57" t="s">
        <v>117</v>
      </c>
      <c r="D47" s="86"/>
    </row>
    <row r="48" spans="2:24" x14ac:dyDescent="0.2">
      <c r="B48" s="53" t="s">
        <v>113</v>
      </c>
      <c r="C48" s="56" t="s">
        <v>206</v>
      </c>
      <c r="D48" s="106">
        <v>1578.11</v>
      </c>
      <c r="E48" s="53" t="s">
        <v>165</v>
      </c>
      <c r="F48" s="53" t="s">
        <v>166</v>
      </c>
    </row>
    <row r="49" spans="2:9" x14ac:dyDescent="0.2">
      <c r="B49" s="53" t="s">
        <v>114</v>
      </c>
      <c r="C49" s="56" t="s">
        <v>206</v>
      </c>
      <c r="D49" s="106">
        <v>1346.43</v>
      </c>
      <c r="E49" s="53" t="s">
        <v>165</v>
      </c>
      <c r="F49" s="53" t="s">
        <v>189</v>
      </c>
    </row>
    <row r="50" spans="2:9" x14ac:dyDescent="0.2">
      <c r="B50" s="53" t="s">
        <v>115</v>
      </c>
      <c r="C50" s="56" t="s">
        <v>16</v>
      </c>
      <c r="D50" s="106">
        <v>0</v>
      </c>
      <c r="E50" s="53" t="s">
        <v>167</v>
      </c>
      <c r="F50" s="53" t="s">
        <v>178</v>
      </c>
    </row>
    <row r="51" spans="2:9" x14ac:dyDescent="0.2">
      <c r="B51" s="53" t="s">
        <v>116</v>
      </c>
      <c r="C51" s="56" t="s">
        <v>206</v>
      </c>
      <c r="D51" s="78">
        <f>D48+D50*D49</f>
        <v>1578.11</v>
      </c>
    </row>
    <row r="52" spans="2:9" x14ac:dyDescent="0.2">
      <c r="B52" s="58" t="s">
        <v>159</v>
      </c>
      <c r="C52" s="56" t="s">
        <v>207</v>
      </c>
      <c r="D52" s="78">
        <f>D51*12</f>
        <v>18937.32</v>
      </c>
      <c r="F52" s="58"/>
    </row>
    <row r="53" spans="2:9" x14ac:dyDescent="0.2">
      <c r="B53" s="58" t="s">
        <v>160</v>
      </c>
      <c r="C53" s="56" t="s">
        <v>207</v>
      </c>
      <c r="D53" s="78">
        <f>$D$52*$D$65</f>
        <v>18937.32</v>
      </c>
      <c r="F53" s="58"/>
    </row>
    <row r="54" spans="2:9" x14ac:dyDescent="0.2">
      <c r="B54" s="23" t="s">
        <v>56</v>
      </c>
      <c r="C54" s="31" t="s">
        <v>57</v>
      </c>
      <c r="D54" s="106">
        <v>8</v>
      </c>
      <c r="E54" s="53" t="s">
        <v>169</v>
      </c>
      <c r="F54" s="53" t="s">
        <v>170</v>
      </c>
    </row>
    <row r="55" spans="2:9" x14ac:dyDescent="0.2">
      <c r="B55" s="23" t="s">
        <v>161</v>
      </c>
      <c r="C55" s="31" t="s">
        <v>16</v>
      </c>
      <c r="D55" s="106">
        <v>1</v>
      </c>
      <c r="E55" s="53" t="s">
        <v>179</v>
      </c>
      <c r="F55" s="53" t="s">
        <v>180</v>
      </c>
    </row>
    <row r="56" spans="2:9" x14ac:dyDescent="0.2">
      <c r="B56" s="23" t="s">
        <v>58</v>
      </c>
      <c r="C56" s="31" t="s">
        <v>59</v>
      </c>
      <c r="D56" s="106">
        <v>4</v>
      </c>
      <c r="E56" s="53" t="s">
        <v>169</v>
      </c>
      <c r="F56" s="53" t="s">
        <v>173</v>
      </c>
    </row>
    <row r="57" spans="2:9" x14ac:dyDescent="0.2">
      <c r="B57" s="23" t="s">
        <v>121</v>
      </c>
      <c r="C57" s="31" t="s">
        <v>122</v>
      </c>
      <c r="D57" s="103">
        <v>4.5</v>
      </c>
      <c r="F57" s="23"/>
    </row>
    <row r="58" spans="2:9" x14ac:dyDescent="0.2">
      <c r="B58" s="23" t="s">
        <v>58</v>
      </c>
      <c r="C58" s="31" t="s">
        <v>60</v>
      </c>
      <c r="D58" s="78">
        <f>D57*D56</f>
        <v>18</v>
      </c>
      <c r="F58" s="23"/>
    </row>
    <row r="59" spans="2:9" x14ac:dyDescent="0.2">
      <c r="B59" s="23" t="s">
        <v>61</v>
      </c>
      <c r="C59" s="31" t="s">
        <v>62</v>
      </c>
      <c r="D59" s="86">
        <f>60*D54*D58</f>
        <v>8640</v>
      </c>
      <c r="F59" s="23"/>
    </row>
    <row r="60" spans="2:9" ht="15.75" thickBot="1" x14ac:dyDescent="0.3">
      <c r="B60" s="26" t="s">
        <v>118</v>
      </c>
      <c r="D60" s="86"/>
      <c r="F60" s="23"/>
    </row>
    <row r="61" spans="2:9" ht="15" x14ac:dyDescent="0.2">
      <c r="B61" s="23" t="s">
        <v>202</v>
      </c>
      <c r="C61" s="31" t="s">
        <v>52</v>
      </c>
      <c r="D61" s="106">
        <v>0.27</v>
      </c>
      <c r="E61" s="53" t="s">
        <v>184</v>
      </c>
      <c r="F61" s="53" t="s">
        <v>181</v>
      </c>
      <c r="H61" s="204" t="s">
        <v>183</v>
      </c>
      <c r="I61" s="205"/>
    </row>
    <row r="62" spans="2:9" ht="15" x14ac:dyDescent="0.25">
      <c r="B62" s="129" t="s">
        <v>7</v>
      </c>
      <c r="C62" s="127" t="s">
        <v>51</v>
      </c>
      <c r="D62" s="128">
        <v>35</v>
      </c>
      <c r="H62" s="112" t="s">
        <v>182</v>
      </c>
      <c r="I62" s="113" t="s">
        <v>163</v>
      </c>
    </row>
    <row r="63" spans="2:9" ht="15" x14ac:dyDescent="0.2">
      <c r="B63" s="23" t="s">
        <v>450</v>
      </c>
      <c r="C63" s="31" t="s">
        <v>23</v>
      </c>
      <c r="D63" s="78">
        <f>IF(INPUTS_Generales!G42&lt;=100,1,2)</f>
        <v>2</v>
      </c>
      <c r="H63" s="114">
        <v>25</v>
      </c>
      <c r="I63" s="117">
        <v>116130</v>
      </c>
    </row>
    <row r="64" spans="2:9" ht="15" x14ac:dyDescent="0.2">
      <c r="B64" s="23" t="s">
        <v>7</v>
      </c>
      <c r="C64" s="31" t="s">
        <v>53</v>
      </c>
      <c r="D64" s="78">
        <f>D62*(D61*D63)</f>
        <v>18.900000000000002</v>
      </c>
      <c r="H64" s="114">
        <v>30</v>
      </c>
      <c r="I64" s="117">
        <v>127517</v>
      </c>
    </row>
    <row r="65" spans="2:9" ht="15" x14ac:dyDescent="0.2">
      <c r="B65" s="23" t="s">
        <v>54</v>
      </c>
      <c r="C65" s="31" t="s">
        <v>55</v>
      </c>
      <c r="D65" s="78">
        <v>1</v>
      </c>
      <c r="H65" s="114">
        <v>35</v>
      </c>
      <c r="I65" s="117">
        <v>144936</v>
      </c>
    </row>
    <row r="66" spans="2:9" ht="15" x14ac:dyDescent="0.2">
      <c r="B66" s="23" t="s">
        <v>12</v>
      </c>
      <c r="C66" s="31" t="s">
        <v>23</v>
      </c>
      <c r="D66" s="103">
        <v>0.1</v>
      </c>
      <c r="H66" s="114">
        <v>40</v>
      </c>
      <c r="I66" s="117">
        <v>179856</v>
      </c>
    </row>
    <row r="67" spans="2:9" ht="15" x14ac:dyDescent="0.2">
      <c r="B67" s="23" t="s">
        <v>76</v>
      </c>
      <c r="C67" s="31" t="s">
        <v>208</v>
      </c>
      <c r="D67" s="78">
        <f>VLOOKUP($D$62,$H$63:$I$68,2,FALSE)</f>
        <v>144936</v>
      </c>
      <c r="H67" s="114">
        <v>45</v>
      </c>
      <c r="I67" s="117">
        <v>197275</v>
      </c>
    </row>
    <row r="68" spans="2:9" ht="15.75" thickBot="1" x14ac:dyDescent="0.25">
      <c r="B68" s="23" t="s">
        <v>64</v>
      </c>
      <c r="C68" s="31" t="s">
        <v>133</v>
      </c>
      <c r="D68" s="78">
        <f>D67*D65</f>
        <v>144936</v>
      </c>
      <c r="E68" s="55"/>
      <c r="F68" s="55"/>
      <c r="H68" s="115">
        <v>50</v>
      </c>
      <c r="I68" s="118">
        <v>214695</v>
      </c>
    </row>
    <row r="69" spans="2:9" x14ac:dyDescent="0.2">
      <c r="B69" s="23" t="s">
        <v>65</v>
      </c>
      <c r="C69" s="31" t="s">
        <v>66</v>
      </c>
      <c r="D69" s="78">
        <f>C3</f>
        <v>10</v>
      </c>
    </row>
    <row r="70" spans="2:9" ht="28.5" x14ac:dyDescent="0.2">
      <c r="B70" s="24" t="s">
        <v>67</v>
      </c>
      <c r="C70" s="25" t="s">
        <v>68</v>
      </c>
      <c r="D70" s="110">
        <v>0.1</v>
      </c>
      <c r="E70" s="53" t="s">
        <v>184</v>
      </c>
      <c r="F70" s="53" t="s">
        <v>173</v>
      </c>
    </row>
    <row r="71" spans="2:9" x14ac:dyDescent="0.2">
      <c r="B71" s="24" t="s">
        <v>69</v>
      </c>
      <c r="C71" s="31" t="s">
        <v>70</v>
      </c>
      <c r="D71" s="111">
        <v>6</v>
      </c>
      <c r="E71" s="53" t="s">
        <v>184</v>
      </c>
      <c r="F71" s="53" t="s">
        <v>168</v>
      </c>
    </row>
    <row r="72" spans="2:9" x14ac:dyDescent="0.2">
      <c r="B72" s="24" t="s">
        <v>71</v>
      </c>
      <c r="C72" s="31" t="s">
        <v>20</v>
      </c>
      <c r="D72" s="111">
        <v>71.821782178217831</v>
      </c>
      <c r="E72" s="53" t="s">
        <v>184</v>
      </c>
      <c r="F72" s="53" t="s">
        <v>204</v>
      </c>
    </row>
    <row r="73" spans="2:9" x14ac:dyDescent="0.2">
      <c r="B73" s="24" t="s">
        <v>72</v>
      </c>
      <c r="C73" s="31" t="s">
        <v>209</v>
      </c>
      <c r="D73" s="111">
        <v>0.54</v>
      </c>
      <c r="E73" s="53" t="s">
        <v>169</v>
      </c>
      <c r="F73" s="53" t="s">
        <v>176</v>
      </c>
    </row>
    <row r="74" spans="2:9" x14ac:dyDescent="0.2">
      <c r="B74" s="24" t="s">
        <v>73</v>
      </c>
      <c r="C74" s="31" t="s">
        <v>68</v>
      </c>
      <c r="D74" s="102">
        <v>0.15</v>
      </c>
    </row>
    <row r="75" spans="2:9" x14ac:dyDescent="0.2">
      <c r="B75" s="24" t="s">
        <v>74</v>
      </c>
      <c r="C75" s="31" t="s">
        <v>68</v>
      </c>
      <c r="D75" s="102">
        <v>0.4</v>
      </c>
    </row>
    <row r="76" spans="2:9" x14ac:dyDescent="0.2">
      <c r="B76" s="24" t="s">
        <v>177</v>
      </c>
      <c r="C76" s="31" t="s">
        <v>25</v>
      </c>
      <c r="D76" s="103">
        <v>2.35</v>
      </c>
    </row>
    <row r="77" spans="2:9" x14ac:dyDescent="0.2">
      <c r="D77" s="86"/>
    </row>
    <row r="78" spans="2:9" ht="15" x14ac:dyDescent="0.25">
      <c r="B78" s="26" t="s">
        <v>77</v>
      </c>
      <c r="D78" s="86"/>
    </row>
    <row r="79" spans="2:9" x14ac:dyDescent="0.2">
      <c r="B79" s="24" t="s">
        <v>78</v>
      </c>
      <c r="C79" s="25" t="s">
        <v>19</v>
      </c>
      <c r="D79" s="106">
        <v>20</v>
      </c>
      <c r="E79" s="53" t="s">
        <v>184</v>
      </c>
      <c r="F79" s="53" t="s">
        <v>185</v>
      </c>
    </row>
    <row r="80" spans="2:9" x14ac:dyDescent="0.2">
      <c r="B80" s="24" t="s">
        <v>79</v>
      </c>
      <c r="C80" s="25" t="s">
        <v>19</v>
      </c>
      <c r="D80" s="106">
        <v>15</v>
      </c>
      <c r="E80" s="53" t="s">
        <v>184</v>
      </c>
      <c r="F80" s="53" t="s">
        <v>186</v>
      </c>
    </row>
    <row r="81" spans="2:8" x14ac:dyDescent="0.2">
      <c r="B81" s="24" t="s">
        <v>155</v>
      </c>
      <c r="C81" s="25" t="s">
        <v>19</v>
      </c>
      <c r="D81" s="103">
        <v>5</v>
      </c>
    </row>
    <row r="82" spans="2:8" x14ac:dyDescent="0.2">
      <c r="B82" s="24" t="s">
        <v>156</v>
      </c>
      <c r="C82" s="25" t="s">
        <v>19</v>
      </c>
      <c r="D82" s="78">
        <f>D81</f>
        <v>5</v>
      </c>
    </row>
    <row r="83" spans="2:8" x14ac:dyDescent="0.2">
      <c r="D83" s="86"/>
    </row>
    <row r="84" spans="2:8" x14ac:dyDescent="0.2">
      <c r="D84" s="86"/>
    </row>
    <row r="85" spans="2:8" ht="18" x14ac:dyDescent="0.25">
      <c r="B85" s="61" t="s">
        <v>80</v>
      </c>
      <c r="D85" s="86"/>
    </row>
    <row r="86" spans="2:8" ht="15" x14ac:dyDescent="0.25">
      <c r="B86" s="26" t="s">
        <v>146</v>
      </c>
      <c r="C86" s="127" t="s">
        <v>66</v>
      </c>
      <c r="D86" s="128">
        <v>20</v>
      </c>
    </row>
    <row r="87" spans="2:8" x14ac:dyDescent="0.2">
      <c r="B87" s="23" t="s">
        <v>141</v>
      </c>
      <c r="C87" s="31" t="s">
        <v>142</v>
      </c>
      <c r="D87" s="103">
        <f>INPUTS_Generales!$G$42</f>
        <v>500</v>
      </c>
      <c r="G87" s="54"/>
    </row>
    <row r="88" spans="2:8" x14ac:dyDescent="0.2">
      <c r="B88" s="23" t="s">
        <v>56</v>
      </c>
      <c r="C88" s="31" t="s">
        <v>57</v>
      </c>
      <c r="D88" s="103">
        <v>8</v>
      </c>
      <c r="G88" s="54"/>
    </row>
    <row r="89" spans="2:8" x14ac:dyDescent="0.2">
      <c r="B89" s="23" t="s">
        <v>58</v>
      </c>
      <c r="C89" s="31" t="s">
        <v>59</v>
      </c>
      <c r="D89" s="103">
        <v>6</v>
      </c>
      <c r="G89" s="54"/>
    </row>
    <row r="90" spans="2:8" x14ac:dyDescent="0.2">
      <c r="B90" s="23" t="s">
        <v>121</v>
      </c>
      <c r="C90" s="31" t="s">
        <v>122</v>
      </c>
      <c r="D90" s="103">
        <v>4.5</v>
      </c>
      <c r="G90" s="54"/>
    </row>
    <row r="91" spans="2:8" x14ac:dyDescent="0.2">
      <c r="B91" s="23" t="s">
        <v>58</v>
      </c>
      <c r="C91" s="31" t="s">
        <v>60</v>
      </c>
      <c r="D91" s="78">
        <f>D89*D90</f>
        <v>27</v>
      </c>
      <c r="G91" s="54"/>
    </row>
    <row r="92" spans="2:8" x14ac:dyDescent="0.2">
      <c r="B92" s="23" t="s">
        <v>143</v>
      </c>
      <c r="C92" s="23" t="s">
        <v>144</v>
      </c>
      <c r="D92" s="78">
        <v>52</v>
      </c>
      <c r="G92" s="54"/>
    </row>
    <row r="93" spans="2:8" x14ac:dyDescent="0.2">
      <c r="B93" s="23" t="s">
        <v>157</v>
      </c>
      <c r="C93" s="31" t="s">
        <v>68</v>
      </c>
      <c r="D93" s="101">
        <f>D127/12</f>
        <v>0.01</v>
      </c>
      <c r="G93" s="54"/>
    </row>
    <row r="94" spans="2:8" x14ac:dyDescent="0.2">
      <c r="B94" s="23" t="s">
        <v>145</v>
      </c>
      <c r="D94" s="78">
        <v>0</v>
      </c>
      <c r="G94" s="54"/>
    </row>
    <row r="95" spans="2:8" ht="15" x14ac:dyDescent="0.25">
      <c r="B95" s="26" t="s">
        <v>147</v>
      </c>
      <c r="C95" s="127" t="s">
        <v>133</v>
      </c>
      <c r="D95" s="171">
        <f>IF($D$87&gt;500,(123282*LN($D$87)+2000000)+(123282*LN(($D$87-500)/500)+2000000)*0.426,IF(AND($D$87&lt;=500,$D$87&gt;=100),123282*LN($D$87)+2000000,IF(AND($D$87&gt;15,$D$87&lt;=100),94125*LN($D$87)+2000000,IF($D$87&lt;=15,36.741*$D$87*$D$87-1191.8*$D$87+1000000,0))))</f>
        <v>2766149.3155896845</v>
      </c>
      <c r="G95" s="54"/>
    </row>
    <row r="96" spans="2:8" ht="15" x14ac:dyDescent="0.25">
      <c r="B96" s="26" t="s">
        <v>81</v>
      </c>
      <c r="C96" s="127" t="s">
        <v>206</v>
      </c>
      <c r="D96" s="171">
        <f>(IF($D$87&gt;500,(242741*$D$87^0.1263)+(242741*(($D$87-500)/500)^0.1263)*0.426,IF(AND($D$87&lt;=500,$D$87&gt;=100),242741*($D$87)^0.1263,IF($D$87&lt;100,131930*$D$87^0.2327,0))))/12</f>
        <v>44344.708278184698</v>
      </c>
      <c r="G96" s="170" t="s">
        <v>460</v>
      </c>
      <c r="H96" s="169">
        <f>+((1+D127)^D86-1)/(D127*(1+D127)^D86)</f>
        <v>7.4694436243275968</v>
      </c>
    </row>
    <row r="97" spans="2:7" x14ac:dyDescent="0.2">
      <c r="B97" s="23" t="s">
        <v>446</v>
      </c>
      <c r="C97" s="31" t="s">
        <v>133</v>
      </c>
      <c r="D97" s="78">
        <f>D95/H96</f>
        <v>370328.69577868923</v>
      </c>
      <c r="G97" s="54"/>
    </row>
    <row r="98" spans="2:7" x14ac:dyDescent="0.2">
      <c r="B98" s="23" t="s">
        <v>446</v>
      </c>
      <c r="C98" s="31" t="s">
        <v>449</v>
      </c>
      <c r="D98" s="78">
        <f>D97/365</f>
        <v>1014.5991665169568</v>
      </c>
      <c r="G98" s="54"/>
    </row>
    <row r="99" spans="2:7" x14ac:dyDescent="0.2">
      <c r="B99" s="23" t="s">
        <v>446</v>
      </c>
      <c r="C99" s="31" t="s">
        <v>134</v>
      </c>
      <c r="D99" s="78">
        <f>D98/D87</f>
        <v>2.0291983330339134</v>
      </c>
      <c r="G99" s="54"/>
    </row>
    <row r="100" spans="2:7" x14ac:dyDescent="0.2">
      <c r="B100" s="23" t="s">
        <v>447</v>
      </c>
      <c r="C100" s="31" t="s">
        <v>134</v>
      </c>
      <c r="D100" s="78">
        <f>+D95/(D86*D89*D92)/D87</f>
        <v>0.88658631909925778</v>
      </c>
      <c r="G100" s="54"/>
    </row>
    <row r="101" spans="2:7" x14ac:dyDescent="0.2">
      <c r="B101" s="23" t="s">
        <v>448</v>
      </c>
      <c r="C101" s="31" t="s">
        <v>134</v>
      </c>
      <c r="D101" s="78">
        <f>D100+D99</f>
        <v>2.915784652133171</v>
      </c>
      <c r="G101" s="54"/>
    </row>
    <row r="102" spans="2:7" x14ac:dyDescent="0.2">
      <c r="D102" s="78"/>
      <c r="G102" s="54"/>
    </row>
    <row r="103" spans="2:7" x14ac:dyDescent="0.2">
      <c r="D103" s="78"/>
      <c r="G103" s="54"/>
    </row>
    <row r="104" spans="2:7" x14ac:dyDescent="0.2">
      <c r="D104" s="78"/>
      <c r="G104" s="54"/>
    </row>
    <row r="105" spans="2:7" ht="18" x14ac:dyDescent="0.25">
      <c r="B105" s="61" t="s">
        <v>136</v>
      </c>
      <c r="D105" s="86"/>
    </row>
    <row r="106" spans="2:7" ht="15" x14ac:dyDescent="0.25">
      <c r="B106" s="26" t="s">
        <v>65</v>
      </c>
      <c r="C106" s="127" t="s">
        <v>66</v>
      </c>
      <c r="D106" s="128">
        <v>20</v>
      </c>
    </row>
    <row r="107" spans="2:7" x14ac:dyDescent="0.2">
      <c r="B107" s="23" t="s">
        <v>141</v>
      </c>
      <c r="C107" s="31" t="s">
        <v>142</v>
      </c>
      <c r="D107" s="103">
        <f>INPUTS_Generales!$G$42</f>
        <v>500</v>
      </c>
    </row>
    <row r="108" spans="2:7" x14ac:dyDescent="0.2">
      <c r="B108" s="23" t="s">
        <v>56</v>
      </c>
      <c r="C108" s="31" t="s">
        <v>57</v>
      </c>
      <c r="D108" s="103">
        <v>8</v>
      </c>
    </row>
    <row r="109" spans="2:7" x14ac:dyDescent="0.2">
      <c r="B109" s="23" t="s">
        <v>58</v>
      </c>
      <c r="C109" s="31" t="s">
        <v>59</v>
      </c>
      <c r="D109" s="103">
        <v>6</v>
      </c>
    </row>
    <row r="110" spans="2:7" x14ac:dyDescent="0.2">
      <c r="B110" s="23" t="s">
        <v>121</v>
      </c>
      <c r="C110" s="31" t="s">
        <v>122</v>
      </c>
      <c r="D110" s="103">
        <v>4.5</v>
      </c>
    </row>
    <row r="111" spans="2:7" x14ac:dyDescent="0.2">
      <c r="B111" s="23" t="s">
        <v>58</v>
      </c>
      <c r="C111" s="31" t="s">
        <v>60</v>
      </c>
      <c r="D111" s="78">
        <f>D109*D110</f>
        <v>27</v>
      </c>
    </row>
    <row r="112" spans="2:7" x14ac:dyDescent="0.2">
      <c r="B112" s="23" t="s">
        <v>143</v>
      </c>
      <c r="C112" s="23" t="s">
        <v>144</v>
      </c>
      <c r="D112" s="78">
        <v>52</v>
      </c>
    </row>
    <row r="113" spans="2:8" x14ac:dyDescent="0.2">
      <c r="B113" s="23" t="s">
        <v>157</v>
      </c>
      <c r="C113" s="31" t="s">
        <v>68</v>
      </c>
      <c r="D113" s="101">
        <f>D127/12</f>
        <v>0.01</v>
      </c>
    </row>
    <row r="114" spans="2:8" x14ac:dyDescent="0.2">
      <c r="B114" s="23" t="s">
        <v>145</v>
      </c>
      <c r="D114" s="78">
        <v>0</v>
      </c>
    </row>
    <row r="115" spans="2:8" x14ac:dyDescent="0.2">
      <c r="B115" s="23" t="s">
        <v>456</v>
      </c>
      <c r="C115" s="31" t="s">
        <v>133</v>
      </c>
      <c r="D115" s="78">
        <f>IF(D107&lt;=15,24249*$D$107+173236,63052*$D$107+1000000)</f>
        <v>32526000</v>
      </c>
    </row>
    <row r="116" spans="2:8" x14ac:dyDescent="0.2">
      <c r="B116" s="23" t="s">
        <v>457</v>
      </c>
      <c r="C116" s="31" t="s">
        <v>133</v>
      </c>
      <c r="D116" s="78">
        <f>IF($D$107&gt;=15,449307*LN($D$107)-482686,0)</f>
        <v>2309580.9208777794</v>
      </c>
    </row>
    <row r="117" spans="2:8" x14ac:dyDescent="0.2">
      <c r="B117" s="23" t="s">
        <v>458</v>
      </c>
      <c r="C117" s="31" t="s">
        <v>133</v>
      </c>
      <c r="D117" s="78">
        <f>IF(AND($D$107&gt;=15,$D$107&lt;350),8500,1345000)</f>
        <v>1345000</v>
      </c>
    </row>
    <row r="118" spans="2:8" ht="15" x14ac:dyDescent="0.25">
      <c r="B118" s="26" t="s">
        <v>459</v>
      </c>
      <c r="C118" s="127" t="s">
        <v>133</v>
      </c>
      <c r="D118" s="171">
        <f>D117+D116+D115</f>
        <v>36180580.920877777</v>
      </c>
    </row>
    <row r="119" spans="2:8" ht="15" x14ac:dyDescent="0.25">
      <c r="B119" s="26" t="s">
        <v>81</v>
      </c>
      <c r="C119" s="127" t="s">
        <v>206</v>
      </c>
      <c r="D119" s="171">
        <f>(IF($D$107&gt;=15,998.19*$D$107+458480,229.67*$D$107*$D$107+2781.9*$D$107+17618))/12</f>
        <v>79797.916666666672</v>
      </c>
      <c r="G119" s="170" t="s">
        <v>461</v>
      </c>
      <c r="H119" s="169">
        <f>+((1+D127)^D106-1)/(D127*(1+D127)^D106)</f>
        <v>7.4694436243275968</v>
      </c>
    </row>
    <row r="120" spans="2:8" x14ac:dyDescent="0.2">
      <c r="B120" s="23" t="s">
        <v>446</v>
      </c>
      <c r="C120" s="31" t="s">
        <v>133</v>
      </c>
      <c r="D120" s="78">
        <f>D118/H119</f>
        <v>4843812.0348133389</v>
      </c>
    </row>
    <row r="121" spans="2:8" x14ac:dyDescent="0.2">
      <c r="B121" s="23" t="s">
        <v>446</v>
      </c>
      <c r="C121" s="31" t="s">
        <v>449</v>
      </c>
      <c r="D121" s="78">
        <f>D120/365</f>
        <v>13270.717903598188</v>
      </c>
      <c r="E121" s="81"/>
    </row>
    <row r="122" spans="2:8" x14ac:dyDescent="0.2">
      <c r="B122" s="23" t="s">
        <v>446</v>
      </c>
      <c r="C122" s="31" t="s">
        <v>134</v>
      </c>
      <c r="D122" s="78">
        <f>D121/D107</f>
        <v>26.541435807196375</v>
      </c>
    </row>
    <row r="123" spans="2:8" x14ac:dyDescent="0.2">
      <c r="B123" s="23" t="s">
        <v>447</v>
      </c>
      <c r="C123" s="31" t="s">
        <v>134</v>
      </c>
      <c r="D123" s="78">
        <f>+D118/(D106*D109*D112)/D107</f>
        <v>11.596340038742877</v>
      </c>
    </row>
    <row r="124" spans="2:8" x14ac:dyDescent="0.2">
      <c r="B124" s="23" t="s">
        <v>448</v>
      </c>
      <c r="C124" s="31" t="s">
        <v>134</v>
      </c>
      <c r="D124" s="78">
        <f>D123+D122</f>
        <v>38.137775845939252</v>
      </c>
    </row>
    <row r="125" spans="2:8" x14ac:dyDescent="0.2">
      <c r="D125" s="86"/>
    </row>
    <row r="126" spans="2:8" ht="18" x14ac:dyDescent="0.25">
      <c r="B126" s="61" t="s">
        <v>82</v>
      </c>
      <c r="D126" s="86"/>
    </row>
    <row r="127" spans="2:8" x14ac:dyDescent="0.2">
      <c r="B127" s="23" t="s">
        <v>83</v>
      </c>
      <c r="C127" s="31" t="s">
        <v>68</v>
      </c>
      <c r="D127" s="102">
        <v>0.12</v>
      </c>
    </row>
  </sheetData>
  <mergeCells count="4">
    <mergeCell ref="C4:F4"/>
    <mergeCell ref="H23:I23"/>
    <mergeCell ref="H61:I61"/>
    <mergeCell ref="C5:F5"/>
  </mergeCells>
  <dataValidations disablePrompts="1" count="1">
    <dataValidation type="list" allowBlank="1" showInputMessage="1" showErrorMessage="1" sqref="C2:C3" xr:uid="{8F22C197-4251-4400-9A39-1BADEC728F7B}">
      <formula1>$T$2:$T$5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164ED-8EFB-48A9-94FC-BF7FB958C464}">
  <sheetPr codeName="Hoja7">
    <tabColor rgb="FFFF0000"/>
  </sheetPr>
  <dimension ref="B3:Z1156"/>
  <sheetViews>
    <sheetView topLeftCell="A3" zoomScale="85" zoomScaleNormal="85" workbookViewId="0">
      <pane xSplit="3" ySplit="2" topLeftCell="D280" activePane="bottomRight" state="frozen"/>
      <selection activeCell="E18" sqref="E18"/>
      <selection pane="topRight" activeCell="E18" sqref="E18"/>
      <selection pane="bottomLeft" activeCell="E18" sqref="E18"/>
      <selection pane="bottomRight" activeCell="D291" sqref="D291"/>
    </sheetView>
  </sheetViews>
  <sheetFormatPr baseColWidth="10" defaultRowHeight="14.25" x14ac:dyDescent="0.2"/>
  <cols>
    <col min="1" max="1" width="6" style="23" customWidth="1"/>
    <col min="2" max="2" width="41.7109375" style="23" bestFit="1" customWidth="1"/>
    <col min="3" max="3" width="10.42578125" style="23" bestFit="1" customWidth="1"/>
    <col min="4" max="6" width="11.42578125" style="25"/>
    <col min="7" max="7" width="13.85546875" style="25" bestFit="1" customWidth="1"/>
    <col min="8" max="9" width="14.85546875" style="25" bestFit="1" customWidth="1"/>
    <col min="10" max="24" width="11.42578125" style="25"/>
    <col min="25" max="25" width="13.42578125" style="159" bestFit="1" customWidth="1"/>
    <col min="26" max="26" width="6.5703125" style="159" bestFit="1" customWidth="1"/>
    <col min="27" max="16384" width="11.42578125" style="23"/>
  </cols>
  <sheetData>
    <row r="3" spans="2:23" x14ac:dyDescent="0.2">
      <c r="D3" s="25">
        <v>0</v>
      </c>
      <c r="E3" s="25">
        <v>1</v>
      </c>
      <c r="F3" s="25">
        <v>2</v>
      </c>
      <c r="G3" s="25">
        <v>3</v>
      </c>
      <c r="H3" s="25">
        <v>4</v>
      </c>
      <c r="I3" s="25">
        <v>5</v>
      </c>
      <c r="J3" s="25">
        <v>6</v>
      </c>
      <c r="K3" s="25">
        <v>7</v>
      </c>
      <c r="L3" s="25">
        <v>8</v>
      </c>
      <c r="M3" s="25">
        <v>9</v>
      </c>
      <c r="N3" s="25">
        <v>10</v>
      </c>
      <c r="O3" s="25">
        <v>11</v>
      </c>
      <c r="P3" s="25">
        <v>12</v>
      </c>
      <c r="Q3" s="25">
        <v>13</v>
      </c>
      <c r="R3" s="25">
        <v>14</v>
      </c>
      <c r="S3" s="25">
        <v>15</v>
      </c>
      <c r="T3" s="25">
        <v>16</v>
      </c>
      <c r="U3" s="25">
        <v>17</v>
      </c>
      <c r="V3" s="25">
        <v>18</v>
      </c>
      <c r="W3" s="25">
        <v>19</v>
      </c>
    </row>
    <row r="4" spans="2:23" ht="15" x14ac:dyDescent="0.2">
      <c r="D4" s="75">
        <v>2026</v>
      </c>
      <c r="E4" s="25">
        <f>+D4+1</f>
        <v>2027</v>
      </c>
      <c r="F4" s="25">
        <f t="shared" ref="F4:W4" si="0">+E4+1</f>
        <v>2028</v>
      </c>
      <c r="G4" s="25">
        <f t="shared" si="0"/>
        <v>2029</v>
      </c>
      <c r="H4" s="25">
        <f t="shared" si="0"/>
        <v>2030</v>
      </c>
      <c r="I4" s="25">
        <f t="shared" si="0"/>
        <v>2031</v>
      </c>
      <c r="J4" s="25">
        <f t="shared" si="0"/>
        <v>2032</v>
      </c>
      <c r="K4" s="25">
        <f t="shared" si="0"/>
        <v>2033</v>
      </c>
      <c r="L4" s="25">
        <f t="shared" si="0"/>
        <v>2034</v>
      </c>
      <c r="M4" s="25">
        <f t="shared" si="0"/>
        <v>2035</v>
      </c>
      <c r="N4" s="25">
        <f t="shared" si="0"/>
        <v>2036</v>
      </c>
      <c r="O4" s="25">
        <f t="shared" si="0"/>
        <v>2037</v>
      </c>
      <c r="P4" s="25">
        <f t="shared" si="0"/>
        <v>2038</v>
      </c>
      <c r="Q4" s="25">
        <f t="shared" si="0"/>
        <v>2039</v>
      </c>
      <c r="R4" s="25">
        <f t="shared" si="0"/>
        <v>2040</v>
      </c>
      <c r="S4" s="25">
        <f t="shared" si="0"/>
        <v>2041</v>
      </c>
      <c r="T4" s="25">
        <f t="shared" si="0"/>
        <v>2042</v>
      </c>
      <c r="U4" s="25">
        <f t="shared" si="0"/>
        <v>2043</v>
      </c>
      <c r="V4" s="25">
        <f t="shared" si="0"/>
        <v>2044</v>
      </c>
      <c r="W4" s="25">
        <f t="shared" si="0"/>
        <v>2045</v>
      </c>
    </row>
    <row r="5" spans="2:23" ht="15" x14ac:dyDescent="0.25">
      <c r="B5" s="26" t="s">
        <v>84</v>
      </c>
      <c r="C5" s="26" t="s">
        <v>27</v>
      </c>
    </row>
    <row r="6" spans="2:23" ht="18.75" thickBot="1" x14ac:dyDescent="0.3">
      <c r="B6" s="61" t="s">
        <v>85</v>
      </c>
    </row>
    <row r="7" spans="2:23" ht="16.5" thickBot="1" x14ac:dyDescent="0.3">
      <c r="B7" s="63" t="s">
        <v>65</v>
      </c>
      <c r="C7" s="62">
        <v>5</v>
      </c>
    </row>
    <row r="8" spans="2:23" ht="15.75" x14ac:dyDescent="0.25">
      <c r="B8" s="60" t="s">
        <v>86</v>
      </c>
    </row>
    <row r="9" spans="2:23" x14ac:dyDescent="0.2">
      <c r="B9" s="28" t="s">
        <v>87</v>
      </c>
      <c r="C9" s="29" t="s">
        <v>452</v>
      </c>
      <c r="D9" s="74">
        <f>Analisis_Inputs_Grales!$D$29*(Analisis_Inputs_Grales!$D$127/12)/Analisis_Inputs_Grales!$D$21</f>
        <v>0.17565100079679447</v>
      </c>
      <c r="E9" s="74">
        <f>Analisis_Inputs_Grales!$D$29*(Analisis_Inputs_Grales!$D$127/12)/Analisis_Inputs_Grales!$D$21</f>
        <v>0.17565100079679447</v>
      </c>
      <c r="F9" s="74">
        <f>Analisis_Inputs_Grales!$D$29*(Analisis_Inputs_Grales!$D$127/12)/Analisis_Inputs_Grales!$D$21</f>
        <v>0.17565100079679447</v>
      </c>
      <c r="G9" s="74">
        <f>Analisis_Inputs_Grales!$D$29*(Analisis_Inputs_Grales!$D$127/12)/Analisis_Inputs_Grales!$D$21</f>
        <v>0.17565100079679447</v>
      </c>
      <c r="H9" s="74">
        <f>Analisis_Inputs_Grales!$D$29*(Analisis_Inputs_Grales!$D$127/12)/Analisis_Inputs_Grales!$D$21</f>
        <v>0.17565100079679447</v>
      </c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</row>
    <row r="10" spans="2:23" x14ac:dyDescent="0.2">
      <c r="B10" s="30" t="s">
        <v>87</v>
      </c>
      <c r="C10" s="31" t="s">
        <v>207</v>
      </c>
      <c r="D10" s="52">
        <f>D9*Analisis_Inputs_Grales!$D$21*12</f>
        <v>18211.495762611652</v>
      </c>
      <c r="E10" s="52">
        <f>E9*Analisis_Inputs_Grales!$D$21*12</f>
        <v>18211.495762611652</v>
      </c>
      <c r="F10" s="52">
        <f>F9*Analisis_Inputs_Grales!$D$21*12</f>
        <v>18211.495762611652</v>
      </c>
      <c r="G10" s="52">
        <f>G9*Analisis_Inputs_Grales!$D$21*12</f>
        <v>18211.495762611652</v>
      </c>
      <c r="H10" s="52">
        <f>H9*Analisis_Inputs_Grales!$D$21*12</f>
        <v>18211.495762611652</v>
      </c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</row>
    <row r="11" spans="2:23" x14ac:dyDescent="0.2">
      <c r="B11" s="28" t="s">
        <v>88</v>
      </c>
      <c r="C11" s="29" t="s">
        <v>452</v>
      </c>
      <c r="D11" s="74">
        <f>(Analisis_Inputs_Grales!$D$30-Analisis_Inputs_Grales!$D$32*Analisis_Inputs_Grales!$D$30)/(Analisis_Inputs_Grales!$D$21*$C7*12)</f>
        <v>0.26347650119519167</v>
      </c>
      <c r="E11" s="74">
        <f>(Analisis_Inputs_Grales!$D$30-Analisis_Inputs_Grales!$D$32*Analisis_Inputs_Grales!$D$30)/(Analisis_Inputs_Grales!$D$21*$C7*12)</f>
        <v>0.26347650119519167</v>
      </c>
      <c r="F11" s="74">
        <f>(Analisis_Inputs_Grales!$D$30-Analisis_Inputs_Grales!$D$32*Analisis_Inputs_Grales!$D$30)/(Analisis_Inputs_Grales!$D$21*$C7*12)</f>
        <v>0.26347650119519167</v>
      </c>
      <c r="G11" s="74">
        <f>(Analisis_Inputs_Grales!$D$30-Analisis_Inputs_Grales!$D$32*Analisis_Inputs_Grales!$D$30)/(Analisis_Inputs_Grales!$D$21*$C7*12)</f>
        <v>0.26347650119519167</v>
      </c>
      <c r="H11" s="74">
        <f>(Analisis_Inputs_Grales!$D$30-Analisis_Inputs_Grales!$D$32*Analisis_Inputs_Grales!$D$30)/(Analisis_Inputs_Grales!$D$21*$C7*12)</f>
        <v>0.26347650119519167</v>
      </c>
      <c r="I11" s="50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</row>
    <row r="12" spans="2:23" x14ac:dyDescent="0.2">
      <c r="B12" s="30" t="s">
        <v>88</v>
      </c>
      <c r="C12" s="31" t="s">
        <v>207</v>
      </c>
      <c r="D12" s="52">
        <f>D11*Analisis_Inputs_Grales!$D$21*12</f>
        <v>27317.243643917471</v>
      </c>
      <c r="E12" s="52">
        <f>E11*Analisis_Inputs_Grales!$D$21*12</f>
        <v>27317.243643917471</v>
      </c>
      <c r="F12" s="52">
        <f>F11*Analisis_Inputs_Grales!$D$21*12</f>
        <v>27317.243643917471</v>
      </c>
      <c r="G12" s="52">
        <f>G11*Analisis_Inputs_Grales!$D$21*12</f>
        <v>27317.243643917471</v>
      </c>
      <c r="H12" s="52">
        <f>H11*Analisis_Inputs_Grales!$D$21*12</f>
        <v>27317.243643917471</v>
      </c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</row>
    <row r="13" spans="2:23" x14ac:dyDescent="0.2">
      <c r="B13" s="28" t="s">
        <v>89</v>
      </c>
      <c r="C13" s="29" t="s">
        <v>452</v>
      </c>
      <c r="D13" s="74">
        <f>Analisis_Inputs_Grales!$D$13/Analisis_Inputs_Grales!$D$21</f>
        <v>0.4943252314814815</v>
      </c>
      <c r="E13" s="74">
        <f>Analisis_Inputs_Grales!$D$13/Analisis_Inputs_Grales!$D$21</f>
        <v>0.4943252314814815</v>
      </c>
      <c r="F13" s="74">
        <f>Analisis_Inputs_Grales!$D$13/Analisis_Inputs_Grales!$D$21</f>
        <v>0.4943252314814815</v>
      </c>
      <c r="G13" s="74">
        <f>Analisis_Inputs_Grales!$D$13/Analisis_Inputs_Grales!$D$21</f>
        <v>0.4943252314814815</v>
      </c>
      <c r="H13" s="74">
        <f>Analisis_Inputs_Grales!$D$13/Analisis_Inputs_Grales!$D$21</f>
        <v>0.4943252314814815</v>
      </c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</row>
    <row r="14" spans="2:23" x14ac:dyDescent="0.2">
      <c r="B14" s="32" t="s">
        <v>89</v>
      </c>
      <c r="C14" s="33" t="s">
        <v>207</v>
      </c>
      <c r="D14" s="52">
        <f>D13*Analisis_Inputs_Grales!$D$21*12</f>
        <v>51251.64</v>
      </c>
      <c r="E14" s="52">
        <f>E13*Analisis_Inputs_Grales!$D$21*12</f>
        <v>51251.64</v>
      </c>
      <c r="F14" s="52">
        <f>F13*Analisis_Inputs_Grales!$D$21*12</f>
        <v>51251.64</v>
      </c>
      <c r="G14" s="52">
        <f>G13*Analisis_Inputs_Grales!$D$21*12</f>
        <v>51251.64</v>
      </c>
      <c r="H14" s="52">
        <f>H13*Analisis_Inputs_Grales!$D$21*12</f>
        <v>51251.64</v>
      </c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</row>
    <row r="15" spans="2:23" x14ac:dyDescent="0.2">
      <c r="B15" s="28" t="s">
        <v>90</v>
      </c>
      <c r="C15" s="29" t="s">
        <v>452</v>
      </c>
      <c r="D15" s="74">
        <f>D13+D11+D9</f>
        <v>0.93345273347346769</v>
      </c>
      <c r="E15" s="74">
        <f t="shared" ref="E15:H15" si="1">E13+E11+E9</f>
        <v>0.93345273347346769</v>
      </c>
      <c r="F15" s="74">
        <f t="shared" si="1"/>
        <v>0.93345273347346769</v>
      </c>
      <c r="G15" s="74">
        <f t="shared" si="1"/>
        <v>0.93345273347346769</v>
      </c>
      <c r="H15" s="74">
        <f t="shared" si="1"/>
        <v>0.93345273347346769</v>
      </c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</row>
    <row r="16" spans="2:23" x14ac:dyDescent="0.2">
      <c r="B16" s="30" t="s">
        <v>90</v>
      </c>
      <c r="C16" s="31" t="s">
        <v>207</v>
      </c>
      <c r="D16" s="52">
        <f>D14+D12+D10</f>
        <v>96780.379406529129</v>
      </c>
      <c r="E16" s="52">
        <f t="shared" ref="E16:H16" si="2">E14+E12+E10</f>
        <v>96780.379406529129</v>
      </c>
      <c r="F16" s="52">
        <f t="shared" si="2"/>
        <v>96780.379406529129</v>
      </c>
      <c r="G16" s="52">
        <f t="shared" si="2"/>
        <v>96780.379406529129</v>
      </c>
      <c r="H16" s="52">
        <f t="shared" si="2"/>
        <v>96780.379406529129</v>
      </c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</row>
    <row r="17" spans="2:23" x14ac:dyDescent="0.2">
      <c r="C17" s="31"/>
    </row>
    <row r="18" spans="2:23" ht="15.75" x14ac:dyDescent="0.25">
      <c r="B18" s="60" t="s">
        <v>91</v>
      </c>
      <c r="C18" s="31"/>
    </row>
    <row r="19" spans="2:23" x14ac:dyDescent="0.2">
      <c r="B19" s="28" t="s">
        <v>92</v>
      </c>
      <c r="C19" s="29" t="s">
        <v>452</v>
      </c>
      <c r="D19" s="25">
        <f>Analisis_Inputs_Grales!$D$35/(Analisis_Inputs_Grales!$D$33/(Analisis_Inputs_Grales!$D$34/60))</f>
        <v>7.656428571428571E-2</v>
      </c>
      <c r="E19" s="25">
        <f>Analisis_Inputs_Grales!$D$35/(Analisis_Inputs_Grales!$D$33/(Analisis_Inputs_Grales!$D$34/60))</f>
        <v>7.656428571428571E-2</v>
      </c>
      <c r="F19" s="25">
        <f>Analisis_Inputs_Grales!$D$35/(Analisis_Inputs_Grales!$D$33/(Analisis_Inputs_Grales!$D$34/60))</f>
        <v>7.656428571428571E-2</v>
      </c>
      <c r="G19" s="25">
        <f>Analisis_Inputs_Grales!$D$35/(Analisis_Inputs_Grales!$D$33/(Analisis_Inputs_Grales!$D$34/60))</f>
        <v>7.656428571428571E-2</v>
      </c>
      <c r="H19" s="25">
        <f>Analisis_Inputs_Grales!$D$35/(Analisis_Inputs_Grales!$D$33/(Analisis_Inputs_Grales!$D$34/60))</f>
        <v>7.656428571428571E-2</v>
      </c>
    </row>
    <row r="20" spans="2:23" x14ac:dyDescent="0.2">
      <c r="B20" s="30" t="s">
        <v>92</v>
      </c>
      <c r="C20" s="31" t="s">
        <v>207</v>
      </c>
      <c r="D20" s="52">
        <f>D19*12*Analisis_Inputs_Grales!$D$21</f>
        <v>7938.1851428571426</v>
      </c>
      <c r="E20" s="52">
        <f>E19*12*Analisis_Inputs_Grales!$D$21</f>
        <v>7938.1851428571426</v>
      </c>
      <c r="F20" s="52">
        <f>F19*12*Analisis_Inputs_Grales!$D$21</f>
        <v>7938.1851428571426</v>
      </c>
      <c r="G20" s="52">
        <f>G19*12*Analisis_Inputs_Grales!$D$21</f>
        <v>7938.1851428571426</v>
      </c>
      <c r="H20" s="52">
        <f>H19*12*Analisis_Inputs_Grales!$D$21</f>
        <v>7938.1851428571426</v>
      </c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</row>
    <row r="21" spans="2:23" x14ac:dyDescent="0.2">
      <c r="B21" s="28" t="s">
        <v>93</v>
      </c>
      <c r="C21" s="29" t="s">
        <v>452</v>
      </c>
      <c r="D21" s="74">
        <f>Analisis_Inputs_Grales!$D$36*'Analisis 20Años'!D19</f>
        <v>1.1484642857142856E-2</v>
      </c>
      <c r="E21" s="74">
        <f>Analisis_Inputs_Grales!$D$36*'Analisis 20Años'!E19</f>
        <v>1.1484642857142856E-2</v>
      </c>
      <c r="F21" s="74">
        <f>Analisis_Inputs_Grales!$D$36*'Analisis 20Años'!F19</f>
        <v>1.1484642857142856E-2</v>
      </c>
      <c r="G21" s="74">
        <f>Analisis_Inputs_Grales!$D$36*'Analisis 20Años'!G19</f>
        <v>1.1484642857142856E-2</v>
      </c>
      <c r="H21" s="74">
        <f>Analisis_Inputs_Grales!$D$36*'Analisis 20Años'!H19</f>
        <v>1.1484642857142856E-2</v>
      </c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</row>
    <row r="22" spans="2:23" x14ac:dyDescent="0.2">
      <c r="B22" s="30" t="s">
        <v>93</v>
      </c>
      <c r="C22" s="31" t="s">
        <v>207</v>
      </c>
      <c r="D22" s="52">
        <f>D21*12*Analisis_Inputs_Grales!$D$21</f>
        <v>1190.7277714285713</v>
      </c>
      <c r="E22" s="52">
        <f>E21*12*Analisis_Inputs_Grales!$D$21</f>
        <v>1190.7277714285713</v>
      </c>
      <c r="F22" s="52">
        <f>F21*12*Analisis_Inputs_Grales!$D$21</f>
        <v>1190.7277714285713</v>
      </c>
      <c r="G22" s="52">
        <f>G21*12*Analisis_Inputs_Grales!$D$21</f>
        <v>1190.7277714285713</v>
      </c>
      <c r="H22" s="52">
        <f>H21*12*Analisis_Inputs_Grales!$D$21</f>
        <v>1190.7277714285713</v>
      </c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</row>
    <row r="23" spans="2:23" x14ac:dyDescent="0.2">
      <c r="B23" s="28" t="s">
        <v>94</v>
      </c>
      <c r="C23" s="29" t="s">
        <v>452</v>
      </c>
      <c r="D23" s="74">
        <f>Analisis_Inputs_Grales!$D$37*('Analisis 20Años'!D21+'Analisis 20Años'!D19)</f>
        <v>3.5219571428571426E-2</v>
      </c>
      <c r="E23" s="74">
        <f>Analisis_Inputs_Grales!$D$37*('Analisis 20Años'!E21+'Analisis 20Años'!E19)</f>
        <v>3.5219571428571426E-2</v>
      </c>
      <c r="F23" s="74">
        <f>Analisis_Inputs_Grales!$D$37*('Analisis 20Años'!F21+'Analisis 20Años'!F19)</f>
        <v>3.5219571428571426E-2</v>
      </c>
      <c r="G23" s="74">
        <f>Analisis_Inputs_Grales!$D$37*('Analisis 20Años'!G21+'Analisis 20Años'!G19)</f>
        <v>3.5219571428571426E-2</v>
      </c>
      <c r="H23" s="74">
        <f>Analisis_Inputs_Grales!$D$37*('Analisis 20Años'!H21+'Analisis 20Años'!H19)</f>
        <v>3.5219571428571426E-2</v>
      </c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</row>
    <row r="24" spans="2:23" x14ac:dyDescent="0.2">
      <c r="B24" s="30" t="s">
        <v>94</v>
      </c>
      <c r="C24" s="31" t="s">
        <v>207</v>
      </c>
      <c r="D24" s="52">
        <f>D23*12*Analisis_Inputs_Grales!$D$21</f>
        <v>3651.5651657142853</v>
      </c>
      <c r="E24" s="52">
        <f>E23*12*Analisis_Inputs_Grales!$D$21</f>
        <v>3651.5651657142853</v>
      </c>
      <c r="F24" s="52">
        <f>F23*12*Analisis_Inputs_Grales!$D$21</f>
        <v>3651.5651657142853</v>
      </c>
      <c r="G24" s="52">
        <f>G23*12*Analisis_Inputs_Grales!$D$21</f>
        <v>3651.5651657142853</v>
      </c>
      <c r="H24" s="52">
        <f>H23*12*Analisis_Inputs_Grales!$D$21</f>
        <v>3651.5651657142853</v>
      </c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</row>
    <row r="25" spans="2:23" x14ac:dyDescent="0.2">
      <c r="B25" s="28" t="s">
        <v>95</v>
      </c>
      <c r="C25" s="29" t="s">
        <v>452</v>
      </c>
      <c r="D25" s="74">
        <f>D23+D21+D19</f>
        <v>0.12326849999999999</v>
      </c>
      <c r="E25" s="74">
        <f t="shared" ref="E25:H25" si="3">E23+E21+E19</f>
        <v>0.12326849999999999</v>
      </c>
      <c r="F25" s="74">
        <f t="shared" si="3"/>
        <v>0.12326849999999999</v>
      </c>
      <c r="G25" s="74">
        <f t="shared" si="3"/>
        <v>0.12326849999999999</v>
      </c>
      <c r="H25" s="74">
        <f t="shared" si="3"/>
        <v>0.12326849999999999</v>
      </c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</row>
    <row r="26" spans="2:23" x14ac:dyDescent="0.2">
      <c r="B26" s="32" t="s">
        <v>95</v>
      </c>
      <c r="C26" s="31" t="s">
        <v>207</v>
      </c>
      <c r="D26" s="52">
        <f>D24+D22+D20</f>
        <v>12780.478079999999</v>
      </c>
      <c r="E26" s="52">
        <f t="shared" ref="E26:H26" si="4">E24+E22+E20</f>
        <v>12780.478079999999</v>
      </c>
      <c r="F26" s="52">
        <f t="shared" si="4"/>
        <v>12780.478079999999</v>
      </c>
      <c r="G26" s="52">
        <f t="shared" si="4"/>
        <v>12780.478079999999</v>
      </c>
      <c r="H26" s="52">
        <f t="shared" si="4"/>
        <v>12780.478079999999</v>
      </c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</row>
    <row r="27" spans="2:23" ht="6.95" customHeight="1" x14ac:dyDescent="0.2">
      <c r="B27" s="34"/>
    </row>
    <row r="28" spans="2:23" x14ac:dyDescent="0.2">
      <c r="B28" s="35" t="s">
        <v>96</v>
      </c>
      <c r="C28" s="36" t="s">
        <v>452</v>
      </c>
      <c r="D28" s="74">
        <f>+D15+D25</f>
        <v>1.0567212334734677</v>
      </c>
      <c r="E28" s="74">
        <f t="shared" ref="E28:H28" si="5">+E15+E25</f>
        <v>1.0567212334734677</v>
      </c>
      <c r="F28" s="74">
        <f t="shared" si="5"/>
        <v>1.0567212334734677</v>
      </c>
      <c r="G28" s="74">
        <f t="shared" si="5"/>
        <v>1.0567212334734677</v>
      </c>
      <c r="H28" s="74">
        <f t="shared" si="5"/>
        <v>1.0567212334734677</v>
      </c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</row>
    <row r="29" spans="2:23" x14ac:dyDescent="0.2">
      <c r="B29" s="37" t="s">
        <v>96</v>
      </c>
      <c r="C29" s="38" t="s">
        <v>207</v>
      </c>
      <c r="D29" s="52">
        <f>D28*12*Analisis_Inputs_Grales!$D$21</f>
        <v>109560.85748652913</v>
      </c>
      <c r="E29" s="52">
        <f>E28*12*Analisis_Inputs_Grales!$D$21</f>
        <v>109560.85748652913</v>
      </c>
      <c r="F29" s="52">
        <f>F28*12*Analisis_Inputs_Grales!$D$21</f>
        <v>109560.85748652913</v>
      </c>
      <c r="G29" s="52">
        <f>G28*12*Analisis_Inputs_Grales!$D$21</f>
        <v>109560.85748652913</v>
      </c>
      <c r="H29" s="52">
        <f>H28*12*Analisis_Inputs_Grales!$D$21</f>
        <v>109560.85748652913</v>
      </c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</row>
    <row r="30" spans="2:23" ht="9" customHeight="1" x14ac:dyDescent="0.2">
      <c r="B30" s="39"/>
      <c r="C30" s="40"/>
    </row>
    <row r="31" spans="2:23" x14ac:dyDescent="0.2">
      <c r="B31" s="41" t="s">
        <v>97</v>
      </c>
      <c r="C31" s="36" t="s">
        <v>453</v>
      </c>
      <c r="D31" s="74">
        <f>D28/Analisis_Inputs_Grales!$D$26</f>
        <v>0.17612020557891128</v>
      </c>
      <c r="E31" s="74">
        <f>E28/Analisis_Inputs_Grales!$D$26</f>
        <v>0.17612020557891128</v>
      </c>
      <c r="F31" s="74">
        <f>F28/Analisis_Inputs_Grales!$D$26</f>
        <v>0.17612020557891128</v>
      </c>
      <c r="G31" s="74">
        <f>G28/Analisis_Inputs_Grales!$D$26</f>
        <v>0.17612020557891128</v>
      </c>
      <c r="H31" s="74">
        <f>H28/Analisis_Inputs_Grales!$D$26</f>
        <v>0.17612020557891128</v>
      </c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</row>
    <row r="32" spans="2:23" x14ac:dyDescent="0.2">
      <c r="B32" s="34" t="s">
        <v>98</v>
      </c>
      <c r="C32" s="31" t="s">
        <v>454</v>
      </c>
      <c r="D32" s="52">
        <f>D31*12*Analisis_Inputs_Grales!$D$21</f>
        <v>18260.142914421522</v>
      </c>
      <c r="E32" s="52">
        <f>E31*12*Analisis_Inputs_Grales!$D$21</f>
        <v>18260.142914421522</v>
      </c>
      <c r="F32" s="52">
        <f>F31*12*Analisis_Inputs_Grales!$D$21</f>
        <v>18260.142914421522</v>
      </c>
      <c r="G32" s="52">
        <f>G31*12*Analisis_Inputs_Grales!$D$21</f>
        <v>18260.142914421522</v>
      </c>
      <c r="H32" s="52">
        <f>H31*12*Analisis_Inputs_Grales!$D$21</f>
        <v>18260.142914421522</v>
      </c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</row>
    <row r="33" spans="2:23" x14ac:dyDescent="0.2">
      <c r="B33" s="34" t="s">
        <v>123</v>
      </c>
      <c r="C33" s="31" t="s">
        <v>455</v>
      </c>
      <c r="D33" s="74">
        <f>+D31/(Analisis_Inputs_Grales!$D$34/60)</f>
        <v>0.20702627020191083</v>
      </c>
      <c r="E33" s="74">
        <f>+E31/(Analisis_Inputs_Grales!$D$34/60)</f>
        <v>0.20702627020191083</v>
      </c>
      <c r="F33" s="74">
        <f>+F31/(Analisis_Inputs_Grales!$D$34/60)</f>
        <v>0.20702627020191083</v>
      </c>
      <c r="G33" s="74">
        <f>+G31/(Analisis_Inputs_Grales!$D$34/60)</f>
        <v>0.20702627020191083</v>
      </c>
      <c r="H33" s="74">
        <f>+H31/(Analisis_Inputs_Grales!$D$34/60)</f>
        <v>0.20702627020191083</v>
      </c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</row>
    <row r="34" spans="2:23" x14ac:dyDescent="0.2">
      <c r="B34" s="34"/>
      <c r="C34" s="31"/>
      <c r="D34" s="74"/>
      <c r="E34" s="74"/>
      <c r="F34" s="74"/>
      <c r="G34" s="74"/>
      <c r="H34" s="74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</row>
    <row r="35" spans="2:23" x14ac:dyDescent="0.2">
      <c r="B35" s="64" t="s">
        <v>124</v>
      </c>
      <c r="C35" s="65" t="s">
        <v>23</v>
      </c>
      <c r="D35" s="74">
        <f>(1+Analisis_Inputs_Grales!$D$127)^'Analisis 20Años'!D$3</f>
        <v>1</v>
      </c>
      <c r="E35" s="74">
        <f>(1+Analisis_Inputs_Grales!$D$127)^'Analisis 20Años'!E$3</f>
        <v>1.1200000000000001</v>
      </c>
      <c r="F35" s="74">
        <f>(1+Analisis_Inputs_Grales!$D$127)^'Analisis 20Años'!F$3</f>
        <v>1.2544000000000002</v>
      </c>
      <c r="G35" s="74">
        <f>(1+Analisis_Inputs_Grales!$D$127)^'Analisis 20Años'!G$3</f>
        <v>1.4049280000000004</v>
      </c>
      <c r="H35" s="74">
        <f>(1+Analisis_Inputs_Grales!$D$127)^'Analisis 20Años'!H$3</f>
        <v>1.5735193600000004</v>
      </c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</row>
    <row r="36" spans="2:23" x14ac:dyDescent="0.2">
      <c r="B36" s="64" t="s">
        <v>125</v>
      </c>
      <c r="C36" s="65" t="s">
        <v>455</v>
      </c>
      <c r="D36" s="74">
        <f>D33*D35</f>
        <v>0.20702627020191083</v>
      </c>
      <c r="E36" s="74">
        <f t="shared" ref="E36:H36" si="6">E33*E35</f>
        <v>0.23186942262614016</v>
      </c>
      <c r="F36" s="74">
        <f t="shared" si="6"/>
        <v>0.25969375334127698</v>
      </c>
      <c r="G36" s="74">
        <f t="shared" si="6"/>
        <v>0.29085700374223028</v>
      </c>
      <c r="H36" s="74">
        <f t="shared" si="6"/>
        <v>0.32575984419129789</v>
      </c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</row>
    <row r="37" spans="2:23" ht="15" x14ac:dyDescent="0.25">
      <c r="B37" s="66" t="s">
        <v>126</v>
      </c>
      <c r="C37" s="65" t="s">
        <v>455</v>
      </c>
      <c r="D37" s="76">
        <f>SUM(D36:H36)</f>
        <v>1.3152062941028562</v>
      </c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</row>
    <row r="38" spans="2:23" x14ac:dyDescent="0.2">
      <c r="B38" s="34"/>
      <c r="C38" s="31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</row>
    <row r="39" spans="2:23" ht="15" thickBot="1" x14ac:dyDescent="0.25">
      <c r="B39" s="34"/>
      <c r="C39" s="31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</row>
    <row r="40" spans="2:23" ht="16.5" thickBot="1" x14ac:dyDescent="0.3">
      <c r="B40" s="63" t="s">
        <v>65</v>
      </c>
      <c r="C40" s="62">
        <v>10</v>
      </c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</row>
    <row r="41" spans="2:23" ht="15.75" x14ac:dyDescent="0.25">
      <c r="B41" s="60" t="s">
        <v>86</v>
      </c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</row>
    <row r="42" spans="2:23" x14ac:dyDescent="0.2">
      <c r="B42" s="28" t="s">
        <v>87</v>
      </c>
      <c r="C42" s="29" t="s">
        <v>452</v>
      </c>
      <c r="D42" s="74">
        <f>Analisis_Inputs_Grales!$D$29*(Analisis_Inputs_Grales!$D$127/12)/Analisis_Inputs_Grales!$D$21</f>
        <v>0.17565100079679447</v>
      </c>
      <c r="E42" s="74">
        <f>Analisis_Inputs_Grales!$D$29*(Analisis_Inputs_Grales!$D$127/12)/Analisis_Inputs_Grales!$D$21</f>
        <v>0.17565100079679447</v>
      </c>
      <c r="F42" s="74">
        <f>Analisis_Inputs_Grales!$D$29*(Analisis_Inputs_Grales!$D$127/12)/Analisis_Inputs_Grales!$D$21</f>
        <v>0.17565100079679447</v>
      </c>
      <c r="G42" s="74">
        <f>Analisis_Inputs_Grales!$D$29*(Analisis_Inputs_Grales!$D$127/12)/Analisis_Inputs_Grales!$D$21</f>
        <v>0.17565100079679447</v>
      </c>
      <c r="H42" s="74">
        <f>Analisis_Inputs_Grales!$D$29*(Analisis_Inputs_Grales!$D$127/12)/Analisis_Inputs_Grales!$D$21</f>
        <v>0.17565100079679447</v>
      </c>
      <c r="I42" s="74">
        <f>Analisis_Inputs_Grales!$D$29*(Analisis_Inputs_Grales!$D$127/12)/Analisis_Inputs_Grales!$D$21</f>
        <v>0.17565100079679447</v>
      </c>
      <c r="J42" s="74">
        <f>Analisis_Inputs_Grales!$D$29*(Analisis_Inputs_Grales!$D$127/12)/Analisis_Inputs_Grales!$D$21</f>
        <v>0.17565100079679447</v>
      </c>
      <c r="K42" s="74">
        <f>Analisis_Inputs_Grales!$D$29*(Analisis_Inputs_Grales!$D$127/12)/Analisis_Inputs_Grales!$D$21</f>
        <v>0.17565100079679447</v>
      </c>
      <c r="L42" s="74">
        <f>Analisis_Inputs_Grales!$D$29*(Analisis_Inputs_Grales!$D$127/12)/Analisis_Inputs_Grales!$D$21</f>
        <v>0.17565100079679447</v>
      </c>
      <c r="M42" s="74">
        <f>Analisis_Inputs_Grales!$D$29*(Analisis_Inputs_Grales!$D$127/12)/Analisis_Inputs_Grales!$D$21</f>
        <v>0.17565100079679447</v>
      </c>
      <c r="N42" s="52"/>
      <c r="O42" s="52"/>
      <c r="P42" s="52"/>
      <c r="Q42" s="52"/>
      <c r="R42" s="52"/>
      <c r="S42" s="52"/>
      <c r="T42" s="52"/>
      <c r="U42" s="52"/>
      <c r="V42" s="52"/>
      <c r="W42" s="52"/>
    </row>
    <row r="43" spans="2:23" x14ac:dyDescent="0.2">
      <c r="B43" s="30" t="s">
        <v>87</v>
      </c>
      <c r="C43" s="31" t="s">
        <v>207</v>
      </c>
      <c r="D43" s="52">
        <f>D42*Analisis_Inputs_Grales!$D$21*12</f>
        <v>18211.495762611652</v>
      </c>
      <c r="E43" s="52">
        <f>E42*Analisis_Inputs_Grales!$D$21*12</f>
        <v>18211.495762611652</v>
      </c>
      <c r="F43" s="52">
        <f>F42*Analisis_Inputs_Grales!$D$21*12</f>
        <v>18211.495762611652</v>
      </c>
      <c r="G43" s="52">
        <f>G42*Analisis_Inputs_Grales!$D$21*12</f>
        <v>18211.495762611652</v>
      </c>
      <c r="H43" s="52">
        <f>H42*Analisis_Inputs_Grales!$D$21*12</f>
        <v>18211.495762611652</v>
      </c>
      <c r="I43" s="52">
        <f>I42*Analisis_Inputs_Grales!$D$21*12</f>
        <v>18211.495762611652</v>
      </c>
      <c r="J43" s="52">
        <f>J42*Analisis_Inputs_Grales!$D$21*12</f>
        <v>18211.495762611652</v>
      </c>
      <c r="K43" s="52">
        <f>K42*Analisis_Inputs_Grales!$D$21*12</f>
        <v>18211.495762611652</v>
      </c>
      <c r="L43" s="52">
        <f>L42*Analisis_Inputs_Grales!$D$21*12</f>
        <v>18211.495762611652</v>
      </c>
      <c r="M43" s="52">
        <f>M42*Analisis_Inputs_Grales!$D$21*12</f>
        <v>18211.495762611652</v>
      </c>
      <c r="N43" s="52"/>
      <c r="O43" s="52"/>
      <c r="P43" s="52"/>
      <c r="Q43" s="52"/>
      <c r="R43" s="52"/>
      <c r="S43" s="52"/>
      <c r="T43" s="52"/>
      <c r="U43" s="52"/>
      <c r="V43" s="52"/>
      <c r="W43" s="52"/>
    </row>
    <row r="44" spans="2:23" x14ac:dyDescent="0.2">
      <c r="B44" s="28" t="s">
        <v>88</v>
      </c>
      <c r="C44" s="29" t="s">
        <v>452</v>
      </c>
      <c r="D44" s="74">
        <f>(Analisis_Inputs_Grales!$D$30-Analisis_Inputs_Grales!$D$32*Analisis_Inputs_Grales!$D$30)/(Analisis_Inputs_Grales!$D$21*$C40*12)</f>
        <v>0.13173825059759584</v>
      </c>
      <c r="E44" s="74">
        <f>(Analisis_Inputs_Grales!$D$30-Analisis_Inputs_Grales!$D$32*Analisis_Inputs_Grales!$D$30)/(Analisis_Inputs_Grales!$D$21*$C40*12)</f>
        <v>0.13173825059759584</v>
      </c>
      <c r="F44" s="74">
        <f>(Analisis_Inputs_Grales!$D$30-Analisis_Inputs_Grales!$D$32*Analisis_Inputs_Grales!$D$30)/(Analisis_Inputs_Grales!$D$21*$C40*12)</f>
        <v>0.13173825059759584</v>
      </c>
      <c r="G44" s="74">
        <f>(Analisis_Inputs_Grales!$D$30-Analisis_Inputs_Grales!$D$32*Analisis_Inputs_Grales!$D$30)/(Analisis_Inputs_Grales!$D$21*$C40*12)</f>
        <v>0.13173825059759584</v>
      </c>
      <c r="H44" s="74">
        <f>(Analisis_Inputs_Grales!$D$30-Analisis_Inputs_Grales!$D$32*Analisis_Inputs_Grales!$D$30)/(Analisis_Inputs_Grales!$D$21*$C40*12)</f>
        <v>0.13173825059759584</v>
      </c>
      <c r="I44" s="74">
        <f>(Analisis_Inputs_Grales!$D$30-Analisis_Inputs_Grales!$D$32*Analisis_Inputs_Grales!$D$30)/(Analisis_Inputs_Grales!$D$21*$C40*12)</f>
        <v>0.13173825059759584</v>
      </c>
      <c r="J44" s="74">
        <f>(Analisis_Inputs_Grales!$D$30-Analisis_Inputs_Grales!$D$32*Analisis_Inputs_Grales!$D$30)/(Analisis_Inputs_Grales!$D$21*$C40*12)</f>
        <v>0.13173825059759584</v>
      </c>
      <c r="K44" s="74">
        <f>(Analisis_Inputs_Grales!$D$30-Analisis_Inputs_Grales!$D$32*Analisis_Inputs_Grales!$D$30)/(Analisis_Inputs_Grales!$D$21*$C40*12)</f>
        <v>0.13173825059759584</v>
      </c>
      <c r="L44" s="74">
        <f>(Analisis_Inputs_Grales!$D$30-Analisis_Inputs_Grales!$D$32*Analisis_Inputs_Grales!$D$30)/(Analisis_Inputs_Grales!$D$21*$C40*12)</f>
        <v>0.13173825059759584</v>
      </c>
      <c r="M44" s="74">
        <f>(Analisis_Inputs_Grales!$D$30-Analisis_Inputs_Grales!$D$32*Analisis_Inputs_Grales!$D$30)/(Analisis_Inputs_Grales!$D$21*$C40*12)</f>
        <v>0.13173825059759584</v>
      </c>
      <c r="N44" s="52"/>
      <c r="O44" s="52"/>
      <c r="P44" s="52"/>
      <c r="Q44" s="52"/>
      <c r="R44" s="52"/>
      <c r="S44" s="52"/>
      <c r="T44" s="52"/>
      <c r="U44" s="52"/>
      <c r="V44" s="52"/>
      <c r="W44" s="52"/>
    </row>
    <row r="45" spans="2:23" x14ac:dyDescent="0.2">
      <c r="B45" s="30" t="s">
        <v>88</v>
      </c>
      <c r="C45" s="31" t="s">
        <v>207</v>
      </c>
      <c r="D45" s="52">
        <f>D44*Analisis_Inputs_Grales!$D$21*12</f>
        <v>13658.621821958735</v>
      </c>
      <c r="E45" s="52">
        <f>E44*Analisis_Inputs_Grales!$D$21*12</f>
        <v>13658.621821958735</v>
      </c>
      <c r="F45" s="52">
        <f>F44*Analisis_Inputs_Grales!$D$21*12</f>
        <v>13658.621821958735</v>
      </c>
      <c r="G45" s="52">
        <f>G44*Analisis_Inputs_Grales!$D$21*12</f>
        <v>13658.621821958735</v>
      </c>
      <c r="H45" s="52">
        <f>H44*Analisis_Inputs_Grales!$D$21*12</f>
        <v>13658.621821958735</v>
      </c>
      <c r="I45" s="52">
        <f>I44*Analisis_Inputs_Grales!$D$21*12</f>
        <v>13658.621821958735</v>
      </c>
      <c r="J45" s="52">
        <f>J44*Analisis_Inputs_Grales!$D$21*12</f>
        <v>13658.621821958735</v>
      </c>
      <c r="K45" s="52">
        <f>K44*Analisis_Inputs_Grales!$D$21*12</f>
        <v>13658.621821958735</v>
      </c>
      <c r="L45" s="52">
        <f>L44*Analisis_Inputs_Grales!$D$21*12</f>
        <v>13658.621821958735</v>
      </c>
      <c r="M45" s="52">
        <f>M44*Analisis_Inputs_Grales!$D$21*12</f>
        <v>13658.621821958735</v>
      </c>
      <c r="N45" s="52"/>
      <c r="O45" s="52"/>
      <c r="P45" s="52"/>
      <c r="Q45" s="52"/>
      <c r="R45" s="52"/>
      <c r="S45" s="52"/>
      <c r="T45" s="52"/>
      <c r="U45" s="52"/>
      <c r="V45" s="52"/>
      <c r="W45" s="52"/>
    </row>
    <row r="46" spans="2:23" x14ac:dyDescent="0.2">
      <c r="B46" s="28" t="s">
        <v>89</v>
      </c>
      <c r="C46" s="29" t="s">
        <v>452</v>
      </c>
      <c r="D46" s="74">
        <f>Analisis_Inputs_Grales!$D$13/Analisis_Inputs_Grales!$D$21</f>
        <v>0.4943252314814815</v>
      </c>
      <c r="E46" s="74">
        <f>Analisis_Inputs_Grales!$D$13/Analisis_Inputs_Grales!$D$21</f>
        <v>0.4943252314814815</v>
      </c>
      <c r="F46" s="74">
        <f>Analisis_Inputs_Grales!$D$13/Analisis_Inputs_Grales!$D$21</f>
        <v>0.4943252314814815</v>
      </c>
      <c r="G46" s="74">
        <f>Analisis_Inputs_Grales!$D$13/Analisis_Inputs_Grales!$D$21</f>
        <v>0.4943252314814815</v>
      </c>
      <c r="H46" s="74">
        <f>Analisis_Inputs_Grales!$D$13/Analisis_Inputs_Grales!$D$21</f>
        <v>0.4943252314814815</v>
      </c>
      <c r="I46" s="74">
        <f>Analisis_Inputs_Grales!$D$13/Analisis_Inputs_Grales!$D$21</f>
        <v>0.4943252314814815</v>
      </c>
      <c r="J46" s="74">
        <f>Analisis_Inputs_Grales!$D$13/Analisis_Inputs_Grales!$D$21</f>
        <v>0.4943252314814815</v>
      </c>
      <c r="K46" s="74">
        <f>Analisis_Inputs_Grales!$D$13/Analisis_Inputs_Grales!$D$21</f>
        <v>0.4943252314814815</v>
      </c>
      <c r="L46" s="74">
        <f>Analisis_Inputs_Grales!$D$13/Analisis_Inputs_Grales!$D$21</f>
        <v>0.4943252314814815</v>
      </c>
      <c r="M46" s="74">
        <f>Analisis_Inputs_Grales!$D$13/Analisis_Inputs_Grales!$D$21</f>
        <v>0.4943252314814815</v>
      </c>
      <c r="N46" s="52"/>
      <c r="O46" s="52"/>
      <c r="P46" s="52"/>
      <c r="Q46" s="52"/>
      <c r="R46" s="52"/>
      <c r="S46" s="52"/>
      <c r="T46" s="52"/>
      <c r="U46" s="52"/>
      <c r="V46" s="52"/>
      <c r="W46" s="52"/>
    </row>
    <row r="47" spans="2:23" x14ac:dyDescent="0.2">
      <c r="B47" s="32" t="s">
        <v>89</v>
      </c>
      <c r="C47" s="33" t="s">
        <v>207</v>
      </c>
      <c r="D47" s="52">
        <f>D46*Analisis_Inputs_Grales!$D$21*12</f>
        <v>51251.64</v>
      </c>
      <c r="E47" s="52">
        <f>E46*Analisis_Inputs_Grales!$D$21*12</f>
        <v>51251.64</v>
      </c>
      <c r="F47" s="52">
        <f>F46*Analisis_Inputs_Grales!$D$21*12</f>
        <v>51251.64</v>
      </c>
      <c r="G47" s="52">
        <f>G46*Analisis_Inputs_Grales!$D$21*12</f>
        <v>51251.64</v>
      </c>
      <c r="H47" s="52">
        <f>H46*Analisis_Inputs_Grales!$D$21*12</f>
        <v>51251.64</v>
      </c>
      <c r="I47" s="52">
        <f>I46*Analisis_Inputs_Grales!$D$21*12</f>
        <v>51251.64</v>
      </c>
      <c r="J47" s="52">
        <f>J46*Analisis_Inputs_Grales!$D$21*12</f>
        <v>51251.64</v>
      </c>
      <c r="K47" s="52">
        <f>K46*Analisis_Inputs_Grales!$D$21*12</f>
        <v>51251.64</v>
      </c>
      <c r="L47" s="52">
        <f>L46*Analisis_Inputs_Grales!$D$21*12</f>
        <v>51251.64</v>
      </c>
      <c r="M47" s="52">
        <f>M46*Analisis_Inputs_Grales!$D$21*12</f>
        <v>51251.64</v>
      </c>
      <c r="N47" s="52"/>
      <c r="O47" s="52"/>
      <c r="P47" s="52"/>
      <c r="Q47" s="52"/>
      <c r="R47" s="52"/>
      <c r="S47" s="52"/>
      <c r="T47" s="52"/>
      <c r="U47" s="52"/>
      <c r="V47" s="52"/>
      <c r="W47" s="52"/>
    </row>
    <row r="48" spans="2:23" x14ac:dyDescent="0.2">
      <c r="B48" s="28" t="s">
        <v>90</v>
      </c>
      <c r="C48" s="29" t="s">
        <v>452</v>
      </c>
      <c r="D48" s="74">
        <f>D46+D44+D42</f>
        <v>0.80171448287587177</v>
      </c>
      <c r="E48" s="74">
        <f t="shared" ref="E48:H48" si="7">E46+E44+E42</f>
        <v>0.80171448287587177</v>
      </c>
      <c r="F48" s="74">
        <f t="shared" si="7"/>
        <v>0.80171448287587177</v>
      </c>
      <c r="G48" s="74">
        <f t="shared" si="7"/>
        <v>0.80171448287587177</v>
      </c>
      <c r="H48" s="74">
        <f t="shared" si="7"/>
        <v>0.80171448287587177</v>
      </c>
      <c r="I48" s="74">
        <f>I46+I44+I42</f>
        <v>0.80171448287587177</v>
      </c>
      <c r="J48" s="74">
        <f t="shared" ref="J48:M48" si="8">J46+J44+J42</f>
        <v>0.80171448287587177</v>
      </c>
      <c r="K48" s="74">
        <f t="shared" si="8"/>
        <v>0.80171448287587177</v>
      </c>
      <c r="L48" s="74">
        <f t="shared" si="8"/>
        <v>0.80171448287587177</v>
      </c>
      <c r="M48" s="74">
        <f t="shared" si="8"/>
        <v>0.80171448287587177</v>
      </c>
      <c r="N48" s="52"/>
      <c r="O48" s="52"/>
      <c r="P48" s="52"/>
      <c r="Q48" s="52"/>
      <c r="R48" s="52"/>
      <c r="S48" s="52"/>
      <c r="T48" s="52"/>
      <c r="U48" s="52"/>
      <c r="V48" s="52"/>
      <c r="W48" s="52"/>
    </row>
    <row r="49" spans="2:23" x14ac:dyDescent="0.2">
      <c r="B49" s="30" t="s">
        <v>90</v>
      </c>
      <c r="C49" s="31" t="s">
        <v>207</v>
      </c>
      <c r="D49" s="52">
        <f>D47+D45+D43</f>
        <v>83121.757584570383</v>
      </c>
      <c r="E49" s="52">
        <f t="shared" ref="E49:H49" si="9">E47+E45+E43</f>
        <v>83121.757584570383</v>
      </c>
      <c r="F49" s="52">
        <f t="shared" si="9"/>
        <v>83121.757584570383</v>
      </c>
      <c r="G49" s="52">
        <f t="shared" si="9"/>
        <v>83121.757584570383</v>
      </c>
      <c r="H49" s="52">
        <f t="shared" si="9"/>
        <v>83121.757584570383</v>
      </c>
      <c r="I49" s="52">
        <f>I47+I45+I43</f>
        <v>83121.757584570383</v>
      </c>
      <c r="J49" s="52">
        <f t="shared" ref="J49:M49" si="10">J47+J45+J43</f>
        <v>83121.757584570383</v>
      </c>
      <c r="K49" s="52">
        <f t="shared" si="10"/>
        <v>83121.757584570383</v>
      </c>
      <c r="L49" s="52">
        <f t="shared" si="10"/>
        <v>83121.757584570383</v>
      </c>
      <c r="M49" s="52">
        <f t="shared" si="10"/>
        <v>83121.757584570383</v>
      </c>
      <c r="N49" s="52"/>
      <c r="O49" s="52"/>
      <c r="P49" s="52"/>
      <c r="Q49" s="52"/>
      <c r="R49" s="52"/>
      <c r="S49" s="52"/>
      <c r="T49" s="52"/>
      <c r="U49" s="52"/>
      <c r="V49" s="52"/>
      <c r="W49" s="52"/>
    </row>
    <row r="50" spans="2:23" x14ac:dyDescent="0.2">
      <c r="C50" s="31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</row>
    <row r="51" spans="2:23" ht="15.75" x14ac:dyDescent="0.25">
      <c r="B51" s="60" t="s">
        <v>91</v>
      </c>
      <c r="C51" s="31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</row>
    <row r="52" spans="2:23" x14ac:dyDescent="0.2">
      <c r="B52" s="28" t="s">
        <v>92</v>
      </c>
      <c r="C52" s="29" t="s">
        <v>452</v>
      </c>
      <c r="D52" s="25">
        <f>Analisis_Inputs_Grales!$D$35/(Analisis_Inputs_Grales!$D$33/(Analisis_Inputs_Grales!$D$34/60))</f>
        <v>7.656428571428571E-2</v>
      </c>
      <c r="E52" s="25">
        <f>Analisis_Inputs_Grales!$D$35/(Analisis_Inputs_Grales!$D$33/(Analisis_Inputs_Grales!$D$34/60))</f>
        <v>7.656428571428571E-2</v>
      </c>
      <c r="F52" s="25">
        <f>Analisis_Inputs_Grales!$D$35/(Analisis_Inputs_Grales!$D$33/(Analisis_Inputs_Grales!$D$34/60))</f>
        <v>7.656428571428571E-2</v>
      </c>
      <c r="G52" s="25">
        <f>Analisis_Inputs_Grales!$D$35/(Analisis_Inputs_Grales!$D$33/(Analisis_Inputs_Grales!$D$34/60))</f>
        <v>7.656428571428571E-2</v>
      </c>
      <c r="H52" s="25">
        <f>Analisis_Inputs_Grales!$D$35/(Analisis_Inputs_Grales!$D$33/(Analisis_Inputs_Grales!$D$34/60))</f>
        <v>7.656428571428571E-2</v>
      </c>
      <c r="I52" s="25">
        <f>Analisis_Inputs_Grales!$D$35/(Analisis_Inputs_Grales!$D$33/(Analisis_Inputs_Grales!$D$34/60))</f>
        <v>7.656428571428571E-2</v>
      </c>
      <c r="J52" s="25">
        <f>Analisis_Inputs_Grales!$D$35/(Analisis_Inputs_Grales!$D$33/(Analisis_Inputs_Grales!$D$34/60))</f>
        <v>7.656428571428571E-2</v>
      </c>
      <c r="K52" s="25">
        <f>Analisis_Inputs_Grales!$D$35/(Analisis_Inputs_Grales!$D$33/(Analisis_Inputs_Grales!$D$34/60))</f>
        <v>7.656428571428571E-2</v>
      </c>
      <c r="L52" s="25">
        <f>Analisis_Inputs_Grales!$D$35/(Analisis_Inputs_Grales!$D$33/(Analisis_Inputs_Grales!$D$34/60))</f>
        <v>7.656428571428571E-2</v>
      </c>
      <c r="M52" s="25">
        <f>Analisis_Inputs_Grales!$D$35/(Analisis_Inputs_Grales!$D$33/(Analisis_Inputs_Grales!$D$34/60))</f>
        <v>7.656428571428571E-2</v>
      </c>
      <c r="N52" s="52"/>
      <c r="O52" s="52"/>
      <c r="P52" s="52"/>
      <c r="Q52" s="52"/>
      <c r="R52" s="52"/>
      <c r="S52" s="52"/>
      <c r="T52" s="52"/>
      <c r="U52" s="52"/>
      <c r="V52" s="52"/>
      <c r="W52" s="52"/>
    </row>
    <row r="53" spans="2:23" x14ac:dyDescent="0.2">
      <c r="B53" s="30" t="s">
        <v>92</v>
      </c>
      <c r="C53" s="31" t="s">
        <v>207</v>
      </c>
      <c r="D53" s="52">
        <f>D52*12*Analisis_Inputs_Grales!$D$21</f>
        <v>7938.1851428571426</v>
      </c>
      <c r="E53" s="52">
        <f>E52*12*Analisis_Inputs_Grales!$D$21</f>
        <v>7938.1851428571426</v>
      </c>
      <c r="F53" s="52">
        <f>F52*12*Analisis_Inputs_Grales!$D$21</f>
        <v>7938.1851428571426</v>
      </c>
      <c r="G53" s="52">
        <f>G52*12*Analisis_Inputs_Grales!$D$21</f>
        <v>7938.1851428571426</v>
      </c>
      <c r="H53" s="52">
        <f>H52*12*Analisis_Inputs_Grales!$D$21</f>
        <v>7938.1851428571426</v>
      </c>
      <c r="I53" s="52">
        <f>I52*12*Analisis_Inputs_Grales!$D$21</f>
        <v>7938.1851428571426</v>
      </c>
      <c r="J53" s="52">
        <f>J52*12*Analisis_Inputs_Grales!$D$21</f>
        <v>7938.1851428571426</v>
      </c>
      <c r="K53" s="52">
        <f>K52*12*Analisis_Inputs_Grales!$D$21</f>
        <v>7938.1851428571426</v>
      </c>
      <c r="L53" s="52">
        <f>L52*12*Analisis_Inputs_Grales!$D$21</f>
        <v>7938.1851428571426</v>
      </c>
      <c r="M53" s="52">
        <f>M52*12*Analisis_Inputs_Grales!$D$21</f>
        <v>7938.1851428571426</v>
      </c>
      <c r="N53" s="52"/>
      <c r="O53" s="52"/>
      <c r="P53" s="52"/>
      <c r="Q53" s="52"/>
      <c r="R53" s="52"/>
      <c r="S53" s="52"/>
      <c r="T53" s="52"/>
      <c r="U53" s="52"/>
      <c r="V53" s="52"/>
      <c r="W53" s="52"/>
    </row>
    <row r="54" spans="2:23" x14ac:dyDescent="0.2">
      <c r="B54" s="28" t="s">
        <v>93</v>
      </c>
      <c r="C54" s="29" t="s">
        <v>452</v>
      </c>
      <c r="D54" s="74">
        <f>Analisis_Inputs_Grales!$D$36*'Analisis 20Años'!D52</f>
        <v>1.1484642857142856E-2</v>
      </c>
      <c r="E54" s="74">
        <f>Analisis_Inputs_Grales!$D$36*'Analisis 20Años'!E52</f>
        <v>1.1484642857142856E-2</v>
      </c>
      <c r="F54" s="74">
        <f>Analisis_Inputs_Grales!$D$36*'Analisis 20Años'!F52</f>
        <v>1.1484642857142856E-2</v>
      </c>
      <c r="G54" s="74">
        <f>Analisis_Inputs_Grales!$D$36*'Analisis 20Años'!G52</f>
        <v>1.1484642857142856E-2</v>
      </c>
      <c r="H54" s="74">
        <f>Analisis_Inputs_Grales!$D$36*'Analisis 20Años'!H52</f>
        <v>1.1484642857142856E-2</v>
      </c>
      <c r="I54" s="74">
        <f>Analisis_Inputs_Grales!$D$36*'Analisis 20Años'!I52</f>
        <v>1.1484642857142856E-2</v>
      </c>
      <c r="J54" s="74">
        <f>Analisis_Inputs_Grales!$D$36*'Analisis 20Años'!J52</f>
        <v>1.1484642857142856E-2</v>
      </c>
      <c r="K54" s="74">
        <f>Analisis_Inputs_Grales!$D$36*'Analisis 20Años'!K52</f>
        <v>1.1484642857142856E-2</v>
      </c>
      <c r="L54" s="74">
        <f>Analisis_Inputs_Grales!$D$36*'Analisis 20Años'!L52</f>
        <v>1.1484642857142856E-2</v>
      </c>
      <c r="M54" s="74">
        <f>Analisis_Inputs_Grales!$D$36*'Analisis 20Años'!M52</f>
        <v>1.1484642857142856E-2</v>
      </c>
      <c r="N54" s="52"/>
      <c r="O54" s="52"/>
      <c r="P54" s="52"/>
      <c r="Q54" s="52"/>
      <c r="R54" s="52"/>
      <c r="S54" s="52"/>
      <c r="T54" s="52"/>
      <c r="U54" s="52"/>
      <c r="V54" s="52"/>
      <c r="W54" s="52"/>
    </row>
    <row r="55" spans="2:23" x14ac:dyDescent="0.2">
      <c r="B55" s="30" t="s">
        <v>93</v>
      </c>
      <c r="C55" s="31" t="s">
        <v>207</v>
      </c>
      <c r="D55" s="52">
        <f>D54*12*Analisis_Inputs_Grales!$D$21</f>
        <v>1190.7277714285713</v>
      </c>
      <c r="E55" s="52">
        <f>E54*12*Analisis_Inputs_Grales!$D$21</f>
        <v>1190.7277714285713</v>
      </c>
      <c r="F55" s="52">
        <f>F54*12*Analisis_Inputs_Grales!$D$21</f>
        <v>1190.7277714285713</v>
      </c>
      <c r="G55" s="52">
        <f>G54*12*Analisis_Inputs_Grales!$D$21</f>
        <v>1190.7277714285713</v>
      </c>
      <c r="H55" s="52">
        <f>H54*12*Analisis_Inputs_Grales!$D$21</f>
        <v>1190.7277714285713</v>
      </c>
      <c r="I55" s="52">
        <f>I54*12*Analisis_Inputs_Grales!$D$21</f>
        <v>1190.7277714285713</v>
      </c>
      <c r="J55" s="52">
        <f>J54*12*Analisis_Inputs_Grales!$D$21</f>
        <v>1190.7277714285713</v>
      </c>
      <c r="K55" s="52">
        <f>K54*12*Analisis_Inputs_Grales!$D$21</f>
        <v>1190.7277714285713</v>
      </c>
      <c r="L55" s="52">
        <f>L54*12*Analisis_Inputs_Grales!$D$21</f>
        <v>1190.7277714285713</v>
      </c>
      <c r="M55" s="52">
        <f>M54*12*Analisis_Inputs_Grales!$D$21</f>
        <v>1190.7277714285713</v>
      </c>
      <c r="N55" s="52"/>
      <c r="O55" s="52"/>
      <c r="P55" s="52"/>
      <c r="Q55" s="52"/>
      <c r="R55" s="52"/>
      <c r="S55" s="52"/>
      <c r="T55" s="52"/>
      <c r="U55" s="52"/>
      <c r="V55" s="52"/>
      <c r="W55" s="52"/>
    </row>
    <row r="56" spans="2:23" x14ac:dyDescent="0.2">
      <c r="B56" s="28" t="s">
        <v>94</v>
      </c>
      <c r="C56" s="29" t="s">
        <v>452</v>
      </c>
      <c r="D56" s="74">
        <f>Analisis_Inputs_Grales!$D$37*('Analisis 20Años'!D54+'Analisis 20Años'!D52)</f>
        <v>3.5219571428571426E-2</v>
      </c>
      <c r="E56" s="74">
        <f>Analisis_Inputs_Grales!$D$37*('Analisis 20Años'!E54+'Analisis 20Años'!E52)</f>
        <v>3.5219571428571426E-2</v>
      </c>
      <c r="F56" s="74">
        <f>Analisis_Inputs_Grales!$D$37*('Analisis 20Años'!F54+'Analisis 20Años'!F52)</f>
        <v>3.5219571428571426E-2</v>
      </c>
      <c r="G56" s="74">
        <f>Analisis_Inputs_Grales!$D$37*('Analisis 20Años'!G54+'Analisis 20Años'!G52)</f>
        <v>3.5219571428571426E-2</v>
      </c>
      <c r="H56" s="74">
        <f>Analisis_Inputs_Grales!$D$37*('Analisis 20Años'!H54+'Analisis 20Años'!H52)</f>
        <v>3.5219571428571426E-2</v>
      </c>
      <c r="I56" s="74">
        <f>Analisis_Inputs_Grales!$D$37*('Analisis 20Años'!I54+'Analisis 20Años'!I52)</f>
        <v>3.5219571428571426E-2</v>
      </c>
      <c r="J56" s="74">
        <f>Analisis_Inputs_Grales!$D$37*('Analisis 20Años'!J54+'Analisis 20Años'!J52)</f>
        <v>3.5219571428571426E-2</v>
      </c>
      <c r="K56" s="74">
        <f>Analisis_Inputs_Grales!$D$37*('Analisis 20Años'!K54+'Analisis 20Años'!K52)</f>
        <v>3.5219571428571426E-2</v>
      </c>
      <c r="L56" s="74">
        <f>Analisis_Inputs_Grales!$D$37*('Analisis 20Años'!L54+'Analisis 20Años'!L52)</f>
        <v>3.5219571428571426E-2</v>
      </c>
      <c r="M56" s="74">
        <f>Analisis_Inputs_Grales!$D$37*('Analisis 20Años'!M54+'Analisis 20Años'!M52)</f>
        <v>3.5219571428571426E-2</v>
      </c>
      <c r="N56" s="52"/>
      <c r="O56" s="52"/>
      <c r="P56" s="52"/>
      <c r="Q56" s="52"/>
      <c r="R56" s="52"/>
      <c r="S56" s="52"/>
      <c r="T56" s="52"/>
      <c r="U56" s="52"/>
      <c r="V56" s="52"/>
      <c r="W56" s="52"/>
    </row>
    <row r="57" spans="2:23" x14ac:dyDescent="0.2">
      <c r="B57" s="30" t="s">
        <v>94</v>
      </c>
      <c r="C57" s="31" t="s">
        <v>207</v>
      </c>
      <c r="D57" s="52">
        <f>D56*12*Analisis_Inputs_Grales!$D$21</f>
        <v>3651.5651657142853</v>
      </c>
      <c r="E57" s="52">
        <f>E56*12*Analisis_Inputs_Grales!$D$21</f>
        <v>3651.5651657142853</v>
      </c>
      <c r="F57" s="52">
        <f>F56*12*Analisis_Inputs_Grales!$D$21</f>
        <v>3651.5651657142853</v>
      </c>
      <c r="G57" s="52">
        <f>G56*12*Analisis_Inputs_Grales!$D$21</f>
        <v>3651.5651657142853</v>
      </c>
      <c r="H57" s="52">
        <f>H56*12*Analisis_Inputs_Grales!$D$21</f>
        <v>3651.5651657142853</v>
      </c>
      <c r="I57" s="52">
        <f>I56*12*Analisis_Inputs_Grales!$D$21</f>
        <v>3651.5651657142853</v>
      </c>
      <c r="J57" s="52">
        <f>J56*12*Analisis_Inputs_Grales!$D$21</f>
        <v>3651.5651657142853</v>
      </c>
      <c r="K57" s="52">
        <f>K56*12*Analisis_Inputs_Grales!$D$21</f>
        <v>3651.5651657142853</v>
      </c>
      <c r="L57" s="52">
        <f>L56*12*Analisis_Inputs_Grales!$D$21</f>
        <v>3651.5651657142853</v>
      </c>
      <c r="M57" s="52">
        <f>M56*12*Analisis_Inputs_Grales!$D$21</f>
        <v>3651.5651657142853</v>
      </c>
      <c r="N57" s="52"/>
      <c r="O57" s="52"/>
      <c r="P57" s="52"/>
      <c r="Q57" s="52"/>
      <c r="R57" s="52"/>
      <c r="S57" s="52"/>
      <c r="T57" s="52"/>
      <c r="U57" s="52"/>
      <c r="V57" s="52"/>
      <c r="W57" s="52"/>
    </row>
    <row r="58" spans="2:23" x14ac:dyDescent="0.2">
      <c r="B58" s="28" t="s">
        <v>95</v>
      </c>
      <c r="C58" s="29" t="s">
        <v>452</v>
      </c>
      <c r="D58" s="74">
        <f>D56+D54+D52</f>
        <v>0.12326849999999999</v>
      </c>
      <c r="E58" s="74">
        <f t="shared" ref="E58:H58" si="11">E56+E54+E52</f>
        <v>0.12326849999999999</v>
      </c>
      <c r="F58" s="74">
        <f t="shared" si="11"/>
        <v>0.12326849999999999</v>
      </c>
      <c r="G58" s="74">
        <f t="shared" si="11"/>
        <v>0.12326849999999999</v>
      </c>
      <c r="H58" s="74">
        <f t="shared" si="11"/>
        <v>0.12326849999999999</v>
      </c>
      <c r="I58" s="74">
        <f>I56+I54+I52</f>
        <v>0.12326849999999999</v>
      </c>
      <c r="J58" s="74">
        <f t="shared" ref="J58:M58" si="12">J56+J54+J52</f>
        <v>0.12326849999999999</v>
      </c>
      <c r="K58" s="74">
        <f t="shared" si="12"/>
        <v>0.12326849999999999</v>
      </c>
      <c r="L58" s="74">
        <f t="shared" si="12"/>
        <v>0.12326849999999999</v>
      </c>
      <c r="M58" s="74">
        <f t="shared" si="12"/>
        <v>0.12326849999999999</v>
      </c>
      <c r="N58" s="52"/>
      <c r="O58" s="52"/>
      <c r="P58" s="52"/>
      <c r="Q58" s="52"/>
      <c r="R58" s="52"/>
      <c r="S58" s="52"/>
      <c r="T58" s="52"/>
      <c r="U58" s="52"/>
      <c r="V58" s="52"/>
      <c r="W58" s="52"/>
    </row>
    <row r="59" spans="2:23" x14ac:dyDescent="0.2">
      <c r="B59" s="32" t="s">
        <v>95</v>
      </c>
      <c r="C59" s="31" t="s">
        <v>207</v>
      </c>
      <c r="D59" s="52">
        <f>D57+D55+D53</f>
        <v>12780.478079999999</v>
      </c>
      <c r="E59" s="52">
        <f t="shared" ref="E59:H59" si="13">E57+E55+E53</f>
        <v>12780.478079999999</v>
      </c>
      <c r="F59" s="52">
        <f t="shared" si="13"/>
        <v>12780.478079999999</v>
      </c>
      <c r="G59" s="52">
        <f t="shared" si="13"/>
        <v>12780.478079999999</v>
      </c>
      <c r="H59" s="52">
        <f t="shared" si="13"/>
        <v>12780.478079999999</v>
      </c>
      <c r="I59" s="52">
        <f>I57+I55+I53</f>
        <v>12780.478079999999</v>
      </c>
      <c r="J59" s="52">
        <f t="shared" ref="J59:M59" si="14">J57+J55+J53</f>
        <v>12780.478079999999</v>
      </c>
      <c r="K59" s="52">
        <f t="shared" si="14"/>
        <v>12780.478079999999</v>
      </c>
      <c r="L59" s="52">
        <f t="shared" si="14"/>
        <v>12780.478079999999</v>
      </c>
      <c r="M59" s="52">
        <f t="shared" si="14"/>
        <v>12780.478079999999</v>
      </c>
      <c r="N59" s="52"/>
      <c r="O59" s="52"/>
      <c r="P59" s="52"/>
      <c r="Q59" s="52"/>
      <c r="R59" s="52"/>
      <c r="S59" s="52"/>
      <c r="T59" s="52"/>
      <c r="U59" s="52"/>
      <c r="V59" s="52"/>
      <c r="W59" s="52"/>
    </row>
    <row r="60" spans="2:23" x14ac:dyDescent="0.2">
      <c r="B60" s="34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</row>
    <row r="61" spans="2:23" x14ac:dyDescent="0.2">
      <c r="B61" s="35" t="s">
        <v>96</v>
      </c>
      <c r="C61" s="36" t="s">
        <v>452</v>
      </c>
      <c r="D61" s="74">
        <f>+D48+D58</f>
        <v>0.92498298287587177</v>
      </c>
      <c r="E61" s="74">
        <f t="shared" ref="E61:H61" si="15">+E48+E58</f>
        <v>0.92498298287587177</v>
      </c>
      <c r="F61" s="74">
        <f t="shared" si="15"/>
        <v>0.92498298287587177</v>
      </c>
      <c r="G61" s="74">
        <f t="shared" si="15"/>
        <v>0.92498298287587177</v>
      </c>
      <c r="H61" s="74">
        <f t="shared" si="15"/>
        <v>0.92498298287587177</v>
      </c>
      <c r="I61" s="74">
        <f>+I48+I58</f>
        <v>0.92498298287587177</v>
      </c>
      <c r="J61" s="74">
        <f t="shared" ref="J61:M61" si="16">+J48+J58</f>
        <v>0.92498298287587177</v>
      </c>
      <c r="K61" s="74">
        <f t="shared" si="16"/>
        <v>0.92498298287587177</v>
      </c>
      <c r="L61" s="74">
        <f t="shared" si="16"/>
        <v>0.92498298287587177</v>
      </c>
      <c r="M61" s="74">
        <f t="shared" si="16"/>
        <v>0.92498298287587177</v>
      </c>
      <c r="N61" s="52"/>
      <c r="O61" s="52"/>
      <c r="P61" s="52"/>
      <c r="Q61" s="52"/>
      <c r="R61" s="52"/>
      <c r="S61" s="52"/>
      <c r="T61" s="52"/>
      <c r="U61" s="52"/>
      <c r="V61" s="52"/>
      <c r="W61" s="52"/>
    </row>
    <row r="62" spans="2:23" x14ac:dyDescent="0.2">
      <c r="B62" s="37" t="s">
        <v>96</v>
      </c>
      <c r="C62" s="38" t="s">
        <v>207</v>
      </c>
      <c r="D62" s="52">
        <f>D61*12*Analisis_Inputs_Grales!$D$21</f>
        <v>95902.235664570384</v>
      </c>
      <c r="E62" s="52">
        <f>E61*12*Analisis_Inputs_Grales!$D$21</f>
        <v>95902.235664570384</v>
      </c>
      <c r="F62" s="52">
        <f>F61*12*Analisis_Inputs_Grales!$D$21</f>
        <v>95902.235664570384</v>
      </c>
      <c r="G62" s="52">
        <f>G61*12*Analisis_Inputs_Grales!$D$21</f>
        <v>95902.235664570384</v>
      </c>
      <c r="H62" s="52">
        <f>H61*12*Analisis_Inputs_Grales!$D$21</f>
        <v>95902.235664570384</v>
      </c>
      <c r="I62" s="52">
        <f>I61*12*Analisis_Inputs_Grales!$D$21</f>
        <v>95902.235664570384</v>
      </c>
      <c r="J62" s="52">
        <f>J61*12*Analisis_Inputs_Grales!$D$21</f>
        <v>95902.235664570384</v>
      </c>
      <c r="K62" s="52">
        <f>K61*12*Analisis_Inputs_Grales!$D$21</f>
        <v>95902.235664570384</v>
      </c>
      <c r="L62" s="52">
        <f>L61*12*Analisis_Inputs_Grales!$D$21</f>
        <v>95902.235664570384</v>
      </c>
      <c r="M62" s="52">
        <f>M61*12*Analisis_Inputs_Grales!$D$21</f>
        <v>95902.235664570384</v>
      </c>
      <c r="N62" s="52"/>
      <c r="O62" s="52"/>
      <c r="P62" s="52"/>
      <c r="Q62" s="52"/>
      <c r="R62" s="52"/>
      <c r="S62" s="52"/>
      <c r="T62" s="52"/>
      <c r="U62" s="52"/>
      <c r="V62" s="52"/>
      <c r="W62" s="52"/>
    </row>
    <row r="63" spans="2:23" x14ac:dyDescent="0.2">
      <c r="B63" s="39"/>
      <c r="C63" s="40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</row>
    <row r="64" spans="2:23" x14ac:dyDescent="0.2">
      <c r="B64" s="41" t="s">
        <v>97</v>
      </c>
      <c r="C64" s="36" t="s">
        <v>453</v>
      </c>
      <c r="D64" s="74">
        <f>D61/Analisis_Inputs_Grales!$D$26</f>
        <v>0.15416383047931195</v>
      </c>
      <c r="E64" s="74">
        <f>E61/Analisis_Inputs_Grales!$D$26</f>
        <v>0.15416383047931195</v>
      </c>
      <c r="F64" s="74">
        <f>F61/Analisis_Inputs_Grales!$D$26</f>
        <v>0.15416383047931195</v>
      </c>
      <c r="G64" s="74">
        <f>G61/Analisis_Inputs_Grales!$D$26</f>
        <v>0.15416383047931195</v>
      </c>
      <c r="H64" s="74">
        <f>H61/Analisis_Inputs_Grales!$D$26</f>
        <v>0.15416383047931195</v>
      </c>
      <c r="I64" s="74">
        <f>I61/Analisis_Inputs_Grales!$D$26</f>
        <v>0.15416383047931195</v>
      </c>
      <c r="J64" s="74">
        <f>J61/Analisis_Inputs_Grales!$D$26</f>
        <v>0.15416383047931195</v>
      </c>
      <c r="K64" s="74">
        <f>K61/Analisis_Inputs_Grales!$D$26</f>
        <v>0.15416383047931195</v>
      </c>
      <c r="L64" s="74">
        <f>L61/Analisis_Inputs_Grales!$D$26</f>
        <v>0.15416383047931195</v>
      </c>
      <c r="M64" s="74">
        <f>M61/Analisis_Inputs_Grales!$D$26</f>
        <v>0.15416383047931195</v>
      </c>
      <c r="N64" s="52"/>
      <c r="O64" s="52"/>
      <c r="P64" s="52"/>
      <c r="Q64" s="52"/>
      <c r="R64" s="52"/>
      <c r="S64" s="52"/>
      <c r="T64" s="52"/>
      <c r="U64" s="52"/>
      <c r="V64" s="52"/>
      <c r="W64" s="52"/>
    </row>
    <row r="65" spans="2:23" x14ac:dyDescent="0.2">
      <c r="B65" s="34" t="s">
        <v>98</v>
      </c>
      <c r="C65" s="31" t="s">
        <v>454</v>
      </c>
      <c r="D65" s="52">
        <f>D64*12*Analisis_Inputs_Grales!$D$21</f>
        <v>15983.705944095063</v>
      </c>
      <c r="E65" s="52">
        <f>E64*12*Analisis_Inputs_Grales!$D$21</f>
        <v>15983.705944095063</v>
      </c>
      <c r="F65" s="52">
        <f>F64*12*Analisis_Inputs_Grales!$D$21</f>
        <v>15983.705944095063</v>
      </c>
      <c r="G65" s="52">
        <f>G64*12*Analisis_Inputs_Grales!$D$21</f>
        <v>15983.705944095063</v>
      </c>
      <c r="H65" s="52">
        <f>H64*12*Analisis_Inputs_Grales!$D$21</f>
        <v>15983.705944095063</v>
      </c>
      <c r="I65" s="52">
        <f>I64*12*Analisis_Inputs_Grales!$D$21</f>
        <v>15983.705944095063</v>
      </c>
      <c r="J65" s="52">
        <f>J64*12*Analisis_Inputs_Grales!$D$21</f>
        <v>15983.705944095063</v>
      </c>
      <c r="K65" s="52">
        <f>K64*12*Analisis_Inputs_Grales!$D$21</f>
        <v>15983.705944095063</v>
      </c>
      <c r="L65" s="52">
        <f>L64*12*Analisis_Inputs_Grales!$D$21</f>
        <v>15983.705944095063</v>
      </c>
      <c r="M65" s="52">
        <f>M64*12*Analisis_Inputs_Grales!$D$21</f>
        <v>15983.705944095063</v>
      </c>
      <c r="N65" s="52"/>
      <c r="O65" s="52"/>
      <c r="P65" s="52"/>
      <c r="Q65" s="52"/>
      <c r="R65" s="52"/>
      <c r="S65" s="52"/>
      <c r="T65" s="52"/>
      <c r="U65" s="52"/>
      <c r="V65" s="52"/>
      <c r="W65" s="52"/>
    </row>
    <row r="66" spans="2:23" x14ac:dyDescent="0.2">
      <c r="B66" s="34" t="s">
        <v>123</v>
      </c>
      <c r="C66" s="31" t="s">
        <v>455</v>
      </c>
      <c r="D66" s="74">
        <f>+D64/(Analisis_Inputs_Grales!$D$34/60)</f>
        <v>0.18121692919482515</v>
      </c>
      <c r="E66" s="74">
        <f>+E64/(Analisis_Inputs_Grales!$D$34/60)</f>
        <v>0.18121692919482515</v>
      </c>
      <c r="F66" s="74">
        <f>+F64/(Analisis_Inputs_Grales!$D$34/60)</f>
        <v>0.18121692919482515</v>
      </c>
      <c r="G66" s="74">
        <f>+G64/(Analisis_Inputs_Grales!$D$34/60)</f>
        <v>0.18121692919482515</v>
      </c>
      <c r="H66" s="74">
        <f>+H64/(Analisis_Inputs_Grales!$D$34/60)</f>
        <v>0.18121692919482515</v>
      </c>
      <c r="I66" s="74">
        <f>+I64/(Analisis_Inputs_Grales!$D$34/60)</f>
        <v>0.18121692919482515</v>
      </c>
      <c r="J66" s="74">
        <f>+J64/(Analisis_Inputs_Grales!$D$34/60)</f>
        <v>0.18121692919482515</v>
      </c>
      <c r="K66" s="74">
        <f>+K64/(Analisis_Inputs_Grales!$D$34/60)</f>
        <v>0.18121692919482515</v>
      </c>
      <c r="L66" s="74">
        <f>+L64/(Analisis_Inputs_Grales!$D$34/60)</f>
        <v>0.18121692919482515</v>
      </c>
      <c r="M66" s="74">
        <f>+M64/(Analisis_Inputs_Grales!$D$34/60)</f>
        <v>0.18121692919482515</v>
      </c>
      <c r="N66" s="52"/>
      <c r="O66" s="52"/>
      <c r="P66" s="52"/>
      <c r="Q66" s="52"/>
      <c r="R66" s="52"/>
      <c r="S66" s="52"/>
      <c r="T66" s="52"/>
      <c r="U66" s="52"/>
      <c r="V66" s="52"/>
      <c r="W66" s="52"/>
    </row>
    <row r="67" spans="2:23" x14ac:dyDescent="0.2">
      <c r="B67" s="34"/>
      <c r="C67" s="31"/>
      <c r="D67" s="74"/>
      <c r="E67" s="74"/>
      <c r="F67" s="74"/>
      <c r="G67" s="74"/>
      <c r="H67" s="74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</row>
    <row r="68" spans="2:23" x14ac:dyDescent="0.2">
      <c r="B68" s="64" t="s">
        <v>124</v>
      </c>
      <c r="C68" s="65" t="s">
        <v>23</v>
      </c>
      <c r="D68" s="74">
        <f>(1+Analisis_Inputs_Grales!$D$127)^'Analisis 20Años'!D$3</f>
        <v>1</v>
      </c>
      <c r="E68" s="74">
        <f>(1+Analisis_Inputs_Grales!$D$127)^'Analisis 20Años'!E$3</f>
        <v>1.1200000000000001</v>
      </c>
      <c r="F68" s="74">
        <f>(1+Analisis_Inputs_Grales!$D$127)^'Analisis 20Años'!F$3</f>
        <v>1.2544000000000002</v>
      </c>
      <c r="G68" s="74">
        <f>(1+Analisis_Inputs_Grales!$D$127)^'Analisis 20Años'!G$3</f>
        <v>1.4049280000000004</v>
      </c>
      <c r="H68" s="74">
        <f>(1+Analisis_Inputs_Grales!$D$127)^'Analisis 20Años'!H$3</f>
        <v>1.5735193600000004</v>
      </c>
      <c r="I68" s="74">
        <f>(1+Analisis_Inputs_Grales!$D$127)^'Analisis 20Años'!I$3</f>
        <v>1.7623416832000005</v>
      </c>
      <c r="J68" s="74">
        <f>(1+Analisis_Inputs_Grales!$D$127)^'Analisis 20Años'!J$3</f>
        <v>1.9738226851840008</v>
      </c>
      <c r="K68" s="74">
        <f>(1+Analisis_Inputs_Grales!$D$127)^'Analisis 20Años'!K$3</f>
        <v>2.210681407406081</v>
      </c>
      <c r="L68" s="74">
        <f>(1+Analisis_Inputs_Grales!$D$127)^'Analisis 20Años'!L$3</f>
        <v>2.4759631762948109</v>
      </c>
      <c r="M68" s="74">
        <f>(1+Analisis_Inputs_Grales!$D$127)^'Analisis 20Años'!M$3</f>
        <v>2.7730787574501883</v>
      </c>
      <c r="N68" s="52"/>
      <c r="O68" s="52"/>
      <c r="P68" s="52"/>
      <c r="Q68" s="52"/>
      <c r="R68" s="52"/>
      <c r="S68" s="52"/>
      <c r="T68" s="52"/>
      <c r="U68" s="52"/>
      <c r="V68" s="52"/>
      <c r="W68" s="52"/>
    </row>
    <row r="69" spans="2:23" x14ac:dyDescent="0.2">
      <c r="B69" s="64" t="s">
        <v>125</v>
      </c>
      <c r="C69" s="65" t="s">
        <v>455</v>
      </c>
      <c r="D69" s="74">
        <f>D66*D68</f>
        <v>0.18121692919482515</v>
      </c>
      <c r="E69" s="74">
        <f t="shared" ref="E69:H69" si="17">E66*E68</f>
        <v>0.20296296069820419</v>
      </c>
      <c r="F69" s="74">
        <f t="shared" si="17"/>
        <v>0.22731851598198871</v>
      </c>
      <c r="G69" s="74">
        <f t="shared" si="17"/>
        <v>0.2545967378998274</v>
      </c>
      <c r="H69" s="74">
        <f t="shared" si="17"/>
        <v>0.28514834644780668</v>
      </c>
      <c r="I69" s="74">
        <f>I66*I68</f>
        <v>0.31936614802154345</v>
      </c>
      <c r="J69" s="74">
        <f t="shared" ref="J69" si="18">J66*J68</f>
        <v>0.35769008578412875</v>
      </c>
      <c r="K69" s="74">
        <f t="shared" ref="K69" si="19">K66*K68</f>
        <v>0.4006128960782242</v>
      </c>
      <c r="L69" s="74">
        <f t="shared" ref="L69" si="20">L66*L68</f>
        <v>0.44868644360761112</v>
      </c>
      <c r="M69" s="74">
        <f>M66*M68</f>
        <v>0.50252881684052453</v>
      </c>
      <c r="N69" s="52"/>
      <c r="O69" s="52"/>
      <c r="P69" s="52"/>
      <c r="Q69" s="52"/>
      <c r="R69" s="52"/>
      <c r="S69" s="52"/>
      <c r="T69" s="52"/>
      <c r="U69" s="52"/>
      <c r="V69" s="52"/>
      <c r="W69" s="52"/>
    </row>
    <row r="70" spans="2:23" ht="15" x14ac:dyDescent="0.25">
      <c r="B70" s="66" t="s">
        <v>128</v>
      </c>
      <c r="C70" s="65" t="s">
        <v>455</v>
      </c>
      <c r="D70" s="76">
        <f>SUM(D69:M69)</f>
        <v>3.180127880554684</v>
      </c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</row>
    <row r="71" spans="2:23" x14ac:dyDescent="0.2">
      <c r="B71" s="34"/>
      <c r="C71" s="31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</row>
    <row r="72" spans="2:23" ht="15" thickBot="1" x14ac:dyDescent="0.25">
      <c r="B72" s="34"/>
      <c r="C72" s="31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</row>
    <row r="73" spans="2:23" ht="16.5" thickBot="1" x14ac:dyDescent="0.3">
      <c r="B73" s="63" t="s">
        <v>65</v>
      </c>
      <c r="C73" s="62">
        <v>15</v>
      </c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</row>
    <row r="74" spans="2:23" ht="15.75" x14ac:dyDescent="0.25">
      <c r="B74" s="60" t="s">
        <v>86</v>
      </c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</row>
    <row r="75" spans="2:23" x14ac:dyDescent="0.2">
      <c r="B75" s="28" t="s">
        <v>87</v>
      </c>
      <c r="C75" s="29" t="s">
        <v>452</v>
      </c>
      <c r="D75" s="74">
        <f>Analisis_Inputs_Grales!$D$29*(Analisis_Inputs_Grales!$D$127/12)/Analisis_Inputs_Grales!$D$21</f>
        <v>0.17565100079679447</v>
      </c>
      <c r="E75" s="74">
        <f>Analisis_Inputs_Grales!$D$29*(Analisis_Inputs_Grales!$D$127/12)/Analisis_Inputs_Grales!$D$21</f>
        <v>0.17565100079679447</v>
      </c>
      <c r="F75" s="74">
        <f>Analisis_Inputs_Grales!$D$29*(Analisis_Inputs_Grales!$D$127/12)/Analisis_Inputs_Grales!$D$21</f>
        <v>0.17565100079679447</v>
      </c>
      <c r="G75" s="74">
        <f>Analisis_Inputs_Grales!$D$29*(Analisis_Inputs_Grales!$D$127/12)/Analisis_Inputs_Grales!$D$21</f>
        <v>0.17565100079679447</v>
      </c>
      <c r="H75" s="74">
        <f>Analisis_Inputs_Grales!$D$29*(Analisis_Inputs_Grales!$D$127/12)/Analisis_Inputs_Grales!$D$21</f>
        <v>0.17565100079679447</v>
      </c>
      <c r="I75" s="74">
        <f>Analisis_Inputs_Grales!$D$29*(Analisis_Inputs_Grales!$D$127/12)/Analisis_Inputs_Grales!$D$21</f>
        <v>0.17565100079679447</v>
      </c>
      <c r="J75" s="74">
        <f>Analisis_Inputs_Grales!$D$29*(Analisis_Inputs_Grales!$D$127/12)/Analisis_Inputs_Grales!$D$21</f>
        <v>0.17565100079679447</v>
      </c>
      <c r="K75" s="74">
        <f>Analisis_Inputs_Grales!$D$29*(Analisis_Inputs_Grales!$D$127/12)/Analisis_Inputs_Grales!$D$21</f>
        <v>0.17565100079679447</v>
      </c>
      <c r="L75" s="74">
        <f>Analisis_Inputs_Grales!$D$29*(Analisis_Inputs_Grales!$D$127/12)/Analisis_Inputs_Grales!$D$21</f>
        <v>0.17565100079679447</v>
      </c>
      <c r="M75" s="74">
        <f>Analisis_Inputs_Grales!$D$29*(Analisis_Inputs_Grales!$D$127/12)/Analisis_Inputs_Grales!$D$21</f>
        <v>0.17565100079679447</v>
      </c>
      <c r="N75" s="74">
        <f>Analisis_Inputs_Grales!$D$29*(Analisis_Inputs_Grales!$D$127/12)/Analisis_Inputs_Grales!$D$21</f>
        <v>0.17565100079679447</v>
      </c>
      <c r="O75" s="74">
        <f>Analisis_Inputs_Grales!$D$29*(Analisis_Inputs_Grales!$D$127/12)/Analisis_Inputs_Grales!$D$21</f>
        <v>0.17565100079679447</v>
      </c>
      <c r="P75" s="74">
        <f>Analisis_Inputs_Grales!$D$29*(Analisis_Inputs_Grales!$D$127/12)/Analisis_Inputs_Grales!$D$21</f>
        <v>0.17565100079679447</v>
      </c>
      <c r="Q75" s="74">
        <f>Analisis_Inputs_Grales!$D$29*(Analisis_Inputs_Grales!$D$127/12)/Analisis_Inputs_Grales!$D$21</f>
        <v>0.17565100079679447</v>
      </c>
      <c r="R75" s="74">
        <f>Analisis_Inputs_Grales!$D$29*(Analisis_Inputs_Grales!$D$127/12)/Analisis_Inputs_Grales!$D$21</f>
        <v>0.17565100079679447</v>
      </c>
      <c r="S75" s="52"/>
      <c r="T75" s="52"/>
      <c r="U75" s="52"/>
      <c r="V75" s="52"/>
      <c r="W75" s="52"/>
    </row>
    <row r="76" spans="2:23" x14ac:dyDescent="0.2">
      <c r="B76" s="30" t="s">
        <v>87</v>
      </c>
      <c r="C76" s="31" t="s">
        <v>207</v>
      </c>
      <c r="D76" s="52">
        <f>D75*Analisis_Inputs_Grales!$D$21*12</f>
        <v>18211.495762611652</v>
      </c>
      <c r="E76" s="52">
        <f>E75*Analisis_Inputs_Grales!$D$21*12</f>
        <v>18211.495762611652</v>
      </c>
      <c r="F76" s="52">
        <f>F75*Analisis_Inputs_Grales!$D$21*12</f>
        <v>18211.495762611652</v>
      </c>
      <c r="G76" s="52">
        <f>G75*Analisis_Inputs_Grales!$D$21*12</f>
        <v>18211.495762611652</v>
      </c>
      <c r="H76" s="52">
        <f>H75*Analisis_Inputs_Grales!$D$21*12</f>
        <v>18211.495762611652</v>
      </c>
      <c r="I76" s="52">
        <f>I75*Analisis_Inputs_Grales!$D$21*12</f>
        <v>18211.495762611652</v>
      </c>
      <c r="J76" s="52">
        <f>J75*Analisis_Inputs_Grales!$D$21*12</f>
        <v>18211.495762611652</v>
      </c>
      <c r="K76" s="52">
        <f>K75*Analisis_Inputs_Grales!$D$21*12</f>
        <v>18211.495762611652</v>
      </c>
      <c r="L76" s="52">
        <f>L75*Analisis_Inputs_Grales!$D$21*12</f>
        <v>18211.495762611652</v>
      </c>
      <c r="M76" s="52">
        <f>M75*Analisis_Inputs_Grales!$D$21*12</f>
        <v>18211.495762611652</v>
      </c>
      <c r="N76" s="52">
        <f>N75*Analisis_Inputs_Grales!$D$21*12</f>
        <v>18211.495762611652</v>
      </c>
      <c r="O76" s="52">
        <f>O75*Analisis_Inputs_Grales!$D$21*12</f>
        <v>18211.495762611652</v>
      </c>
      <c r="P76" s="52">
        <f>P75*Analisis_Inputs_Grales!$D$21*12</f>
        <v>18211.495762611652</v>
      </c>
      <c r="Q76" s="52">
        <f>Q75*Analisis_Inputs_Grales!$D$21*12</f>
        <v>18211.495762611652</v>
      </c>
      <c r="R76" s="52">
        <f>R75*Analisis_Inputs_Grales!$D$21*12</f>
        <v>18211.495762611652</v>
      </c>
      <c r="S76" s="52"/>
      <c r="T76" s="52"/>
      <c r="U76" s="52"/>
      <c r="V76" s="52"/>
      <c r="W76" s="52"/>
    </row>
    <row r="77" spans="2:23" x14ac:dyDescent="0.2">
      <c r="B77" s="28" t="s">
        <v>88</v>
      </c>
      <c r="C77" s="29" t="s">
        <v>452</v>
      </c>
      <c r="D77" s="74">
        <f>(Analisis_Inputs_Grales!$D$30-Analisis_Inputs_Grales!$D$32*Analisis_Inputs_Grales!$D$30)/(Analisis_Inputs_Grales!$D$21*$C73*12)</f>
        <v>8.7825500398397233E-2</v>
      </c>
      <c r="E77" s="74">
        <f>(Analisis_Inputs_Grales!$D$30-Analisis_Inputs_Grales!$D$32*Analisis_Inputs_Grales!$D$30)/(Analisis_Inputs_Grales!$D$21*$C73*12)</f>
        <v>8.7825500398397233E-2</v>
      </c>
      <c r="F77" s="74">
        <f>(Analisis_Inputs_Grales!$D$30-Analisis_Inputs_Grales!$D$32*Analisis_Inputs_Grales!$D$30)/(Analisis_Inputs_Grales!$D$21*$C73*12)</f>
        <v>8.7825500398397233E-2</v>
      </c>
      <c r="G77" s="74">
        <f>(Analisis_Inputs_Grales!$D$30-Analisis_Inputs_Grales!$D$32*Analisis_Inputs_Grales!$D$30)/(Analisis_Inputs_Grales!$D$21*$C73*12)</f>
        <v>8.7825500398397233E-2</v>
      </c>
      <c r="H77" s="74">
        <f>(Analisis_Inputs_Grales!$D$30-Analisis_Inputs_Grales!$D$32*Analisis_Inputs_Grales!$D$30)/(Analisis_Inputs_Grales!$D$21*$C73*12)</f>
        <v>8.7825500398397233E-2</v>
      </c>
      <c r="I77" s="74">
        <f>(Analisis_Inputs_Grales!$D$30-Analisis_Inputs_Grales!$D$32*Analisis_Inputs_Grales!$D$30)/(Analisis_Inputs_Grales!$D$21*$C73*12)</f>
        <v>8.7825500398397233E-2</v>
      </c>
      <c r="J77" s="74">
        <f>(Analisis_Inputs_Grales!$D$30-Analisis_Inputs_Grales!$D$32*Analisis_Inputs_Grales!$D$30)/(Analisis_Inputs_Grales!$D$21*$C73*12)</f>
        <v>8.7825500398397233E-2</v>
      </c>
      <c r="K77" s="74">
        <f>(Analisis_Inputs_Grales!$D$30-Analisis_Inputs_Grales!$D$32*Analisis_Inputs_Grales!$D$30)/(Analisis_Inputs_Grales!$D$21*$C73*12)</f>
        <v>8.7825500398397233E-2</v>
      </c>
      <c r="L77" s="74">
        <f>(Analisis_Inputs_Grales!$D$30-Analisis_Inputs_Grales!$D$32*Analisis_Inputs_Grales!$D$30)/(Analisis_Inputs_Grales!$D$21*$C73*12)</f>
        <v>8.7825500398397233E-2</v>
      </c>
      <c r="M77" s="74">
        <f>(Analisis_Inputs_Grales!$D$30-Analisis_Inputs_Grales!$D$32*Analisis_Inputs_Grales!$D$30)/(Analisis_Inputs_Grales!$D$21*$C73*12)</f>
        <v>8.7825500398397233E-2</v>
      </c>
      <c r="N77" s="74">
        <f>(Analisis_Inputs_Grales!$D$30-Analisis_Inputs_Grales!$D$32*Analisis_Inputs_Grales!$D$30)/(Analisis_Inputs_Grales!$D$21*$C73*12)</f>
        <v>8.7825500398397233E-2</v>
      </c>
      <c r="O77" s="74">
        <f>(Analisis_Inputs_Grales!$D$30-Analisis_Inputs_Grales!$D$32*Analisis_Inputs_Grales!$D$30)/(Analisis_Inputs_Grales!$D$21*$C73*12)</f>
        <v>8.7825500398397233E-2</v>
      </c>
      <c r="P77" s="74">
        <f>(Analisis_Inputs_Grales!$D$30-Analisis_Inputs_Grales!$D$32*Analisis_Inputs_Grales!$D$30)/(Analisis_Inputs_Grales!$D$21*$C73*12)</f>
        <v>8.7825500398397233E-2</v>
      </c>
      <c r="Q77" s="74">
        <f>(Analisis_Inputs_Grales!$D$30-Analisis_Inputs_Grales!$D$32*Analisis_Inputs_Grales!$D$30)/(Analisis_Inputs_Grales!$D$21*$C73*12)</f>
        <v>8.7825500398397233E-2</v>
      </c>
      <c r="R77" s="74">
        <f>(Analisis_Inputs_Grales!$D$30-Analisis_Inputs_Grales!$D$32*Analisis_Inputs_Grales!$D$30)/(Analisis_Inputs_Grales!$D$21*$C73*12)</f>
        <v>8.7825500398397233E-2</v>
      </c>
      <c r="S77" s="52"/>
      <c r="T77" s="52"/>
      <c r="U77" s="52"/>
      <c r="V77" s="52"/>
      <c r="W77" s="52"/>
    </row>
    <row r="78" spans="2:23" x14ac:dyDescent="0.2">
      <c r="B78" s="30" t="s">
        <v>88</v>
      </c>
      <c r="C78" s="31" t="s">
        <v>207</v>
      </c>
      <c r="D78" s="52">
        <f>D77*Analisis_Inputs_Grales!$D$21*12</f>
        <v>9105.747881305826</v>
      </c>
      <c r="E78" s="52">
        <f>E77*Analisis_Inputs_Grales!$D$21*12</f>
        <v>9105.747881305826</v>
      </c>
      <c r="F78" s="52">
        <f>F77*Analisis_Inputs_Grales!$D$21*12</f>
        <v>9105.747881305826</v>
      </c>
      <c r="G78" s="52">
        <f>G77*Analisis_Inputs_Grales!$D$21*12</f>
        <v>9105.747881305826</v>
      </c>
      <c r="H78" s="52">
        <f>H77*Analisis_Inputs_Grales!$D$21*12</f>
        <v>9105.747881305826</v>
      </c>
      <c r="I78" s="52">
        <f>I77*Analisis_Inputs_Grales!$D$21*12</f>
        <v>9105.747881305826</v>
      </c>
      <c r="J78" s="52">
        <f>J77*Analisis_Inputs_Grales!$D$21*12</f>
        <v>9105.747881305826</v>
      </c>
      <c r="K78" s="52">
        <f>K77*Analisis_Inputs_Grales!$D$21*12</f>
        <v>9105.747881305826</v>
      </c>
      <c r="L78" s="52">
        <f>L77*Analisis_Inputs_Grales!$D$21*12</f>
        <v>9105.747881305826</v>
      </c>
      <c r="M78" s="52">
        <f>M77*Analisis_Inputs_Grales!$D$21*12</f>
        <v>9105.747881305826</v>
      </c>
      <c r="N78" s="52">
        <f>N77*Analisis_Inputs_Grales!$D$21*12</f>
        <v>9105.747881305826</v>
      </c>
      <c r="O78" s="52">
        <f>O77*Analisis_Inputs_Grales!$D$21*12</f>
        <v>9105.747881305826</v>
      </c>
      <c r="P78" s="52">
        <f>P77*Analisis_Inputs_Grales!$D$21*12</f>
        <v>9105.747881305826</v>
      </c>
      <c r="Q78" s="52">
        <f>Q77*Analisis_Inputs_Grales!$D$21*12</f>
        <v>9105.747881305826</v>
      </c>
      <c r="R78" s="52">
        <f>R77*Analisis_Inputs_Grales!$D$21*12</f>
        <v>9105.747881305826</v>
      </c>
      <c r="S78" s="52"/>
      <c r="T78" s="52"/>
      <c r="U78" s="52"/>
      <c r="V78" s="52"/>
      <c r="W78" s="52"/>
    </row>
    <row r="79" spans="2:23" x14ac:dyDescent="0.2">
      <c r="B79" s="28" t="s">
        <v>89</v>
      </c>
      <c r="C79" s="29" t="s">
        <v>452</v>
      </c>
      <c r="D79" s="74">
        <f>Analisis_Inputs_Grales!$D$13/Analisis_Inputs_Grales!$D$21</f>
        <v>0.4943252314814815</v>
      </c>
      <c r="E79" s="74">
        <f>Analisis_Inputs_Grales!$D$13/Analisis_Inputs_Grales!$D$21</f>
        <v>0.4943252314814815</v>
      </c>
      <c r="F79" s="74">
        <f>Analisis_Inputs_Grales!$D$13/Analisis_Inputs_Grales!$D$21</f>
        <v>0.4943252314814815</v>
      </c>
      <c r="G79" s="74">
        <f>Analisis_Inputs_Grales!$D$13/Analisis_Inputs_Grales!$D$21</f>
        <v>0.4943252314814815</v>
      </c>
      <c r="H79" s="74">
        <f>Analisis_Inputs_Grales!$D$13/Analisis_Inputs_Grales!$D$21</f>
        <v>0.4943252314814815</v>
      </c>
      <c r="I79" s="74">
        <f>Analisis_Inputs_Grales!$D$13/Analisis_Inputs_Grales!$D$21</f>
        <v>0.4943252314814815</v>
      </c>
      <c r="J79" s="74">
        <f>Analisis_Inputs_Grales!$D$13/Analisis_Inputs_Grales!$D$21</f>
        <v>0.4943252314814815</v>
      </c>
      <c r="K79" s="74">
        <f>Analisis_Inputs_Grales!$D$13/Analisis_Inputs_Grales!$D$21</f>
        <v>0.4943252314814815</v>
      </c>
      <c r="L79" s="74">
        <f>Analisis_Inputs_Grales!$D$13/Analisis_Inputs_Grales!$D$21</f>
        <v>0.4943252314814815</v>
      </c>
      <c r="M79" s="74">
        <f>Analisis_Inputs_Grales!$D$13/Analisis_Inputs_Grales!$D$21</f>
        <v>0.4943252314814815</v>
      </c>
      <c r="N79" s="74">
        <f>Analisis_Inputs_Grales!$D$13/Analisis_Inputs_Grales!$D$21</f>
        <v>0.4943252314814815</v>
      </c>
      <c r="O79" s="74">
        <f>Analisis_Inputs_Grales!$D$13/Analisis_Inputs_Grales!$D$21</f>
        <v>0.4943252314814815</v>
      </c>
      <c r="P79" s="74">
        <f>Analisis_Inputs_Grales!$D$13/Analisis_Inputs_Grales!$D$21</f>
        <v>0.4943252314814815</v>
      </c>
      <c r="Q79" s="74">
        <f>Analisis_Inputs_Grales!$D$13/Analisis_Inputs_Grales!$D$21</f>
        <v>0.4943252314814815</v>
      </c>
      <c r="R79" s="74">
        <f>Analisis_Inputs_Grales!$D$13/Analisis_Inputs_Grales!$D$21</f>
        <v>0.4943252314814815</v>
      </c>
      <c r="S79" s="52"/>
      <c r="T79" s="52"/>
      <c r="U79" s="52"/>
      <c r="V79" s="52"/>
      <c r="W79" s="52"/>
    </row>
    <row r="80" spans="2:23" x14ac:dyDescent="0.2">
      <c r="B80" s="32" t="s">
        <v>89</v>
      </c>
      <c r="C80" s="33" t="s">
        <v>207</v>
      </c>
      <c r="D80" s="52">
        <f>D79*Analisis_Inputs_Grales!$D$21*12</f>
        <v>51251.64</v>
      </c>
      <c r="E80" s="52">
        <f>E79*Analisis_Inputs_Grales!$D$21*12</f>
        <v>51251.64</v>
      </c>
      <c r="F80" s="52">
        <f>F79*Analisis_Inputs_Grales!$D$21*12</f>
        <v>51251.64</v>
      </c>
      <c r="G80" s="52">
        <f>G79*Analisis_Inputs_Grales!$D$21*12</f>
        <v>51251.64</v>
      </c>
      <c r="H80" s="52">
        <f>H79*Analisis_Inputs_Grales!$D$21*12</f>
        <v>51251.64</v>
      </c>
      <c r="I80" s="52">
        <f>I79*Analisis_Inputs_Grales!$D$21*12</f>
        <v>51251.64</v>
      </c>
      <c r="J80" s="52">
        <f>J79*Analisis_Inputs_Grales!$D$21*12</f>
        <v>51251.64</v>
      </c>
      <c r="K80" s="52">
        <f>K79*Analisis_Inputs_Grales!$D$21*12</f>
        <v>51251.64</v>
      </c>
      <c r="L80" s="52">
        <f>L79*Analisis_Inputs_Grales!$D$21*12</f>
        <v>51251.64</v>
      </c>
      <c r="M80" s="52">
        <f>M79*Analisis_Inputs_Grales!$D$21*12</f>
        <v>51251.64</v>
      </c>
      <c r="N80" s="52">
        <f>N79*Analisis_Inputs_Grales!$D$21*12</f>
        <v>51251.64</v>
      </c>
      <c r="O80" s="52">
        <f>O79*Analisis_Inputs_Grales!$D$21*12</f>
        <v>51251.64</v>
      </c>
      <c r="P80" s="52">
        <f>P79*Analisis_Inputs_Grales!$D$21*12</f>
        <v>51251.64</v>
      </c>
      <c r="Q80" s="52">
        <f>Q79*Analisis_Inputs_Grales!$D$21*12</f>
        <v>51251.64</v>
      </c>
      <c r="R80" s="52">
        <f>R79*Analisis_Inputs_Grales!$D$21*12</f>
        <v>51251.64</v>
      </c>
      <c r="S80" s="52"/>
      <c r="T80" s="52"/>
      <c r="U80" s="52"/>
      <c r="V80" s="52"/>
      <c r="W80" s="52"/>
    </row>
    <row r="81" spans="2:23" x14ac:dyDescent="0.2">
      <c r="B81" s="28" t="s">
        <v>90</v>
      </c>
      <c r="C81" s="29" t="s">
        <v>452</v>
      </c>
      <c r="D81" s="74">
        <f>D79+D77+D75</f>
        <v>0.75780173267667328</v>
      </c>
      <c r="E81" s="74">
        <f t="shared" ref="E81:I81" si="21">E79+E77+E75</f>
        <v>0.75780173267667328</v>
      </c>
      <c r="F81" s="74">
        <f t="shared" si="21"/>
        <v>0.75780173267667328</v>
      </c>
      <c r="G81" s="74">
        <f t="shared" si="21"/>
        <v>0.75780173267667328</v>
      </c>
      <c r="H81" s="74">
        <f t="shared" si="21"/>
        <v>0.75780173267667328</v>
      </c>
      <c r="I81" s="74">
        <f t="shared" si="21"/>
        <v>0.75780173267667328</v>
      </c>
      <c r="J81" s="74">
        <f t="shared" ref="J81:R81" si="22">J79+J77+J75</f>
        <v>0.75780173267667328</v>
      </c>
      <c r="K81" s="74">
        <f t="shared" si="22"/>
        <v>0.75780173267667328</v>
      </c>
      <c r="L81" s="74">
        <f t="shared" si="22"/>
        <v>0.75780173267667328</v>
      </c>
      <c r="M81" s="74">
        <f t="shared" si="22"/>
        <v>0.75780173267667328</v>
      </c>
      <c r="N81" s="74">
        <f t="shared" si="22"/>
        <v>0.75780173267667328</v>
      </c>
      <c r="O81" s="74">
        <f t="shared" si="22"/>
        <v>0.75780173267667328</v>
      </c>
      <c r="P81" s="74">
        <f t="shared" si="22"/>
        <v>0.75780173267667328</v>
      </c>
      <c r="Q81" s="74">
        <f t="shared" si="22"/>
        <v>0.75780173267667328</v>
      </c>
      <c r="R81" s="74">
        <f t="shared" si="22"/>
        <v>0.75780173267667328</v>
      </c>
      <c r="S81" s="52"/>
      <c r="T81" s="52"/>
      <c r="U81" s="52"/>
      <c r="V81" s="52"/>
      <c r="W81" s="52"/>
    </row>
    <row r="82" spans="2:23" x14ac:dyDescent="0.2">
      <c r="B82" s="30" t="s">
        <v>90</v>
      </c>
      <c r="C82" s="31" t="s">
        <v>207</v>
      </c>
      <c r="D82" s="52">
        <f>D80+D78+D76</f>
        <v>78568.883643917477</v>
      </c>
      <c r="E82" s="52">
        <f t="shared" ref="E82:I82" si="23">E80+E78+E76</f>
        <v>78568.883643917477</v>
      </c>
      <c r="F82" s="52">
        <f t="shared" si="23"/>
        <v>78568.883643917477</v>
      </c>
      <c r="G82" s="52">
        <f t="shared" si="23"/>
        <v>78568.883643917477</v>
      </c>
      <c r="H82" s="52">
        <f t="shared" si="23"/>
        <v>78568.883643917477</v>
      </c>
      <c r="I82" s="52">
        <f t="shared" si="23"/>
        <v>78568.883643917477</v>
      </c>
      <c r="J82" s="52">
        <f t="shared" ref="J82:R82" si="24">J80+J78+J76</f>
        <v>78568.883643917477</v>
      </c>
      <c r="K82" s="52">
        <f t="shared" si="24"/>
        <v>78568.883643917477</v>
      </c>
      <c r="L82" s="52">
        <f t="shared" si="24"/>
        <v>78568.883643917477</v>
      </c>
      <c r="M82" s="52">
        <f t="shared" si="24"/>
        <v>78568.883643917477</v>
      </c>
      <c r="N82" s="52">
        <f t="shared" si="24"/>
        <v>78568.883643917477</v>
      </c>
      <c r="O82" s="52">
        <f t="shared" si="24"/>
        <v>78568.883643917477</v>
      </c>
      <c r="P82" s="52">
        <f t="shared" si="24"/>
        <v>78568.883643917477</v>
      </c>
      <c r="Q82" s="52">
        <f t="shared" si="24"/>
        <v>78568.883643917477</v>
      </c>
      <c r="R82" s="52">
        <f t="shared" si="24"/>
        <v>78568.883643917477</v>
      </c>
      <c r="S82" s="52"/>
      <c r="T82" s="52"/>
      <c r="U82" s="52"/>
      <c r="V82" s="52"/>
      <c r="W82" s="52"/>
    </row>
    <row r="83" spans="2:23" x14ac:dyDescent="0.2">
      <c r="C83" s="31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</row>
    <row r="84" spans="2:23" ht="15.75" x14ac:dyDescent="0.25">
      <c r="B84" s="60" t="s">
        <v>91</v>
      </c>
      <c r="C84" s="31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</row>
    <row r="85" spans="2:23" x14ac:dyDescent="0.2">
      <c r="B85" s="28" t="s">
        <v>92</v>
      </c>
      <c r="C85" s="29" t="s">
        <v>452</v>
      </c>
      <c r="D85" s="25">
        <f>Analisis_Inputs_Grales!$D$35/(Analisis_Inputs_Grales!$D$33/(Analisis_Inputs_Grales!$D$34/60))</f>
        <v>7.656428571428571E-2</v>
      </c>
      <c r="E85" s="25">
        <f>Analisis_Inputs_Grales!$D$35/(Analisis_Inputs_Grales!$D$33/(Analisis_Inputs_Grales!$D$34/60))</f>
        <v>7.656428571428571E-2</v>
      </c>
      <c r="F85" s="25">
        <f>Analisis_Inputs_Grales!$D$35/(Analisis_Inputs_Grales!$D$33/(Analisis_Inputs_Grales!$D$34/60))</f>
        <v>7.656428571428571E-2</v>
      </c>
      <c r="G85" s="25">
        <f>Analisis_Inputs_Grales!$D$35/(Analisis_Inputs_Grales!$D$33/(Analisis_Inputs_Grales!$D$34/60))</f>
        <v>7.656428571428571E-2</v>
      </c>
      <c r="H85" s="25">
        <f>Analisis_Inputs_Grales!$D$35/(Analisis_Inputs_Grales!$D$33/(Analisis_Inputs_Grales!$D$34/60))</f>
        <v>7.656428571428571E-2</v>
      </c>
      <c r="I85" s="25">
        <f>Analisis_Inputs_Grales!$D$35/(Analisis_Inputs_Grales!$D$33/(Analisis_Inputs_Grales!$D$34/60))</f>
        <v>7.656428571428571E-2</v>
      </c>
      <c r="J85" s="25">
        <f>Analisis_Inputs_Grales!$D$35/(Analisis_Inputs_Grales!$D$33/(Analisis_Inputs_Grales!$D$34/60))</f>
        <v>7.656428571428571E-2</v>
      </c>
      <c r="K85" s="25">
        <f>Analisis_Inputs_Grales!$D$35/(Analisis_Inputs_Grales!$D$33/(Analisis_Inputs_Grales!$D$34/60))</f>
        <v>7.656428571428571E-2</v>
      </c>
      <c r="L85" s="25">
        <f>Analisis_Inputs_Grales!$D$35/(Analisis_Inputs_Grales!$D$33/(Analisis_Inputs_Grales!$D$34/60))</f>
        <v>7.656428571428571E-2</v>
      </c>
      <c r="M85" s="25">
        <f>Analisis_Inputs_Grales!$D$35/(Analisis_Inputs_Grales!$D$33/(Analisis_Inputs_Grales!$D$34/60))</f>
        <v>7.656428571428571E-2</v>
      </c>
      <c r="N85" s="25">
        <f>Analisis_Inputs_Grales!$D$35/(Analisis_Inputs_Grales!$D$33/(Analisis_Inputs_Grales!$D$34/60))</f>
        <v>7.656428571428571E-2</v>
      </c>
      <c r="O85" s="25">
        <f>Analisis_Inputs_Grales!$D$35/(Analisis_Inputs_Grales!$D$33/(Analisis_Inputs_Grales!$D$34/60))</f>
        <v>7.656428571428571E-2</v>
      </c>
      <c r="P85" s="25">
        <f>Analisis_Inputs_Grales!$D$35/(Analisis_Inputs_Grales!$D$33/(Analisis_Inputs_Grales!$D$34/60))</f>
        <v>7.656428571428571E-2</v>
      </c>
      <c r="Q85" s="25">
        <f>Analisis_Inputs_Grales!$D$35/(Analisis_Inputs_Grales!$D$33/(Analisis_Inputs_Grales!$D$34/60))</f>
        <v>7.656428571428571E-2</v>
      </c>
      <c r="R85" s="25">
        <f>Analisis_Inputs_Grales!$D$35/(Analisis_Inputs_Grales!$D$33/(Analisis_Inputs_Grales!$D$34/60))</f>
        <v>7.656428571428571E-2</v>
      </c>
      <c r="S85" s="52"/>
      <c r="T85" s="52"/>
      <c r="U85" s="52"/>
      <c r="V85" s="52"/>
      <c r="W85" s="52"/>
    </row>
    <row r="86" spans="2:23" x14ac:dyDescent="0.2">
      <c r="B86" s="30" t="s">
        <v>92</v>
      </c>
      <c r="C86" s="31" t="s">
        <v>207</v>
      </c>
      <c r="D86" s="52">
        <f>D85*12*Analisis_Inputs_Grales!$D$21</f>
        <v>7938.1851428571426</v>
      </c>
      <c r="E86" s="52">
        <f>E85*12*Analisis_Inputs_Grales!$D$21</f>
        <v>7938.1851428571426</v>
      </c>
      <c r="F86" s="52">
        <f>F85*12*Analisis_Inputs_Grales!$D$21</f>
        <v>7938.1851428571426</v>
      </c>
      <c r="G86" s="52">
        <f>G85*12*Analisis_Inputs_Grales!$D$21</f>
        <v>7938.1851428571426</v>
      </c>
      <c r="H86" s="52">
        <f>H85*12*Analisis_Inputs_Grales!$D$21</f>
        <v>7938.1851428571426</v>
      </c>
      <c r="I86" s="52">
        <f>I85*12*Analisis_Inputs_Grales!$D$21</f>
        <v>7938.1851428571426</v>
      </c>
      <c r="J86" s="52">
        <f>J85*12*Analisis_Inputs_Grales!$D$21</f>
        <v>7938.1851428571426</v>
      </c>
      <c r="K86" s="52">
        <f>K85*12*Analisis_Inputs_Grales!$D$21</f>
        <v>7938.1851428571426</v>
      </c>
      <c r="L86" s="52">
        <f>L85*12*Analisis_Inputs_Grales!$D$21</f>
        <v>7938.1851428571426</v>
      </c>
      <c r="M86" s="52">
        <f>M85*12*Analisis_Inputs_Grales!$D$21</f>
        <v>7938.1851428571426</v>
      </c>
      <c r="N86" s="52">
        <f>N85*12*Analisis_Inputs_Grales!$D$21</f>
        <v>7938.1851428571426</v>
      </c>
      <c r="O86" s="52">
        <f>O85*12*Analisis_Inputs_Grales!$D$21</f>
        <v>7938.1851428571426</v>
      </c>
      <c r="P86" s="52">
        <f>P85*12*Analisis_Inputs_Grales!$D$21</f>
        <v>7938.1851428571426</v>
      </c>
      <c r="Q86" s="52">
        <f>Q85*12*Analisis_Inputs_Grales!$D$21</f>
        <v>7938.1851428571426</v>
      </c>
      <c r="R86" s="52">
        <f>R85*12*Analisis_Inputs_Grales!$D$21</f>
        <v>7938.1851428571426</v>
      </c>
      <c r="S86" s="52"/>
      <c r="T86" s="52"/>
      <c r="U86" s="52"/>
      <c r="V86" s="52"/>
      <c r="W86" s="52"/>
    </row>
    <row r="87" spans="2:23" x14ac:dyDescent="0.2">
      <c r="B87" s="28" t="s">
        <v>93</v>
      </c>
      <c r="C87" s="29" t="s">
        <v>452</v>
      </c>
      <c r="D87" s="74">
        <f>Analisis_Inputs_Grales!$D$36*'Analisis 20Años'!D85</f>
        <v>1.1484642857142856E-2</v>
      </c>
      <c r="E87" s="74">
        <f>Analisis_Inputs_Grales!$D$36*'Analisis 20Años'!E85</f>
        <v>1.1484642857142856E-2</v>
      </c>
      <c r="F87" s="74">
        <f>Analisis_Inputs_Grales!$D$36*'Analisis 20Años'!F85</f>
        <v>1.1484642857142856E-2</v>
      </c>
      <c r="G87" s="74">
        <f>Analisis_Inputs_Grales!$D$36*'Analisis 20Años'!G85</f>
        <v>1.1484642857142856E-2</v>
      </c>
      <c r="H87" s="74">
        <f>Analisis_Inputs_Grales!$D$36*'Analisis 20Años'!H85</f>
        <v>1.1484642857142856E-2</v>
      </c>
      <c r="I87" s="74">
        <f>Analisis_Inputs_Grales!$D$36*'Analisis 20Años'!I85</f>
        <v>1.1484642857142856E-2</v>
      </c>
      <c r="J87" s="74">
        <f>Analisis_Inputs_Grales!$D$36*'Analisis 20Años'!J85</f>
        <v>1.1484642857142856E-2</v>
      </c>
      <c r="K87" s="74">
        <f>Analisis_Inputs_Grales!$D$36*'Analisis 20Años'!K85</f>
        <v>1.1484642857142856E-2</v>
      </c>
      <c r="L87" s="74">
        <f>Analisis_Inputs_Grales!$D$36*'Analisis 20Años'!L85</f>
        <v>1.1484642857142856E-2</v>
      </c>
      <c r="M87" s="74">
        <f>Analisis_Inputs_Grales!$D$36*'Analisis 20Años'!M85</f>
        <v>1.1484642857142856E-2</v>
      </c>
      <c r="N87" s="74">
        <f>Analisis_Inputs_Grales!$D$36*'Analisis 20Años'!N85</f>
        <v>1.1484642857142856E-2</v>
      </c>
      <c r="O87" s="74">
        <f>Analisis_Inputs_Grales!$D$36*'Analisis 20Años'!O85</f>
        <v>1.1484642857142856E-2</v>
      </c>
      <c r="P87" s="74">
        <f>Analisis_Inputs_Grales!$D$36*'Analisis 20Años'!P85</f>
        <v>1.1484642857142856E-2</v>
      </c>
      <c r="Q87" s="74">
        <f>Analisis_Inputs_Grales!$D$36*'Analisis 20Años'!Q85</f>
        <v>1.1484642857142856E-2</v>
      </c>
      <c r="R87" s="74">
        <f>Analisis_Inputs_Grales!$D$36*'Analisis 20Años'!R85</f>
        <v>1.1484642857142856E-2</v>
      </c>
      <c r="S87" s="52"/>
      <c r="T87" s="52"/>
      <c r="U87" s="52"/>
      <c r="V87" s="52"/>
      <c r="W87" s="52"/>
    </row>
    <row r="88" spans="2:23" x14ac:dyDescent="0.2">
      <c r="B88" s="30" t="s">
        <v>93</v>
      </c>
      <c r="C88" s="31" t="s">
        <v>207</v>
      </c>
      <c r="D88" s="52">
        <f>D87*12*Analisis_Inputs_Grales!$D$21</f>
        <v>1190.7277714285713</v>
      </c>
      <c r="E88" s="52">
        <f>E87*12*Analisis_Inputs_Grales!$D$21</f>
        <v>1190.7277714285713</v>
      </c>
      <c r="F88" s="52">
        <f>F87*12*Analisis_Inputs_Grales!$D$21</f>
        <v>1190.7277714285713</v>
      </c>
      <c r="G88" s="52">
        <f>G87*12*Analisis_Inputs_Grales!$D$21</f>
        <v>1190.7277714285713</v>
      </c>
      <c r="H88" s="52">
        <f>H87*12*Analisis_Inputs_Grales!$D$21</f>
        <v>1190.7277714285713</v>
      </c>
      <c r="I88" s="52">
        <f>I87*12*Analisis_Inputs_Grales!$D$21</f>
        <v>1190.7277714285713</v>
      </c>
      <c r="J88" s="52">
        <f>J87*12*Analisis_Inputs_Grales!$D$21</f>
        <v>1190.7277714285713</v>
      </c>
      <c r="K88" s="52">
        <f>K87*12*Analisis_Inputs_Grales!$D$21</f>
        <v>1190.7277714285713</v>
      </c>
      <c r="L88" s="52">
        <f>L87*12*Analisis_Inputs_Grales!$D$21</f>
        <v>1190.7277714285713</v>
      </c>
      <c r="M88" s="52">
        <f>M87*12*Analisis_Inputs_Grales!$D$21</f>
        <v>1190.7277714285713</v>
      </c>
      <c r="N88" s="52">
        <f>N87*12*Analisis_Inputs_Grales!$D$21</f>
        <v>1190.7277714285713</v>
      </c>
      <c r="O88" s="52">
        <f>O87*12*Analisis_Inputs_Grales!$D$21</f>
        <v>1190.7277714285713</v>
      </c>
      <c r="P88" s="52">
        <f>P87*12*Analisis_Inputs_Grales!$D$21</f>
        <v>1190.7277714285713</v>
      </c>
      <c r="Q88" s="52">
        <f>Q87*12*Analisis_Inputs_Grales!$D$21</f>
        <v>1190.7277714285713</v>
      </c>
      <c r="R88" s="52">
        <f>R87*12*Analisis_Inputs_Grales!$D$21</f>
        <v>1190.7277714285713</v>
      </c>
      <c r="S88" s="52"/>
      <c r="T88" s="52"/>
      <c r="U88" s="52"/>
      <c r="V88" s="52"/>
      <c r="W88" s="52"/>
    </row>
    <row r="89" spans="2:23" x14ac:dyDescent="0.2">
      <c r="B89" s="28" t="s">
        <v>94</v>
      </c>
      <c r="C89" s="29" t="s">
        <v>452</v>
      </c>
      <c r="D89" s="74">
        <f>Analisis_Inputs_Grales!$D$37*('Analisis 20Años'!D87+'Analisis 20Años'!D85)</f>
        <v>3.5219571428571426E-2</v>
      </c>
      <c r="E89" s="74">
        <f>Analisis_Inputs_Grales!$D$37*('Analisis 20Años'!E87+'Analisis 20Años'!E85)</f>
        <v>3.5219571428571426E-2</v>
      </c>
      <c r="F89" s="74">
        <f>Analisis_Inputs_Grales!$D$37*('Analisis 20Años'!F87+'Analisis 20Años'!F85)</f>
        <v>3.5219571428571426E-2</v>
      </c>
      <c r="G89" s="74">
        <f>Analisis_Inputs_Grales!$D$37*('Analisis 20Años'!G87+'Analisis 20Años'!G85)</f>
        <v>3.5219571428571426E-2</v>
      </c>
      <c r="H89" s="74">
        <f>Analisis_Inputs_Grales!$D$37*('Analisis 20Años'!H87+'Analisis 20Años'!H85)</f>
        <v>3.5219571428571426E-2</v>
      </c>
      <c r="I89" s="74">
        <f>Analisis_Inputs_Grales!$D$37*('Analisis 20Años'!I87+'Analisis 20Años'!I85)</f>
        <v>3.5219571428571426E-2</v>
      </c>
      <c r="J89" s="74">
        <f>Analisis_Inputs_Grales!$D$37*('Analisis 20Años'!J87+'Analisis 20Años'!J85)</f>
        <v>3.5219571428571426E-2</v>
      </c>
      <c r="K89" s="74">
        <f>Analisis_Inputs_Grales!$D$37*('Analisis 20Años'!K87+'Analisis 20Años'!K85)</f>
        <v>3.5219571428571426E-2</v>
      </c>
      <c r="L89" s="74">
        <f>Analisis_Inputs_Grales!$D$37*('Analisis 20Años'!L87+'Analisis 20Años'!L85)</f>
        <v>3.5219571428571426E-2</v>
      </c>
      <c r="M89" s="74">
        <f>Analisis_Inputs_Grales!$D$37*('Analisis 20Años'!M87+'Analisis 20Años'!M85)</f>
        <v>3.5219571428571426E-2</v>
      </c>
      <c r="N89" s="74">
        <f>Analisis_Inputs_Grales!$D$37*('Analisis 20Años'!N87+'Analisis 20Años'!N85)</f>
        <v>3.5219571428571426E-2</v>
      </c>
      <c r="O89" s="74">
        <f>Analisis_Inputs_Grales!$D$37*('Analisis 20Años'!O87+'Analisis 20Años'!O85)</f>
        <v>3.5219571428571426E-2</v>
      </c>
      <c r="P89" s="74">
        <f>Analisis_Inputs_Grales!$D$37*('Analisis 20Años'!P87+'Analisis 20Años'!P85)</f>
        <v>3.5219571428571426E-2</v>
      </c>
      <c r="Q89" s="74">
        <f>Analisis_Inputs_Grales!$D$37*('Analisis 20Años'!Q87+'Analisis 20Años'!Q85)</f>
        <v>3.5219571428571426E-2</v>
      </c>
      <c r="R89" s="74">
        <f>Analisis_Inputs_Grales!$D$37*('Analisis 20Años'!R87+'Analisis 20Años'!R85)</f>
        <v>3.5219571428571426E-2</v>
      </c>
      <c r="S89" s="52"/>
      <c r="T89" s="52"/>
      <c r="U89" s="52"/>
      <c r="V89" s="52"/>
      <c r="W89" s="52"/>
    </row>
    <row r="90" spans="2:23" x14ac:dyDescent="0.2">
      <c r="B90" s="30" t="s">
        <v>94</v>
      </c>
      <c r="C90" s="31" t="s">
        <v>207</v>
      </c>
      <c r="D90" s="52">
        <f>D89*12*Analisis_Inputs_Grales!$D$21</f>
        <v>3651.5651657142853</v>
      </c>
      <c r="E90" s="52">
        <f>E89*12*Analisis_Inputs_Grales!$D$21</f>
        <v>3651.5651657142853</v>
      </c>
      <c r="F90" s="52">
        <f>F89*12*Analisis_Inputs_Grales!$D$21</f>
        <v>3651.5651657142853</v>
      </c>
      <c r="G90" s="52">
        <f>G89*12*Analisis_Inputs_Grales!$D$21</f>
        <v>3651.5651657142853</v>
      </c>
      <c r="H90" s="52">
        <f>H89*12*Analisis_Inputs_Grales!$D$21</f>
        <v>3651.5651657142853</v>
      </c>
      <c r="I90" s="52">
        <f>I89*12*Analisis_Inputs_Grales!$D$21</f>
        <v>3651.5651657142853</v>
      </c>
      <c r="J90" s="52">
        <f>J89*12*Analisis_Inputs_Grales!$D$21</f>
        <v>3651.5651657142853</v>
      </c>
      <c r="K90" s="52">
        <f>K89*12*Analisis_Inputs_Grales!$D$21</f>
        <v>3651.5651657142853</v>
      </c>
      <c r="L90" s="52">
        <f>L89*12*Analisis_Inputs_Grales!$D$21</f>
        <v>3651.5651657142853</v>
      </c>
      <c r="M90" s="52">
        <f>M89*12*Analisis_Inputs_Grales!$D$21</f>
        <v>3651.5651657142853</v>
      </c>
      <c r="N90" s="52">
        <f>N89*12*Analisis_Inputs_Grales!$D$21</f>
        <v>3651.5651657142853</v>
      </c>
      <c r="O90" s="52">
        <f>O89*12*Analisis_Inputs_Grales!$D$21</f>
        <v>3651.5651657142853</v>
      </c>
      <c r="P90" s="52">
        <f>P89*12*Analisis_Inputs_Grales!$D$21</f>
        <v>3651.5651657142853</v>
      </c>
      <c r="Q90" s="52">
        <f>Q89*12*Analisis_Inputs_Grales!$D$21</f>
        <v>3651.5651657142853</v>
      </c>
      <c r="R90" s="52">
        <f>R89*12*Analisis_Inputs_Grales!$D$21</f>
        <v>3651.5651657142853</v>
      </c>
      <c r="S90" s="52"/>
      <c r="T90" s="52"/>
      <c r="U90" s="52"/>
      <c r="V90" s="52"/>
      <c r="W90" s="52"/>
    </row>
    <row r="91" spans="2:23" x14ac:dyDescent="0.2">
      <c r="B91" s="28" t="s">
        <v>95</v>
      </c>
      <c r="C91" s="29" t="s">
        <v>452</v>
      </c>
      <c r="D91" s="74">
        <f>D89+D87+D85</f>
        <v>0.12326849999999999</v>
      </c>
      <c r="E91" s="74">
        <f t="shared" ref="E91:H91" si="25">E89+E87+E85</f>
        <v>0.12326849999999999</v>
      </c>
      <c r="F91" s="74">
        <f t="shared" si="25"/>
        <v>0.12326849999999999</v>
      </c>
      <c r="G91" s="74">
        <f t="shared" si="25"/>
        <v>0.12326849999999999</v>
      </c>
      <c r="H91" s="74">
        <f t="shared" si="25"/>
        <v>0.12326849999999999</v>
      </c>
      <c r="I91" s="74">
        <f t="shared" ref="I91:R91" si="26">I89+I87+I85</f>
        <v>0.12326849999999999</v>
      </c>
      <c r="J91" s="74">
        <f t="shared" si="26"/>
        <v>0.12326849999999999</v>
      </c>
      <c r="K91" s="74">
        <f t="shared" si="26"/>
        <v>0.12326849999999999</v>
      </c>
      <c r="L91" s="74">
        <f t="shared" si="26"/>
        <v>0.12326849999999999</v>
      </c>
      <c r="M91" s="74">
        <f t="shared" si="26"/>
        <v>0.12326849999999999</v>
      </c>
      <c r="N91" s="74">
        <f t="shared" si="26"/>
        <v>0.12326849999999999</v>
      </c>
      <c r="O91" s="74">
        <f t="shared" si="26"/>
        <v>0.12326849999999999</v>
      </c>
      <c r="P91" s="74">
        <f t="shared" si="26"/>
        <v>0.12326849999999999</v>
      </c>
      <c r="Q91" s="74">
        <f t="shared" si="26"/>
        <v>0.12326849999999999</v>
      </c>
      <c r="R91" s="74">
        <f t="shared" si="26"/>
        <v>0.12326849999999999</v>
      </c>
      <c r="S91" s="52"/>
      <c r="T91" s="52"/>
      <c r="U91" s="52"/>
      <c r="V91" s="52"/>
      <c r="W91" s="52"/>
    </row>
    <row r="92" spans="2:23" x14ac:dyDescent="0.2">
      <c r="B92" s="32" t="s">
        <v>95</v>
      </c>
      <c r="C92" s="31" t="s">
        <v>207</v>
      </c>
      <c r="D92" s="52">
        <f>D90+D88+D86</f>
        <v>12780.478079999999</v>
      </c>
      <c r="E92" s="52">
        <f t="shared" ref="E92:H92" si="27">E90+E88+E86</f>
        <v>12780.478079999999</v>
      </c>
      <c r="F92" s="52">
        <f t="shared" si="27"/>
        <v>12780.478079999999</v>
      </c>
      <c r="G92" s="52">
        <f t="shared" si="27"/>
        <v>12780.478079999999</v>
      </c>
      <c r="H92" s="52">
        <f t="shared" si="27"/>
        <v>12780.478079999999</v>
      </c>
      <c r="I92" s="52">
        <f t="shared" ref="I92:R92" si="28">I90+I88+I86</f>
        <v>12780.478079999999</v>
      </c>
      <c r="J92" s="52">
        <f t="shared" si="28"/>
        <v>12780.478079999999</v>
      </c>
      <c r="K92" s="52">
        <f t="shared" si="28"/>
        <v>12780.478079999999</v>
      </c>
      <c r="L92" s="52">
        <f t="shared" si="28"/>
        <v>12780.478079999999</v>
      </c>
      <c r="M92" s="52">
        <f t="shared" si="28"/>
        <v>12780.478079999999</v>
      </c>
      <c r="N92" s="52">
        <f t="shared" si="28"/>
        <v>12780.478079999999</v>
      </c>
      <c r="O92" s="52">
        <f t="shared" si="28"/>
        <v>12780.478079999999</v>
      </c>
      <c r="P92" s="52">
        <f t="shared" si="28"/>
        <v>12780.478079999999</v>
      </c>
      <c r="Q92" s="52">
        <f t="shared" si="28"/>
        <v>12780.478079999999</v>
      </c>
      <c r="R92" s="52">
        <f t="shared" si="28"/>
        <v>12780.478079999999</v>
      </c>
      <c r="S92" s="52"/>
      <c r="T92" s="52"/>
      <c r="U92" s="52"/>
      <c r="V92" s="52"/>
      <c r="W92" s="52"/>
    </row>
    <row r="93" spans="2:23" x14ac:dyDescent="0.2">
      <c r="B93" s="34"/>
      <c r="S93" s="52"/>
      <c r="T93" s="52"/>
      <c r="U93" s="52"/>
      <c r="V93" s="52"/>
      <c r="W93" s="52"/>
    </row>
    <row r="94" spans="2:23" x14ac:dyDescent="0.2">
      <c r="B94" s="35" t="s">
        <v>96</v>
      </c>
      <c r="C94" s="36" t="s">
        <v>452</v>
      </c>
      <c r="D94" s="74">
        <f>+D81+D91</f>
        <v>0.88107023267667328</v>
      </c>
      <c r="E94" s="74">
        <f t="shared" ref="E94:H94" si="29">+E81+E91</f>
        <v>0.88107023267667328</v>
      </c>
      <c r="F94" s="74">
        <f t="shared" si="29"/>
        <v>0.88107023267667328</v>
      </c>
      <c r="G94" s="74">
        <f t="shared" si="29"/>
        <v>0.88107023267667328</v>
      </c>
      <c r="H94" s="74">
        <f t="shared" si="29"/>
        <v>0.88107023267667328</v>
      </c>
      <c r="I94" s="74">
        <f t="shared" ref="I94:R94" si="30">+I81+I91</f>
        <v>0.88107023267667328</v>
      </c>
      <c r="J94" s="74">
        <f t="shared" si="30"/>
        <v>0.88107023267667328</v>
      </c>
      <c r="K94" s="74">
        <f t="shared" si="30"/>
        <v>0.88107023267667328</v>
      </c>
      <c r="L94" s="74">
        <f t="shared" si="30"/>
        <v>0.88107023267667328</v>
      </c>
      <c r="M94" s="74">
        <f t="shared" si="30"/>
        <v>0.88107023267667328</v>
      </c>
      <c r="N94" s="74">
        <f t="shared" si="30"/>
        <v>0.88107023267667328</v>
      </c>
      <c r="O94" s="74">
        <f t="shared" si="30"/>
        <v>0.88107023267667328</v>
      </c>
      <c r="P94" s="74">
        <f t="shared" si="30"/>
        <v>0.88107023267667328</v>
      </c>
      <c r="Q94" s="74">
        <f t="shared" si="30"/>
        <v>0.88107023267667328</v>
      </c>
      <c r="R94" s="74">
        <f t="shared" si="30"/>
        <v>0.88107023267667328</v>
      </c>
      <c r="S94" s="52"/>
      <c r="T94" s="52"/>
      <c r="U94" s="52"/>
      <c r="V94" s="52"/>
      <c r="W94" s="52"/>
    </row>
    <row r="95" spans="2:23" x14ac:dyDescent="0.2">
      <c r="B95" s="37" t="s">
        <v>96</v>
      </c>
      <c r="C95" s="38" t="s">
        <v>207</v>
      </c>
      <c r="D95" s="52">
        <f>D94*12*Analisis_Inputs_Grales!$D$21</f>
        <v>91349.361723917493</v>
      </c>
      <c r="E95" s="52">
        <f>E94*12*Analisis_Inputs_Grales!$D$21</f>
        <v>91349.361723917493</v>
      </c>
      <c r="F95" s="52">
        <f>F94*12*Analisis_Inputs_Grales!$D$21</f>
        <v>91349.361723917493</v>
      </c>
      <c r="G95" s="52">
        <f>G94*12*Analisis_Inputs_Grales!$D$21</f>
        <v>91349.361723917493</v>
      </c>
      <c r="H95" s="52">
        <f>H94*12*Analisis_Inputs_Grales!$D$21</f>
        <v>91349.361723917493</v>
      </c>
      <c r="I95" s="52">
        <f>I94*12*Analisis_Inputs_Grales!$D$21</f>
        <v>91349.361723917493</v>
      </c>
      <c r="J95" s="52">
        <f>J94*12*Analisis_Inputs_Grales!$D$21</f>
        <v>91349.361723917493</v>
      </c>
      <c r="K95" s="52">
        <f>K94*12*Analisis_Inputs_Grales!$D$21</f>
        <v>91349.361723917493</v>
      </c>
      <c r="L95" s="52">
        <f>L94*12*Analisis_Inputs_Grales!$D$21</f>
        <v>91349.361723917493</v>
      </c>
      <c r="M95" s="52">
        <f>M94*12*Analisis_Inputs_Grales!$D$21</f>
        <v>91349.361723917493</v>
      </c>
      <c r="N95" s="52">
        <f>N94*12*Analisis_Inputs_Grales!$D$21</f>
        <v>91349.361723917493</v>
      </c>
      <c r="O95" s="52">
        <f>O94*12*Analisis_Inputs_Grales!$D$21</f>
        <v>91349.361723917493</v>
      </c>
      <c r="P95" s="52">
        <f>P94*12*Analisis_Inputs_Grales!$D$21</f>
        <v>91349.361723917493</v>
      </c>
      <c r="Q95" s="52">
        <f>Q94*12*Analisis_Inputs_Grales!$D$21</f>
        <v>91349.361723917493</v>
      </c>
      <c r="R95" s="52">
        <f>R94*12*Analisis_Inputs_Grales!$D$21</f>
        <v>91349.361723917493</v>
      </c>
      <c r="S95" s="52"/>
      <c r="T95" s="52"/>
      <c r="U95" s="52"/>
      <c r="V95" s="52"/>
      <c r="W95" s="52"/>
    </row>
    <row r="96" spans="2:23" x14ac:dyDescent="0.2">
      <c r="B96" s="39"/>
      <c r="C96" s="40"/>
      <c r="S96" s="52"/>
      <c r="T96" s="52"/>
      <c r="U96" s="52"/>
      <c r="V96" s="52"/>
      <c r="W96" s="52"/>
    </row>
    <row r="97" spans="2:23" x14ac:dyDescent="0.2">
      <c r="B97" s="41" t="s">
        <v>97</v>
      </c>
      <c r="C97" s="36" t="s">
        <v>453</v>
      </c>
      <c r="D97" s="74">
        <f>D94/Analisis_Inputs_Grales!$D$26</f>
        <v>0.14684503877944555</v>
      </c>
      <c r="E97" s="74">
        <f>E94/Analisis_Inputs_Grales!$D$26</f>
        <v>0.14684503877944555</v>
      </c>
      <c r="F97" s="74">
        <f>F94/Analisis_Inputs_Grales!$D$26</f>
        <v>0.14684503877944555</v>
      </c>
      <c r="G97" s="74">
        <f>G94/Analisis_Inputs_Grales!$D$26</f>
        <v>0.14684503877944555</v>
      </c>
      <c r="H97" s="74">
        <f>H94/Analisis_Inputs_Grales!$D$26</f>
        <v>0.14684503877944555</v>
      </c>
      <c r="I97" s="74">
        <f>I94/Analisis_Inputs_Grales!$D$26</f>
        <v>0.14684503877944555</v>
      </c>
      <c r="J97" s="74">
        <f>J94/Analisis_Inputs_Grales!$D$26</f>
        <v>0.14684503877944555</v>
      </c>
      <c r="K97" s="74">
        <f>K94/Analisis_Inputs_Grales!$D$26</f>
        <v>0.14684503877944555</v>
      </c>
      <c r="L97" s="74">
        <f>L94/Analisis_Inputs_Grales!$D$26</f>
        <v>0.14684503877944555</v>
      </c>
      <c r="M97" s="74">
        <f>M94/Analisis_Inputs_Grales!$D$26</f>
        <v>0.14684503877944555</v>
      </c>
      <c r="N97" s="74">
        <f>N94/Analisis_Inputs_Grales!$D$26</f>
        <v>0.14684503877944555</v>
      </c>
      <c r="O97" s="74">
        <f>O94/Analisis_Inputs_Grales!$D$26</f>
        <v>0.14684503877944555</v>
      </c>
      <c r="P97" s="74">
        <f>P94/Analisis_Inputs_Grales!$D$26</f>
        <v>0.14684503877944555</v>
      </c>
      <c r="Q97" s="74">
        <f>Q94/Analisis_Inputs_Grales!$D$26</f>
        <v>0.14684503877944555</v>
      </c>
      <c r="R97" s="74">
        <f>R94/Analisis_Inputs_Grales!$D$26</f>
        <v>0.14684503877944555</v>
      </c>
      <c r="S97" s="52"/>
      <c r="T97" s="52"/>
      <c r="U97" s="52"/>
      <c r="V97" s="52"/>
      <c r="W97" s="52"/>
    </row>
    <row r="98" spans="2:23" x14ac:dyDescent="0.2">
      <c r="B98" s="34" t="s">
        <v>98</v>
      </c>
      <c r="C98" s="31" t="s">
        <v>454</v>
      </c>
      <c r="D98" s="52">
        <f>D97*12*Analisis_Inputs_Grales!$D$21</f>
        <v>15224.893620652914</v>
      </c>
      <c r="E98" s="52">
        <f>E97*12*Analisis_Inputs_Grales!$D$21</f>
        <v>15224.893620652914</v>
      </c>
      <c r="F98" s="52">
        <f>F97*12*Analisis_Inputs_Grales!$D$21</f>
        <v>15224.893620652914</v>
      </c>
      <c r="G98" s="52">
        <f>G97*12*Analisis_Inputs_Grales!$D$21</f>
        <v>15224.893620652914</v>
      </c>
      <c r="H98" s="52">
        <f>H97*12*Analisis_Inputs_Grales!$D$21</f>
        <v>15224.893620652914</v>
      </c>
      <c r="I98" s="52">
        <f>I97*12*Analisis_Inputs_Grales!$D$21</f>
        <v>15224.893620652914</v>
      </c>
      <c r="J98" s="52">
        <f>J97*12*Analisis_Inputs_Grales!$D$21</f>
        <v>15224.893620652914</v>
      </c>
      <c r="K98" s="52">
        <f>K97*12*Analisis_Inputs_Grales!$D$21</f>
        <v>15224.893620652914</v>
      </c>
      <c r="L98" s="52">
        <f>L97*12*Analisis_Inputs_Grales!$D$21</f>
        <v>15224.893620652914</v>
      </c>
      <c r="M98" s="52">
        <f>M97*12*Analisis_Inputs_Grales!$D$21</f>
        <v>15224.893620652914</v>
      </c>
      <c r="N98" s="52">
        <f>N97*12*Analisis_Inputs_Grales!$D$21</f>
        <v>15224.893620652914</v>
      </c>
      <c r="O98" s="52">
        <f>O97*12*Analisis_Inputs_Grales!$D$21</f>
        <v>15224.893620652914</v>
      </c>
      <c r="P98" s="52">
        <f>P97*12*Analisis_Inputs_Grales!$D$21</f>
        <v>15224.893620652914</v>
      </c>
      <c r="Q98" s="52">
        <f>Q97*12*Analisis_Inputs_Grales!$D$21</f>
        <v>15224.893620652914</v>
      </c>
      <c r="R98" s="52">
        <f>R97*12*Analisis_Inputs_Grales!$D$21</f>
        <v>15224.893620652914</v>
      </c>
      <c r="S98" s="52"/>
      <c r="T98" s="52"/>
      <c r="U98" s="52"/>
      <c r="V98" s="52"/>
      <c r="W98" s="52"/>
    </row>
    <row r="99" spans="2:23" x14ac:dyDescent="0.2">
      <c r="B99" s="34" t="s">
        <v>123</v>
      </c>
      <c r="C99" s="31" t="s">
        <v>455</v>
      </c>
      <c r="D99" s="74">
        <f>+D97/(Analisis_Inputs_Grales!$D$34/60)</f>
        <v>0.17261381552579663</v>
      </c>
      <c r="E99" s="74">
        <f>+E97/(Analisis_Inputs_Grales!$D$34/60)</f>
        <v>0.17261381552579663</v>
      </c>
      <c r="F99" s="74">
        <f>+F97/(Analisis_Inputs_Grales!$D$34/60)</f>
        <v>0.17261381552579663</v>
      </c>
      <c r="G99" s="74">
        <f>+G97/(Analisis_Inputs_Grales!$D$34/60)</f>
        <v>0.17261381552579663</v>
      </c>
      <c r="H99" s="74">
        <f>+H97/(Analisis_Inputs_Grales!$D$34/60)</f>
        <v>0.17261381552579663</v>
      </c>
      <c r="I99" s="74">
        <f>+I97/(Analisis_Inputs_Grales!$D$34/60)</f>
        <v>0.17261381552579663</v>
      </c>
      <c r="J99" s="74">
        <f>+J97/(Analisis_Inputs_Grales!$D$34/60)</f>
        <v>0.17261381552579663</v>
      </c>
      <c r="K99" s="74">
        <f>+K97/(Analisis_Inputs_Grales!$D$34/60)</f>
        <v>0.17261381552579663</v>
      </c>
      <c r="L99" s="74">
        <f>+L97/(Analisis_Inputs_Grales!$D$34/60)</f>
        <v>0.17261381552579663</v>
      </c>
      <c r="M99" s="74">
        <f>+M97/(Analisis_Inputs_Grales!$D$34/60)</f>
        <v>0.17261381552579663</v>
      </c>
      <c r="N99" s="74">
        <f>+N97/(Analisis_Inputs_Grales!$D$34/60)</f>
        <v>0.17261381552579663</v>
      </c>
      <c r="O99" s="74">
        <f>+O97/(Analisis_Inputs_Grales!$D$34/60)</f>
        <v>0.17261381552579663</v>
      </c>
      <c r="P99" s="74">
        <f>+P97/(Analisis_Inputs_Grales!$D$34/60)</f>
        <v>0.17261381552579663</v>
      </c>
      <c r="Q99" s="74">
        <f>+Q97/(Analisis_Inputs_Grales!$D$34/60)</f>
        <v>0.17261381552579663</v>
      </c>
      <c r="R99" s="74">
        <f>+R97/(Analisis_Inputs_Grales!$D$34/60)</f>
        <v>0.17261381552579663</v>
      </c>
      <c r="S99" s="52"/>
      <c r="T99" s="52"/>
      <c r="U99" s="52"/>
      <c r="V99" s="52"/>
      <c r="W99" s="52"/>
    </row>
    <row r="100" spans="2:23" x14ac:dyDescent="0.2">
      <c r="B100" s="34"/>
      <c r="C100" s="31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4"/>
      <c r="O100" s="74"/>
      <c r="P100" s="74"/>
      <c r="Q100" s="74"/>
      <c r="R100" s="74"/>
      <c r="S100" s="52"/>
      <c r="T100" s="52"/>
      <c r="U100" s="52"/>
      <c r="V100" s="52"/>
      <c r="W100" s="52"/>
    </row>
    <row r="101" spans="2:23" x14ac:dyDescent="0.2">
      <c r="B101" s="64" t="s">
        <v>124</v>
      </c>
      <c r="C101" s="65" t="s">
        <v>23</v>
      </c>
      <c r="D101" s="74">
        <f>(1+Analisis_Inputs_Grales!$D$127)^'Analisis 20Años'!D$3</f>
        <v>1</v>
      </c>
      <c r="E101" s="74">
        <f>(1+Analisis_Inputs_Grales!$D$127)^'Analisis 20Años'!E$3</f>
        <v>1.1200000000000001</v>
      </c>
      <c r="F101" s="74">
        <f>(1+Analisis_Inputs_Grales!$D$127)^'Analisis 20Años'!F$3</f>
        <v>1.2544000000000002</v>
      </c>
      <c r="G101" s="74">
        <f>(1+Analisis_Inputs_Grales!$D$127)^'Analisis 20Años'!G$3</f>
        <v>1.4049280000000004</v>
      </c>
      <c r="H101" s="74">
        <f>(1+Analisis_Inputs_Grales!$D$127)^'Analisis 20Años'!H$3</f>
        <v>1.5735193600000004</v>
      </c>
      <c r="I101" s="74">
        <f>(1+Analisis_Inputs_Grales!$D$127)^'Analisis 20Años'!I$3</f>
        <v>1.7623416832000005</v>
      </c>
      <c r="J101" s="74">
        <f>(1+Analisis_Inputs_Grales!$D$127)^'Analisis 20Años'!J$3</f>
        <v>1.9738226851840008</v>
      </c>
      <c r="K101" s="74">
        <f>(1+Analisis_Inputs_Grales!$D$127)^'Analisis 20Años'!K$3</f>
        <v>2.210681407406081</v>
      </c>
      <c r="L101" s="74">
        <f>(1+Analisis_Inputs_Grales!$D$127)^'Analisis 20Años'!L$3</f>
        <v>2.4759631762948109</v>
      </c>
      <c r="M101" s="74">
        <f>(1+Analisis_Inputs_Grales!$D$127)^'Analisis 20Años'!M$3</f>
        <v>2.7730787574501883</v>
      </c>
      <c r="N101" s="74">
        <f>(1+Analisis_Inputs_Grales!$D$127)^'Analisis 20Años'!N$3</f>
        <v>3.1058482083442112</v>
      </c>
      <c r="O101" s="74">
        <f>(1+Analisis_Inputs_Grales!$D$127)^'Analisis 20Años'!O$3</f>
        <v>3.4785499933455171</v>
      </c>
      <c r="P101" s="74">
        <f>(1+Analisis_Inputs_Grales!$D$127)^'Analisis 20Años'!P$3</f>
        <v>3.8959759925469788</v>
      </c>
      <c r="Q101" s="74">
        <f>(1+Analisis_Inputs_Grales!$D$127)^'Analisis 20Años'!Q$3</f>
        <v>4.363493111652617</v>
      </c>
      <c r="R101" s="74">
        <f>(1+Analisis_Inputs_Grales!$D$127)^'Analisis 20Años'!R$3</f>
        <v>4.8871122850509314</v>
      </c>
      <c r="S101" s="52"/>
      <c r="T101" s="52"/>
      <c r="U101" s="52"/>
      <c r="V101" s="52"/>
      <c r="W101" s="52"/>
    </row>
    <row r="102" spans="2:23" x14ac:dyDescent="0.2">
      <c r="B102" s="64" t="s">
        <v>125</v>
      </c>
      <c r="C102" s="65" t="s">
        <v>455</v>
      </c>
      <c r="D102" s="74">
        <f>D99*D101</f>
        <v>0.17261381552579663</v>
      </c>
      <c r="E102" s="74">
        <f t="shared" ref="E102:R102" si="31">E99*E101</f>
        <v>0.19332747338889225</v>
      </c>
      <c r="F102" s="74">
        <f t="shared" si="31"/>
        <v>0.21652677019555933</v>
      </c>
      <c r="G102" s="74">
        <f t="shared" si="31"/>
        <v>0.24250998261902648</v>
      </c>
      <c r="H102" s="74">
        <f t="shared" si="31"/>
        <v>0.27161118053330963</v>
      </c>
      <c r="I102" s="74">
        <f t="shared" si="31"/>
        <v>0.30420452219730681</v>
      </c>
      <c r="J102" s="74">
        <f t="shared" si="31"/>
        <v>0.34070906486098368</v>
      </c>
      <c r="K102" s="74">
        <f t="shared" si="31"/>
        <v>0.38159415264430174</v>
      </c>
      <c r="L102" s="74">
        <f t="shared" si="31"/>
        <v>0.42738545096161795</v>
      </c>
      <c r="M102" s="74">
        <f t="shared" si="31"/>
        <v>0.47867170507701212</v>
      </c>
      <c r="N102" s="74">
        <f t="shared" si="31"/>
        <v>0.53611230968625367</v>
      </c>
      <c r="O102" s="74">
        <f t="shared" si="31"/>
        <v>0.60044578684860417</v>
      </c>
      <c r="P102" s="74">
        <f t="shared" si="31"/>
        <v>0.67249928127043668</v>
      </c>
      <c r="Q102" s="74">
        <f t="shared" si="31"/>
        <v>0.75319919502288912</v>
      </c>
      <c r="R102" s="74">
        <f t="shared" si="31"/>
        <v>0.84358309842563595</v>
      </c>
      <c r="S102" s="52"/>
      <c r="T102" s="52"/>
      <c r="U102" s="52"/>
      <c r="V102" s="52"/>
      <c r="W102" s="52"/>
    </row>
    <row r="103" spans="2:23" ht="15" x14ac:dyDescent="0.25">
      <c r="B103" s="66" t="s">
        <v>128</v>
      </c>
      <c r="C103" s="65" t="s">
        <v>455</v>
      </c>
      <c r="D103" s="76">
        <f>SUM(D102:R102)</f>
        <v>6.4349937892576268</v>
      </c>
      <c r="E103" s="52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</row>
    <row r="104" spans="2:23" x14ac:dyDescent="0.2">
      <c r="B104" s="34"/>
      <c r="C104" s="31"/>
      <c r="D104" s="52"/>
      <c r="E104" s="52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  <c r="W104" s="52"/>
    </row>
    <row r="105" spans="2:23" ht="15" thickBot="1" x14ac:dyDescent="0.25">
      <c r="B105" s="34"/>
      <c r="C105" s="31"/>
      <c r="D105" s="52"/>
      <c r="E105" s="52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  <c r="W105" s="52"/>
    </row>
    <row r="106" spans="2:23" ht="16.5" thickBot="1" x14ac:dyDescent="0.3">
      <c r="B106" s="63" t="s">
        <v>65</v>
      </c>
      <c r="C106" s="62">
        <v>20</v>
      </c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  <c r="W106" s="52"/>
    </row>
    <row r="107" spans="2:23" ht="15.75" x14ac:dyDescent="0.25">
      <c r="B107" s="60" t="s">
        <v>86</v>
      </c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  <c r="V107" s="52"/>
      <c r="W107" s="52"/>
    </row>
    <row r="108" spans="2:23" x14ac:dyDescent="0.2">
      <c r="B108" s="28" t="s">
        <v>87</v>
      </c>
      <c r="C108" s="29" t="s">
        <v>452</v>
      </c>
      <c r="D108" s="74">
        <f>Analisis_Inputs_Grales!$D$29*(Analisis_Inputs_Grales!$D$127/12)/Analisis_Inputs_Grales!$D$21</f>
        <v>0.17565100079679447</v>
      </c>
      <c r="E108" s="74">
        <f>Analisis_Inputs_Grales!$D$29*(Analisis_Inputs_Grales!$D$127/12)/Analisis_Inputs_Grales!$D$21</f>
        <v>0.17565100079679447</v>
      </c>
      <c r="F108" s="74">
        <f>Analisis_Inputs_Grales!$D$29*(Analisis_Inputs_Grales!$D$127/12)/Analisis_Inputs_Grales!$D$21</f>
        <v>0.17565100079679447</v>
      </c>
      <c r="G108" s="74">
        <f>Analisis_Inputs_Grales!$D$29*(Analisis_Inputs_Grales!$D$127/12)/Analisis_Inputs_Grales!$D$21</f>
        <v>0.17565100079679447</v>
      </c>
      <c r="H108" s="74">
        <f>Analisis_Inputs_Grales!$D$29*(Analisis_Inputs_Grales!$D$127/12)/Analisis_Inputs_Grales!$D$21</f>
        <v>0.17565100079679447</v>
      </c>
      <c r="I108" s="74">
        <f>Analisis_Inputs_Grales!$D$29*(Analisis_Inputs_Grales!$D$127/12)/Analisis_Inputs_Grales!$D$21</f>
        <v>0.17565100079679447</v>
      </c>
      <c r="J108" s="74">
        <f>Analisis_Inputs_Grales!$D$29*(Analisis_Inputs_Grales!$D$127/12)/Analisis_Inputs_Grales!$D$21</f>
        <v>0.17565100079679447</v>
      </c>
      <c r="K108" s="74">
        <f>Analisis_Inputs_Grales!$D$29*(Analisis_Inputs_Grales!$D$127/12)/Analisis_Inputs_Grales!$D$21</f>
        <v>0.17565100079679447</v>
      </c>
      <c r="L108" s="74">
        <f>Analisis_Inputs_Grales!$D$29*(Analisis_Inputs_Grales!$D$127/12)/Analisis_Inputs_Grales!$D$21</f>
        <v>0.17565100079679447</v>
      </c>
      <c r="M108" s="74">
        <f>Analisis_Inputs_Grales!$D$29*(Analisis_Inputs_Grales!$D$127/12)/Analisis_Inputs_Grales!$D$21</f>
        <v>0.17565100079679447</v>
      </c>
      <c r="N108" s="74">
        <f>Analisis_Inputs_Grales!$D$29*(Analisis_Inputs_Grales!$D$127/12)/Analisis_Inputs_Grales!$D$21</f>
        <v>0.17565100079679447</v>
      </c>
      <c r="O108" s="74">
        <f>Analisis_Inputs_Grales!$D$29*(Analisis_Inputs_Grales!$D$127/12)/Analisis_Inputs_Grales!$D$21</f>
        <v>0.17565100079679447</v>
      </c>
      <c r="P108" s="74">
        <f>Analisis_Inputs_Grales!$D$29*(Analisis_Inputs_Grales!$D$127/12)/Analisis_Inputs_Grales!$D$21</f>
        <v>0.17565100079679447</v>
      </c>
      <c r="Q108" s="74">
        <f>Analisis_Inputs_Grales!$D$29*(Analisis_Inputs_Grales!$D$127/12)/Analisis_Inputs_Grales!$D$21</f>
        <v>0.17565100079679447</v>
      </c>
      <c r="R108" s="74">
        <f>Analisis_Inputs_Grales!$D$29*(Analisis_Inputs_Grales!$D$127/12)/Analisis_Inputs_Grales!$D$21</f>
        <v>0.17565100079679447</v>
      </c>
      <c r="S108" s="74">
        <f>Analisis_Inputs_Grales!$D$29*(Analisis_Inputs_Grales!$D$127/12)/Analisis_Inputs_Grales!$D$21</f>
        <v>0.17565100079679447</v>
      </c>
      <c r="T108" s="74">
        <f>Analisis_Inputs_Grales!$D$29*(Analisis_Inputs_Grales!$D$127/12)/Analisis_Inputs_Grales!$D$21</f>
        <v>0.17565100079679447</v>
      </c>
      <c r="U108" s="74">
        <f>Analisis_Inputs_Grales!$D$29*(Analisis_Inputs_Grales!$D$127/12)/Analisis_Inputs_Grales!$D$21</f>
        <v>0.17565100079679447</v>
      </c>
      <c r="V108" s="74">
        <f>Analisis_Inputs_Grales!$D$29*(Analisis_Inputs_Grales!$D$127/12)/Analisis_Inputs_Grales!$D$21</f>
        <v>0.17565100079679447</v>
      </c>
      <c r="W108" s="74">
        <f>Analisis_Inputs_Grales!$D$29*(Analisis_Inputs_Grales!$D$127/12)/Analisis_Inputs_Grales!$D$21</f>
        <v>0.17565100079679447</v>
      </c>
    </row>
    <row r="109" spans="2:23" x14ac:dyDescent="0.2">
      <c r="B109" s="30" t="s">
        <v>87</v>
      </c>
      <c r="C109" s="31" t="s">
        <v>207</v>
      </c>
      <c r="D109" s="52">
        <f>D108*Analisis_Inputs_Grales!$D$21*12</f>
        <v>18211.495762611652</v>
      </c>
      <c r="E109" s="52">
        <f>E108*Analisis_Inputs_Grales!$D$21*12</f>
        <v>18211.495762611652</v>
      </c>
      <c r="F109" s="52">
        <f>F108*Analisis_Inputs_Grales!$D$21*12</f>
        <v>18211.495762611652</v>
      </c>
      <c r="G109" s="52">
        <f>G108*Analisis_Inputs_Grales!$D$21*12</f>
        <v>18211.495762611652</v>
      </c>
      <c r="H109" s="52">
        <f>H108*Analisis_Inputs_Grales!$D$21*12</f>
        <v>18211.495762611652</v>
      </c>
      <c r="I109" s="52">
        <f>I108*Analisis_Inputs_Grales!$D$21*12</f>
        <v>18211.495762611652</v>
      </c>
      <c r="J109" s="52">
        <f>J108*Analisis_Inputs_Grales!$D$21*12</f>
        <v>18211.495762611652</v>
      </c>
      <c r="K109" s="52">
        <f>K108*Analisis_Inputs_Grales!$D$21*12</f>
        <v>18211.495762611652</v>
      </c>
      <c r="L109" s="52">
        <f>L108*Analisis_Inputs_Grales!$D$21*12</f>
        <v>18211.495762611652</v>
      </c>
      <c r="M109" s="52">
        <f>M108*Analisis_Inputs_Grales!$D$21*12</f>
        <v>18211.495762611652</v>
      </c>
      <c r="N109" s="52">
        <f>N108*Analisis_Inputs_Grales!$D$21*12</f>
        <v>18211.495762611652</v>
      </c>
      <c r="O109" s="52">
        <f>O108*Analisis_Inputs_Grales!$D$21*12</f>
        <v>18211.495762611652</v>
      </c>
      <c r="P109" s="52">
        <f>P108*Analisis_Inputs_Grales!$D$21*12</f>
        <v>18211.495762611652</v>
      </c>
      <c r="Q109" s="52">
        <f>Q108*Analisis_Inputs_Grales!$D$21*12</f>
        <v>18211.495762611652</v>
      </c>
      <c r="R109" s="52">
        <f>R108*Analisis_Inputs_Grales!$D$21*12</f>
        <v>18211.495762611652</v>
      </c>
      <c r="S109" s="52">
        <f>S108*Analisis_Inputs_Grales!$D$21*12</f>
        <v>18211.495762611652</v>
      </c>
      <c r="T109" s="52">
        <f>T108*Analisis_Inputs_Grales!$D$21*12</f>
        <v>18211.495762611652</v>
      </c>
      <c r="U109" s="52">
        <f>U108*Analisis_Inputs_Grales!$D$21*12</f>
        <v>18211.495762611652</v>
      </c>
      <c r="V109" s="52">
        <f>V108*Analisis_Inputs_Grales!$D$21*12</f>
        <v>18211.495762611652</v>
      </c>
      <c r="W109" s="52">
        <f>W108*Analisis_Inputs_Grales!$D$21*12</f>
        <v>18211.495762611652</v>
      </c>
    </row>
    <row r="110" spans="2:23" x14ac:dyDescent="0.2">
      <c r="B110" s="28" t="s">
        <v>88</v>
      </c>
      <c r="C110" s="29" t="s">
        <v>452</v>
      </c>
      <c r="D110" s="74">
        <f>(Analisis_Inputs_Grales!$D$30-Analisis_Inputs_Grales!$D$32*Analisis_Inputs_Grales!$D$30)/(Analisis_Inputs_Grales!$D$21*$C106*12)</f>
        <v>6.5869125298797918E-2</v>
      </c>
      <c r="E110" s="74">
        <f>(Analisis_Inputs_Grales!$D$30-Analisis_Inputs_Grales!$D$32*Analisis_Inputs_Grales!$D$30)/(Analisis_Inputs_Grales!$D$21*$C106*12)</f>
        <v>6.5869125298797918E-2</v>
      </c>
      <c r="F110" s="74">
        <f>(Analisis_Inputs_Grales!$D$30-Analisis_Inputs_Grales!$D$32*Analisis_Inputs_Grales!$D$30)/(Analisis_Inputs_Grales!$D$21*$C106*12)</f>
        <v>6.5869125298797918E-2</v>
      </c>
      <c r="G110" s="74">
        <f>(Analisis_Inputs_Grales!$D$30-Analisis_Inputs_Grales!$D$32*Analisis_Inputs_Grales!$D$30)/(Analisis_Inputs_Grales!$D$21*$C106*12)</f>
        <v>6.5869125298797918E-2</v>
      </c>
      <c r="H110" s="74">
        <f>(Analisis_Inputs_Grales!$D$30-Analisis_Inputs_Grales!$D$32*Analisis_Inputs_Grales!$D$30)/(Analisis_Inputs_Grales!$D$21*$C106*12)</f>
        <v>6.5869125298797918E-2</v>
      </c>
      <c r="I110" s="74">
        <f>(Analisis_Inputs_Grales!$D$30-Analisis_Inputs_Grales!$D$32*Analisis_Inputs_Grales!$D$30)/(Analisis_Inputs_Grales!$D$21*$C106*12)</f>
        <v>6.5869125298797918E-2</v>
      </c>
      <c r="J110" s="74">
        <f>(Analisis_Inputs_Grales!$D$30-Analisis_Inputs_Grales!$D$32*Analisis_Inputs_Grales!$D$30)/(Analisis_Inputs_Grales!$D$21*$C106*12)</f>
        <v>6.5869125298797918E-2</v>
      </c>
      <c r="K110" s="74">
        <f>(Analisis_Inputs_Grales!$D$30-Analisis_Inputs_Grales!$D$32*Analisis_Inputs_Grales!$D$30)/(Analisis_Inputs_Grales!$D$21*$C106*12)</f>
        <v>6.5869125298797918E-2</v>
      </c>
      <c r="L110" s="74">
        <f>(Analisis_Inputs_Grales!$D$30-Analisis_Inputs_Grales!$D$32*Analisis_Inputs_Grales!$D$30)/(Analisis_Inputs_Grales!$D$21*$C106*12)</f>
        <v>6.5869125298797918E-2</v>
      </c>
      <c r="M110" s="74">
        <f>(Analisis_Inputs_Grales!$D$30-Analisis_Inputs_Grales!$D$32*Analisis_Inputs_Grales!$D$30)/(Analisis_Inputs_Grales!$D$21*$C106*12)</f>
        <v>6.5869125298797918E-2</v>
      </c>
      <c r="N110" s="74">
        <f>(Analisis_Inputs_Grales!$D$30-Analisis_Inputs_Grales!$D$32*Analisis_Inputs_Grales!$D$30)/(Analisis_Inputs_Grales!$D$21*$C106*12)</f>
        <v>6.5869125298797918E-2</v>
      </c>
      <c r="O110" s="74">
        <f>(Analisis_Inputs_Grales!$D$30-Analisis_Inputs_Grales!$D$32*Analisis_Inputs_Grales!$D$30)/(Analisis_Inputs_Grales!$D$21*$C106*12)</f>
        <v>6.5869125298797918E-2</v>
      </c>
      <c r="P110" s="74">
        <f>(Analisis_Inputs_Grales!$D$30-Analisis_Inputs_Grales!$D$32*Analisis_Inputs_Grales!$D$30)/(Analisis_Inputs_Grales!$D$21*$C106*12)</f>
        <v>6.5869125298797918E-2</v>
      </c>
      <c r="Q110" s="74">
        <f>(Analisis_Inputs_Grales!$D$30-Analisis_Inputs_Grales!$D$32*Analisis_Inputs_Grales!$D$30)/(Analisis_Inputs_Grales!$D$21*$C106*12)</f>
        <v>6.5869125298797918E-2</v>
      </c>
      <c r="R110" s="74">
        <f>(Analisis_Inputs_Grales!$D$30-Analisis_Inputs_Grales!$D$32*Analisis_Inputs_Grales!$D$30)/(Analisis_Inputs_Grales!$D$21*$C106*12)</f>
        <v>6.5869125298797918E-2</v>
      </c>
      <c r="S110" s="74">
        <f>(Analisis_Inputs_Grales!$D$30-Analisis_Inputs_Grales!$D$32*Analisis_Inputs_Grales!$D$30)/(Analisis_Inputs_Grales!$D$21*$C106*12)</f>
        <v>6.5869125298797918E-2</v>
      </c>
      <c r="T110" s="74">
        <f>(Analisis_Inputs_Grales!$D$30-Analisis_Inputs_Grales!$D$32*Analisis_Inputs_Grales!$D$30)/(Analisis_Inputs_Grales!$D$21*$C106*12)</f>
        <v>6.5869125298797918E-2</v>
      </c>
      <c r="U110" s="74">
        <f>(Analisis_Inputs_Grales!$D$30-Analisis_Inputs_Grales!$D$32*Analisis_Inputs_Grales!$D$30)/(Analisis_Inputs_Grales!$D$21*$C106*12)</f>
        <v>6.5869125298797918E-2</v>
      </c>
      <c r="V110" s="74">
        <f>(Analisis_Inputs_Grales!$D$30-Analisis_Inputs_Grales!$D$32*Analisis_Inputs_Grales!$D$30)/(Analisis_Inputs_Grales!$D$21*$C106*12)</f>
        <v>6.5869125298797918E-2</v>
      </c>
      <c r="W110" s="74">
        <f>(Analisis_Inputs_Grales!$D$30-Analisis_Inputs_Grales!$D$32*Analisis_Inputs_Grales!$D$30)/(Analisis_Inputs_Grales!$D$21*$C106*12)</f>
        <v>6.5869125298797918E-2</v>
      </c>
    </row>
    <row r="111" spans="2:23" x14ac:dyDescent="0.2">
      <c r="B111" s="30" t="s">
        <v>88</v>
      </c>
      <c r="C111" s="31" t="s">
        <v>207</v>
      </c>
      <c r="D111" s="52">
        <f>D110*Analisis_Inputs_Grales!$D$21*12</f>
        <v>6829.3109109793677</v>
      </c>
      <c r="E111" s="52">
        <f>E110*Analisis_Inputs_Grales!$D$21*12</f>
        <v>6829.3109109793677</v>
      </c>
      <c r="F111" s="52">
        <f>F110*Analisis_Inputs_Grales!$D$21*12</f>
        <v>6829.3109109793677</v>
      </c>
      <c r="G111" s="52">
        <f>G110*Analisis_Inputs_Grales!$D$21*12</f>
        <v>6829.3109109793677</v>
      </c>
      <c r="H111" s="52">
        <f>H110*Analisis_Inputs_Grales!$D$21*12</f>
        <v>6829.3109109793677</v>
      </c>
      <c r="I111" s="52">
        <f>I110*Analisis_Inputs_Grales!$D$21*12</f>
        <v>6829.3109109793677</v>
      </c>
      <c r="J111" s="52">
        <f>J110*Analisis_Inputs_Grales!$D$21*12</f>
        <v>6829.3109109793677</v>
      </c>
      <c r="K111" s="52">
        <f>K110*Analisis_Inputs_Grales!$D$21*12</f>
        <v>6829.3109109793677</v>
      </c>
      <c r="L111" s="52">
        <f>L110*Analisis_Inputs_Grales!$D$21*12</f>
        <v>6829.3109109793677</v>
      </c>
      <c r="M111" s="52">
        <f>M110*Analisis_Inputs_Grales!$D$21*12</f>
        <v>6829.3109109793677</v>
      </c>
      <c r="N111" s="52">
        <f>N110*Analisis_Inputs_Grales!$D$21*12</f>
        <v>6829.3109109793677</v>
      </c>
      <c r="O111" s="52">
        <f>O110*Analisis_Inputs_Grales!$D$21*12</f>
        <v>6829.3109109793677</v>
      </c>
      <c r="P111" s="52">
        <f>P110*Analisis_Inputs_Grales!$D$21*12</f>
        <v>6829.3109109793677</v>
      </c>
      <c r="Q111" s="52">
        <f>Q110*Analisis_Inputs_Grales!$D$21*12</f>
        <v>6829.3109109793677</v>
      </c>
      <c r="R111" s="52">
        <f>R110*Analisis_Inputs_Grales!$D$21*12</f>
        <v>6829.3109109793677</v>
      </c>
      <c r="S111" s="52">
        <f>S110*Analisis_Inputs_Grales!$D$21*12</f>
        <v>6829.3109109793677</v>
      </c>
      <c r="T111" s="52">
        <f>T110*Analisis_Inputs_Grales!$D$21*12</f>
        <v>6829.3109109793677</v>
      </c>
      <c r="U111" s="52">
        <f>U110*Analisis_Inputs_Grales!$D$21*12</f>
        <v>6829.3109109793677</v>
      </c>
      <c r="V111" s="52">
        <f>V110*Analisis_Inputs_Grales!$D$21*12</f>
        <v>6829.3109109793677</v>
      </c>
      <c r="W111" s="52">
        <f>W110*Analisis_Inputs_Grales!$D$21*12</f>
        <v>6829.3109109793677</v>
      </c>
    </row>
    <row r="112" spans="2:23" x14ac:dyDescent="0.2">
      <c r="B112" s="28" t="s">
        <v>89</v>
      </c>
      <c r="C112" s="29" t="s">
        <v>452</v>
      </c>
      <c r="D112" s="74">
        <f>Analisis_Inputs_Grales!$D$13/Analisis_Inputs_Grales!$D$21</f>
        <v>0.4943252314814815</v>
      </c>
      <c r="E112" s="74">
        <f>Analisis_Inputs_Grales!$D$13/Analisis_Inputs_Grales!$D$21</f>
        <v>0.4943252314814815</v>
      </c>
      <c r="F112" s="74">
        <f>Analisis_Inputs_Grales!$D$13/Analisis_Inputs_Grales!$D$21</f>
        <v>0.4943252314814815</v>
      </c>
      <c r="G112" s="74">
        <f>Analisis_Inputs_Grales!$D$13/Analisis_Inputs_Grales!$D$21</f>
        <v>0.4943252314814815</v>
      </c>
      <c r="H112" s="74">
        <f>Analisis_Inputs_Grales!$D$13/Analisis_Inputs_Grales!$D$21</f>
        <v>0.4943252314814815</v>
      </c>
      <c r="I112" s="74">
        <f>Analisis_Inputs_Grales!$D$13/Analisis_Inputs_Grales!$D$21</f>
        <v>0.4943252314814815</v>
      </c>
      <c r="J112" s="74">
        <f>Analisis_Inputs_Grales!$D$13/Analisis_Inputs_Grales!$D$21</f>
        <v>0.4943252314814815</v>
      </c>
      <c r="K112" s="74">
        <f>Analisis_Inputs_Grales!$D$13/Analisis_Inputs_Grales!$D$21</f>
        <v>0.4943252314814815</v>
      </c>
      <c r="L112" s="74">
        <f>Analisis_Inputs_Grales!$D$13/Analisis_Inputs_Grales!$D$21</f>
        <v>0.4943252314814815</v>
      </c>
      <c r="M112" s="74">
        <f>Analisis_Inputs_Grales!$D$13/Analisis_Inputs_Grales!$D$21</f>
        <v>0.4943252314814815</v>
      </c>
      <c r="N112" s="74">
        <f>Analisis_Inputs_Grales!$D$13/Analisis_Inputs_Grales!$D$21</f>
        <v>0.4943252314814815</v>
      </c>
      <c r="O112" s="74">
        <f>Analisis_Inputs_Grales!$D$13/Analisis_Inputs_Grales!$D$21</f>
        <v>0.4943252314814815</v>
      </c>
      <c r="P112" s="74">
        <f>Analisis_Inputs_Grales!$D$13/Analisis_Inputs_Grales!$D$21</f>
        <v>0.4943252314814815</v>
      </c>
      <c r="Q112" s="74">
        <f>Analisis_Inputs_Grales!$D$13/Analisis_Inputs_Grales!$D$21</f>
        <v>0.4943252314814815</v>
      </c>
      <c r="R112" s="74">
        <f>Analisis_Inputs_Grales!$D$13/Analisis_Inputs_Grales!$D$21</f>
        <v>0.4943252314814815</v>
      </c>
      <c r="S112" s="74">
        <f>Analisis_Inputs_Grales!$D$13/Analisis_Inputs_Grales!$D$21</f>
        <v>0.4943252314814815</v>
      </c>
      <c r="T112" s="74">
        <f>Analisis_Inputs_Grales!$D$13/Analisis_Inputs_Grales!$D$21</f>
        <v>0.4943252314814815</v>
      </c>
      <c r="U112" s="74">
        <f>Analisis_Inputs_Grales!$D$13/Analisis_Inputs_Grales!$D$21</f>
        <v>0.4943252314814815</v>
      </c>
      <c r="V112" s="74">
        <f>Analisis_Inputs_Grales!$D$13/Analisis_Inputs_Grales!$D$21</f>
        <v>0.4943252314814815</v>
      </c>
      <c r="W112" s="74">
        <f>Analisis_Inputs_Grales!$D$13/Analisis_Inputs_Grales!$D$21</f>
        <v>0.4943252314814815</v>
      </c>
    </row>
    <row r="113" spans="2:23" x14ac:dyDescent="0.2">
      <c r="B113" s="32" t="s">
        <v>89</v>
      </c>
      <c r="C113" s="33" t="s">
        <v>207</v>
      </c>
      <c r="D113" s="52">
        <f>D112*Analisis_Inputs_Grales!$D$21*12</f>
        <v>51251.64</v>
      </c>
      <c r="E113" s="52">
        <f>E112*Analisis_Inputs_Grales!$D$21*12</f>
        <v>51251.64</v>
      </c>
      <c r="F113" s="52">
        <f>F112*Analisis_Inputs_Grales!$D$21*12</f>
        <v>51251.64</v>
      </c>
      <c r="G113" s="52">
        <f>G112*Analisis_Inputs_Grales!$D$21*12</f>
        <v>51251.64</v>
      </c>
      <c r="H113" s="52">
        <f>H112*Analisis_Inputs_Grales!$D$21*12</f>
        <v>51251.64</v>
      </c>
      <c r="I113" s="52">
        <f>I112*Analisis_Inputs_Grales!$D$21*12</f>
        <v>51251.64</v>
      </c>
      <c r="J113" s="52">
        <f>J112*Analisis_Inputs_Grales!$D$21*12</f>
        <v>51251.64</v>
      </c>
      <c r="K113" s="52">
        <f>K112*Analisis_Inputs_Grales!$D$21*12</f>
        <v>51251.64</v>
      </c>
      <c r="L113" s="52">
        <f>L112*Analisis_Inputs_Grales!$D$21*12</f>
        <v>51251.64</v>
      </c>
      <c r="M113" s="52">
        <f>M112*Analisis_Inputs_Grales!$D$21*12</f>
        <v>51251.64</v>
      </c>
      <c r="N113" s="52">
        <f>N112*Analisis_Inputs_Grales!$D$21*12</f>
        <v>51251.64</v>
      </c>
      <c r="O113" s="52">
        <f>O112*Analisis_Inputs_Grales!$D$21*12</f>
        <v>51251.64</v>
      </c>
      <c r="P113" s="52">
        <f>P112*Analisis_Inputs_Grales!$D$21*12</f>
        <v>51251.64</v>
      </c>
      <c r="Q113" s="52">
        <f>Q112*Analisis_Inputs_Grales!$D$21*12</f>
        <v>51251.64</v>
      </c>
      <c r="R113" s="52">
        <f>R112*Analisis_Inputs_Grales!$D$21*12</f>
        <v>51251.64</v>
      </c>
      <c r="S113" s="52">
        <f>S112*Analisis_Inputs_Grales!$D$21*12</f>
        <v>51251.64</v>
      </c>
      <c r="T113" s="52">
        <f>T112*Analisis_Inputs_Grales!$D$21*12</f>
        <v>51251.64</v>
      </c>
      <c r="U113" s="52">
        <f>U112*Analisis_Inputs_Grales!$D$21*12</f>
        <v>51251.64</v>
      </c>
      <c r="V113" s="52">
        <f>V112*Analisis_Inputs_Grales!$D$21*12</f>
        <v>51251.64</v>
      </c>
      <c r="W113" s="52">
        <f>W112*Analisis_Inputs_Grales!$D$21*12</f>
        <v>51251.64</v>
      </c>
    </row>
    <row r="114" spans="2:23" x14ac:dyDescent="0.2">
      <c r="B114" s="28" t="s">
        <v>90</v>
      </c>
      <c r="C114" s="29" t="s">
        <v>452</v>
      </c>
      <c r="D114" s="74">
        <f>D112+D110+D108</f>
        <v>0.73584535757707381</v>
      </c>
      <c r="E114" s="74">
        <f t="shared" ref="E114:G114" si="32">E112+E110+E108</f>
        <v>0.73584535757707381</v>
      </c>
      <c r="F114" s="74">
        <f t="shared" si="32"/>
        <v>0.73584535757707381</v>
      </c>
      <c r="G114" s="74">
        <f t="shared" si="32"/>
        <v>0.73584535757707381</v>
      </c>
      <c r="H114" s="74">
        <f t="shared" ref="H114:W114" si="33">H112+H110+H108</f>
        <v>0.73584535757707381</v>
      </c>
      <c r="I114" s="74">
        <f t="shared" si="33"/>
        <v>0.73584535757707381</v>
      </c>
      <c r="J114" s="74">
        <f t="shared" si="33"/>
        <v>0.73584535757707381</v>
      </c>
      <c r="K114" s="74">
        <f t="shared" si="33"/>
        <v>0.73584535757707381</v>
      </c>
      <c r="L114" s="74">
        <f t="shared" si="33"/>
        <v>0.73584535757707381</v>
      </c>
      <c r="M114" s="74">
        <f t="shared" si="33"/>
        <v>0.73584535757707381</v>
      </c>
      <c r="N114" s="74">
        <f t="shared" si="33"/>
        <v>0.73584535757707381</v>
      </c>
      <c r="O114" s="74">
        <f t="shared" si="33"/>
        <v>0.73584535757707381</v>
      </c>
      <c r="P114" s="74">
        <f t="shared" si="33"/>
        <v>0.73584535757707381</v>
      </c>
      <c r="Q114" s="74">
        <f t="shared" si="33"/>
        <v>0.73584535757707381</v>
      </c>
      <c r="R114" s="74">
        <f t="shared" si="33"/>
        <v>0.73584535757707381</v>
      </c>
      <c r="S114" s="74">
        <f t="shared" si="33"/>
        <v>0.73584535757707381</v>
      </c>
      <c r="T114" s="74">
        <f t="shared" si="33"/>
        <v>0.73584535757707381</v>
      </c>
      <c r="U114" s="74">
        <f t="shared" si="33"/>
        <v>0.73584535757707381</v>
      </c>
      <c r="V114" s="74">
        <f t="shared" si="33"/>
        <v>0.73584535757707381</v>
      </c>
      <c r="W114" s="74">
        <f t="shared" si="33"/>
        <v>0.73584535757707381</v>
      </c>
    </row>
    <row r="115" spans="2:23" x14ac:dyDescent="0.2">
      <c r="B115" s="30" t="s">
        <v>90</v>
      </c>
      <c r="C115" s="31" t="s">
        <v>207</v>
      </c>
      <c r="D115" s="52">
        <f>D113+D111+D109</f>
        <v>76292.44667359101</v>
      </c>
      <c r="E115" s="52">
        <f t="shared" ref="E115:G115" si="34">E113+E111+E109</f>
        <v>76292.44667359101</v>
      </c>
      <c r="F115" s="52">
        <f t="shared" si="34"/>
        <v>76292.44667359101</v>
      </c>
      <c r="G115" s="52">
        <f t="shared" si="34"/>
        <v>76292.44667359101</v>
      </c>
      <c r="H115" s="52">
        <f t="shared" ref="H115:W115" si="35">H113+H111+H109</f>
        <v>76292.44667359101</v>
      </c>
      <c r="I115" s="52">
        <f t="shared" si="35"/>
        <v>76292.44667359101</v>
      </c>
      <c r="J115" s="52">
        <f t="shared" si="35"/>
        <v>76292.44667359101</v>
      </c>
      <c r="K115" s="52">
        <f t="shared" si="35"/>
        <v>76292.44667359101</v>
      </c>
      <c r="L115" s="52">
        <f t="shared" si="35"/>
        <v>76292.44667359101</v>
      </c>
      <c r="M115" s="52">
        <f t="shared" si="35"/>
        <v>76292.44667359101</v>
      </c>
      <c r="N115" s="52">
        <f t="shared" si="35"/>
        <v>76292.44667359101</v>
      </c>
      <c r="O115" s="52">
        <f t="shared" si="35"/>
        <v>76292.44667359101</v>
      </c>
      <c r="P115" s="52">
        <f t="shared" si="35"/>
        <v>76292.44667359101</v>
      </c>
      <c r="Q115" s="52">
        <f t="shared" si="35"/>
        <v>76292.44667359101</v>
      </c>
      <c r="R115" s="52">
        <f t="shared" si="35"/>
        <v>76292.44667359101</v>
      </c>
      <c r="S115" s="52">
        <f t="shared" si="35"/>
        <v>76292.44667359101</v>
      </c>
      <c r="T115" s="52">
        <f t="shared" si="35"/>
        <v>76292.44667359101</v>
      </c>
      <c r="U115" s="52">
        <f t="shared" si="35"/>
        <v>76292.44667359101</v>
      </c>
      <c r="V115" s="52">
        <f t="shared" si="35"/>
        <v>76292.44667359101</v>
      </c>
      <c r="W115" s="52">
        <f t="shared" si="35"/>
        <v>76292.44667359101</v>
      </c>
    </row>
    <row r="116" spans="2:23" x14ac:dyDescent="0.2">
      <c r="C116" s="31"/>
    </row>
    <row r="117" spans="2:23" ht="15.75" x14ac:dyDescent="0.25">
      <c r="B117" s="60" t="s">
        <v>91</v>
      </c>
      <c r="C117" s="31"/>
    </row>
    <row r="118" spans="2:23" x14ac:dyDescent="0.2">
      <c r="B118" s="28" t="s">
        <v>92</v>
      </c>
      <c r="C118" s="29" t="s">
        <v>452</v>
      </c>
      <c r="D118" s="25">
        <f>Analisis_Inputs_Grales!$D$35/(Analisis_Inputs_Grales!$D$33/(Analisis_Inputs_Grales!$D$34/60))</f>
        <v>7.656428571428571E-2</v>
      </c>
      <c r="E118" s="25">
        <f>Analisis_Inputs_Grales!$D$35/(Analisis_Inputs_Grales!$D$33/(Analisis_Inputs_Grales!$D$34/60))</f>
        <v>7.656428571428571E-2</v>
      </c>
      <c r="F118" s="25">
        <f>Analisis_Inputs_Grales!$D$35/(Analisis_Inputs_Grales!$D$33/(Analisis_Inputs_Grales!$D$34/60))</f>
        <v>7.656428571428571E-2</v>
      </c>
      <c r="G118" s="25">
        <f>Analisis_Inputs_Grales!$D$35/(Analisis_Inputs_Grales!$D$33/(Analisis_Inputs_Grales!$D$34/60))</f>
        <v>7.656428571428571E-2</v>
      </c>
      <c r="H118" s="25">
        <f>Analisis_Inputs_Grales!$D$35/(Analisis_Inputs_Grales!$D$33/(Analisis_Inputs_Grales!$D$34/60))</f>
        <v>7.656428571428571E-2</v>
      </c>
      <c r="I118" s="25">
        <f>Analisis_Inputs_Grales!$D$35/(Analisis_Inputs_Grales!$D$33/(Analisis_Inputs_Grales!$D$34/60))</f>
        <v>7.656428571428571E-2</v>
      </c>
      <c r="J118" s="25">
        <f>Analisis_Inputs_Grales!$D$35/(Analisis_Inputs_Grales!$D$33/(Analisis_Inputs_Grales!$D$34/60))</f>
        <v>7.656428571428571E-2</v>
      </c>
      <c r="K118" s="25">
        <f>Analisis_Inputs_Grales!$D$35/(Analisis_Inputs_Grales!$D$33/(Analisis_Inputs_Grales!$D$34/60))</f>
        <v>7.656428571428571E-2</v>
      </c>
      <c r="L118" s="25">
        <f>Analisis_Inputs_Grales!$D$35/(Analisis_Inputs_Grales!$D$33/(Analisis_Inputs_Grales!$D$34/60))</f>
        <v>7.656428571428571E-2</v>
      </c>
      <c r="M118" s="25">
        <f>Analisis_Inputs_Grales!$D$35/(Analisis_Inputs_Grales!$D$33/(Analisis_Inputs_Grales!$D$34/60))</f>
        <v>7.656428571428571E-2</v>
      </c>
      <c r="N118" s="25">
        <f>Analisis_Inputs_Grales!$D$35/(Analisis_Inputs_Grales!$D$33/(Analisis_Inputs_Grales!$D$34/60))</f>
        <v>7.656428571428571E-2</v>
      </c>
      <c r="O118" s="25">
        <f>Analisis_Inputs_Grales!$D$35/(Analisis_Inputs_Grales!$D$33/(Analisis_Inputs_Grales!$D$34/60))</f>
        <v>7.656428571428571E-2</v>
      </c>
      <c r="P118" s="25">
        <f>Analisis_Inputs_Grales!$D$35/(Analisis_Inputs_Grales!$D$33/(Analisis_Inputs_Grales!$D$34/60))</f>
        <v>7.656428571428571E-2</v>
      </c>
      <c r="Q118" s="25">
        <f>Analisis_Inputs_Grales!$D$35/(Analisis_Inputs_Grales!$D$33/(Analisis_Inputs_Grales!$D$34/60))</f>
        <v>7.656428571428571E-2</v>
      </c>
      <c r="R118" s="25">
        <f>Analisis_Inputs_Grales!$D$35/(Analisis_Inputs_Grales!$D$33/(Analisis_Inputs_Grales!$D$34/60))</f>
        <v>7.656428571428571E-2</v>
      </c>
      <c r="S118" s="25">
        <f>Analisis_Inputs_Grales!$D$35/(Analisis_Inputs_Grales!$D$33/(Analisis_Inputs_Grales!$D$34/60))</f>
        <v>7.656428571428571E-2</v>
      </c>
      <c r="T118" s="25">
        <f>Analisis_Inputs_Grales!$D$35/(Analisis_Inputs_Grales!$D$33/(Analisis_Inputs_Grales!$D$34/60))</f>
        <v>7.656428571428571E-2</v>
      </c>
      <c r="U118" s="25">
        <f>Analisis_Inputs_Grales!$D$35/(Analisis_Inputs_Grales!$D$33/(Analisis_Inputs_Grales!$D$34/60))</f>
        <v>7.656428571428571E-2</v>
      </c>
      <c r="V118" s="25">
        <f>Analisis_Inputs_Grales!$D$35/(Analisis_Inputs_Grales!$D$33/(Analisis_Inputs_Grales!$D$34/60))</f>
        <v>7.656428571428571E-2</v>
      </c>
      <c r="W118" s="25">
        <f>Analisis_Inputs_Grales!$D$35/(Analisis_Inputs_Grales!$D$33/(Analisis_Inputs_Grales!$D$34/60))</f>
        <v>7.656428571428571E-2</v>
      </c>
    </row>
    <row r="119" spans="2:23" x14ac:dyDescent="0.2">
      <c r="B119" s="30" t="s">
        <v>92</v>
      </c>
      <c r="C119" s="31" t="s">
        <v>207</v>
      </c>
      <c r="D119" s="52">
        <f>D118*12*Analisis_Inputs_Grales!$D$21</f>
        <v>7938.1851428571426</v>
      </c>
      <c r="E119" s="52">
        <f>E118*12*Analisis_Inputs_Grales!$D$21</f>
        <v>7938.1851428571426</v>
      </c>
      <c r="F119" s="52">
        <f>F118*12*Analisis_Inputs_Grales!$D$21</f>
        <v>7938.1851428571426</v>
      </c>
      <c r="G119" s="52">
        <f>G118*12*Analisis_Inputs_Grales!$D$21</f>
        <v>7938.1851428571426</v>
      </c>
      <c r="H119" s="52">
        <f>H118*12*Analisis_Inputs_Grales!$D$21</f>
        <v>7938.1851428571426</v>
      </c>
      <c r="I119" s="52">
        <f>I118*12*Analisis_Inputs_Grales!$D$21</f>
        <v>7938.1851428571426</v>
      </c>
      <c r="J119" s="52">
        <f>J118*12*Analisis_Inputs_Grales!$D$21</f>
        <v>7938.1851428571426</v>
      </c>
      <c r="K119" s="52">
        <f>K118*12*Analisis_Inputs_Grales!$D$21</f>
        <v>7938.1851428571426</v>
      </c>
      <c r="L119" s="52">
        <f>L118*12*Analisis_Inputs_Grales!$D$21</f>
        <v>7938.1851428571426</v>
      </c>
      <c r="M119" s="52">
        <f>M118*12*Analisis_Inputs_Grales!$D$21</f>
        <v>7938.1851428571426</v>
      </c>
      <c r="N119" s="52">
        <f>N118*12*Analisis_Inputs_Grales!$D$21</f>
        <v>7938.1851428571426</v>
      </c>
      <c r="O119" s="52">
        <f>O118*12*Analisis_Inputs_Grales!$D$21</f>
        <v>7938.1851428571426</v>
      </c>
      <c r="P119" s="52">
        <f>P118*12*Analisis_Inputs_Grales!$D$21</f>
        <v>7938.1851428571426</v>
      </c>
      <c r="Q119" s="52">
        <f>Q118*12*Analisis_Inputs_Grales!$D$21</f>
        <v>7938.1851428571426</v>
      </c>
      <c r="R119" s="52">
        <f>R118*12*Analisis_Inputs_Grales!$D$21</f>
        <v>7938.1851428571426</v>
      </c>
      <c r="S119" s="52">
        <f>S118*12*Analisis_Inputs_Grales!$D$21</f>
        <v>7938.1851428571426</v>
      </c>
      <c r="T119" s="52">
        <f>T118*12*Analisis_Inputs_Grales!$D$21</f>
        <v>7938.1851428571426</v>
      </c>
      <c r="U119" s="52">
        <f>U118*12*Analisis_Inputs_Grales!$D$21</f>
        <v>7938.1851428571426</v>
      </c>
      <c r="V119" s="52">
        <f>V118*12*Analisis_Inputs_Grales!$D$21</f>
        <v>7938.1851428571426</v>
      </c>
      <c r="W119" s="52">
        <f>W118*12*Analisis_Inputs_Grales!$D$21</f>
        <v>7938.1851428571426</v>
      </c>
    </row>
    <row r="120" spans="2:23" x14ac:dyDescent="0.2">
      <c r="B120" s="28" t="s">
        <v>93</v>
      </c>
      <c r="C120" s="29" t="s">
        <v>452</v>
      </c>
      <c r="D120" s="74">
        <f>Analisis_Inputs_Grales!$D$36*'Analisis 20Años'!D118</f>
        <v>1.1484642857142856E-2</v>
      </c>
      <c r="E120" s="74">
        <f>Analisis_Inputs_Grales!$D$36*'Analisis 20Años'!E118</f>
        <v>1.1484642857142856E-2</v>
      </c>
      <c r="F120" s="74">
        <f>Analisis_Inputs_Grales!$D$36*'Analisis 20Años'!F118</f>
        <v>1.1484642857142856E-2</v>
      </c>
      <c r="G120" s="74">
        <f>Analisis_Inputs_Grales!$D$36*'Analisis 20Años'!G118</f>
        <v>1.1484642857142856E-2</v>
      </c>
      <c r="H120" s="74">
        <f>Analisis_Inputs_Grales!$D$36*'Analisis 20Años'!H118</f>
        <v>1.1484642857142856E-2</v>
      </c>
      <c r="I120" s="74">
        <f>Analisis_Inputs_Grales!$D$36*'Analisis 20Años'!I118</f>
        <v>1.1484642857142856E-2</v>
      </c>
      <c r="J120" s="74">
        <f>Analisis_Inputs_Grales!$D$36*'Analisis 20Años'!J118</f>
        <v>1.1484642857142856E-2</v>
      </c>
      <c r="K120" s="74">
        <f>Analisis_Inputs_Grales!$D$36*'Analisis 20Años'!K118</f>
        <v>1.1484642857142856E-2</v>
      </c>
      <c r="L120" s="74">
        <f>Analisis_Inputs_Grales!$D$36*'Analisis 20Años'!L118</f>
        <v>1.1484642857142856E-2</v>
      </c>
      <c r="M120" s="74">
        <f>Analisis_Inputs_Grales!$D$36*'Analisis 20Años'!M118</f>
        <v>1.1484642857142856E-2</v>
      </c>
      <c r="N120" s="74">
        <f>Analisis_Inputs_Grales!$D$36*'Analisis 20Años'!N118</f>
        <v>1.1484642857142856E-2</v>
      </c>
      <c r="O120" s="74">
        <f>Analisis_Inputs_Grales!$D$36*'Analisis 20Años'!O118</f>
        <v>1.1484642857142856E-2</v>
      </c>
      <c r="P120" s="74">
        <f>Analisis_Inputs_Grales!$D$36*'Analisis 20Años'!P118</f>
        <v>1.1484642857142856E-2</v>
      </c>
      <c r="Q120" s="74">
        <f>Analisis_Inputs_Grales!$D$36*'Analisis 20Años'!Q118</f>
        <v>1.1484642857142856E-2</v>
      </c>
      <c r="R120" s="74">
        <f>Analisis_Inputs_Grales!$D$36*'Analisis 20Años'!R118</f>
        <v>1.1484642857142856E-2</v>
      </c>
      <c r="S120" s="74">
        <f>Analisis_Inputs_Grales!$D$36*'Analisis 20Años'!S118</f>
        <v>1.1484642857142856E-2</v>
      </c>
      <c r="T120" s="74">
        <f>Analisis_Inputs_Grales!$D$36*'Analisis 20Años'!T118</f>
        <v>1.1484642857142856E-2</v>
      </c>
      <c r="U120" s="74">
        <f>Analisis_Inputs_Grales!$D$36*'Analisis 20Años'!U118</f>
        <v>1.1484642857142856E-2</v>
      </c>
      <c r="V120" s="74">
        <f>Analisis_Inputs_Grales!$D$36*'Analisis 20Años'!V118</f>
        <v>1.1484642857142856E-2</v>
      </c>
      <c r="W120" s="74">
        <f>Analisis_Inputs_Grales!$D$36*'Analisis 20Años'!W118</f>
        <v>1.1484642857142856E-2</v>
      </c>
    </row>
    <row r="121" spans="2:23" x14ac:dyDescent="0.2">
      <c r="B121" s="30" t="s">
        <v>93</v>
      </c>
      <c r="C121" s="31" t="s">
        <v>207</v>
      </c>
      <c r="D121" s="52">
        <f>D120*12*Analisis_Inputs_Grales!$D$21</f>
        <v>1190.7277714285713</v>
      </c>
      <c r="E121" s="52">
        <f>E120*12*Analisis_Inputs_Grales!$D$21</f>
        <v>1190.7277714285713</v>
      </c>
      <c r="F121" s="52">
        <f>F120*12*Analisis_Inputs_Grales!$D$21</f>
        <v>1190.7277714285713</v>
      </c>
      <c r="G121" s="52">
        <f>G120*12*Analisis_Inputs_Grales!$D$21</f>
        <v>1190.7277714285713</v>
      </c>
      <c r="H121" s="52">
        <f>H120*12*Analisis_Inputs_Grales!$D$21</f>
        <v>1190.7277714285713</v>
      </c>
      <c r="I121" s="52">
        <f>I120*12*Analisis_Inputs_Grales!$D$21</f>
        <v>1190.7277714285713</v>
      </c>
      <c r="J121" s="52">
        <f>J120*12*Analisis_Inputs_Grales!$D$21</f>
        <v>1190.7277714285713</v>
      </c>
      <c r="K121" s="52">
        <f>K120*12*Analisis_Inputs_Grales!$D$21</f>
        <v>1190.7277714285713</v>
      </c>
      <c r="L121" s="52">
        <f>L120*12*Analisis_Inputs_Grales!$D$21</f>
        <v>1190.7277714285713</v>
      </c>
      <c r="M121" s="52">
        <f>M120*12*Analisis_Inputs_Grales!$D$21</f>
        <v>1190.7277714285713</v>
      </c>
      <c r="N121" s="52">
        <f>N120*12*Analisis_Inputs_Grales!$D$21</f>
        <v>1190.7277714285713</v>
      </c>
      <c r="O121" s="52">
        <f>O120*12*Analisis_Inputs_Grales!$D$21</f>
        <v>1190.7277714285713</v>
      </c>
      <c r="P121" s="52">
        <f>P120*12*Analisis_Inputs_Grales!$D$21</f>
        <v>1190.7277714285713</v>
      </c>
      <c r="Q121" s="52">
        <f>Q120*12*Analisis_Inputs_Grales!$D$21</f>
        <v>1190.7277714285713</v>
      </c>
      <c r="R121" s="52">
        <f>R120*12*Analisis_Inputs_Grales!$D$21</f>
        <v>1190.7277714285713</v>
      </c>
      <c r="S121" s="52">
        <f>S120*12*Analisis_Inputs_Grales!$D$21</f>
        <v>1190.7277714285713</v>
      </c>
      <c r="T121" s="52">
        <f>T120*12*Analisis_Inputs_Grales!$D$21</f>
        <v>1190.7277714285713</v>
      </c>
      <c r="U121" s="52">
        <f>U120*12*Analisis_Inputs_Grales!$D$21</f>
        <v>1190.7277714285713</v>
      </c>
      <c r="V121" s="52">
        <f>V120*12*Analisis_Inputs_Grales!$D$21</f>
        <v>1190.7277714285713</v>
      </c>
      <c r="W121" s="52">
        <f>W120*12*Analisis_Inputs_Grales!$D$21</f>
        <v>1190.7277714285713</v>
      </c>
    </row>
    <row r="122" spans="2:23" x14ac:dyDescent="0.2">
      <c r="B122" s="28" t="s">
        <v>94</v>
      </c>
      <c r="C122" s="29" t="s">
        <v>452</v>
      </c>
      <c r="D122" s="74">
        <f>Analisis_Inputs_Grales!$D$37*('Analisis 20Años'!D120+'Analisis 20Años'!D118)</f>
        <v>3.5219571428571426E-2</v>
      </c>
      <c r="E122" s="74">
        <f>Analisis_Inputs_Grales!$D$37*('Analisis 20Años'!E120+'Analisis 20Años'!E118)</f>
        <v>3.5219571428571426E-2</v>
      </c>
      <c r="F122" s="74">
        <f>Analisis_Inputs_Grales!$D$37*('Analisis 20Años'!F120+'Analisis 20Años'!F118)</f>
        <v>3.5219571428571426E-2</v>
      </c>
      <c r="G122" s="74">
        <f>Analisis_Inputs_Grales!$D$37*('Analisis 20Años'!G120+'Analisis 20Años'!G118)</f>
        <v>3.5219571428571426E-2</v>
      </c>
      <c r="H122" s="74">
        <f>Analisis_Inputs_Grales!$D$37*('Analisis 20Años'!H120+'Analisis 20Años'!H118)</f>
        <v>3.5219571428571426E-2</v>
      </c>
      <c r="I122" s="74">
        <f>Analisis_Inputs_Grales!$D$37*('Analisis 20Años'!I120+'Analisis 20Años'!I118)</f>
        <v>3.5219571428571426E-2</v>
      </c>
      <c r="J122" s="74">
        <f>Analisis_Inputs_Grales!$D$37*('Analisis 20Años'!J120+'Analisis 20Años'!J118)</f>
        <v>3.5219571428571426E-2</v>
      </c>
      <c r="K122" s="74">
        <f>Analisis_Inputs_Grales!$D$37*('Analisis 20Años'!K120+'Analisis 20Años'!K118)</f>
        <v>3.5219571428571426E-2</v>
      </c>
      <c r="L122" s="74">
        <f>Analisis_Inputs_Grales!$D$37*('Analisis 20Años'!L120+'Analisis 20Años'!L118)</f>
        <v>3.5219571428571426E-2</v>
      </c>
      <c r="M122" s="74">
        <f>Analisis_Inputs_Grales!$D$37*('Analisis 20Años'!M120+'Analisis 20Años'!M118)</f>
        <v>3.5219571428571426E-2</v>
      </c>
      <c r="N122" s="74">
        <f>Analisis_Inputs_Grales!$D$37*('Analisis 20Años'!N120+'Analisis 20Años'!N118)</f>
        <v>3.5219571428571426E-2</v>
      </c>
      <c r="O122" s="74">
        <f>Analisis_Inputs_Grales!$D$37*('Analisis 20Años'!O120+'Analisis 20Años'!O118)</f>
        <v>3.5219571428571426E-2</v>
      </c>
      <c r="P122" s="74">
        <f>Analisis_Inputs_Grales!$D$37*('Analisis 20Años'!P120+'Analisis 20Años'!P118)</f>
        <v>3.5219571428571426E-2</v>
      </c>
      <c r="Q122" s="74">
        <f>Analisis_Inputs_Grales!$D$37*('Analisis 20Años'!Q120+'Analisis 20Años'!Q118)</f>
        <v>3.5219571428571426E-2</v>
      </c>
      <c r="R122" s="74">
        <f>Analisis_Inputs_Grales!$D$37*('Analisis 20Años'!R120+'Analisis 20Años'!R118)</f>
        <v>3.5219571428571426E-2</v>
      </c>
      <c r="S122" s="74">
        <f>Analisis_Inputs_Grales!$D$37*('Analisis 20Años'!S120+'Analisis 20Años'!S118)</f>
        <v>3.5219571428571426E-2</v>
      </c>
      <c r="T122" s="74">
        <f>Analisis_Inputs_Grales!$D$37*('Analisis 20Años'!T120+'Analisis 20Años'!T118)</f>
        <v>3.5219571428571426E-2</v>
      </c>
      <c r="U122" s="74">
        <f>Analisis_Inputs_Grales!$D$37*('Analisis 20Años'!U120+'Analisis 20Años'!U118)</f>
        <v>3.5219571428571426E-2</v>
      </c>
      <c r="V122" s="74">
        <f>Analisis_Inputs_Grales!$D$37*('Analisis 20Años'!V120+'Analisis 20Años'!V118)</f>
        <v>3.5219571428571426E-2</v>
      </c>
      <c r="W122" s="74">
        <f>Analisis_Inputs_Grales!$D$37*('Analisis 20Años'!W120+'Analisis 20Años'!W118)</f>
        <v>3.5219571428571426E-2</v>
      </c>
    </row>
    <row r="123" spans="2:23" x14ac:dyDescent="0.2">
      <c r="B123" s="30" t="s">
        <v>94</v>
      </c>
      <c r="C123" s="31" t="s">
        <v>207</v>
      </c>
      <c r="D123" s="52">
        <f>D122*12*Analisis_Inputs_Grales!$D$21</f>
        <v>3651.5651657142853</v>
      </c>
      <c r="E123" s="52">
        <f>E122*12*Analisis_Inputs_Grales!$D$21</f>
        <v>3651.5651657142853</v>
      </c>
      <c r="F123" s="52">
        <f>F122*12*Analisis_Inputs_Grales!$D$21</f>
        <v>3651.5651657142853</v>
      </c>
      <c r="G123" s="52">
        <f>G122*12*Analisis_Inputs_Grales!$D$21</f>
        <v>3651.5651657142853</v>
      </c>
      <c r="H123" s="52">
        <f>H122*12*Analisis_Inputs_Grales!$D$21</f>
        <v>3651.5651657142853</v>
      </c>
      <c r="I123" s="52">
        <f>I122*12*Analisis_Inputs_Grales!$D$21</f>
        <v>3651.5651657142853</v>
      </c>
      <c r="J123" s="52">
        <f>J122*12*Analisis_Inputs_Grales!$D$21</f>
        <v>3651.5651657142853</v>
      </c>
      <c r="K123" s="52">
        <f>K122*12*Analisis_Inputs_Grales!$D$21</f>
        <v>3651.5651657142853</v>
      </c>
      <c r="L123" s="52">
        <f>L122*12*Analisis_Inputs_Grales!$D$21</f>
        <v>3651.5651657142853</v>
      </c>
      <c r="M123" s="52">
        <f>M122*12*Analisis_Inputs_Grales!$D$21</f>
        <v>3651.5651657142853</v>
      </c>
      <c r="N123" s="52">
        <f>N122*12*Analisis_Inputs_Grales!$D$21</f>
        <v>3651.5651657142853</v>
      </c>
      <c r="O123" s="52">
        <f>O122*12*Analisis_Inputs_Grales!$D$21</f>
        <v>3651.5651657142853</v>
      </c>
      <c r="P123" s="52">
        <f>P122*12*Analisis_Inputs_Grales!$D$21</f>
        <v>3651.5651657142853</v>
      </c>
      <c r="Q123" s="52">
        <f>Q122*12*Analisis_Inputs_Grales!$D$21</f>
        <v>3651.5651657142853</v>
      </c>
      <c r="R123" s="52">
        <f>R122*12*Analisis_Inputs_Grales!$D$21</f>
        <v>3651.5651657142853</v>
      </c>
      <c r="S123" s="52">
        <f>S122*12*Analisis_Inputs_Grales!$D$21</f>
        <v>3651.5651657142853</v>
      </c>
      <c r="T123" s="52">
        <f>T122*12*Analisis_Inputs_Grales!$D$21</f>
        <v>3651.5651657142853</v>
      </c>
      <c r="U123" s="52">
        <f>U122*12*Analisis_Inputs_Grales!$D$21</f>
        <v>3651.5651657142853</v>
      </c>
      <c r="V123" s="52">
        <f>V122*12*Analisis_Inputs_Grales!$D$21</f>
        <v>3651.5651657142853</v>
      </c>
      <c r="W123" s="52">
        <f>W122*12*Analisis_Inputs_Grales!$D$21</f>
        <v>3651.5651657142853</v>
      </c>
    </row>
    <row r="124" spans="2:23" x14ac:dyDescent="0.2">
      <c r="B124" s="28" t="s">
        <v>95</v>
      </c>
      <c r="C124" s="29" t="s">
        <v>452</v>
      </c>
      <c r="D124" s="74">
        <f>D122+D120+D118</f>
        <v>0.12326849999999999</v>
      </c>
      <c r="E124" s="74">
        <f t="shared" ref="E124:G124" si="36">E122+E120+E118</f>
        <v>0.12326849999999999</v>
      </c>
      <c r="F124" s="74">
        <f t="shared" si="36"/>
        <v>0.12326849999999999</v>
      </c>
      <c r="G124" s="74">
        <f t="shared" si="36"/>
        <v>0.12326849999999999</v>
      </c>
      <c r="H124" s="74">
        <f t="shared" ref="H124:W124" si="37">H122+H120+H118</f>
        <v>0.12326849999999999</v>
      </c>
      <c r="I124" s="74">
        <f t="shared" si="37"/>
        <v>0.12326849999999999</v>
      </c>
      <c r="J124" s="74">
        <f t="shared" si="37"/>
        <v>0.12326849999999999</v>
      </c>
      <c r="K124" s="74">
        <f t="shared" si="37"/>
        <v>0.12326849999999999</v>
      </c>
      <c r="L124" s="74">
        <f t="shared" si="37"/>
        <v>0.12326849999999999</v>
      </c>
      <c r="M124" s="74">
        <f t="shared" si="37"/>
        <v>0.12326849999999999</v>
      </c>
      <c r="N124" s="74">
        <f t="shared" si="37"/>
        <v>0.12326849999999999</v>
      </c>
      <c r="O124" s="74">
        <f t="shared" si="37"/>
        <v>0.12326849999999999</v>
      </c>
      <c r="P124" s="74">
        <f t="shared" si="37"/>
        <v>0.12326849999999999</v>
      </c>
      <c r="Q124" s="74">
        <f t="shared" si="37"/>
        <v>0.12326849999999999</v>
      </c>
      <c r="R124" s="74">
        <f t="shared" si="37"/>
        <v>0.12326849999999999</v>
      </c>
      <c r="S124" s="74">
        <f t="shared" si="37"/>
        <v>0.12326849999999999</v>
      </c>
      <c r="T124" s="74">
        <f t="shared" si="37"/>
        <v>0.12326849999999999</v>
      </c>
      <c r="U124" s="74">
        <f t="shared" si="37"/>
        <v>0.12326849999999999</v>
      </c>
      <c r="V124" s="74">
        <f t="shared" si="37"/>
        <v>0.12326849999999999</v>
      </c>
      <c r="W124" s="74">
        <f t="shared" si="37"/>
        <v>0.12326849999999999</v>
      </c>
    </row>
    <row r="125" spans="2:23" x14ac:dyDescent="0.2">
      <c r="B125" s="32" t="s">
        <v>95</v>
      </c>
      <c r="C125" s="31" t="s">
        <v>207</v>
      </c>
      <c r="D125" s="52">
        <f>D123+D121+D119</f>
        <v>12780.478079999999</v>
      </c>
      <c r="E125" s="52">
        <f t="shared" ref="E125:G125" si="38">E123+E121+E119</f>
        <v>12780.478079999999</v>
      </c>
      <c r="F125" s="52">
        <f t="shared" si="38"/>
        <v>12780.478079999999</v>
      </c>
      <c r="G125" s="52">
        <f t="shared" si="38"/>
        <v>12780.478079999999</v>
      </c>
      <c r="H125" s="52">
        <f t="shared" ref="H125:W125" si="39">H123+H121+H119</f>
        <v>12780.478079999999</v>
      </c>
      <c r="I125" s="52">
        <f t="shared" si="39"/>
        <v>12780.478079999999</v>
      </c>
      <c r="J125" s="52">
        <f t="shared" si="39"/>
        <v>12780.478079999999</v>
      </c>
      <c r="K125" s="52">
        <f t="shared" si="39"/>
        <v>12780.478079999999</v>
      </c>
      <c r="L125" s="52">
        <f t="shared" si="39"/>
        <v>12780.478079999999</v>
      </c>
      <c r="M125" s="52">
        <f t="shared" si="39"/>
        <v>12780.478079999999</v>
      </c>
      <c r="N125" s="52">
        <f t="shared" si="39"/>
        <v>12780.478079999999</v>
      </c>
      <c r="O125" s="52">
        <f t="shared" si="39"/>
        <v>12780.478079999999</v>
      </c>
      <c r="P125" s="52">
        <f t="shared" si="39"/>
        <v>12780.478079999999</v>
      </c>
      <c r="Q125" s="52">
        <f t="shared" si="39"/>
        <v>12780.478079999999</v>
      </c>
      <c r="R125" s="52">
        <f t="shared" si="39"/>
        <v>12780.478079999999</v>
      </c>
      <c r="S125" s="52">
        <f t="shared" si="39"/>
        <v>12780.478079999999</v>
      </c>
      <c r="T125" s="52">
        <f t="shared" si="39"/>
        <v>12780.478079999999</v>
      </c>
      <c r="U125" s="52">
        <f t="shared" si="39"/>
        <v>12780.478079999999</v>
      </c>
      <c r="V125" s="52">
        <f t="shared" si="39"/>
        <v>12780.478079999999</v>
      </c>
      <c r="W125" s="52">
        <f t="shared" si="39"/>
        <v>12780.478079999999</v>
      </c>
    </row>
    <row r="126" spans="2:23" x14ac:dyDescent="0.2">
      <c r="B126" s="34"/>
    </row>
    <row r="127" spans="2:23" x14ac:dyDescent="0.2">
      <c r="B127" s="35" t="s">
        <v>96</v>
      </c>
      <c r="C127" s="36" t="s">
        <v>452</v>
      </c>
      <c r="D127" s="74">
        <f>+D114+D124</f>
        <v>0.85911385757707381</v>
      </c>
      <c r="E127" s="74">
        <f t="shared" ref="E127:G127" si="40">+E114+E124</f>
        <v>0.85911385757707381</v>
      </c>
      <c r="F127" s="74">
        <f t="shared" si="40"/>
        <v>0.85911385757707381</v>
      </c>
      <c r="G127" s="74">
        <f t="shared" si="40"/>
        <v>0.85911385757707381</v>
      </c>
      <c r="H127" s="74">
        <f t="shared" ref="H127:W127" si="41">+H114+H124</f>
        <v>0.85911385757707381</v>
      </c>
      <c r="I127" s="74">
        <f t="shared" si="41"/>
        <v>0.85911385757707381</v>
      </c>
      <c r="J127" s="74">
        <f t="shared" si="41"/>
        <v>0.85911385757707381</v>
      </c>
      <c r="K127" s="74">
        <f t="shared" si="41"/>
        <v>0.85911385757707381</v>
      </c>
      <c r="L127" s="74">
        <f t="shared" si="41"/>
        <v>0.85911385757707381</v>
      </c>
      <c r="M127" s="74">
        <f t="shared" si="41"/>
        <v>0.85911385757707381</v>
      </c>
      <c r="N127" s="74">
        <f t="shared" si="41"/>
        <v>0.85911385757707381</v>
      </c>
      <c r="O127" s="74">
        <f t="shared" si="41"/>
        <v>0.85911385757707381</v>
      </c>
      <c r="P127" s="74">
        <f t="shared" si="41"/>
        <v>0.85911385757707381</v>
      </c>
      <c r="Q127" s="74">
        <f t="shared" si="41"/>
        <v>0.85911385757707381</v>
      </c>
      <c r="R127" s="74">
        <f t="shared" si="41"/>
        <v>0.85911385757707381</v>
      </c>
      <c r="S127" s="74">
        <f t="shared" si="41"/>
        <v>0.85911385757707381</v>
      </c>
      <c r="T127" s="74">
        <f t="shared" si="41"/>
        <v>0.85911385757707381</v>
      </c>
      <c r="U127" s="74">
        <f t="shared" si="41"/>
        <v>0.85911385757707381</v>
      </c>
      <c r="V127" s="74">
        <f t="shared" si="41"/>
        <v>0.85911385757707381</v>
      </c>
      <c r="W127" s="74">
        <f t="shared" si="41"/>
        <v>0.85911385757707381</v>
      </c>
    </row>
    <row r="128" spans="2:23" x14ac:dyDescent="0.2">
      <c r="B128" s="37" t="s">
        <v>96</v>
      </c>
      <c r="C128" s="38" t="s">
        <v>207</v>
      </c>
      <c r="D128" s="52">
        <f>D127*12*Analisis_Inputs_Grales!$D$21</f>
        <v>89072.924753591011</v>
      </c>
      <c r="E128" s="52">
        <f>E127*12*Analisis_Inputs_Grales!$D$21</f>
        <v>89072.924753591011</v>
      </c>
      <c r="F128" s="52">
        <f>F127*12*Analisis_Inputs_Grales!$D$21</f>
        <v>89072.924753591011</v>
      </c>
      <c r="G128" s="52">
        <f>G127*12*Analisis_Inputs_Grales!$D$21</f>
        <v>89072.924753591011</v>
      </c>
      <c r="H128" s="52">
        <f>H127*12*Analisis_Inputs_Grales!$D$21</f>
        <v>89072.924753591011</v>
      </c>
      <c r="I128" s="52">
        <f>I127*12*Analisis_Inputs_Grales!$D$21</f>
        <v>89072.924753591011</v>
      </c>
      <c r="J128" s="52">
        <f>J127*12*Analisis_Inputs_Grales!$D$21</f>
        <v>89072.924753591011</v>
      </c>
      <c r="K128" s="52">
        <f>K127*12*Analisis_Inputs_Grales!$D$21</f>
        <v>89072.924753591011</v>
      </c>
      <c r="L128" s="52">
        <f>L127*12*Analisis_Inputs_Grales!$D$21</f>
        <v>89072.924753591011</v>
      </c>
      <c r="M128" s="52">
        <f>M127*12*Analisis_Inputs_Grales!$D$21</f>
        <v>89072.924753591011</v>
      </c>
      <c r="N128" s="52">
        <f>N127*12*Analisis_Inputs_Grales!$D$21</f>
        <v>89072.924753591011</v>
      </c>
      <c r="O128" s="52">
        <f>O127*12*Analisis_Inputs_Grales!$D$21</f>
        <v>89072.924753591011</v>
      </c>
      <c r="P128" s="52">
        <f>P127*12*Analisis_Inputs_Grales!$D$21</f>
        <v>89072.924753591011</v>
      </c>
      <c r="Q128" s="52">
        <f>Q127*12*Analisis_Inputs_Grales!$D$21</f>
        <v>89072.924753591011</v>
      </c>
      <c r="R128" s="52">
        <f>R127*12*Analisis_Inputs_Grales!$D$21</f>
        <v>89072.924753591011</v>
      </c>
      <c r="S128" s="52">
        <f>S127*12*Analisis_Inputs_Grales!$D$21</f>
        <v>89072.924753591011</v>
      </c>
      <c r="T128" s="52">
        <f>T127*12*Analisis_Inputs_Grales!$D$21</f>
        <v>89072.924753591011</v>
      </c>
      <c r="U128" s="52">
        <f>U127*12*Analisis_Inputs_Grales!$D$21</f>
        <v>89072.924753591011</v>
      </c>
      <c r="V128" s="52">
        <f>V127*12*Analisis_Inputs_Grales!$D$21</f>
        <v>89072.924753591011</v>
      </c>
      <c r="W128" s="52">
        <f>W127*12*Analisis_Inputs_Grales!$D$21</f>
        <v>89072.924753591011</v>
      </c>
    </row>
    <row r="129" spans="2:23" x14ac:dyDescent="0.2">
      <c r="B129" s="39"/>
      <c r="C129" s="40"/>
    </row>
    <row r="130" spans="2:23" x14ac:dyDescent="0.2">
      <c r="B130" s="41" t="s">
        <v>97</v>
      </c>
      <c r="C130" s="36" t="s">
        <v>453</v>
      </c>
      <c r="D130" s="74">
        <f>D127/Analisis_Inputs_Grales!$D$26</f>
        <v>0.1431856429295123</v>
      </c>
      <c r="E130" s="74">
        <f>E127/Analisis_Inputs_Grales!$D$26</f>
        <v>0.1431856429295123</v>
      </c>
      <c r="F130" s="74">
        <f>F127/Analisis_Inputs_Grales!$D$26</f>
        <v>0.1431856429295123</v>
      </c>
      <c r="G130" s="74">
        <f>G127/Analisis_Inputs_Grales!$D$26</f>
        <v>0.1431856429295123</v>
      </c>
      <c r="H130" s="74">
        <f>H127/Analisis_Inputs_Grales!$D$26</f>
        <v>0.1431856429295123</v>
      </c>
      <c r="I130" s="74">
        <f>I127/Analisis_Inputs_Grales!$D$26</f>
        <v>0.1431856429295123</v>
      </c>
      <c r="J130" s="74">
        <f>J127/Analisis_Inputs_Grales!$D$26</f>
        <v>0.1431856429295123</v>
      </c>
      <c r="K130" s="74">
        <f>K127/Analisis_Inputs_Grales!$D$26</f>
        <v>0.1431856429295123</v>
      </c>
      <c r="L130" s="74">
        <f>L127/Analisis_Inputs_Grales!$D$26</f>
        <v>0.1431856429295123</v>
      </c>
      <c r="M130" s="74">
        <f>M127/Analisis_Inputs_Grales!$D$26</f>
        <v>0.1431856429295123</v>
      </c>
      <c r="N130" s="74">
        <f>N127/Analisis_Inputs_Grales!$D$26</f>
        <v>0.1431856429295123</v>
      </c>
      <c r="O130" s="74">
        <f>O127/Analisis_Inputs_Grales!$D$26</f>
        <v>0.1431856429295123</v>
      </c>
      <c r="P130" s="74">
        <f>P127/Analisis_Inputs_Grales!$D$26</f>
        <v>0.1431856429295123</v>
      </c>
      <c r="Q130" s="74">
        <f>Q127/Analisis_Inputs_Grales!$D$26</f>
        <v>0.1431856429295123</v>
      </c>
      <c r="R130" s="74">
        <f>R127/Analisis_Inputs_Grales!$D$26</f>
        <v>0.1431856429295123</v>
      </c>
      <c r="S130" s="74">
        <f>S127/Analisis_Inputs_Grales!$D$26</f>
        <v>0.1431856429295123</v>
      </c>
      <c r="T130" s="74">
        <f>T127/Analisis_Inputs_Grales!$D$26</f>
        <v>0.1431856429295123</v>
      </c>
      <c r="U130" s="74">
        <f>U127/Analisis_Inputs_Grales!$D$26</f>
        <v>0.1431856429295123</v>
      </c>
      <c r="V130" s="74">
        <f>V127/Analisis_Inputs_Grales!$D$26</f>
        <v>0.1431856429295123</v>
      </c>
      <c r="W130" s="74">
        <f>W127/Analisis_Inputs_Grales!$D$26</f>
        <v>0.1431856429295123</v>
      </c>
    </row>
    <row r="131" spans="2:23" x14ac:dyDescent="0.2">
      <c r="B131" s="34" t="s">
        <v>98</v>
      </c>
      <c r="C131" s="31" t="s">
        <v>454</v>
      </c>
      <c r="D131" s="52">
        <f>D130*12*Analisis_Inputs_Grales!$D$21</f>
        <v>14845.487458931835</v>
      </c>
      <c r="E131" s="52">
        <f>E130*12*Analisis_Inputs_Grales!$D$21</f>
        <v>14845.487458931835</v>
      </c>
      <c r="F131" s="52">
        <f>F130*12*Analisis_Inputs_Grales!$D$21</f>
        <v>14845.487458931835</v>
      </c>
      <c r="G131" s="52">
        <f>G130*12*Analisis_Inputs_Grales!$D$21</f>
        <v>14845.487458931835</v>
      </c>
      <c r="H131" s="52">
        <f>H130*12*Analisis_Inputs_Grales!$D$21</f>
        <v>14845.487458931835</v>
      </c>
      <c r="I131" s="52">
        <f>I130*12*Analisis_Inputs_Grales!$D$21</f>
        <v>14845.487458931835</v>
      </c>
      <c r="J131" s="52">
        <f>J130*12*Analisis_Inputs_Grales!$D$21</f>
        <v>14845.487458931835</v>
      </c>
      <c r="K131" s="52">
        <f>K130*12*Analisis_Inputs_Grales!$D$21</f>
        <v>14845.487458931835</v>
      </c>
      <c r="L131" s="52">
        <f>L130*12*Analisis_Inputs_Grales!$D$21</f>
        <v>14845.487458931835</v>
      </c>
      <c r="M131" s="52">
        <f>M130*12*Analisis_Inputs_Grales!$D$21</f>
        <v>14845.487458931835</v>
      </c>
      <c r="N131" s="52">
        <f>N130*12*Analisis_Inputs_Grales!$D$21</f>
        <v>14845.487458931835</v>
      </c>
      <c r="O131" s="52">
        <f>O130*12*Analisis_Inputs_Grales!$D$21</f>
        <v>14845.487458931835</v>
      </c>
      <c r="P131" s="52">
        <f>P130*12*Analisis_Inputs_Grales!$D$21</f>
        <v>14845.487458931835</v>
      </c>
      <c r="Q131" s="52">
        <f>Q130*12*Analisis_Inputs_Grales!$D$21</f>
        <v>14845.487458931835</v>
      </c>
      <c r="R131" s="52">
        <f>R130*12*Analisis_Inputs_Grales!$D$21</f>
        <v>14845.487458931835</v>
      </c>
      <c r="S131" s="52">
        <f>S130*12*Analisis_Inputs_Grales!$D$21</f>
        <v>14845.487458931835</v>
      </c>
      <c r="T131" s="52">
        <f>T130*12*Analisis_Inputs_Grales!$D$21</f>
        <v>14845.487458931835</v>
      </c>
      <c r="U131" s="52">
        <f>U130*12*Analisis_Inputs_Grales!$D$21</f>
        <v>14845.487458931835</v>
      </c>
      <c r="V131" s="52">
        <f>V130*12*Analisis_Inputs_Grales!$D$21</f>
        <v>14845.487458931835</v>
      </c>
      <c r="W131" s="52">
        <f>W130*12*Analisis_Inputs_Grales!$D$21</f>
        <v>14845.487458931835</v>
      </c>
    </row>
    <row r="132" spans="2:23" x14ac:dyDescent="0.2">
      <c r="B132" s="34" t="s">
        <v>123</v>
      </c>
      <c r="C132" s="31" t="s">
        <v>455</v>
      </c>
      <c r="D132" s="74">
        <f>+D130/(Analisis_Inputs_Grales!$D$34/60)</f>
        <v>0.16831225869128233</v>
      </c>
      <c r="E132" s="74">
        <f>+E130/(Analisis_Inputs_Grales!$D$34/60)</f>
        <v>0.16831225869128233</v>
      </c>
      <c r="F132" s="74">
        <f>+F130/(Analisis_Inputs_Grales!$D$34/60)</f>
        <v>0.16831225869128233</v>
      </c>
      <c r="G132" s="74">
        <f>+G130/(Analisis_Inputs_Grales!$D$34/60)</f>
        <v>0.16831225869128233</v>
      </c>
      <c r="H132" s="74">
        <f>+H130/(Analisis_Inputs_Grales!$D$34/60)</f>
        <v>0.16831225869128233</v>
      </c>
      <c r="I132" s="74">
        <f>+I130/(Analisis_Inputs_Grales!$D$34/60)</f>
        <v>0.16831225869128233</v>
      </c>
      <c r="J132" s="74">
        <f>+J130/(Analisis_Inputs_Grales!$D$34/60)</f>
        <v>0.16831225869128233</v>
      </c>
      <c r="K132" s="74">
        <f>+K130/(Analisis_Inputs_Grales!$D$34/60)</f>
        <v>0.16831225869128233</v>
      </c>
      <c r="L132" s="74">
        <f>+L130/(Analisis_Inputs_Grales!$D$34/60)</f>
        <v>0.16831225869128233</v>
      </c>
      <c r="M132" s="74">
        <f>+M130/(Analisis_Inputs_Grales!$D$34/60)</f>
        <v>0.16831225869128233</v>
      </c>
      <c r="N132" s="74">
        <f>+N130/(Analisis_Inputs_Grales!$D$34/60)</f>
        <v>0.16831225869128233</v>
      </c>
      <c r="O132" s="74">
        <f>+O130/(Analisis_Inputs_Grales!$D$34/60)</f>
        <v>0.16831225869128233</v>
      </c>
      <c r="P132" s="74">
        <f>+P130/(Analisis_Inputs_Grales!$D$34/60)</f>
        <v>0.16831225869128233</v>
      </c>
      <c r="Q132" s="74">
        <f>+Q130/(Analisis_Inputs_Grales!$D$34/60)</f>
        <v>0.16831225869128233</v>
      </c>
      <c r="R132" s="74">
        <f>+R130/(Analisis_Inputs_Grales!$D$34/60)</f>
        <v>0.16831225869128233</v>
      </c>
      <c r="S132" s="74">
        <f>+S130/(Analisis_Inputs_Grales!$D$34/60)</f>
        <v>0.16831225869128233</v>
      </c>
      <c r="T132" s="74">
        <f>+T130/(Analisis_Inputs_Grales!$D$34/60)</f>
        <v>0.16831225869128233</v>
      </c>
      <c r="U132" s="74">
        <f>+U130/(Analisis_Inputs_Grales!$D$34/60)</f>
        <v>0.16831225869128233</v>
      </c>
      <c r="V132" s="74">
        <f>+V130/(Analisis_Inputs_Grales!$D$34/60)</f>
        <v>0.16831225869128233</v>
      </c>
      <c r="W132" s="74">
        <f>+W130/(Analisis_Inputs_Grales!$D$34/60)</f>
        <v>0.16831225869128233</v>
      </c>
    </row>
    <row r="133" spans="2:23" x14ac:dyDescent="0.2">
      <c r="B133" s="34"/>
      <c r="C133" s="31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</row>
    <row r="134" spans="2:23" x14ac:dyDescent="0.2">
      <c r="B134" s="64" t="s">
        <v>124</v>
      </c>
      <c r="C134" s="65" t="s">
        <v>23</v>
      </c>
      <c r="D134" s="74">
        <f>(1+Analisis_Inputs_Grales!$D$127)^'Analisis 20Años'!D$3</f>
        <v>1</v>
      </c>
      <c r="E134" s="74">
        <f>(1+Analisis_Inputs_Grales!$D$127)^'Analisis 20Años'!E$3</f>
        <v>1.1200000000000001</v>
      </c>
      <c r="F134" s="74">
        <f>(1+Analisis_Inputs_Grales!$D$127)^'Analisis 20Años'!F$3</f>
        <v>1.2544000000000002</v>
      </c>
      <c r="G134" s="74">
        <f>(1+Analisis_Inputs_Grales!$D$127)^'Analisis 20Años'!G$3</f>
        <v>1.4049280000000004</v>
      </c>
      <c r="H134" s="74">
        <f>(1+Analisis_Inputs_Grales!$D$127)^'Analisis 20Años'!H$3</f>
        <v>1.5735193600000004</v>
      </c>
      <c r="I134" s="74">
        <f>(1+Analisis_Inputs_Grales!$D$127)^'Analisis 20Años'!I$3</f>
        <v>1.7623416832000005</v>
      </c>
      <c r="J134" s="74">
        <f>(1+Analisis_Inputs_Grales!$D$127)^'Analisis 20Años'!J$3</f>
        <v>1.9738226851840008</v>
      </c>
      <c r="K134" s="74">
        <f>(1+Analisis_Inputs_Grales!$D$127)^'Analisis 20Años'!K$3</f>
        <v>2.210681407406081</v>
      </c>
      <c r="L134" s="74">
        <f>(1+Analisis_Inputs_Grales!$D$127)^'Analisis 20Años'!L$3</f>
        <v>2.4759631762948109</v>
      </c>
      <c r="M134" s="74">
        <f>(1+Analisis_Inputs_Grales!$D$127)^'Analisis 20Años'!M$3</f>
        <v>2.7730787574501883</v>
      </c>
      <c r="N134" s="74">
        <f>(1+Analisis_Inputs_Grales!$D$127)^'Analisis 20Años'!N$3</f>
        <v>3.1058482083442112</v>
      </c>
      <c r="O134" s="74">
        <f>(1+Analisis_Inputs_Grales!$D$127)^'Analisis 20Años'!O$3</f>
        <v>3.4785499933455171</v>
      </c>
      <c r="P134" s="74">
        <f>(1+Analisis_Inputs_Grales!$D$127)^'Analisis 20Años'!P$3</f>
        <v>3.8959759925469788</v>
      </c>
      <c r="Q134" s="74">
        <f>(1+Analisis_Inputs_Grales!$D$127)^'Analisis 20Años'!Q$3</f>
        <v>4.363493111652617</v>
      </c>
      <c r="R134" s="74">
        <f>(1+Analisis_Inputs_Grales!$D$127)^'Analisis 20Años'!R$3</f>
        <v>4.8871122850509314</v>
      </c>
      <c r="S134" s="74">
        <f>(1+Analisis_Inputs_Grales!$D$127)^'Analisis 20Años'!S$3</f>
        <v>5.4735657592570428</v>
      </c>
      <c r="T134" s="74">
        <f>(1+Analisis_Inputs_Grales!$D$127)^'Analisis 20Años'!T$3</f>
        <v>6.1303936503678891</v>
      </c>
      <c r="U134" s="74">
        <f>(1+Analisis_Inputs_Grales!$D$127)^'Analisis 20Años'!U$3</f>
        <v>6.8660408884120363</v>
      </c>
      <c r="V134" s="74">
        <f>(1+Analisis_Inputs_Grales!$D$127)^'Analisis 20Años'!V$3</f>
        <v>7.6899657950214815</v>
      </c>
      <c r="W134" s="74">
        <f>(1+Analisis_Inputs_Grales!$D$127)^'Analisis 20Años'!W$3</f>
        <v>8.61276169042406</v>
      </c>
    </row>
    <row r="135" spans="2:23" x14ac:dyDescent="0.2">
      <c r="B135" s="64" t="s">
        <v>125</v>
      </c>
      <c r="C135" s="65" t="s">
        <v>455</v>
      </c>
      <c r="D135" s="74">
        <f>D132*D134</f>
        <v>0.16831225869128233</v>
      </c>
      <c r="E135" s="74">
        <f t="shared" ref="E135:W135" si="42">E132*E134</f>
        <v>0.18850972973423621</v>
      </c>
      <c r="F135" s="74">
        <f t="shared" si="42"/>
        <v>0.21113089730234458</v>
      </c>
      <c r="G135" s="74">
        <f t="shared" si="42"/>
        <v>0.23646660497862595</v>
      </c>
      <c r="H135" s="74">
        <f t="shared" si="42"/>
        <v>0.26484259757606105</v>
      </c>
      <c r="I135" s="74">
        <f t="shared" si="42"/>
        <v>0.29662370928518844</v>
      </c>
      <c r="J135" s="74">
        <f t="shared" si="42"/>
        <v>0.33221855439941106</v>
      </c>
      <c r="K135" s="74">
        <f t="shared" si="42"/>
        <v>0.37208478092734043</v>
      </c>
      <c r="L135" s="74">
        <f t="shared" si="42"/>
        <v>0.41673495463862131</v>
      </c>
      <c r="M135" s="74">
        <f t="shared" si="42"/>
        <v>0.46674314919525584</v>
      </c>
      <c r="N135" s="74">
        <f t="shared" si="42"/>
        <v>0.52275232709868658</v>
      </c>
      <c r="O135" s="74">
        <f t="shared" si="42"/>
        <v>0.58548260635052907</v>
      </c>
      <c r="P135" s="74">
        <f t="shared" si="42"/>
        <v>0.65574051911259257</v>
      </c>
      <c r="Q135" s="74">
        <f t="shared" si="42"/>
        <v>0.73442938140610381</v>
      </c>
      <c r="R135" s="74">
        <f t="shared" si="42"/>
        <v>0.82256090717483632</v>
      </c>
      <c r="S135" s="74">
        <f t="shared" si="42"/>
        <v>0.92126821603581655</v>
      </c>
      <c r="T135" s="74">
        <f t="shared" si="42"/>
        <v>1.0318204019601147</v>
      </c>
      <c r="U135" s="74">
        <f t="shared" si="42"/>
        <v>1.1556388501953285</v>
      </c>
      <c r="V135" s="74">
        <f t="shared" si="42"/>
        <v>1.2943155122187682</v>
      </c>
      <c r="W135" s="74">
        <f t="shared" si="42"/>
        <v>1.4496333736850204</v>
      </c>
    </row>
    <row r="136" spans="2:23" ht="15" x14ac:dyDescent="0.25">
      <c r="B136" s="66" t="s">
        <v>127</v>
      </c>
      <c r="C136" s="65" t="s">
        <v>455</v>
      </c>
      <c r="D136" s="76">
        <f>SUM(D135:W135)</f>
        <v>12.127309331966165</v>
      </c>
      <c r="E136" s="52"/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  <c r="V136" s="52"/>
      <c r="W136" s="52"/>
    </row>
    <row r="137" spans="2:23" ht="15" thickBot="1" x14ac:dyDescent="0.25">
      <c r="B137" s="34"/>
      <c r="C137" s="31"/>
      <c r="D137" s="52"/>
      <c r="E137" s="52"/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  <c r="V137" s="52"/>
      <c r="W137" s="52"/>
    </row>
    <row r="138" spans="2:23" x14ac:dyDescent="0.2">
      <c r="B138" s="208" t="s">
        <v>129</v>
      </c>
      <c r="C138" s="68">
        <v>5</v>
      </c>
      <c r="D138" s="70">
        <f>D33</f>
        <v>0.20702627020191083</v>
      </c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</row>
    <row r="139" spans="2:23" x14ac:dyDescent="0.2">
      <c r="B139" s="209"/>
      <c r="C139" s="67">
        <v>10</v>
      </c>
      <c r="D139" s="71">
        <f>D66</f>
        <v>0.18121692919482515</v>
      </c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52"/>
      <c r="U139" s="52"/>
      <c r="V139" s="52"/>
      <c r="W139" s="52"/>
    </row>
    <row r="140" spans="2:23" x14ac:dyDescent="0.2">
      <c r="B140" s="209"/>
      <c r="C140" s="67">
        <v>15</v>
      </c>
      <c r="D140" s="71">
        <f>D99</f>
        <v>0.17261381552579663</v>
      </c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  <c r="S140" s="52"/>
      <c r="T140" s="52"/>
      <c r="U140" s="52"/>
      <c r="V140" s="52"/>
      <c r="W140" s="52"/>
    </row>
    <row r="141" spans="2:23" ht="15" thickBot="1" x14ac:dyDescent="0.25">
      <c r="B141" s="210"/>
      <c r="C141" s="69">
        <v>20</v>
      </c>
      <c r="D141" s="72">
        <f>D132</f>
        <v>0.16831225869128233</v>
      </c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2"/>
      <c r="T141" s="52"/>
      <c r="U141" s="52"/>
      <c r="V141" s="52"/>
      <c r="W141" s="52"/>
    </row>
    <row r="142" spans="2:23" x14ac:dyDescent="0.2">
      <c r="B142" s="34"/>
      <c r="C142" s="31"/>
      <c r="D142" s="52"/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  <c r="S142" s="52"/>
      <c r="T142" s="52"/>
      <c r="U142" s="52"/>
      <c r="V142" s="52"/>
      <c r="W142" s="52"/>
    </row>
    <row r="143" spans="2:23" x14ac:dyDescent="0.2">
      <c r="B143" s="34"/>
      <c r="C143" s="31"/>
      <c r="D143" s="52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2"/>
      <c r="T143" s="52"/>
      <c r="U143" s="52"/>
      <c r="V143" s="52"/>
      <c r="W143" s="52"/>
    </row>
    <row r="144" spans="2:23" ht="18.75" thickBot="1" x14ac:dyDescent="0.3">
      <c r="B144" s="61" t="s">
        <v>130</v>
      </c>
      <c r="D144" s="52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  <c r="S144" s="52"/>
      <c r="T144" s="52"/>
      <c r="U144" s="52"/>
      <c r="V144" s="52"/>
      <c r="W144" s="52"/>
    </row>
    <row r="145" spans="2:23" ht="16.5" thickBot="1" x14ac:dyDescent="0.3">
      <c r="B145" s="63" t="s">
        <v>65</v>
      </c>
      <c r="C145" s="62">
        <v>5</v>
      </c>
      <c r="D145" s="52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52"/>
      <c r="U145" s="52"/>
      <c r="V145" s="52"/>
      <c r="W145" s="52"/>
    </row>
    <row r="146" spans="2:23" ht="15.75" x14ac:dyDescent="0.25">
      <c r="B146" s="60" t="s">
        <v>86</v>
      </c>
      <c r="D146" s="52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2"/>
      <c r="T146" s="52"/>
      <c r="U146" s="52"/>
      <c r="V146" s="52"/>
      <c r="W146" s="52"/>
    </row>
    <row r="147" spans="2:23" x14ac:dyDescent="0.2">
      <c r="B147" s="28" t="s">
        <v>87</v>
      </c>
      <c r="C147" s="29" t="s">
        <v>452</v>
      </c>
      <c r="D147" s="74">
        <f>Analisis_Inputs_Grales!$D$67*(Analisis_Inputs_Grales!$D$127/12)/Analisis_Inputs_Grales!$D$59</f>
        <v>0.16775000000000001</v>
      </c>
      <c r="E147" s="74">
        <f>Analisis_Inputs_Grales!$D$67*(Analisis_Inputs_Grales!$D$127/12)/Analisis_Inputs_Grales!$D$59</f>
        <v>0.16775000000000001</v>
      </c>
      <c r="F147" s="74">
        <f>Analisis_Inputs_Grales!$D$67*(Analisis_Inputs_Grales!$D$127/12)/Analisis_Inputs_Grales!$D$59</f>
        <v>0.16775000000000001</v>
      </c>
      <c r="G147" s="74">
        <f>Analisis_Inputs_Grales!$D$67*(Analisis_Inputs_Grales!$D$127/12)/Analisis_Inputs_Grales!$D$59</f>
        <v>0.16775000000000001</v>
      </c>
      <c r="H147" s="74">
        <f>Analisis_Inputs_Grales!$D$67*(Analisis_Inputs_Grales!$D$127/12)/Analisis_Inputs_Grales!$D$59</f>
        <v>0.16775000000000001</v>
      </c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</row>
    <row r="148" spans="2:23" x14ac:dyDescent="0.2">
      <c r="B148" s="30" t="s">
        <v>87</v>
      </c>
      <c r="C148" s="31" t="s">
        <v>207</v>
      </c>
      <c r="D148" s="52">
        <f>D147*12*Analisis_Inputs_Grales!$D$59</f>
        <v>17392.32</v>
      </c>
      <c r="E148" s="52">
        <f>E147*12*Analisis_Inputs_Grales!$D$59</f>
        <v>17392.32</v>
      </c>
      <c r="F148" s="52">
        <f>F147*12*Analisis_Inputs_Grales!$D$59</f>
        <v>17392.32</v>
      </c>
      <c r="G148" s="52">
        <f>G147*12*Analisis_Inputs_Grales!$D$59</f>
        <v>17392.32</v>
      </c>
      <c r="H148" s="52">
        <f>H147*12*Analisis_Inputs_Grales!$D$59</f>
        <v>17392.32</v>
      </c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</row>
    <row r="149" spans="2:23" x14ac:dyDescent="0.2">
      <c r="B149" s="28" t="s">
        <v>88</v>
      </c>
      <c r="C149" s="29" t="s">
        <v>452</v>
      </c>
      <c r="D149" s="74">
        <f>(Analisis_Inputs_Grales!$D$67-Analisis_Inputs_Grales!$D$70*Analisis_Inputs_Grales!$D$67)/(Analisis_Inputs_Grales!$D$59*12*$C$145)</f>
        <v>0.25162499999999999</v>
      </c>
      <c r="E149" s="74">
        <f>(Analisis_Inputs_Grales!$D$67-Analisis_Inputs_Grales!$D$70*Analisis_Inputs_Grales!$D$67)/(Analisis_Inputs_Grales!$D$59*12*$C$145)</f>
        <v>0.25162499999999999</v>
      </c>
      <c r="F149" s="74">
        <f>(Analisis_Inputs_Grales!$D$67-Analisis_Inputs_Grales!$D$70*Analisis_Inputs_Grales!$D$67)/(Analisis_Inputs_Grales!$D$59*12*$C$145)</f>
        <v>0.25162499999999999</v>
      </c>
      <c r="G149" s="74">
        <f>(Analisis_Inputs_Grales!$D$67-Analisis_Inputs_Grales!$D$70*Analisis_Inputs_Grales!$D$67)/(Analisis_Inputs_Grales!$D$59*12*$C$145)</f>
        <v>0.25162499999999999</v>
      </c>
      <c r="H149" s="74">
        <f>(Analisis_Inputs_Grales!$D$67-Analisis_Inputs_Grales!$D$70*Analisis_Inputs_Grales!$D$67)/(Analisis_Inputs_Grales!$D$59*12*$C$145)</f>
        <v>0.25162499999999999</v>
      </c>
      <c r="I149" s="50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</row>
    <row r="150" spans="2:23" x14ac:dyDescent="0.2">
      <c r="B150" s="30" t="s">
        <v>88</v>
      </c>
      <c r="C150" s="31" t="s">
        <v>207</v>
      </c>
      <c r="D150" s="52">
        <f>D149*12*Analisis_Inputs_Grales!$D$59</f>
        <v>26088.48</v>
      </c>
      <c r="E150" s="52">
        <f>E149*12*Analisis_Inputs_Grales!$D$59</f>
        <v>26088.48</v>
      </c>
      <c r="F150" s="52">
        <f>F149*12*Analisis_Inputs_Grales!$D$59</f>
        <v>26088.48</v>
      </c>
      <c r="G150" s="52">
        <f>G149*12*Analisis_Inputs_Grales!$D$59</f>
        <v>26088.48</v>
      </c>
      <c r="H150" s="52">
        <f>H149*12*Analisis_Inputs_Grales!$D$59</f>
        <v>26088.48</v>
      </c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</row>
    <row r="151" spans="2:23" x14ac:dyDescent="0.2">
      <c r="B151" s="28" t="s">
        <v>89</v>
      </c>
      <c r="C151" s="29" t="s">
        <v>452</v>
      </c>
      <c r="D151" s="74">
        <f>Analisis_Inputs_Grales!$D$51/Analisis_Inputs_Grales!$D$59</f>
        <v>0.18265162037037036</v>
      </c>
      <c r="E151" s="74">
        <f>Analisis_Inputs_Grales!$D$51/Analisis_Inputs_Grales!$D$59</f>
        <v>0.18265162037037036</v>
      </c>
      <c r="F151" s="74">
        <f>Analisis_Inputs_Grales!$D$51/Analisis_Inputs_Grales!$D$59</f>
        <v>0.18265162037037036</v>
      </c>
      <c r="G151" s="74">
        <f>Analisis_Inputs_Grales!$D$51/Analisis_Inputs_Grales!$D$59</f>
        <v>0.18265162037037036</v>
      </c>
      <c r="H151" s="74">
        <f>Analisis_Inputs_Grales!$D$51/Analisis_Inputs_Grales!$D$59</f>
        <v>0.18265162037037036</v>
      </c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</row>
    <row r="152" spans="2:23" x14ac:dyDescent="0.2">
      <c r="B152" s="32" t="s">
        <v>89</v>
      </c>
      <c r="C152" s="33" t="s">
        <v>207</v>
      </c>
      <c r="D152" s="52">
        <f>D151*12*Analisis_Inputs_Grales!$D$59</f>
        <v>18937.32</v>
      </c>
      <c r="E152" s="52">
        <f>E151*12*Analisis_Inputs_Grales!$D$59</f>
        <v>18937.32</v>
      </c>
      <c r="F152" s="52">
        <f>F151*12*Analisis_Inputs_Grales!$D$59</f>
        <v>18937.32</v>
      </c>
      <c r="G152" s="52">
        <f>G151*12*Analisis_Inputs_Grales!$D$59</f>
        <v>18937.32</v>
      </c>
      <c r="H152" s="52">
        <f>H151*12*Analisis_Inputs_Grales!$D$59</f>
        <v>18937.32</v>
      </c>
      <c r="I152" s="52"/>
      <c r="J152" s="52"/>
      <c r="K152" s="52"/>
      <c r="L152" s="52"/>
      <c r="M152" s="52"/>
      <c r="N152" s="52"/>
      <c r="O152" s="52"/>
      <c r="P152" s="52"/>
      <c r="Q152" s="52"/>
      <c r="R152" s="52"/>
      <c r="S152" s="52"/>
      <c r="T152" s="52"/>
      <c r="U152" s="52"/>
      <c r="V152" s="52"/>
      <c r="W152" s="52"/>
    </row>
    <row r="153" spans="2:23" x14ac:dyDescent="0.2">
      <c r="B153" s="28" t="s">
        <v>90</v>
      </c>
      <c r="C153" s="29" t="s">
        <v>452</v>
      </c>
      <c r="D153" s="74">
        <f>D151+D149+D147</f>
        <v>0.60202662037037036</v>
      </c>
      <c r="E153" s="74">
        <f t="shared" ref="E153:H153" si="43">E151+E149+E147</f>
        <v>0.60202662037037036</v>
      </c>
      <c r="F153" s="74">
        <f t="shared" si="43"/>
        <v>0.60202662037037036</v>
      </c>
      <c r="G153" s="74">
        <f t="shared" si="43"/>
        <v>0.60202662037037036</v>
      </c>
      <c r="H153" s="74">
        <f t="shared" si="43"/>
        <v>0.60202662037037036</v>
      </c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</row>
    <row r="154" spans="2:23" x14ac:dyDescent="0.2">
      <c r="B154" s="30" t="s">
        <v>90</v>
      </c>
      <c r="C154" s="31" t="s">
        <v>207</v>
      </c>
      <c r="D154" s="52">
        <f>D153*12*Analisis_Inputs_Grales!$D$59</f>
        <v>62418.119999999995</v>
      </c>
      <c r="E154" s="52">
        <f>E153*12*Analisis_Inputs_Grales!$D$59</f>
        <v>62418.119999999995</v>
      </c>
      <c r="F154" s="52">
        <f>F153*12*Analisis_Inputs_Grales!$D$59</f>
        <v>62418.119999999995</v>
      </c>
      <c r="G154" s="52">
        <f>G153*12*Analisis_Inputs_Grales!$D$59</f>
        <v>62418.119999999995</v>
      </c>
      <c r="H154" s="52">
        <f>H153*12*Analisis_Inputs_Grales!$D$59</f>
        <v>62418.119999999995</v>
      </c>
      <c r="I154" s="52"/>
      <c r="J154" s="52"/>
      <c r="K154" s="52"/>
      <c r="L154" s="52"/>
      <c r="M154" s="52"/>
      <c r="N154" s="52"/>
      <c r="O154" s="52"/>
      <c r="P154" s="52"/>
      <c r="Q154" s="52"/>
      <c r="R154" s="52"/>
      <c r="S154" s="52"/>
      <c r="T154" s="52"/>
      <c r="U154" s="52"/>
      <c r="V154" s="52"/>
      <c r="W154" s="52"/>
    </row>
    <row r="155" spans="2:23" x14ac:dyDescent="0.2">
      <c r="C155" s="31"/>
    </row>
    <row r="156" spans="2:23" ht="15" x14ac:dyDescent="0.25">
      <c r="B156" s="27" t="s">
        <v>91</v>
      </c>
      <c r="C156" s="31"/>
    </row>
    <row r="157" spans="2:23" x14ac:dyDescent="0.2">
      <c r="B157" s="28" t="s">
        <v>92</v>
      </c>
      <c r="C157" s="29" t="s">
        <v>452</v>
      </c>
      <c r="D157" s="74">
        <f>Analisis_Inputs_Grales!$D$73/(Analisis_Inputs_Grales!$D$71*Analisis_Inputs_Grales!$D$72/60)</f>
        <v>7.5186104218362276E-2</v>
      </c>
      <c r="E157" s="74">
        <f>Analisis_Inputs_Grales!$D$73/(Analisis_Inputs_Grales!$D$71*Analisis_Inputs_Grales!$D$72/60)</f>
        <v>7.5186104218362276E-2</v>
      </c>
      <c r="F157" s="74">
        <f>Analisis_Inputs_Grales!$D$73/(Analisis_Inputs_Grales!$D$71*Analisis_Inputs_Grales!$D$72/60)</f>
        <v>7.5186104218362276E-2</v>
      </c>
      <c r="G157" s="74">
        <f>Analisis_Inputs_Grales!$D$73/(Analisis_Inputs_Grales!$D$71*Analisis_Inputs_Grales!$D$72/60)</f>
        <v>7.5186104218362276E-2</v>
      </c>
      <c r="H157" s="74">
        <f>Analisis_Inputs_Grales!$D$73/(Analisis_Inputs_Grales!$D$71*Analisis_Inputs_Grales!$D$72/60)</f>
        <v>7.5186104218362276E-2</v>
      </c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</row>
    <row r="158" spans="2:23" x14ac:dyDescent="0.2">
      <c r="B158" s="30" t="s">
        <v>92</v>
      </c>
      <c r="C158" s="31" t="s">
        <v>207</v>
      </c>
      <c r="D158" s="52">
        <f>D157*12*Analisis_Inputs_Grales!$D$59</f>
        <v>7795.2952853598008</v>
      </c>
      <c r="E158" s="52">
        <f>E157*12*Analisis_Inputs_Grales!$D$59</f>
        <v>7795.2952853598008</v>
      </c>
      <c r="F158" s="52">
        <f>F157*12*Analisis_Inputs_Grales!$D$59</f>
        <v>7795.2952853598008</v>
      </c>
      <c r="G158" s="52">
        <f>G157*12*Analisis_Inputs_Grales!$D$59</f>
        <v>7795.2952853598008</v>
      </c>
      <c r="H158" s="52">
        <f>H157*12*Analisis_Inputs_Grales!$D$59</f>
        <v>7795.2952853598008</v>
      </c>
      <c r="I158" s="52"/>
      <c r="J158" s="52"/>
      <c r="K158" s="52"/>
      <c r="L158" s="52"/>
      <c r="M158" s="52"/>
      <c r="N158" s="52"/>
      <c r="O158" s="52"/>
      <c r="P158" s="52"/>
      <c r="Q158" s="52"/>
      <c r="R158" s="52"/>
      <c r="S158" s="52"/>
      <c r="T158" s="52"/>
      <c r="U158" s="52"/>
      <c r="V158" s="52"/>
      <c r="W158" s="52"/>
    </row>
    <row r="159" spans="2:23" x14ac:dyDescent="0.2">
      <c r="B159" s="28" t="s">
        <v>93</v>
      </c>
      <c r="C159" s="29" t="s">
        <v>452</v>
      </c>
      <c r="D159" s="74">
        <f>Analisis_Inputs_Grales!$D$74*'Analisis 20Años'!D157</f>
        <v>1.1277915632754341E-2</v>
      </c>
      <c r="E159" s="74">
        <f>Analisis_Inputs_Grales!$D$74*'Analisis 20Años'!E157</f>
        <v>1.1277915632754341E-2</v>
      </c>
      <c r="F159" s="74">
        <f>Analisis_Inputs_Grales!$D$74*'Analisis 20Años'!F157</f>
        <v>1.1277915632754341E-2</v>
      </c>
      <c r="G159" s="74">
        <f>Analisis_Inputs_Grales!$D$74*'Analisis 20Años'!G157</f>
        <v>1.1277915632754341E-2</v>
      </c>
      <c r="H159" s="74">
        <f>Analisis_Inputs_Grales!$D$74*'Analisis 20Años'!H157</f>
        <v>1.1277915632754341E-2</v>
      </c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</row>
    <row r="160" spans="2:23" x14ac:dyDescent="0.2">
      <c r="B160" s="30" t="s">
        <v>93</v>
      </c>
      <c r="C160" s="31" t="s">
        <v>207</v>
      </c>
      <c r="D160" s="52">
        <f>D159*12*Analisis_Inputs_Grales!$D$59</f>
        <v>1169.2942928039702</v>
      </c>
      <c r="E160" s="52">
        <f>E159*12*Analisis_Inputs_Grales!$D$59</f>
        <v>1169.2942928039702</v>
      </c>
      <c r="F160" s="52">
        <f>F159*12*Analisis_Inputs_Grales!$D$59</f>
        <v>1169.2942928039702</v>
      </c>
      <c r="G160" s="52">
        <f>G159*12*Analisis_Inputs_Grales!$D$59</f>
        <v>1169.2942928039702</v>
      </c>
      <c r="H160" s="52">
        <f>H159*12*Analisis_Inputs_Grales!$D$59</f>
        <v>1169.2942928039702</v>
      </c>
      <c r="I160" s="52"/>
      <c r="J160" s="52"/>
      <c r="K160" s="52"/>
      <c r="L160" s="52"/>
      <c r="M160" s="52"/>
      <c r="N160" s="52"/>
      <c r="O160" s="52"/>
      <c r="P160" s="52"/>
      <c r="Q160" s="52"/>
      <c r="R160" s="52"/>
      <c r="S160" s="52"/>
      <c r="T160" s="52"/>
      <c r="U160" s="52"/>
      <c r="V160" s="52"/>
      <c r="W160" s="52"/>
    </row>
    <row r="161" spans="2:23" x14ac:dyDescent="0.2">
      <c r="B161" s="28" t="s">
        <v>94</v>
      </c>
      <c r="C161" s="29" t="s">
        <v>452</v>
      </c>
      <c r="D161" s="74">
        <f>Analisis_Inputs_Grales!$D$75*('Analisis 20Años'!D157+'Analisis 20Años'!D159)</f>
        <v>3.4585607940446648E-2</v>
      </c>
      <c r="E161" s="74">
        <f>Analisis_Inputs_Grales!$D$75*('Analisis 20Años'!E157+'Analisis 20Años'!E159)</f>
        <v>3.4585607940446648E-2</v>
      </c>
      <c r="F161" s="74">
        <f>Analisis_Inputs_Grales!$D$75*('Analisis 20Años'!F157+'Analisis 20Años'!F159)</f>
        <v>3.4585607940446648E-2</v>
      </c>
      <c r="G161" s="74">
        <f>Analisis_Inputs_Grales!$D$75*('Analisis 20Años'!G157+'Analisis 20Años'!G159)</f>
        <v>3.4585607940446648E-2</v>
      </c>
      <c r="H161" s="74">
        <f>Analisis_Inputs_Grales!$D$75*('Analisis 20Años'!H157+'Analisis 20Años'!H159)</f>
        <v>3.4585607940446648E-2</v>
      </c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</row>
    <row r="162" spans="2:23" x14ac:dyDescent="0.2">
      <c r="B162" s="30" t="s">
        <v>94</v>
      </c>
      <c r="C162" s="31" t="s">
        <v>207</v>
      </c>
      <c r="D162" s="52">
        <f>D161*12*Analisis_Inputs_Grales!$D$59</f>
        <v>3585.8358312655082</v>
      </c>
      <c r="E162" s="52">
        <f>E161*12*Analisis_Inputs_Grales!$D$59</f>
        <v>3585.8358312655082</v>
      </c>
      <c r="F162" s="52">
        <f>F161*12*Analisis_Inputs_Grales!$D$59</f>
        <v>3585.8358312655082</v>
      </c>
      <c r="G162" s="52">
        <f>G161*12*Analisis_Inputs_Grales!$D$59</f>
        <v>3585.8358312655082</v>
      </c>
      <c r="H162" s="52">
        <f>H161*12*Analisis_Inputs_Grales!$D$59</f>
        <v>3585.8358312655082</v>
      </c>
      <c r="I162" s="52"/>
      <c r="J162" s="52"/>
      <c r="K162" s="52"/>
      <c r="L162" s="52"/>
      <c r="M162" s="52"/>
      <c r="N162" s="52"/>
      <c r="O162" s="52"/>
      <c r="P162" s="52"/>
      <c r="Q162" s="52"/>
      <c r="R162" s="52"/>
      <c r="S162" s="52"/>
      <c r="T162" s="52"/>
      <c r="U162" s="52"/>
      <c r="V162" s="52"/>
      <c r="W162" s="52"/>
    </row>
    <row r="163" spans="2:23" x14ac:dyDescent="0.2">
      <c r="B163" s="28" t="s">
        <v>95</v>
      </c>
      <c r="C163" s="29" t="s">
        <v>452</v>
      </c>
      <c r="D163" s="74">
        <f>D161+D159+D157</f>
        <v>0.12104962779156327</v>
      </c>
      <c r="E163" s="74">
        <f t="shared" ref="E163:H163" si="44">E161+E159+E157</f>
        <v>0.12104962779156327</v>
      </c>
      <c r="F163" s="74">
        <f t="shared" si="44"/>
        <v>0.12104962779156327</v>
      </c>
      <c r="G163" s="74">
        <f t="shared" si="44"/>
        <v>0.12104962779156327</v>
      </c>
      <c r="H163" s="74">
        <f t="shared" si="44"/>
        <v>0.12104962779156327</v>
      </c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</row>
    <row r="164" spans="2:23" x14ac:dyDescent="0.2">
      <c r="B164" s="32" t="s">
        <v>95</v>
      </c>
      <c r="C164" s="31" t="s">
        <v>207</v>
      </c>
      <c r="D164" s="52">
        <f>D163*12*Analisis_Inputs_Grales!$D$59</f>
        <v>12550.425409429279</v>
      </c>
      <c r="E164" s="52">
        <f>E163*12*Analisis_Inputs_Grales!$D$59</f>
        <v>12550.425409429279</v>
      </c>
      <c r="F164" s="52">
        <f>F163*12*Analisis_Inputs_Grales!$D$59</f>
        <v>12550.425409429279</v>
      </c>
      <c r="G164" s="52">
        <f>G163*12*Analisis_Inputs_Grales!$D$59</f>
        <v>12550.425409429279</v>
      </c>
      <c r="H164" s="52">
        <f>H163*12*Analisis_Inputs_Grales!$D$59</f>
        <v>12550.425409429279</v>
      </c>
      <c r="I164" s="52"/>
      <c r="J164" s="52"/>
      <c r="K164" s="52"/>
      <c r="L164" s="52"/>
      <c r="M164" s="52"/>
      <c r="N164" s="52"/>
      <c r="O164" s="52"/>
      <c r="P164" s="52"/>
      <c r="Q164" s="52"/>
      <c r="R164" s="52"/>
      <c r="S164" s="52"/>
      <c r="T164" s="52"/>
      <c r="U164" s="52"/>
      <c r="V164" s="52"/>
      <c r="W164" s="52"/>
    </row>
    <row r="165" spans="2:23" x14ac:dyDescent="0.2">
      <c r="B165" s="34"/>
    </row>
    <row r="166" spans="2:23" x14ac:dyDescent="0.2">
      <c r="B166" s="35" t="s">
        <v>96</v>
      </c>
      <c r="C166" s="36" t="s">
        <v>452</v>
      </c>
      <c r="D166" s="74">
        <f>+D153+D163</f>
        <v>0.72307624816193361</v>
      </c>
      <c r="E166" s="74">
        <f t="shared" ref="E166:H166" si="45">+E153+E163</f>
        <v>0.72307624816193361</v>
      </c>
      <c r="F166" s="74">
        <f t="shared" si="45"/>
        <v>0.72307624816193361</v>
      </c>
      <c r="G166" s="74">
        <f t="shared" si="45"/>
        <v>0.72307624816193361</v>
      </c>
      <c r="H166" s="74">
        <f t="shared" si="45"/>
        <v>0.72307624816193361</v>
      </c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  <c r="W166" s="74"/>
    </row>
    <row r="167" spans="2:23" x14ac:dyDescent="0.2">
      <c r="B167" s="37" t="s">
        <v>96</v>
      </c>
      <c r="C167" s="38" t="s">
        <v>207</v>
      </c>
      <c r="D167" s="52">
        <f>D166*12*Analisis_Inputs_Grales!$D$59</f>
        <v>74968.54540942928</v>
      </c>
      <c r="E167" s="52">
        <f>E166*12*Analisis_Inputs_Grales!$D$59</f>
        <v>74968.54540942928</v>
      </c>
      <c r="F167" s="52">
        <f>F166*12*Analisis_Inputs_Grales!$D$59</f>
        <v>74968.54540942928</v>
      </c>
      <c r="G167" s="52">
        <f>G166*12*Analisis_Inputs_Grales!$D$59</f>
        <v>74968.54540942928</v>
      </c>
      <c r="H167" s="52">
        <f>H166*12*Analisis_Inputs_Grales!$D$59</f>
        <v>74968.54540942928</v>
      </c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2"/>
      <c r="U167" s="52"/>
      <c r="V167" s="52"/>
      <c r="W167" s="52"/>
    </row>
    <row r="168" spans="2:23" x14ac:dyDescent="0.2">
      <c r="B168" s="39"/>
      <c r="C168" s="40"/>
    </row>
    <row r="169" spans="2:23" x14ac:dyDescent="0.2">
      <c r="B169" s="41" t="s">
        <v>97</v>
      </c>
      <c r="C169" s="36" t="s">
        <v>453</v>
      </c>
      <c r="D169" s="74">
        <f>D166/(Analisis_Inputs_Grales!$D$64)</f>
        <v>3.8258002548250451E-2</v>
      </c>
      <c r="E169" s="74">
        <f>E166/(Analisis_Inputs_Grales!$D$64)</f>
        <v>3.8258002548250451E-2</v>
      </c>
      <c r="F169" s="74">
        <f>F166/(Analisis_Inputs_Grales!$D$64)</f>
        <v>3.8258002548250451E-2</v>
      </c>
      <c r="G169" s="74">
        <f>G166/(Analisis_Inputs_Grales!$D$64)</f>
        <v>3.8258002548250451E-2</v>
      </c>
      <c r="H169" s="74">
        <f>H166/(Analisis_Inputs_Grales!$D$64)</f>
        <v>3.8258002548250451E-2</v>
      </c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  <c r="W169" s="74"/>
    </row>
    <row r="170" spans="2:23" x14ac:dyDescent="0.2">
      <c r="B170" s="34" t="s">
        <v>98</v>
      </c>
      <c r="C170" s="31" t="s">
        <v>454</v>
      </c>
      <c r="D170" s="52">
        <f>D169*12*Analisis_Inputs_Grales!$D$59</f>
        <v>3966.5897042026068</v>
      </c>
      <c r="E170" s="52">
        <f>E169*12*Analisis_Inputs_Grales!$D$59</f>
        <v>3966.5897042026068</v>
      </c>
      <c r="F170" s="52">
        <f>F169*12*Analisis_Inputs_Grales!$D$59</f>
        <v>3966.5897042026068</v>
      </c>
      <c r="G170" s="52">
        <f>G169*12*Analisis_Inputs_Grales!$D$59</f>
        <v>3966.5897042026068</v>
      </c>
      <c r="H170" s="52">
        <f>H169*12*Analisis_Inputs_Grales!$D$59</f>
        <v>3966.5897042026068</v>
      </c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  <c r="V170" s="52"/>
      <c r="W170" s="52"/>
    </row>
    <row r="171" spans="2:23" ht="28.5" x14ac:dyDescent="0.2">
      <c r="B171" s="37" t="s">
        <v>99</v>
      </c>
      <c r="C171" s="38" t="s">
        <v>134</v>
      </c>
      <c r="D171" s="74">
        <f>(Analisis_Inputs_Grales!$D$79+Analisis_Inputs_Grales!$D$80)*D153/Analisis_Inputs_Grales!$D$64</f>
        <v>1.114864111796982</v>
      </c>
      <c r="E171" s="74">
        <f>(Analisis_Inputs_Grales!$D$79+Analisis_Inputs_Grales!$D$80)*E153/Analisis_Inputs_Grales!$D$64</f>
        <v>1.114864111796982</v>
      </c>
      <c r="F171" s="74">
        <f>(Analisis_Inputs_Grales!$D$79+Analisis_Inputs_Grales!$D$80)*F153/Analisis_Inputs_Grales!$D$64</f>
        <v>1.114864111796982</v>
      </c>
      <c r="G171" s="74">
        <f>(Analisis_Inputs_Grales!$D$79+Analisis_Inputs_Grales!$D$80)*G153/Analisis_Inputs_Grales!$D$64</f>
        <v>1.114864111796982</v>
      </c>
      <c r="H171" s="74">
        <f>(Analisis_Inputs_Grales!$D$79+Analisis_Inputs_Grales!$D$80)*H153/Analisis_Inputs_Grales!$D$64</f>
        <v>1.114864111796982</v>
      </c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  <c r="W171" s="74"/>
    </row>
    <row r="173" spans="2:23" x14ac:dyDescent="0.2">
      <c r="B173" s="34" t="s">
        <v>123</v>
      </c>
      <c r="C173" s="31" t="s">
        <v>455</v>
      </c>
      <c r="D173" s="74">
        <f>D169/(Analisis_Inputs_Grales!$D$72/60)</f>
        <v>3.1960779630879198E-2</v>
      </c>
      <c r="E173" s="74">
        <f>E169/(Analisis_Inputs_Grales!$D$72/60)</f>
        <v>3.1960779630879198E-2</v>
      </c>
      <c r="F173" s="74">
        <f>F169/(Analisis_Inputs_Grales!$D$72/60)</f>
        <v>3.1960779630879198E-2</v>
      </c>
      <c r="G173" s="74">
        <f>G169/(Analisis_Inputs_Grales!$D$72/60)</f>
        <v>3.1960779630879198E-2</v>
      </c>
      <c r="H173" s="74">
        <f>H169/(Analisis_Inputs_Grales!$D$72/60)</f>
        <v>3.1960779630879198E-2</v>
      </c>
    </row>
    <row r="174" spans="2:23" x14ac:dyDescent="0.2">
      <c r="B174" s="64" t="s">
        <v>124</v>
      </c>
      <c r="C174" s="65" t="s">
        <v>23</v>
      </c>
      <c r="D174" s="74">
        <f>(1+Analisis_Inputs_Grales!$D$127)^'Analisis 20Años'!D$3</f>
        <v>1</v>
      </c>
      <c r="E174" s="74">
        <f>(1+Analisis_Inputs_Grales!$D$127)^'Analisis 20Años'!E$3</f>
        <v>1.1200000000000001</v>
      </c>
      <c r="F174" s="74">
        <f>(1+Analisis_Inputs_Grales!$D$127)^'Analisis 20Años'!F$3</f>
        <v>1.2544000000000002</v>
      </c>
      <c r="G174" s="74">
        <f>(1+Analisis_Inputs_Grales!$D$127)^'Analisis 20Años'!G$3</f>
        <v>1.4049280000000004</v>
      </c>
      <c r="H174" s="74">
        <f>(1+Analisis_Inputs_Grales!$D$127)^'Analisis 20Años'!H$3</f>
        <v>1.5735193600000004</v>
      </c>
    </row>
    <row r="175" spans="2:23" x14ac:dyDescent="0.2">
      <c r="B175" s="64" t="s">
        <v>125</v>
      </c>
      <c r="C175" s="65" t="s">
        <v>455</v>
      </c>
      <c r="D175" s="74">
        <f>D173*D174</f>
        <v>3.1960779630879198E-2</v>
      </c>
      <c r="E175" s="74">
        <f t="shared" ref="E175:H175" si="46">E173*E174</f>
        <v>3.5796073186584704E-2</v>
      </c>
      <c r="F175" s="74">
        <f t="shared" si="46"/>
        <v>4.009160196897487E-2</v>
      </c>
      <c r="G175" s="74">
        <f t="shared" si="46"/>
        <v>4.4902594205251861E-2</v>
      </c>
      <c r="H175" s="74">
        <f t="shared" si="46"/>
        <v>5.0290905509882085E-2</v>
      </c>
    </row>
    <row r="176" spans="2:23" ht="15" x14ac:dyDescent="0.25">
      <c r="B176" s="66" t="s">
        <v>126</v>
      </c>
      <c r="C176" s="65" t="s">
        <v>455</v>
      </c>
      <c r="D176" s="74">
        <f>SUM(D175:H175)</f>
        <v>0.20304195450157272</v>
      </c>
    </row>
    <row r="177" spans="2:23" ht="15" x14ac:dyDescent="0.25">
      <c r="B177" s="27"/>
    </row>
    <row r="178" spans="2:23" ht="15" thickBot="1" x14ac:dyDescent="0.25">
      <c r="B178" s="30"/>
      <c r="C178" s="31"/>
      <c r="D178" s="50"/>
      <c r="E178" s="50"/>
      <c r="F178" s="50"/>
      <c r="G178" s="50"/>
      <c r="H178" s="50"/>
      <c r="I178" s="50"/>
      <c r="J178" s="50"/>
      <c r="K178" s="50"/>
      <c r="L178" s="50"/>
      <c r="M178" s="50"/>
      <c r="N178" s="50"/>
      <c r="O178" s="50"/>
      <c r="P178" s="50"/>
      <c r="Q178" s="50"/>
      <c r="R178" s="50"/>
      <c r="S178" s="50"/>
      <c r="T178" s="50"/>
      <c r="U178" s="50"/>
      <c r="V178" s="50"/>
      <c r="W178" s="50"/>
    </row>
    <row r="179" spans="2:23" ht="16.5" thickBot="1" x14ac:dyDescent="0.3">
      <c r="B179" s="63" t="s">
        <v>65</v>
      </c>
      <c r="C179" s="62">
        <v>10</v>
      </c>
      <c r="D179" s="52"/>
      <c r="E179" s="52"/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  <c r="S179" s="52"/>
      <c r="T179" s="52"/>
      <c r="U179" s="52"/>
      <c r="V179" s="52"/>
      <c r="W179" s="52"/>
    </row>
    <row r="180" spans="2:23" ht="15.75" x14ac:dyDescent="0.25">
      <c r="B180" s="60" t="s">
        <v>86</v>
      </c>
      <c r="D180" s="52"/>
      <c r="E180" s="52"/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  <c r="S180" s="52"/>
      <c r="T180" s="52"/>
      <c r="U180" s="52"/>
      <c r="V180" s="52"/>
      <c r="W180" s="52"/>
    </row>
    <row r="181" spans="2:23" x14ac:dyDescent="0.2">
      <c r="B181" s="28" t="s">
        <v>87</v>
      </c>
      <c r="C181" s="29" t="s">
        <v>452</v>
      </c>
      <c r="D181" s="74">
        <f>Analisis_Inputs_Grales!$D$67*(Analisis_Inputs_Grales!$D$127/12)/Analisis_Inputs_Grales!$D$59</f>
        <v>0.16775000000000001</v>
      </c>
      <c r="E181" s="74">
        <f>Analisis_Inputs_Grales!$D$67*(Analisis_Inputs_Grales!$D$127/12)/Analisis_Inputs_Grales!$D$59</f>
        <v>0.16775000000000001</v>
      </c>
      <c r="F181" s="74">
        <f>Analisis_Inputs_Grales!$D$67*(Analisis_Inputs_Grales!$D$127/12)/Analisis_Inputs_Grales!$D$59</f>
        <v>0.16775000000000001</v>
      </c>
      <c r="G181" s="74">
        <f>Analisis_Inputs_Grales!$D$67*(Analisis_Inputs_Grales!$D$127/12)/Analisis_Inputs_Grales!$D$59</f>
        <v>0.16775000000000001</v>
      </c>
      <c r="H181" s="74">
        <f>Analisis_Inputs_Grales!$D$67*(Analisis_Inputs_Grales!$D$127/12)/Analisis_Inputs_Grales!$D$59</f>
        <v>0.16775000000000001</v>
      </c>
      <c r="I181" s="74">
        <f>Analisis_Inputs_Grales!$D$67*(Analisis_Inputs_Grales!$D$127/12)/Analisis_Inputs_Grales!$D$59</f>
        <v>0.16775000000000001</v>
      </c>
      <c r="J181" s="74">
        <f>Analisis_Inputs_Grales!$D$67*(Analisis_Inputs_Grales!$D$127/12)/Analisis_Inputs_Grales!$D$59</f>
        <v>0.16775000000000001</v>
      </c>
      <c r="K181" s="74">
        <f>Analisis_Inputs_Grales!$D$67*(Analisis_Inputs_Grales!$D$127/12)/Analisis_Inputs_Grales!$D$59</f>
        <v>0.16775000000000001</v>
      </c>
      <c r="L181" s="74">
        <f>Analisis_Inputs_Grales!$D$67*(Analisis_Inputs_Grales!$D$127/12)/Analisis_Inputs_Grales!$D$59</f>
        <v>0.16775000000000001</v>
      </c>
      <c r="M181" s="74">
        <f>Analisis_Inputs_Grales!$D$67*(Analisis_Inputs_Grales!$D$127/12)/Analisis_Inputs_Grales!$D$59</f>
        <v>0.16775000000000001</v>
      </c>
      <c r="N181" s="74"/>
      <c r="O181" s="74"/>
      <c r="P181" s="74"/>
      <c r="Q181" s="74"/>
      <c r="R181" s="74"/>
      <c r="S181" s="74"/>
      <c r="T181" s="74"/>
      <c r="U181" s="74"/>
      <c r="V181" s="74"/>
      <c r="W181" s="74"/>
    </row>
    <row r="182" spans="2:23" x14ac:dyDescent="0.2">
      <c r="B182" s="30" t="s">
        <v>87</v>
      </c>
      <c r="C182" s="31" t="s">
        <v>207</v>
      </c>
      <c r="D182" s="52">
        <f>D181*12*Analisis_Inputs_Grales!$D$59</f>
        <v>17392.32</v>
      </c>
      <c r="E182" s="52">
        <f>E181*12*Analisis_Inputs_Grales!$D$59</f>
        <v>17392.32</v>
      </c>
      <c r="F182" s="52">
        <f>F181*12*Analisis_Inputs_Grales!$D$59</f>
        <v>17392.32</v>
      </c>
      <c r="G182" s="52">
        <f>G181*12*Analisis_Inputs_Grales!$D$59</f>
        <v>17392.32</v>
      </c>
      <c r="H182" s="52">
        <f>H181*12*Analisis_Inputs_Grales!$D$59</f>
        <v>17392.32</v>
      </c>
      <c r="I182" s="52">
        <f>I181*12*Analisis_Inputs_Grales!$D$59</f>
        <v>17392.32</v>
      </c>
      <c r="J182" s="52">
        <f>J181*12*Analisis_Inputs_Grales!$D$59</f>
        <v>17392.32</v>
      </c>
      <c r="K182" s="52">
        <f>K181*12*Analisis_Inputs_Grales!$D$59</f>
        <v>17392.32</v>
      </c>
      <c r="L182" s="52">
        <f>L181*12*Analisis_Inputs_Grales!$D$59</f>
        <v>17392.32</v>
      </c>
      <c r="M182" s="52">
        <f>M181*12*Analisis_Inputs_Grales!$D$59</f>
        <v>17392.32</v>
      </c>
    </row>
    <row r="183" spans="2:23" x14ac:dyDescent="0.2">
      <c r="B183" s="28" t="s">
        <v>88</v>
      </c>
      <c r="C183" s="29" t="s">
        <v>452</v>
      </c>
      <c r="D183" s="74">
        <f>(Analisis_Inputs_Grales!$D$67-Analisis_Inputs_Grales!$D$70*Analisis_Inputs_Grales!$D$67)/(Analisis_Inputs_Grales!$D$59*12*$C$179)</f>
        <v>0.12581249999999999</v>
      </c>
      <c r="E183" s="74">
        <f>(Analisis_Inputs_Grales!$D$67-Analisis_Inputs_Grales!$D$70*Analisis_Inputs_Grales!$D$67)/(Analisis_Inputs_Grales!$D$59*12*$C$179)</f>
        <v>0.12581249999999999</v>
      </c>
      <c r="F183" s="74">
        <f>(Analisis_Inputs_Grales!$D$67-Analisis_Inputs_Grales!$D$70*Analisis_Inputs_Grales!$D$67)/(Analisis_Inputs_Grales!$D$59*12*$C$179)</f>
        <v>0.12581249999999999</v>
      </c>
      <c r="G183" s="74">
        <f>(Analisis_Inputs_Grales!$D$67-Analisis_Inputs_Grales!$D$70*Analisis_Inputs_Grales!$D$67)/(Analisis_Inputs_Grales!$D$59*12*$C$179)</f>
        <v>0.12581249999999999</v>
      </c>
      <c r="H183" s="74">
        <f>(Analisis_Inputs_Grales!$D$67-Analisis_Inputs_Grales!$D$70*Analisis_Inputs_Grales!$D$67)/(Analisis_Inputs_Grales!$D$59*12*$C$179)</f>
        <v>0.12581249999999999</v>
      </c>
      <c r="I183" s="74">
        <f>(Analisis_Inputs_Grales!$D$67-Analisis_Inputs_Grales!$D$70*Analisis_Inputs_Grales!$D$67)/(Analisis_Inputs_Grales!$D$59*12*$C$179)</f>
        <v>0.12581249999999999</v>
      </c>
      <c r="J183" s="74">
        <f>(Analisis_Inputs_Grales!$D$67-Analisis_Inputs_Grales!$D$70*Analisis_Inputs_Grales!$D$67)/(Analisis_Inputs_Grales!$D$59*12*$C$179)</f>
        <v>0.12581249999999999</v>
      </c>
      <c r="K183" s="74">
        <f>(Analisis_Inputs_Grales!$D$67-Analisis_Inputs_Grales!$D$70*Analisis_Inputs_Grales!$D$67)/(Analisis_Inputs_Grales!$D$59*12*$C$179)</f>
        <v>0.12581249999999999</v>
      </c>
      <c r="L183" s="74">
        <f>(Analisis_Inputs_Grales!$D$67-Analisis_Inputs_Grales!$D$70*Analisis_Inputs_Grales!$D$67)/(Analisis_Inputs_Grales!$D$59*12*$C$179)</f>
        <v>0.12581249999999999</v>
      </c>
      <c r="M183" s="74">
        <f>(Analisis_Inputs_Grales!$D$67-Analisis_Inputs_Grales!$D$70*Analisis_Inputs_Grales!$D$67)/(Analisis_Inputs_Grales!$D$59*12*$C$179)</f>
        <v>0.12581249999999999</v>
      </c>
    </row>
    <row r="184" spans="2:23" x14ac:dyDescent="0.2">
      <c r="B184" s="30" t="s">
        <v>88</v>
      </c>
      <c r="C184" s="31" t="s">
        <v>207</v>
      </c>
      <c r="D184" s="52">
        <f>D183*12*Analisis_Inputs_Grales!$D$59</f>
        <v>13044.24</v>
      </c>
      <c r="E184" s="52">
        <f>E183*12*Analisis_Inputs_Grales!$D$59</f>
        <v>13044.24</v>
      </c>
      <c r="F184" s="52">
        <f>F183*12*Analisis_Inputs_Grales!$D$59</f>
        <v>13044.24</v>
      </c>
      <c r="G184" s="52">
        <f>G183*12*Analisis_Inputs_Grales!$D$59</f>
        <v>13044.24</v>
      </c>
      <c r="H184" s="52">
        <f>H183*12*Analisis_Inputs_Grales!$D$59</f>
        <v>13044.24</v>
      </c>
      <c r="I184" s="52">
        <f>I183*12*Analisis_Inputs_Grales!$D$59</f>
        <v>13044.24</v>
      </c>
      <c r="J184" s="52">
        <f>J183*12*Analisis_Inputs_Grales!$D$59</f>
        <v>13044.24</v>
      </c>
      <c r="K184" s="52">
        <f>K183*12*Analisis_Inputs_Grales!$D$59</f>
        <v>13044.24</v>
      </c>
      <c r="L184" s="52">
        <f>L183*12*Analisis_Inputs_Grales!$D$59</f>
        <v>13044.24</v>
      </c>
      <c r="M184" s="52">
        <f>M183*12*Analisis_Inputs_Grales!$D$59</f>
        <v>13044.24</v>
      </c>
    </row>
    <row r="185" spans="2:23" x14ac:dyDescent="0.2">
      <c r="B185" s="28" t="s">
        <v>89</v>
      </c>
      <c r="C185" s="29" t="s">
        <v>452</v>
      </c>
      <c r="D185" s="74">
        <f>Analisis_Inputs_Grales!$D$51/Analisis_Inputs_Grales!$D$59</f>
        <v>0.18265162037037036</v>
      </c>
      <c r="E185" s="74">
        <f>Analisis_Inputs_Grales!$D$51/Analisis_Inputs_Grales!$D$59</f>
        <v>0.18265162037037036</v>
      </c>
      <c r="F185" s="74">
        <f>Analisis_Inputs_Grales!$D$51/Analisis_Inputs_Grales!$D$59</f>
        <v>0.18265162037037036</v>
      </c>
      <c r="G185" s="74">
        <f>Analisis_Inputs_Grales!$D$51/Analisis_Inputs_Grales!$D$59</f>
        <v>0.18265162037037036</v>
      </c>
      <c r="H185" s="74">
        <f>Analisis_Inputs_Grales!$D$51/Analisis_Inputs_Grales!$D$59</f>
        <v>0.18265162037037036</v>
      </c>
      <c r="I185" s="74">
        <f>Analisis_Inputs_Grales!$D$51/Analisis_Inputs_Grales!$D$59</f>
        <v>0.18265162037037036</v>
      </c>
      <c r="J185" s="74">
        <f>Analisis_Inputs_Grales!$D$51/Analisis_Inputs_Grales!$D$59</f>
        <v>0.18265162037037036</v>
      </c>
      <c r="K185" s="74">
        <f>Analisis_Inputs_Grales!$D$51/Analisis_Inputs_Grales!$D$59</f>
        <v>0.18265162037037036</v>
      </c>
      <c r="L185" s="74">
        <f>Analisis_Inputs_Grales!$D$51/Analisis_Inputs_Grales!$D$59</f>
        <v>0.18265162037037036</v>
      </c>
      <c r="M185" s="74">
        <f>Analisis_Inputs_Grales!$D$51/Analisis_Inputs_Grales!$D$59</f>
        <v>0.18265162037037036</v>
      </c>
    </row>
    <row r="186" spans="2:23" x14ac:dyDescent="0.2">
      <c r="B186" s="32" t="s">
        <v>89</v>
      </c>
      <c r="C186" s="33" t="s">
        <v>207</v>
      </c>
      <c r="D186" s="52">
        <f>D185*12*Analisis_Inputs_Grales!$D$59</f>
        <v>18937.32</v>
      </c>
      <c r="E186" s="52">
        <f>E185*12*Analisis_Inputs_Grales!$D$59</f>
        <v>18937.32</v>
      </c>
      <c r="F186" s="52">
        <f>F185*12*Analisis_Inputs_Grales!$D$59</f>
        <v>18937.32</v>
      </c>
      <c r="G186" s="52">
        <f>G185*12*Analisis_Inputs_Grales!$D$59</f>
        <v>18937.32</v>
      </c>
      <c r="H186" s="52">
        <f>H185*12*Analisis_Inputs_Grales!$D$59</f>
        <v>18937.32</v>
      </c>
      <c r="I186" s="52">
        <f>I185*12*Analisis_Inputs_Grales!$D$59</f>
        <v>18937.32</v>
      </c>
      <c r="J186" s="52">
        <f>J185*12*Analisis_Inputs_Grales!$D$59</f>
        <v>18937.32</v>
      </c>
      <c r="K186" s="52">
        <f>K185*12*Analisis_Inputs_Grales!$D$59</f>
        <v>18937.32</v>
      </c>
      <c r="L186" s="52">
        <f>L185*12*Analisis_Inputs_Grales!$D$59</f>
        <v>18937.32</v>
      </c>
      <c r="M186" s="52">
        <f>M185*12*Analisis_Inputs_Grales!$D$59</f>
        <v>18937.32</v>
      </c>
    </row>
    <row r="187" spans="2:23" x14ac:dyDescent="0.2">
      <c r="B187" s="28" t="s">
        <v>90</v>
      </c>
      <c r="C187" s="29" t="s">
        <v>452</v>
      </c>
      <c r="D187" s="74">
        <f>D185+D183+D181</f>
        <v>0.47621412037037036</v>
      </c>
      <c r="E187" s="74">
        <f t="shared" ref="E187:M187" si="47">E185+E183+E181</f>
        <v>0.47621412037037036</v>
      </c>
      <c r="F187" s="74">
        <f t="shared" si="47"/>
        <v>0.47621412037037036</v>
      </c>
      <c r="G187" s="74">
        <f t="shared" si="47"/>
        <v>0.47621412037037036</v>
      </c>
      <c r="H187" s="74">
        <f t="shared" si="47"/>
        <v>0.47621412037037036</v>
      </c>
      <c r="I187" s="74">
        <f t="shared" si="47"/>
        <v>0.47621412037037036</v>
      </c>
      <c r="J187" s="74">
        <f t="shared" si="47"/>
        <v>0.47621412037037036</v>
      </c>
      <c r="K187" s="74">
        <f t="shared" si="47"/>
        <v>0.47621412037037036</v>
      </c>
      <c r="L187" s="74">
        <f t="shared" si="47"/>
        <v>0.47621412037037036</v>
      </c>
      <c r="M187" s="74">
        <f t="shared" si="47"/>
        <v>0.47621412037037036</v>
      </c>
    </row>
    <row r="188" spans="2:23" x14ac:dyDescent="0.2">
      <c r="B188" s="30" t="s">
        <v>90</v>
      </c>
      <c r="C188" s="31" t="s">
        <v>207</v>
      </c>
      <c r="D188" s="52">
        <f>D187*12*Analisis_Inputs_Grales!$D$59</f>
        <v>49373.880000000005</v>
      </c>
      <c r="E188" s="52">
        <f>E187*12*Analisis_Inputs_Grales!$D$59</f>
        <v>49373.880000000005</v>
      </c>
      <c r="F188" s="52">
        <f>F187*12*Analisis_Inputs_Grales!$D$59</f>
        <v>49373.880000000005</v>
      </c>
      <c r="G188" s="52">
        <f>G187*12*Analisis_Inputs_Grales!$D$59</f>
        <v>49373.880000000005</v>
      </c>
      <c r="H188" s="52">
        <f>H187*12*Analisis_Inputs_Grales!$D$59</f>
        <v>49373.880000000005</v>
      </c>
      <c r="I188" s="52">
        <f>I187*12*Analisis_Inputs_Grales!$D$59</f>
        <v>49373.880000000005</v>
      </c>
      <c r="J188" s="52">
        <f>J187*12*Analisis_Inputs_Grales!$D$59</f>
        <v>49373.880000000005</v>
      </c>
      <c r="K188" s="52">
        <f>K187*12*Analisis_Inputs_Grales!$D$59</f>
        <v>49373.880000000005</v>
      </c>
      <c r="L188" s="52">
        <f>L187*12*Analisis_Inputs_Grales!$D$59</f>
        <v>49373.880000000005</v>
      </c>
      <c r="M188" s="52">
        <f>M187*12*Analisis_Inputs_Grales!$D$59</f>
        <v>49373.880000000005</v>
      </c>
    </row>
    <row r="189" spans="2:23" x14ac:dyDescent="0.2">
      <c r="C189" s="31"/>
    </row>
    <row r="190" spans="2:23" ht="15" x14ac:dyDescent="0.25">
      <c r="B190" s="27" t="s">
        <v>91</v>
      </c>
      <c r="C190" s="31"/>
    </row>
    <row r="191" spans="2:23" x14ac:dyDescent="0.2">
      <c r="B191" s="28" t="s">
        <v>92</v>
      </c>
      <c r="C191" s="29" t="s">
        <v>452</v>
      </c>
      <c r="D191" s="74">
        <f>Analisis_Inputs_Grales!$D$73/(Analisis_Inputs_Grales!$D$71*Analisis_Inputs_Grales!$D$72/60)</f>
        <v>7.5186104218362276E-2</v>
      </c>
      <c r="E191" s="74">
        <f>Analisis_Inputs_Grales!$D$73/(Analisis_Inputs_Grales!$D$71*Analisis_Inputs_Grales!$D$72/60)</f>
        <v>7.5186104218362276E-2</v>
      </c>
      <c r="F191" s="74">
        <f>Analisis_Inputs_Grales!$D$73/(Analisis_Inputs_Grales!$D$71*Analisis_Inputs_Grales!$D$72/60)</f>
        <v>7.5186104218362276E-2</v>
      </c>
      <c r="G191" s="74">
        <f>Analisis_Inputs_Grales!$D$73/(Analisis_Inputs_Grales!$D$71*Analisis_Inputs_Grales!$D$72/60)</f>
        <v>7.5186104218362276E-2</v>
      </c>
      <c r="H191" s="74">
        <f>Analisis_Inputs_Grales!$D$73/(Analisis_Inputs_Grales!$D$71*Analisis_Inputs_Grales!$D$72/60)</f>
        <v>7.5186104218362276E-2</v>
      </c>
      <c r="I191" s="74">
        <f>Analisis_Inputs_Grales!$D$73/(Analisis_Inputs_Grales!$D$71*Analisis_Inputs_Grales!$D$72/60)</f>
        <v>7.5186104218362276E-2</v>
      </c>
      <c r="J191" s="74">
        <f>Analisis_Inputs_Grales!$D$73/(Analisis_Inputs_Grales!$D$71*Analisis_Inputs_Grales!$D$72/60)</f>
        <v>7.5186104218362276E-2</v>
      </c>
      <c r="K191" s="74">
        <f>Analisis_Inputs_Grales!$D$73/(Analisis_Inputs_Grales!$D$71*Analisis_Inputs_Grales!$D$72/60)</f>
        <v>7.5186104218362276E-2</v>
      </c>
      <c r="L191" s="74">
        <f>Analisis_Inputs_Grales!$D$73/(Analisis_Inputs_Grales!$D$71*Analisis_Inputs_Grales!$D$72/60)</f>
        <v>7.5186104218362276E-2</v>
      </c>
      <c r="M191" s="74">
        <f>Analisis_Inputs_Grales!$D$73/(Analisis_Inputs_Grales!$D$71*Analisis_Inputs_Grales!$D$72/60)</f>
        <v>7.5186104218362276E-2</v>
      </c>
    </row>
    <row r="192" spans="2:23" x14ac:dyDescent="0.2">
      <c r="B192" s="30" t="s">
        <v>92</v>
      </c>
      <c r="C192" s="31" t="s">
        <v>207</v>
      </c>
      <c r="D192" s="52">
        <f>D191*12*Analisis_Inputs_Grales!$D$59</f>
        <v>7795.2952853598008</v>
      </c>
      <c r="E192" s="52">
        <f>E191*12*Analisis_Inputs_Grales!$D$59</f>
        <v>7795.2952853598008</v>
      </c>
      <c r="F192" s="52">
        <f>F191*12*Analisis_Inputs_Grales!$D$59</f>
        <v>7795.2952853598008</v>
      </c>
      <c r="G192" s="52">
        <f>G191*12*Analisis_Inputs_Grales!$D$59</f>
        <v>7795.2952853598008</v>
      </c>
      <c r="H192" s="52">
        <f>H191*12*Analisis_Inputs_Grales!$D$59</f>
        <v>7795.2952853598008</v>
      </c>
      <c r="I192" s="52">
        <f>I191*12*Analisis_Inputs_Grales!$D$59</f>
        <v>7795.2952853598008</v>
      </c>
      <c r="J192" s="52">
        <f>J191*12*Analisis_Inputs_Grales!$D$59</f>
        <v>7795.2952853598008</v>
      </c>
      <c r="K192" s="52">
        <f>K191*12*Analisis_Inputs_Grales!$D$59</f>
        <v>7795.2952853598008</v>
      </c>
      <c r="L192" s="52">
        <f>L191*12*Analisis_Inputs_Grales!$D$59</f>
        <v>7795.2952853598008</v>
      </c>
      <c r="M192" s="52">
        <f>M191*12*Analisis_Inputs_Grales!$D$59</f>
        <v>7795.2952853598008</v>
      </c>
    </row>
    <row r="193" spans="2:13" x14ac:dyDescent="0.2">
      <c r="B193" s="28" t="s">
        <v>93</v>
      </c>
      <c r="C193" s="29" t="s">
        <v>452</v>
      </c>
      <c r="D193" s="74">
        <f>Analisis_Inputs_Grales!$D$74*'Analisis 20Años'!D191</f>
        <v>1.1277915632754341E-2</v>
      </c>
      <c r="E193" s="74">
        <f>Analisis_Inputs_Grales!$D$74*'Analisis 20Años'!E191</f>
        <v>1.1277915632754341E-2</v>
      </c>
      <c r="F193" s="74">
        <f>Analisis_Inputs_Grales!$D$74*'Analisis 20Años'!F191</f>
        <v>1.1277915632754341E-2</v>
      </c>
      <c r="G193" s="74">
        <f>Analisis_Inputs_Grales!$D$74*'Analisis 20Años'!G191</f>
        <v>1.1277915632754341E-2</v>
      </c>
      <c r="H193" s="74">
        <f>Analisis_Inputs_Grales!$D$74*'Analisis 20Años'!H191</f>
        <v>1.1277915632754341E-2</v>
      </c>
      <c r="I193" s="74">
        <f>Analisis_Inputs_Grales!$D$74*'Analisis 20Años'!I191</f>
        <v>1.1277915632754341E-2</v>
      </c>
      <c r="J193" s="74">
        <f>Analisis_Inputs_Grales!$D$74*'Analisis 20Años'!J191</f>
        <v>1.1277915632754341E-2</v>
      </c>
      <c r="K193" s="74">
        <f>Analisis_Inputs_Grales!$D$74*'Analisis 20Años'!K191</f>
        <v>1.1277915632754341E-2</v>
      </c>
      <c r="L193" s="74">
        <f>Analisis_Inputs_Grales!$D$74*'Analisis 20Años'!L191</f>
        <v>1.1277915632754341E-2</v>
      </c>
      <c r="M193" s="74">
        <f>Analisis_Inputs_Grales!$D$74*'Analisis 20Años'!M191</f>
        <v>1.1277915632754341E-2</v>
      </c>
    </row>
    <row r="194" spans="2:13" x14ac:dyDescent="0.2">
      <c r="B194" s="30" t="s">
        <v>93</v>
      </c>
      <c r="C194" s="31" t="s">
        <v>207</v>
      </c>
      <c r="D194" s="52">
        <f>D193*12*Analisis_Inputs_Grales!$D$59</f>
        <v>1169.2942928039702</v>
      </c>
      <c r="E194" s="52">
        <f>E193*12*Analisis_Inputs_Grales!$D$59</f>
        <v>1169.2942928039702</v>
      </c>
      <c r="F194" s="52">
        <f>F193*12*Analisis_Inputs_Grales!$D$59</f>
        <v>1169.2942928039702</v>
      </c>
      <c r="G194" s="52">
        <f>G193*12*Analisis_Inputs_Grales!$D$59</f>
        <v>1169.2942928039702</v>
      </c>
      <c r="H194" s="52">
        <f>H193*12*Analisis_Inputs_Grales!$D$59</f>
        <v>1169.2942928039702</v>
      </c>
      <c r="I194" s="52">
        <f>I193*12*Analisis_Inputs_Grales!$D$59</f>
        <v>1169.2942928039702</v>
      </c>
      <c r="J194" s="52">
        <f>J193*12*Analisis_Inputs_Grales!$D$59</f>
        <v>1169.2942928039702</v>
      </c>
      <c r="K194" s="52">
        <f>K193*12*Analisis_Inputs_Grales!$D$59</f>
        <v>1169.2942928039702</v>
      </c>
      <c r="L194" s="52">
        <f>L193*12*Analisis_Inputs_Grales!$D$59</f>
        <v>1169.2942928039702</v>
      </c>
      <c r="M194" s="52">
        <f>M193*12*Analisis_Inputs_Grales!$D$59</f>
        <v>1169.2942928039702</v>
      </c>
    </row>
    <row r="195" spans="2:13" x14ac:dyDescent="0.2">
      <c r="B195" s="28" t="s">
        <v>94</v>
      </c>
      <c r="C195" s="29" t="s">
        <v>452</v>
      </c>
      <c r="D195" s="74">
        <f>Analisis_Inputs_Grales!$D$75*('Analisis 20Años'!D191+'Analisis 20Años'!D193)</f>
        <v>3.4585607940446648E-2</v>
      </c>
      <c r="E195" s="74">
        <f>Analisis_Inputs_Grales!$D$75*('Analisis 20Años'!E191+'Analisis 20Años'!E193)</f>
        <v>3.4585607940446648E-2</v>
      </c>
      <c r="F195" s="74">
        <f>Analisis_Inputs_Grales!$D$75*('Analisis 20Años'!F191+'Analisis 20Años'!F193)</f>
        <v>3.4585607940446648E-2</v>
      </c>
      <c r="G195" s="74">
        <f>Analisis_Inputs_Grales!$D$75*('Analisis 20Años'!G191+'Analisis 20Años'!G193)</f>
        <v>3.4585607940446648E-2</v>
      </c>
      <c r="H195" s="74">
        <f>Analisis_Inputs_Grales!$D$75*('Analisis 20Años'!H191+'Analisis 20Años'!H193)</f>
        <v>3.4585607940446648E-2</v>
      </c>
      <c r="I195" s="74">
        <f>Analisis_Inputs_Grales!$D$75*('Analisis 20Años'!I191+'Analisis 20Años'!I193)</f>
        <v>3.4585607940446648E-2</v>
      </c>
      <c r="J195" s="74">
        <f>Analisis_Inputs_Grales!$D$75*('Analisis 20Años'!J191+'Analisis 20Años'!J193)</f>
        <v>3.4585607940446648E-2</v>
      </c>
      <c r="K195" s="74">
        <f>Analisis_Inputs_Grales!$D$75*('Analisis 20Años'!K191+'Analisis 20Años'!K193)</f>
        <v>3.4585607940446648E-2</v>
      </c>
      <c r="L195" s="74">
        <f>Analisis_Inputs_Grales!$D$75*('Analisis 20Años'!L191+'Analisis 20Años'!L193)</f>
        <v>3.4585607940446648E-2</v>
      </c>
      <c r="M195" s="74">
        <f>Analisis_Inputs_Grales!$D$75*('Analisis 20Años'!M191+'Analisis 20Años'!M193)</f>
        <v>3.4585607940446648E-2</v>
      </c>
    </row>
    <row r="196" spans="2:13" x14ac:dyDescent="0.2">
      <c r="B196" s="30" t="s">
        <v>94</v>
      </c>
      <c r="C196" s="31" t="s">
        <v>207</v>
      </c>
      <c r="D196" s="52">
        <f>D195*12*Analisis_Inputs_Grales!$D$59</f>
        <v>3585.8358312655082</v>
      </c>
      <c r="E196" s="52">
        <f>E195*12*Analisis_Inputs_Grales!$D$59</f>
        <v>3585.8358312655082</v>
      </c>
      <c r="F196" s="52">
        <f>F195*12*Analisis_Inputs_Grales!$D$59</f>
        <v>3585.8358312655082</v>
      </c>
      <c r="G196" s="52">
        <f>G195*12*Analisis_Inputs_Grales!$D$59</f>
        <v>3585.8358312655082</v>
      </c>
      <c r="H196" s="52">
        <f>H195*12*Analisis_Inputs_Grales!$D$59</f>
        <v>3585.8358312655082</v>
      </c>
      <c r="I196" s="52">
        <f>I195*12*Analisis_Inputs_Grales!$D$59</f>
        <v>3585.8358312655082</v>
      </c>
      <c r="J196" s="52">
        <f>J195*12*Analisis_Inputs_Grales!$D$59</f>
        <v>3585.8358312655082</v>
      </c>
      <c r="K196" s="52">
        <f>K195*12*Analisis_Inputs_Grales!$D$59</f>
        <v>3585.8358312655082</v>
      </c>
      <c r="L196" s="52">
        <f>L195*12*Analisis_Inputs_Grales!$D$59</f>
        <v>3585.8358312655082</v>
      </c>
      <c r="M196" s="52">
        <f>M195*12*Analisis_Inputs_Grales!$D$59</f>
        <v>3585.8358312655082</v>
      </c>
    </row>
    <row r="197" spans="2:13" x14ac:dyDescent="0.2">
      <c r="B197" s="28" t="s">
        <v>95</v>
      </c>
      <c r="C197" s="29" t="s">
        <v>452</v>
      </c>
      <c r="D197" s="74">
        <f>D195+D193+D191</f>
        <v>0.12104962779156327</v>
      </c>
      <c r="E197" s="74">
        <f t="shared" ref="E197:M197" si="48">E195+E193+E191</f>
        <v>0.12104962779156327</v>
      </c>
      <c r="F197" s="74">
        <f t="shared" si="48"/>
        <v>0.12104962779156327</v>
      </c>
      <c r="G197" s="74">
        <f t="shared" si="48"/>
        <v>0.12104962779156327</v>
      </c>
      <c r="H197" s="74">
        <f t="shared" si="48"/>
        <v>0.12104962779156327</v>
      </c>
      <c r="I197" s="74">
        <f t="shared" si="48"/>
        <v>0.12104962779156327</v>
      </c>
      <c r="J197" s="74">
        <f t="shared" si="48"/>
        <v>0.12104962779156327</v>
      </c>
      <c r="K197" s="74">
        <f t="shared" si="48"/>
        <v>0.12104962779156327</v>
      </c>
      <c r="L197" s="74">
        <f t="shared" si="48"/>
        <v>0.12104962779156327</v>
      </c>
      <c r="M197" s="74">
        <f t="shared" si="48"/>
        <v>0.12104962779156327</v>
      </c>
    </row>
    <row r="198" spans="2:13" x14ac:dyDescent="0.2">
      <c r="B198" s="32" t="s">
        <v>95</v>
      </c>
      <c r="C198" s="31" t="s">
        <v>207</v>
      </c>
      <c r="D198" s="52">
        <f>D197*12*Analisis_Inputs_Grales!$D$59</f>
        <v>12550.425409429279</v>
      </c>
      <c r="E198" s="52">
        <f>E197*12*Analisis_Inputs_Grales!$D$59</f>
        <v>12550.425409429279</v>
      </c>
      <c r="F198" s="52">
        <f>F197*12*Analisis_Inputs_Grales!$D$59</f>
        <v>12550.425409429279</v>
      </c>
      <c r="G198" s="52">
        <f>G197*12*Analisis_Inputs_Grales!$D$59</f>
        <v>12550.425409429279</v>
      </c>
      <c r="H198" s="52">
        <f>H197*12*Analisis_Inputs_Grales!$D$59</f>
        <v>12550.425409429279</v>
      </c>
      <c r="I198" s="52">
        <f>I197*12*Analisis_Inputs_Grales!$D$59</f>
        <v>12550.425409429279</v>
      </c>
      <c r="J198" s="52">
        <f>J197*12*Analisis_Inputs_Grales!$D$59</f>
        <v>12550.425409429279</v>
      </c>
      <c r="K198" s="52">
        <f>K197*12*Analisis_Inputs_Grales!$D$59</f>
        <v>12550.425409429279</v>
      </c>
      <c r="L198" s="52">
        <f>L197*12*Analisis_Inputs_Grales!$D$59</f>
        <v>12550.425409429279</v>
      </c>
      <c r="M198" s="52">
        <f>M197*12*Analisis_Inputs_Grales!$D$59</f>
        <v>12550.425409429279</v>
      </c>
    </row>
    <row r="199" spans="2:13" x14ac:dyDescent="0.2">
      <c r="B199" s="34"/>
    </row>
    <row r="200" spans="2:13" x14ac:dyDescent="0.2">
      <c r="B200" s="35" t="s">
        <v>96</v>
      </c>
      <c r="C200" s="36" t="s">
        <v>452</v>
      </c>
      <c r="D200" s="74">
        <f>+D187+D197</f>
        <v>0.59726374816193362</v>
      </c>
      <c r="E200" s="74">
        <f t="shared" ref="E200:M200" si="49">+E187+E197</f>
        <v>0.59726374816193362</v>
      </c>
      <c r="F200" s="74">
        <f t="shared" si="49"/>
        <v>0.59726374816193362</v>
      </c>
      <c r="G200" s="74">
        <f t="shared" si="49"/>
        <v>0.59726374816193362</v>
      </c>
      <c r="H200" s="74">
        <f t="shared" si="49"/>
        <v>0.59726374816193362</v>
      </c>
      <c r="I200" s="74">
        <f t="shared" si="49"/>
        <v>0.59726374816193362</v>
      </c>
      <c r="J200" s="74">
        <f t="shared" si="49"/>
        <v>0.59726374816193362</v>
      </c>
      <c r="K200" s="74">
        <f t="shared" si="49"/>
        <v>0.59726374816193362</v>
      </c>
      <c r="L200" s="74">
        <f t="shared" si="49"/>
        <v>0.59726374816193362</v>
      </c>
      <c r="M200" s="74">
        <f t="shared" si="49"/>
        <v>0.59726374816193362</v>
      </c>
    </row>
    <row r="201" spans="2:13" x14ac:dyDescent="0.2">
      <c r="B201" s="37" t="s">
        <v>96</v>
      </c>
      <c r="C201" s="38" t="s">
        <v>207</v>
      </c>
      <c r="D201" s="52">
        <f>D200*12*Analisis_Inputs_Grales!$D$59</f>
        <v>61924.305409429275</v>
      </c>
      <c r="E201" s="52">
        <f>E200*12*Analisis_Inputs_Grales!$D$59</f>
        <v>61924.305409429275</v>
      </c>
      <c r="F201" s="52">
        <f>F200*12*Analisis_Inputs_Grales!$D$59</f>
        <v>61924.305409429275</v>
      </c>
      <c r="G201" s="52">
        <f>G200*12*Analisis_Inputs_Grales!$D$59</f>
        <v>61924.305409429275</v>
      </c>
      <c r="H201" s="52">
        <f>H200*12*Analisis_Inputs_Grales!$D$59</f>
        <v>61924.305409429275</v>
      </c>
      <c r="I201" s="52">
        <f>I200*12*Analisis_Inputs_Grales!$D$59</f>
        <v>61924.305409429275</v>
      </c>
      <c r="J201" s="52">
        <f>J200*12*Analisis_Inputs_Grales!$D$59</f>
        <v>61924.305409429275</v>
      </c>
      <c r="K201" s="52">
        <f>K200*12*Analisis_Inputs_Grales!$D$59</f>
        <v>61924.305409429275</v>
      </c>
      <c r="L201" s="52">
        <f>L200*12*Analisis_Inputs_Grales!$D$59</f>
        <v>61924.305409429275</v>
      </c>
      <c r="M201" s="52">
        <f>M200*12*Analisis_Inputs_Grales!$D$59</f>
        <v>61924.305409429275</v>
      </c>
    </row>
    <row r="202" spans="2:13" x14ac:dyDescent="0.2">
      <c r="B202" s="39"/>
      <c r="C202" s="40"/>
    </row>
    <row r="203" spans="2:13" x14ac:dyDescent="0.2">
      <c r="B203" s="41" t="s">
        <v>97</v>
      </c>
      <c r="C203" s="36" t="s">
        <v>453</v>
      </c>
      <c r="D203" s="74">
        <f>D200/(Analisis_Inputs_Grales!$D$64)</f>
        <v>3.1601256516504424E-2</v>
      </c>
      <c r="E203" s="74">
        <f>E200/(Analisis_Inputs_Grales!$D$64)</f>
        <v>3.1601256516504424E-2</v>
      </c>
      <c r="F203" s="74">
        <f>F200/(Analisis_Inputs_Grales!$D$64)</f>
        <v>3.1601256516504424E-2</v>
      </c>
      <c r="G203" s="74">
        <f>G200/(Analisis_Inputs_Grales!$D$64)</f>
        <v>3.1601256516504424E-2</v>
      </c>
      <c r="H203" s="74">
        <f>H200/(Analisis_Inputs_Grales!$D$64)</f>
        <v>3.1601256516504424E-2</v>
      </c>
      <c r="I203" s="74">
        <f>I200/(Analisis_Inputs_Grales!$D$64)</f>
        <v>3.1601256516504424E-2</v>
      </c>
      <c r="J203" s="74">
        <f>J200/(Analisis_Inputs_Grales!$D$64)</f>
        <v>3.1601256516504424E-2</v>
      </c>
      <c r="K203" s="74">
        <f>K200/(Analisis_Inputs_Grales!$D$64)</f>
        <v>3.1601256516504424E-2</v>
      </c>
      <c r="L203" s="74">
        <f>L200/(Analisis_Inputs_Grales!$D$64)</f>
        <v>3.1601256516504424E-2</v>
      </c>
      <c r="M203" s="74">
        <f>M200/(Analisis_Inputs_Grales!$D$64)</f>
        <v>3.1601256516504424E-2</v>
      </c>
    </row>
    <row r="204" spans="2:13" x14ac:dyDescent="0.2">
      <c r="B204" s="34" t="s">
        <v>98</v>
      </c>
      <c r="C204" s="31" t="s">
        <v>454</v>
      </c>
      <c r="D204" s="52">
        <f>D203*12*Analisis_Inputs_Grales!$D$59</f>
        <v>3276.4182756311789</v>
      </c>
      <c r="E204" s="52">
        <f>E203*12*Analisis_Inputs_Grales!$D$59</f>
        <v>3276.4182756311789</v>
      </c>
      <c r="F204" s="52">
        <f>F203*12*Analisis_Inputs_Grales!$D$59</f>
        <v>3276.4182756311789</v>
      </c>
      <c r="G204" s="52">
        <f>G203*12*Analisis_Inputs_Grales!$D$59</f>
        <v>3276.4182756311789</v>
      </c>
      <c r="H204" s="52">
        <f>H203*12*Analisis_Inputs_Grales!$D$59</f>
        <v>3276.4182756311789</v>
      </c>
      <c r="I204" s="52">
        <f>I203*12*Analisis_Inputs_Grales!$D$59</f>
        <v>3276.4182756311789</v>
      </c>
      <c r="J204" s="52">
        <f>J203*12*Analisis_Inputs_Grales!$D$59</f>
        <v>3276.4182756311789</v>
      </c>
      <c r="K204" s="52">
        <f>K203*12*Analisis_Inputs_Grales!$D$59</f>
        <v>3276.4182756311789</v>
      </c>
      <c r="L204" s="52">
        <f>L203*12*Analisis_Inputs_Grales!$D$59</f>
        <v>3276.4182756311789</v>
      </c>
      <c r="M204" s="52">
        <f>M203*12*Analisis_Inputs_Grales!$D$59</f>
        <v>3276.4182756311789</v>
      </c>
    </row>
    <row r="205" spans="2:13" ht="28.5" x14ac:dyDescent="0.2">
      <c r="B205" s="37" t="s">
        <v>99</v>
      </c>
      <c r="C205" s="38" t="s">
        <v>134</v>
      </c>
      <c r="D205" s="74">
        <f>(Analisis_Inputs_Grales!$D$79+Analisis_Inputs_Grales!$D$80)*D187/Analisis_Inputs_Grales!$D$64</f>
        <v>0.88187800068587097</v>
      </c>
      <c r="E205" s="74">
        <f>(Analisis_Inputs_Grales!$D$79+Analisis_Inputs_Grales!$D$80)*E187/Analisis_Inputs_Grales!$D$64</f>
        <v>0.88187800068587097</v>
      </c>
      <c r="F205" s="74">
        <f>(Analisis_Inputs_Grales!$D$79+Analisis_Inputs_Grales!$D$80)*F187/Analisis_Inputs_Grales!$D$64</f>
        <v>0.88187800068587097</v>
      </c>
      <c r="G205" s="74">
        <f>(Analisis_Inputs_Grales!$D$79+Analisis_Inputs_Grales!$D$80)*G187/Analisis_Inputs_Grales!$D$64</f>
        <v>0.88187800068587097</v>
      </c>
      <c r="H205" s="74">
        <f>(Analisis_Inputs_Grales!$D$79+Analisis_Inputs_Grales!$D$80)*H187/Analisis_Inputs_Grales!$D$64</f>
        <v>0.88187800068587097</v>
      </c>
      <c r="I205" s="74">
        <f>(Analisis_Inputs_Grales!$D$79+Analisis_Inputs_Grales!$D$80)*I187/Analisis_Inputs_Grales!$D$64</f>
        <v>0.88187800068587097</v>
      </c>
      <c r="J205" s="74">
        <f>(Analisis_Inputs_Grales!$D$79+Analisis_Inputs_Grales!$D$80)*J187/Analisis_Inputs_Grales!$D$64</f>
        <v>0.88187800068587097</v>
      </c>
      <c r="K205" s="74">
        <f>(Analisis_Inputs_Grales!$D$79+Analisis_Inputs_Grales!$D$80)*K187/Analisis_Inputs_Grales!$D$64</f>
        <v>0.88187800068587097</v>
      </c>
      <c r="L205" s="74">
        <f>(Analisis_Inputs_Grales!$D$79+Analisis_Inputs_Grales!$D$80)*L187/Analisis_Inputs_Grales!$D$64</f>
        <v>0.88187800068587097</v>
      </c>
      <c r="M205" s="74">
        <f>(Analisis_Inputs_Grales!$D$79+Analisis_Inputs_Grales!$D$80)*M187/Analisis_Inputs_Grales!$D$64</f>
        <v>0.88187800068587097</v>
      </c>
    </row>
    <row r="207" spans="2:13" x14ac:dyDescent="0.2">
      <c r="B207" s="34" t="s">
        <v>123</v>
      </c>
      <c r="C207" s="31" t="s">
        <v>455</v>
      </c>
      <c r="D207" s="74">
        <f>D203/(Analisis_Inputs_Grales!$D$72/60)</f>
        <v>2.6399726287567794E-2</v>
      </c>
      <c r="E207" s="74">
        <f>E203/(Analisis_Inputs_Grales!$D$72/60)</f>
        <v>2.6399726287567794E-2</v>
      </c>
      <c r="F207" s="74">
        <f>F203/(Analisis_Inputs_Grales!$D$72/60)</f>
        <v>2.6399726287567794E-2</v>
      </c>
      <c r="G207" s="74">
        <f>G203/(Analisis_Inputs_Grales!$D$72/60)</f>
        <v>2.6399726287567794E-2</v>
      </c>
      <c r="H207" s="74">
        <f>H203/(Analisis_Inputs_Grales!$D$72/60)</f>
        <v>2.6399726287567794E-2</v>
      </c>
      <c r="I207" s="74">
        <f>I203/(Analisis_Inputs_Grales!$D$72/60)</f>
        <v>2.6399726287567794E-2</v>
      </c>
      <c r="J207" s="74">
        <f>J203/(Analisis_Inputs_Grales!$D$72/60)</f>
        <v>2.6399726287567794E-2</v>
      </c>
      <c r="K207" s="74">
        <f>K203/(Analisis_Inputs_Grales!$D$72/60)</f>
        <v>2.6399726287567794E-2</v>
      </c>
      <c r="L207" s="74">
        <f>L203/(Analisis_Inputs_Grales!$D$72/60)</f>
        <v>2.6399726287567794E-2</v>
      </c>
      <c r="M207" s="74">
        <f>M203/(Analisis_Inputs_Grales!$D$72/60)</f>
        <v>2.6399726287567794E-2</v>
      </c>
    </row>
    <row r="208" spans="2:13" x14ac:dyDescent="0.2">
      <c r="B208" s="64" t="s">
        <v>124</v>
      </c>
      <c r="C208" s="65" t="s">
        <v>23</v>
      </c>
      <c r="D208" s="74">
        <f>(1+Analisis_Inputs_Grales!$D$127)^'Analisis 20Años'!D$3</f>
        <v>1</v>
      </c>
      <c r="E208" s="74">
        <f>(1+Analisis_Inputs_Grales!$D$127)^'Analisis 20Años'!E$3</f>
        <v>1.1200000000000001</v>
      </c>
      <c r="F208" s="74">
        <f>(1+Analisis_Inputs_Grales!$D$127)^'Analisis 20Años'!F$3</f>
        <v>1.2544000000000002</v>
      </c>
      <c r="G208" s="74">
        <f>(1+Analisis_Inputs_Grales!$D$127)^'Analisis 20Años'!G$3</f>
        <v>1.4049280000000004</v>
      </c>
      <c r="H208" s="74">
        <f>(1+Analisis_Inputs_Grales!$D$127)^'Analisis 20Años'!H$3</f>
        <v>1.5735193600000004</v>
      </c>
      <c r="I208" s="74">
        <f>(1+Analisis_Inputs_Grales!$D$127)^'Analisis 20Años'!I$3</f>
        <v>1.7623416832000005</v>
      </c>
      <c r="J208" s="74">
        <f>(1+Analisis_Inputs_Grales!$D$127)^'Analisis 20Años'!J$3</f>
        <v>1.9738226851840008</v>
      </c>
      <c r="K208" s="74">
        <f>(1+Analisis_Inputs_Grales!$D$127)^'Analisis 20Años'!K$3</f>
        <v>2.210681407406081</v>
      </c>
      <c r="L208" s="74">
        <f>(1+Analisis_Inputs_Grales!$D$127)^'Analisis 20Años'!L$3</f>
        <v>2.4759631762948109</v>
      </c>
      <c r="M208" s="74">
        <f>(1+Analisis_Inputs_Grales!$D$127)^'Analisis 20Años'!M$3</f>
        <v>2.7730787574501883</v>
      </c>
    </row>
    <row r="209" spans="2:18" x14ac:dyDescent="0.2">
      <c r="B209" s="64" t="s">
        <v>125</v>
      </c>
      <c r="C209" s="65" t="s">
        <v>455</v>
      </c>
      <c r="D209" s="74">
        <f>D207*D208</f>
        <v>2.6399726287567794E-2</v>
      </c>
      <c r="E209" s="74">
        <f t="shared" ref="E209:M209" si="50">E207*E208</f>
        <v>2.9567693442075934E-2</v>
      </c>
      <c r="F209" s="74">
        <f t="shared" si="50"/>
        <v>3.3115816655125044E-2</v>
      </c>
      <c r="G209" s="74">
        <f t="shared" si="50"/>
        <v>3.7089714653740058E-2</v>
      </c>
      <c r="H209" s="74">
        <f t="shared" si="50"/>
        <v>4.1540480412188864E-2</v>
      </c>
      <c r="I209" s="74">
        <f t="shared" si="50"/>
        <v>4.6525338061651531E-2</v>
      </c>
      <c r="J209" s="74">
        <f t="shared" si="50"/>
        <v>5.2108378629049719E-2</v>
      </c>
      <c r="K209" s="74">
        <f t="shared" si="50"/>
        <v>5.8361384064535685E-2</v>
      </c>
      <c r="L209" s="74">
        <f t="shared" si="50"/>
        <v>6.5364750152279966E-2</v>
      </c>
      <c r="M209" s="74">
        <f t="shared" si="50"/>
        <v>7.320852017055357E-2</v>
      </c>
    </row>
    <row r="210" spans="2:18" ht="15" x14ac:dyDescent="0.25">
      <c r="B210" s="66" t="s">
        <v>131</v>
      </c>
      <c r="C210" s="65" t="s">
        <v>455</v>
      </c>
      <c r="D210" s="74">
        <f>SUM(D209:M209)</f>
        <v>0.46328180252876816</v>
      </c>
    </row>
    <row r="212" spans="2:18" ht="15" thickBot="1" x14ac:dyDescent="0.25"/>
    <row r="213" spans="2:18" ht="16.5" thickBot="1" x14ac:dyDescent="0.3">
      <c r="B213" s="63" t="s">
        <v>65</v>
      </c>
      <c r="C213" s="62">
        <v>15</v>
      </c>
      <c r="D213" s="52"/>
    </row>
    <row r="214" spans="2:18" ht="15.75" x14ac:dyDescent="0.25">
      <c r="B214" s="60" t="s">
        <v>86</v>
      </c>
      <c r="D214" s="52"/>
    </row>
    <row r="215" spans="2:18" x14ac:dyDescent="0.2">
      <c r="B215" s="28" t="s">
        <v>87</v>
      </c>
      <c r="C215" s="29" t="s">
        <v>452</v>
      </c>
      <c r="D215" s="74">
        <f>Analisis_Inputs_Grales!$D$67*(Analisis_Inputs_Grales!$D$127/12)/Analisis_Inputs_Grales!$D$59</f>
        <v>0.16775000000000001</v>
      </c>
      <c r="E215" s="74">
        <f>Analisis_Inputs_Grales!$D$67*(Analisis_Inputs_Grales!$D$127/12)/Analisis_Inputs_Grales!$D$59</f>
        <v>0.16775000000000001</v>
      </c>
      <c r="F215" s="74">
        <f>Analisis_Inputs_Grales!$D$67*(Analisis_Inputs_Grales!$D$127/12)/Analisis_Inputs_Grales!$D$59</f>
        <v>0.16775000000000001</v>
      </c>
      <c r="G215" s="74">
        <f>Analisis_Inputs_Grales!$D$67*(Analisis_Inputs_Grales!$D$127/12)/Analisis_Inputs_Grales!$D$59</f>
        <v>0.16775000000000001</v>
      </c>
      <c r="H215" s="74">
        <f>Analisis_Inputs_Grales!$D$67*(Analisis_Inputs_Grales!$D$127/12)/Analisis_Inputs_Grales!$D$59</f>
        <v>0.16775000000000001</v>
      </c>
      <c r="I215" s="74">
        <f>Analisis_Inputs_Grales!$D$67*(Analisis_Inputs_Grales!$D$127/12)/Analisis_Inputs_Grales!$D$59</f>
        <v>0.16775000000000001</v>
      </c>
      <c r="J215" s="74">
        <f>Analisis_Inputs_Grales!$D$67*(Analisis_Inputs_Grales!$D$127/12)/Analisis_Inputs_Grales!$D$59</f>
        <v>0.16775000000000001</v>
      </c>
      <c r="K215" s="74">
        <f>Analisis_Inputs_Grales!$D$67*(Analisis_Inputs_Grales!$D$127/12)/Analisis_Inputs_Grales!$D$59</f>
        <v>0.16775000000000001</v>
      </c>
      <c r="L215" s="74">
        <f>Analisis_Inputs_Grales!$D$67*(Analisis_Inputs_Grales!$D$127/12)/Analisis_Inputs_Grales!$D$59</f>
        <v>0.16775000000000001</v>
      </c>
      <c r="M215" s="74">
        <f>Analisis_Inputs_Grales!$D$67*(Analisis_Inputs_Grales!$D$127/12)/Analisis_Inputs_Grales!$D$59</f>
        <v>0.16775000000000001</v>
      </c>
      <c r="N215" s="74">
        <f>Analisis_Inputs_Grales!$D$67*(Analisis_Inputs_Grales!$D$127/12)/Analisis_Inputs_Grales!$D$59</f>
        <v>0.16775000000000001</v>
      </c>
      <c r="O215" s="74">
        <f>Analisis_Inputs_Grales!$D$67*(Analisis_Inputs_Grales!$D$127/12)/Analisis_Inputs_Grales!$D$59</f>
        <v>0.16775000000000001</v>
      </c>
      <c r="P215" s="74">
        <f>Analisis_Inputs_Grales!$D$67*(Analisis_Inputs_Grales!$D$127/12)/Analisis_Inputs_Grales!$D$59</f>
        <v>0.16775000000000001</v>
      </c>
      <c r="Q215" s="74">
        <f>Analisis_Inputs_Grales!$D$67*(Analisis_Inputs_Grales!$D$127/12)/Analisis_Inputs_Grales!$D$59</f>
        <v>0.16775000000000001</v>
      </c>
      <c r="R215" s="74">
        <f>Analisis_Inputs_Grales!$D$67*(Analisis_Inputs_Grales!$D$127/12)/Analisis_Inputs_Grales!$D$59</f>
        <v>0.16775000000000001</v>
      </c>
    </row>
    <row r="216" spans="2:18" x14ac:dyDescent="0.2">
      <c r="B216" s="30" t="s">
        <v>87</v>
      </c>
      <c r="C216" s="31" t="s">
        <v>207</v>
      </c>
      <c r="D216" s="52">
        <f>D215*12*Analisis_Inputs_Grales!$D$59</f>
        <v>17392.32</v>
      </c>
      <c r="E216" s="52">
        <f>E215*12*Analisis_Inputs_Grales!$D$59</f>
        <v>17392.32</v>
      </c>
      <c r="F216" s="52">
        <f>F215*12*Analisis_Inputs_Grales!$D$59</f>
        <v>17392.32</v>
      </c>
      <c r="G216" s="52">
        <f>G215*12*Analisis_Inputs_Grales!$D$59</f>
        <v>17392.32</v>
      </c>
      <c r="H216" s="52">
        <f>H215*12*Analisis_Inputs_Grales!$D$59</f>
        <v>17392.32</v>
      </c>
      <c r="I216" s="52">
        <f>I215*12*Analisis_Inputs_Grales!$D$59</f>
        <v>17392.32</v>
      </c>
      <c r="J216" s="52">
        <f>J215*12*Analisis_Inputs_Grales!$D$59</f>
        <v>17392.32</v>
      </c>
      <c r="K216" s="52">
        <f>K215*12*Analisis_Inputs_Grales!$D$59</f>
        <v>17392.32</v>
      </c>
      <c r="L216" s="52">
        <f>L215*12*Analisis_Inputs_Grales!$D$59</f>
        <v>17392.32</v>
      </c>
      <c r="M216" s="52">
        <f>M215*12*Analisis_Inputs_Grales!$D$59</f>
        <v>17392.32</v>
      </c>
      <c r="N216" s="52">
        <f>N215*12*Analisis_Inputs_Grales!$D$59</f>
        <v>17392.32</v>
      </c>
      <c r="O216" s="52">
        <f>O215*12*Analisis_Inputs_Grales!$D$59</f>
        <v>17392.32</v>
      </c>
      <c r="P216" s="52">
        <f>P215*12*Analisis_Inputs_Grales!$D$59</f>
        <v>17392.32</v>
      </c>
      <c r="Q216" s="52">
        <f>Q215*12*Analisis_Inputs_Grales!$D$59</f>
        <v>17392.32</v>
      </c>
      <c r="R216" s="52">
        <f>R215*12*Analisis_Inputs_Grales!$D$59</f>
        <v>17392.32</v>
      </c>
    </row>
    <row r="217" spans="2:18" x14ac:dyDescent="0.2">
      <c r="B217" s="28" t="s">
        <v>88</v>
      </c>
      <c r="C217" s="29" t="s">
        <v>452</v>
      </c>
      <c r="D217" s="74">
        <f>(Analisis_Inputs_Grales!$D$67-Analisis_Inputs_Grales!$D$70*Analisis_Inputs_Grales!$D$67)/(Analisis_Inputs_Grales!$D$59*12*$C$213)</f>
        <v>8.3874999999999991E-2</v>
      </c>
      <c r="E217" s="74">
        <f>(Analisis_Inputs_Grales!$D$67-Analisis_Inputs_Grales!$D$70*Analisis_Inputs_Grales!$D$67)/(Analisis_Inputs_Grales!$D$59*12*$C$213)</f>
        <v>8.3874999999999991E-2</v>
      </c>
      <c r="F217" s="74">
        <f>(Analisis_Inputs_Grales!$D$67-Analisis_Inputs_Grales!$D$70*Analisis_Inputs_Grales!$D$67)/(Analisis_Inputs_Grales!$D$59*12*$C$213)</f>
        <v>8.3874999999999991E-2</v>
      </c>
      <c r="G217" s="74">
        <f>(Analisis_Inputs_Grales!$D$67-Analisis_Inputs_Grales!$D$70*Analisis_Inputs_Grales!$D$67)/(Analisis_Inputs_Grales!$D$59*12*$C$213)</f>
        <v>8.3874999999999991E-2</v>
      </c>
      <c r="H217" s="74">
        <f>(Analisis_Inputs_Grales!$D$67-Analisis_Inputs_Grales!$D$70*Analisis_Inputs_Grales!$D$67)/(Analisis_Inputs_Grales!$D$59*12*$C$213)</f>
        <v>8.3874999999999991E-2</v>
      </c>
      <c r="I217" s="74">
        <f>(Analisis_Inputs_Grales!$D$67-Analisis_Inputs_Grales!$D$70*Analisis_Inputs_Grales!$D$67)/(Analisis_Inputs_Grales!$D$59*12*$C$213)</f>
        <v>8.3874999999999991E-2</v>
      </c>
      <c r="J217" s="74">
        <f>(Analisis_Inputs_Grales!$D$67-Analisis_Inputs_Grales!$D$70*Analisis_Inputs_Grales!$D$67)/(Analisis_Inputs_Grales!$D$59*12*$C$213)</f>
        <v>8.3874999999999991E-2</v>
      </c>
      <c r="K217" s="74">
        <f>(Analisis_Inputs_Grales!$D$67-Analisis_Inputs_Grales!$D$70*Analisis_Inputs_Grales!$D$67)/(Analisis_Inputs_Grales!$D$59*12*$C$213)</f>
        <v>8.3874999999999991E-2</v>
      </c>
      <c r="L217" s="74">
        <f>(Analisis_Inputs_Grales!$D$67-Analisis_Inputs_Grales!$D$70*Analisis_Inputs_Grales!$D$67)/(Analisis_Inputs_Grales!$D$59*12*$C$213)</f>
        <v>8.3874999999999991E-2</v>
      </c>
      <c r="M217" s="74">
        <f>(Analisis_Inputs_Grales!$D$67-Analisis_Inputs_Grales!$D$70*Analisis_Inputs_Grales!$D$67)/(Analisis_Inputs_Grales!$D$59*12*$C$213)</f>
        <v>8.3874999999999991E-2</v>
      </c>
      <c r="N217" s="74">
        <f>(Analisis_Inputs_Grales!$D$67-Analisis_Inputs_Grales!$D$70*Analisis_Inputs_Grales!$D$67)/(Analisis_Inputs_Grales!$D$59*12*$C$213)</f>
        <v>8.3874999999999991E-2</v>
      </c>
      <c r="O217" s="74">
        <f>(Analisis_Inputs_Grales!$D$67-Analisis_Inputs_Grales!$D$70*Analisis_Inputs_Grales!$D$67)/(Analisis_Inputs_Grales!$D$59*12*$C$213)</f>
        <v>8.3874999999999991E-2</v>
      </c>
      <c r="P217" s="74">
        <f>(Analisis_Inputs_Grales!$D$67-Analisis_Inputs_Grales!$D$70*Analisis_Inputs_Grales!$D$67)/(Analisis_Inputs_Grales!$D$59*12*$C$213)</f>
        <v>8.3874999999999991E-2</v>
      </c>
      <c r="Q217" s="74">
        <f>(Analisis_Inputs_Grales!$D$67-Analisis_Inputs_Grales!$D$70*Analisis_Inputs_Grales!$D$67)/(Analisis_Inputs_Grales!$D$59*12*$C$213)</f>
        <v>8.3874999999999991E-2</v>
      </c>
      <c r="R217" s="74">
        <f>(Analisis_Inputs_Grales!$D$67-Analisis_Inputs_Grales!$D$70*Analisis_Inputs_Grales!$D$67)/(Analisis_Inputs_Grales!$D$59*12*$C$213)</f>
        <v>8.3874999999999991E-2</v>
      </c>
    </row>
    <row r="218" spans="2:18" x14ac:dyDescent="0.2">
      <c r="B218" s="30" t="s">
        <v>88</v>
      </c>
      <c r="C218" s="31" t="s">
        <v>207</v>
      </c>
      <c r="D218" s="52">
        <f>D217*12*Analisis_Inputs_Grales!$D$59</f>
        <v>8696.16</v>
      </c>
      <c r="E218" s="52">
        <f>E217*12*Analisis_Inputs_Grales!$D$59</f>
        <v>8696.16</v>
      </c>
      <c r="F218" s="52">
        <f>F217*12*Analisis_Inputs_Grales!$D$59</f>
        <v>8696.16</v>
      </c>
      <c r="G218" s="52">
        <f>G217*12*Analisis_Inputs_Grales!$D$59</f>
        <v>8696.16</v>
      </c>
      <c r="H218" s="52">
        <f>H217*12*Analisis_Inputs_Grales!$D$59</f>
        <v>8696.16</v>
      </c>
      <c r="I218" s="52">
        <f>I217*12*Analisis_Inputs_Grales!$D$59</f>
        <v>8696.16</v>
      </c>
      <c r="J218" s="52">
        <f>J217*12*Analisis_Inputs_Grales!$D$59</f>
        <v>8696.16</v>
      </c>
      <c r="K218" s="52">
        <f>K217*12*Analisis_Inputs_Grales!$D$59</f>
        <v>8696.16</v>
      </c>
      <c r="L218" s="52">
        <f>L217*12*Analisis_Inputs_Grales!$D$59</f>
        <v>8696.16</v>
      </c>
      <c r="M218" s="52">
        <f>M217*12*Analisis_Inputs_Grales!$D$59</f>
        <v>8696.16</v>
      </c>
      <c r="N218" s="52">
        <f>N217*12*Analisis_Inputs_Grales!$D$59</f>
        <v>8696.16</v>
      </c>
      <c r="O218" s="52">
        <f>O217*12*Analisis_Inputs_Grales!$D$59</f>
        <v>8696.16</v>
      </c>
      <c r="P218" s="52">
        <f>P217*12*Analisis_Inputs_Grales!$D$59</f>
        <v>8696.16</v>
      </c>
      <c r="Q218" s="52">
        <f>Q217*12*Analisis_Inputs_Grales!$D$59</f>
        <v>8696.16</v>
      </c>
      <c r="R218" s="52">
        <f>R217*12*Analisis_Inputs_Grales!$D$59</f>
        <v>8696.16</v>
      </c>
    </row>
    <row r="219" spans="2:18" x14ac:dyDescent="0.2">
      <c r="B219" s="28" t="s">
        <v>89</v>
      </c>
      <c r="C219" s="29" t="s">
        <v>452</v>
      </c>
      <c r="D219" s="74">
        <f>Analisis_Inputs_Grales!$D$51/Analisis_Inputs_Grales!$D$59</f>
        <v>0.18265162037037036</v>
      </c>
      <c r="E219" s="74">
        <f>Analisis_Inputs_Grales!$D$51/Analisis_Inputs_Grales!$D$59</f>
        <v>0.18265162037037036</v>
      </c>
      <c r="F219" s="74">
        <f>Analisis_Inputs_Grales!$D$51/Analisis_Inputs_Grales!$D$59</f>
        <v>0.18265162037037036</v>
      </c>
      <c r="G219" s="74">
        <f>Analisis_Inputs_Grales!$D$51/Analisis_Inputs_Grales!$D$59</f>
        <v>0.18265162037037036</v>
      </c>
      <c r="H219" s="74">
        <f>Analisis_Inputs_Grales!$D$51/Analisis_Inputs_Grales!$D$59</f>
        <v>0.18265162037037036</v>
      </c>
      <c r="I219" s="74">
        <f>Analisis_Inputs_Grales!$D$51/Analisis_Inputs_Grales!$D$59</f>
        <v>0.18265162037037036</v>
      </c>
      <c r="J219" s="74">
        <f>Analisis_Inputs_Grales!$D$51/Analisis_Inputs_Grales!$D$59</f>
        <v>0.18265162037037036</v>
      </c>
      <c r="K219" s="74">
        <f>Analisis_Inputs_Grales!$D$51/Analisis_Inputs_Grales!$D$59</f>
        <v>0.18265162037037036</v>
      </c>
      <c r="L219" s="74">
        <f>Analisis_Inputs_Grales!$D$51/Analisis_Inputs_Grales!$D$59</f>
        <v>0.18265162037037036</v>
      </c>
      <c r="M219" s="74">
        <f>Analisis_Inputs_Grales!$D$51/Analisis_Inputs_Grales!$D$59</f>
        <v>0.18265162037037036</v>
      </c>
      <c r="N219" s="74">
        <f>Analisis_Inputs_Grales!$D$51/Analisis_Inputs_Grales!$D$59</f>
        <v>0.18265162037037036</v>
      </c>
      <c r="O219" s="74">
        <f>Analisis_Inputs_Grales!$D$51/Analisis_Inputs_Grales!$D$59</f>
        <v>0.18265162037037036</v>
      </c>
      <c r="P219" s="74">
        <f>Analisis_Inputs_Grales!$D$51/Analisis_Inputs_Grales!$D$59</f>
        <v>0.18265162037037036</v>
      </c>
      <c r="Q219" s="74">
        <f>Analisis_Inputs_Grales!$D$51/Analisis_Inputs_Grales!$D$59</f>
        <v>0.18265162037037036</v>
      </c>
      <c r="R219" s="74">
        <f>Analisis_Inputs_Grales!$D$51/Analisis_Inputs_Grales!$D$59</f>
        <v>0.18265162037037036</v>
      </c>
    </row>
    <row r="220" spans="2:18" x14ac:dyDescent="0.2">
      <c r="B220" s="32" t="s">
        <v>89</v>
      </c>
      <c r="C220" s="33" t="s">
        <v>207</v>
      </c>
      <c r="D220" s="52">
        <f>D219*12*Analisis_Inputs_Grales!$D$59</f>
        <v>18937.32</v>
      </c>
      <c r="E220" s="52">
        <f>E219*12*Analisis_Inputs_Grales!$D$59</f>
        <v>18937.32</v>
      </c>
      <c r="F220" s="52">
        <f>F219*12*Analisis_Inputs_Grales!$D$59</f>
        <v>18937.32</v>
      </c>
      <c r="G220" s="52">
        <f>G219*12*Analisis_Inputs_Grales!$D$59</f>
        <v>18937.32</v>
      </c>
      <c r="H220" s="52">
        <f>H219*12*Analisis_Inputs_Grales!$D$59</f>
        <v>18937.32</v>
      </c>
      <c r="I220" s="52">
        <f>I219*12*Analisis_Inputs_Grales!$D$59</f>
        <v>18937.32</v>
      </c>
      <c r="J220" s="52">
        <f>J219*12*Analisis_Inputs_Grales!$D$59</f>
        <v>18937.32</v>
      </c>
      <c r="K220" s="52">
        <f>K219*12*Analisis_Inputs_Grales!$D$59</f>
        <v>18937.32</v>
      </c>
      <c r="L220" s="52">
        <f>L219*12*Analisis_Inputs_Grales!$D$59</f>
        <v>18937.32</v>
      </c>
      <c r="M220" s="52">
        <f>M219*12*Analisis_Inputs_Grales!$D$59</f>
        <v>18937.32</v>
      </c>
      <c r="N220" s="52">
        <f>N219*12*Analisis_Inputs_Grales!$D$59</f>
        <v>18937.32</v>
      </c>
      <c r="O220" s="52">
        <f>O219*12*Analisis_Inputs_Grales!$D$59</f>
        <v>18937.32</v>
      </c>
      <c r="P220" s="52">
        <f>P219*12*Analisis_Inputs_Grales!$D$59</f>
        <v>18937.32</v>
      </c>
      <c r="Q220" s="52">
        <f>Q219*12*Analisis_Inputs_Grales!$D$59</f>
        <v>18937.32</v>
      </c>
      <c r="R220" s="52">
        <f>R219*12*Analisis_Inputs_Grales!$D$59</f>
        <v>18937.32</v>
      </c>
    </row>
    <row r="221" spans="2:18" x14ac:dyDescent="0.2">
      <c r="B221" s="28" t="s">
        <v>90</v>
      </c>
      <c r="C221" s="29" t="s">
        <v>452</v>
      </c>
      <c r="D221" s="74">
        <f>D219+D217+D215</f>
        <v>0.43427662037037035</v>
      </c>
      <c r="E221" s="74">
        <f t="shared" ref="E221:R221" si="51">E219+E217+E215</f>
        <v>0.43427662037037035</v>
      </c>
      <c r="F221" s="74">
        <f t="shared" si="51"/>
        <v>0.43427662037037035</v>
      </c>
      <c r="G221" s="74">
        <f t="shared" si="51"/>
        <v>0.43427662037037035</v>
      </c>
      <c r="H221" s="74">
        <f t="shared" si="51"/>
        <v>0.43427662037037035</v>
      </c>
      <c r="I221" s="74">
        <f t="shared" si="51"/>
        <v>0.43427662037037035</v>
      </c>
      <c r="J221" s="74">
        <f t="shared" si="51"/>
        <v>0.43427662037037035</v>
      </c>
      <c r="K221" s="74">
        <f t="shared" si="51"/>
        <v>0.43427662037037035</v>
      </c>
      <c r="L221" s="74">
        <f t="shared" si="51"/>
        <v>0.43427662037037035</v>
      </c>
      <c r="M221" s="74">
        <f t="shared" si="51"/>
        <v>0.43427662037037035</v>
      </c>
      <c r="N221" s="74">
        <f t="shared" si="51"/>
        <v>0.43427662037037035</v>
      </c>
      <c r="O221" s="74">
        <f t="shared" si="51"/>
        <v>0.43427662037037035</v>
      </c>
      <c r="P221" s="74">
        <f t="shared" si="51"/>
        <v>0.43427662037037035</v>
      </c>
      <c r="Q221" s="74">
        <f t="shared" si="51"/>
        <v>0.43427662037037035</v>
      </c>
      <c r="R221" s="74">
        <f t="shared" si="51"/>
        <v>0.43427662037037035</v>
      </c>
    </row>
    <row r="222" spans="2:18" x14ac:dyDescent="0.2">
      <c r="B222" s="30" t="s">
        <v>90</v>
      </c>
      <c r="C222" s="31" t="s">
        <v>207</v>
      </c>
      <c r="D222" s="52">
        <f>D221*12*Analisis_Inputs_Grales!$D$59</f>
        <v>45025.8</v>
      </c>
      <c r="E222" s="52">
        <f>E221*12*Analisis_Inputs_Grales!$D$59</f>
        <v>45025.8</v>
      </c>
      <c r="F222" s="52">
        <f>F221*12*Analisis_Inputs_Grales!$D$59</f>
        <v>45025.8</v>
      </c>
      <c r="G222" s="52">
        <f>G221*12*Analisis_Inputs_Grales!$D$59</f>
        <v>45025.8</v>
      </c>
      <c r="H222" s="52">
        <f>H221*12*Analisis_Inputs_Grales!$D$59</f>
        <v>45025.8</v>
      </c>
      <c r="I222" s="52">
        <f>I221*12*Analisis_Inputs_Grales!$D$59</f>
        <v>45025.8</v>
      </c>
      <c r="J222" s="52">
        <f>J221*12*Analisis_Inputs_Grales!$D$59</f>
        <v>45025.8</v>
      </c>
      <c r="K222" s="52">
        <f>K221*12*Analisis_Inputs_Grales!$D$59</f>
        <v>45025.8</v>
      </c>
      <c r="L222" s="52">
        <f>L221*12*Analisis_Inputs_Grales!$D$59</f>
        <v>45025.8</v>
      </c>
      <c r="M222" s="52">
        <f>M221*12*Analisis_Inputs_Grales!$D$59</f>
        <v>45025.8</v>
      </c>
      <c r="N222" s="52">
        <f>N221*12*Analisis_Inputs_Grales!$D$59</f>
        <v>45025.8</v>
      </c>
      <c r="O222" s="52">
        <f>O221*12*Analisis_Inputs_Grales!$D$59</f>
        <v>45025.8</v>
      </c>
      <c r="P222" s="52">
        <f>P221*12*Analisis_Inputs_Grales!$D$59</f>
        <v>45025.8</v>
      </c>
      <c r="Q222" s="52">
        <f>Q221*12*Analisis_Inputs_Grales!$D$59</f>
        <v>45025.8</v>
      </c>
      <c r="R222" s="52">
        <f>R221*12*Analisis_Inputs_Grales!$D$59</f>
        <v>45025.8</v>
      </c>
    </row>
    <row r="223" spans="2:18" x14ac:dyDescent="0.2">
      <c r="C223" s="31"/>
    </row>
    <row r="224" spans="2:18" ht="15" x14ac:dyDescent="0.25">
      <c r="B224" s="27" t="s">
        <v>91</v>
      </c>
      <c r="C224" s="31"/>
    </row>
    <row r="225" spans="2:18" x14ac:dyDescent="0.2">
      <c r="B225" s="28" t="s">
        <v>92</v>
      </c>
      <c r="C225" s="29" t="s">
        <v>452</v>
      </c>
      <c r="D225" s="74">
        <f>Analisis_Inputs_Grales!$D$73/(Analisis_Inputs_Grales!$D$71*Analisis_Inputs_Grales!$D$72/60)</f>
        <v>7.5186104218362276E-2</v>
      </c>
      <c r="E225" s="74">
        <f>Analisis_Inputs_Grales!$D$73/(Analisis_Inputs_Grales!$D$71*Analisis_Inputs_Grales!$D$72/60)</f>
        <v>7.5186104218362276E-2</v>
      </c>
      <c r="F225" s="74">
        <f>Analisis_Inputs_Grales!$D$73/(Analisis_Inputs_Grales!$D$71*Analisis_Inputs_Grales!$D$72/60)</f>
        <v>7.5186104218362276E-2</v>
      </c>
      <c r="G225" s="74">
        <f>Analisis_Inputs_Grales!$D$73/(Analisis_Inputs_Grales!$D$71*Analisis_Inputs_Grales!$D$72/60)</f>
        <v>7.5186104218362276E-2</v>
      </c>
      <c r="H225" s="74">
        <f>Analisis_Inputs_Grales!$D$73/(Analisis_Inputs_Grales!$D$71*Analisis_Inputs_Grales!$D$72/60)</f>
        <v>7.5186104218362276E-2</v>
      </c>
      <c r="I225" s="74">
        <f>Analisis_Inputs_Grales!$D$73/(Analisis_Inputs_Grales!$D$71*Analisis_Inputs_Grales!$D$72/60)</f>
        <v>7.5186104218362276E-2</v>
      </c>
      <c r="J225" s="74">
        <f>Analisis_Inputs_Grales!$D$73/(Analisis_Inputs_Grales!$D$71*Analisis_Inputs_Grales!$D$72/60)</f>
        <v>7.5186104218362276E-2</v>
      </c>
      <c r="K225" s="74">
        <f>Analisis_Inputs_Grales!$D$73/(Analisis_Inputs_Grales!$D$71*Analisis_Inputs_Grales!$D$72/60)</f>
        <v>7.5186104218362276E-2</v>
      </c>
      <c r="L225" s="74">
        <f>Analisis_Inputs_Grales!$D$73/(Analisis_Inputs_Grales!$D$71*Analisis_Inputs_Grales!$D$72/60)</f>
        <v>7.5186104218362276E-2</v>
      </c>
      <c r="M225" s="74">
        <f>Analisis_Inputs_Grales!$D$73/(Analisis_Inputs_Grales!$D$71*Analisis_Inputs_Grales!$D$72/60)</f>
        <v>7.5186104218362276E-2</v>
      </c>
      <c r="N225" s="74">
        <f>Analisis_Inputs_Grales!$D$73/(Analisis_Inputs_Grales!$D$71*Analisis_Inputs_Grales!$D$72/60)</f>
        <v>7.5186104218362276E-2</v>
      </c>
      <c r="O225" s="74">
        <f>Analisis_Inputs_Grales!$D$73/(Analisis_Inputs_Grales!$D$71*Analisis_Inputs_Grales!$D$72/60)</f>
        <v>7.5186104218362276E-2</v>
      </c>
      <c r="P225" s="74">
        <f>Analisis_Inputs_Grales!$D$73/(Analisis_Inputs_Grales!$D$71*Analisis_Inputs_Grales!$D$72/60)</f>
        <v>7.5186104218362276E-2</v>
      </c>
      <c r="Q225" s="74">
        <f>Analisis_Inputs_Grales!$D$73/(Analisis_Inputs_Grales!$D$71*Analisis_Inputs_Grales!$D$72/60)</f>
        <v>7.5186104218362276E-2</v>
      </c>
      <c r="R225" s="74">
        <f>Analisis_Inputs_Grales!$D$73/(Analisis_Inputs_Grales!$D$71*Analisis_Inputs_Grales!$D$72/60)</f>
        <v>7.5186104218362276E-2</v>
      </c>
    </row>
    <row r="226" spans="2:18" x14ac:dyDescent="0.2">
      <c r="B226" s="30" t="s">
        <v>92</v>
      </c>
      <c r="C226" s="31" t="s">
        <v>207</v>
      </c>
      <c r="D226" s="52">
        <f>D225*12*Analisis_Inputs_Grales!$D$59</f>
        <v>7795.2952853598008</v>
      </c>
      <c r="E226" s="52">
        <f>E225*12*Analisis_Inputs_Grales!$D$59</f>
        <v>7795.2952853598008</v>
      </c>
      <c r="F226" s="52">
        <f>F225*12*Analisis_Inputs_Grales!$D$59</f>
        <v>7795.2952853598008</v>
      </c>
      <c r="G226" s="52">
        <f>G225*12*Analisis_Inputs_Grales!$D$59</f>
        <v>7795.2952853598008</v>
      </c>
      <c r="H226" s="52">
        <f>H225*12*Analisis_Inputs_Grales!$D$59</f>
        <v>7795.2952853598008</v>
      </c>
      <c r="I226" s="52">
        <f>I225*12*Analisis_Inputs_Grales!$D$59</f>
        <v>7795.2952853598008</v>
      </c>
      <c r="J226" s="52">
        <f>J225*12*Analisis_Inputs_Grales!$D$59</f>
        <v>7795.2952853598008</v>
      </c>
      <c r="K226" s="52">
        <f>K225*12*Analisis_Inputs_Grales!$D$59</f>
        <v>7795.2952853598008</v>
      </c>
      <c r="L226" s="52">
        <f>L225*12*Analisis_Inputs_Grales!$D$59</f>
        <v>7795.2952853598008</v>
      </c>
      <c r="M226" s="52">
        <f>M225*12*Analisis_Inputs_Grales!$D$59</f>
        <v>7795.2952853598008</v>
      </c>
      <c r="N226" s="52">
        <f>N225*12*Analisis_Inputs_Grales!$D$59</f>
        <v>7795.2952853598008</v>
      </c>
      <c r="O226" s="52">
        <f>O225*12*Analisis_Inputs_Grales!$D$59</f>
        <v>7795.2952853598008</v>
      </c>
      <c r="P226" s="52">
        <f>P225*12*Analisis_Inputs_Grales!$D$59</f>
        <v>7795.2952853598008</v>
      </c>
      <c r="Q226" s="52">
        <f>Q225*12*Analisis_Inputs_Grales!$D$59</f>
        <v>7795.2952853598008</v>
      </c>
      <c r="R226" s="52">
        <f>R225*12*Analisis_Inputs_Grales!$D$59</f>
        <v>7795.2952853598008</v>
      </c>
    </row>
    <row r="227" spans="2:18" x14ac:dyDescent="0.2">
      <c r="B227" s="28" t="s">
        <v>93</v>
      </c>
      <c r="C227" s="29" t="s">
        <v>452</v>
      </c>
      <c r="D227" s="74">
        <f>Analisis_Inputs_Grales!$D$74*'Analisis 20Años'!D225</f>
        <v>1.1277915632754341E-2</v>
      </c>
      <c r="E227" s="74">
        <f>Analisis_Inputs_Grales!$D$74*'Analisis 20Años'!E225</f>
        <v>1.1277915632754341E-2</v>
      </c>
      <c r="F227" s="74">
        <f>Analisis_Inputs_Grales!$D$74*'Analisis 20Años'!F225</f>
        <v>1.1277915632754341E-2</v>
      </c>
      <c r="G227" s="74">
        <f>Analisis_Inputs_Grales!$D$74*'Analisis 20Años'!G225</f>
        <v>1.1277915632754341E-2</v>
      </c>
      <c r="H227" s="74">
        <f>Analisis_Inputs_Grales!$D$74*'Analisis 20Años'!H225</f>
        <v>1.1277915632754341E-2</v>
      </c>
      <c r="I227" s="74">
        <f>Analisis_Inputs_Grales!$D$74*'Analisis 20Años'!I225</f>
        <v>1.1277915632754341E-2</v>
      </c>
      <c r="J227" s="74">
        <f>Analisis_Inputs_Grales!$D$74*'Analisis 20Años'!J225</f>
        <v>1.1277915632754341E-2</v>
      </c>
      <c r="K227" s="74">
        <f>Analisis_Inputs_Grales!$D$74*'Analisis 20Años'!K225</f>
        <v>1.1277915632754341E-2</v>
      </c>
      <c r="L227" s="74">
        <f>Analisis_Inputs_Grales!$D$74*'Analisis 20Años'!L225</f>
        <v>1.1277915632754341E-2</v>
      </c>
      <c r="M227" s="74">
        <f>Analisis_Inputs_Grales!$D$74*'Analisis 20Años'!M225</f>
        <v>1.1277915632754341E-2</v>
      </c>
      <c r="N227" s="74">
        <f>Analisis_Inputs_Grales!$D$74*'Analisis 20Años'!N225</f>
        <v>1.1277915632754341E-2</v>
      </c>
      <c r="O227" s="74">
        <f>Analisis_Inputs_Grales!$D$74*'Analisis 20Años'!O225</f>
        <v>1.1277915632754341E-2</v>
      </c>
      <c r="P227" s="74">
        <f>Analisis_Inputs_Grales!$D$74*'Analisis 20Años'!P225</f>
        <v>1.1277915632754341E-2</v>
      </c>
      <c r="Q227" s="74">
        <f>Analisis_Inputs_Grales!$D$74*'Analisis 20Años'!Q225</f>
        <v>1.1277915632754341E-2</v>
      </c>
      <c r="R227" s="74">
        <f>Analisis_Inputs_Grales!$D$74*'Analisis 20Años'!R225</f>
        <v>1.1277915632754341E-2</v>
      </c>
    </row>
    <row r="228" spans="2:18" x14ac:dyDescent="0.2">
      <c r="B228" s="30" t="s">
        <v>93</v>
      </c>
      <c r="C228" s="31" t="s">
        <v>207</v>
      </c>
      <c r="D228" s="52">
        <f>D227*12*Analisis_Inputs_Grales!$D$59</f>
        <v>1169.2942928039702</v>
      </c>
      <c r="E228" s="52">
        <f>E227*12*Analisis_Inputs_Grales!$D$59</f>
        <v>1169.2942928039702</v>
      </c>
      <c r="F228" s="52">
        <f>F227*12*Analisis_Inputs_Grales!$D$59</f>
        <v>1169.2942928039702</v>
      </c>
      <c r="G228" s="52">
        <f>G227*12*Analisis_Inputs_Grales!$D$59</f>
        <v>1169.2942928039702</v>
      </c>
      <c r="H228" s="52">
        <f>H227*12*Analisis_Inputs_Grales!$D$59</f>
        <v>1169.2942928039702</v>
      </c>
      <c r="I228" s="52">
        <f>I227*12*Analisis_Inputs_Grales!$D$59</f>
        <v>1169.2942928039702</v>
      </c>
      <c r="J228" s="52">
        <f>J227*12*Analisis_Inputs_Grales!$D$59</f>
        <v>1169.2942928039702</v>
      </c>
      <c r="K228" s="52">
        <f>K227*12*Analisis_Inputs_Grales!$D$59</f>
        <v>1169.2942928039702</v>
      </c>
      <c r="L228" s="52">
        <f>L227*12*Analisis_Inputs_Grales!$D$59</f>
        <v>1169.2942928039702</v>
      </c>
      <c r="M228" s="52">
        <f>M227*12*Analisis_Inputs_Grales!$D$59</f>
        <v>1169.2942928039702</v>
      </c>
      <c r="N228" s="52">
        <f>N227*12*Analisis_Inputs_Grales!$D$59</f>
        <v>1169.2942928039702</v>
      </c>
      <c r="O228" s="52">
        <f>O227*12*Analisis_Inputs_Grales!$D$59</f>
        <v>1169.2942928039702</v>
      </c>
      <c r="P228" s="52">
        <f>P227*12*Analisis_Inputs_Grales!$D$59</f>
        <v>1169.2942928039702</v>
      </c>
      <c r="Q228" s="52">
        <f>Q227*12*Analisis_Inputs_Grales!$D$59</f>
        <v>1169.2942928039702</v>
      </c>
      <c r="R228" s="52">
        <f>R227*12*Analisis_Inputs_Grales!$D$59</f>
        <v>1169.2942928039702</v>
      </c>
    </row>
    <row r="229" spans="2:18" x14ac:dyDescent="0.2">
      <c r="B229" s="28" t="s">
        <v>94</v>
      </c>
      <c r="C229" s="29" t="s">
        <v>452</v>
      </c>
      <c r="D229" s="74">
        <f>Analisis_Inputs_Grales!$D$75*('Analisis 20Años'!D225+'Analisis 20Años'!D227)</f>
        <v>3.4585607940446648E-2</v>
      </c>
      <c r="E229" s="74">
        <f>Analisis_Inputs_Grales!$D$75*('Analisis 20Años'!E225+'Analisis 20Años'!E227)</f>
        <v>3.4585607940446648E-2</v>
      </c>
      <c r="F229" s="74">
        <f>Analisis_Inputs_Grales!$D$75*('Analisis 20Años'!F225+'Analisis 20Años'!F227)</f>
        <v>3.4585607940446648E-2</v>
      </c>
      <c r="G229" s="74">
        <f>Analisis_Inputs_Grales!$D$75*('Analisis 20Años'!G225+'Analisis 20Años'!G227)</f>
        <v>3.4585607940446648E-2</v>
      </c>
      <c r="H229" s="74">
        <f>Analisis_Inputs_Grales!$D$75*('Analisis 20Años'!H225+'Analisis 20Años'!H227)</f>
        <v>3.4585607940446648E-2</v>
      </c>
      <c r="I229" s="74">
        <f>Analisis_Inputs_Grales!$D$75*('Analisis 20Años'!I225+'Analisis 20Años'!I227)</f>
        <v>3.4585607940446648E-2</v>
      </c>
      <c r="J229" s="74">
        <f>Analisis_Inputs_Grales!$D$75*('Analisis 20Años'!J225+'Analisis 20Años'!J227)</f>
        <v>3.4585607940446648E-2</v>
      </c>
      <c r="K229" s="74">
        <f>Analisis_Inputs_Grales!$D$75*('Analisis 20Años'!K225+'Analisis 20Años'!K227)</f>
        <v>3.4585607940446648E-2</v>
      </c>
      <c r="L229" s="74">
        <f>Analisis_Inputs_Grales!$D$75*('Analisis 20Años'!L225+'Analisis 20Años'!L227)</f>
        <v>3.4585607940446648E-2</v>
      </c>
      <c r="M229" s="74">
        <f>Analisis_Inputs_Grales!$D$75*('Analisis 20Años'!M225+'Analisis 20Años'!M227)</f>
        <v>3.4585607940446648E-2</v>
      </c>
      <c r="N229" s="74">
        <f>Analisis_Inputs_Grales!$D$75*('Analisis 20Años'!N225+'Analisis 20Años'!N227)</f>
        <v>3.4585607940446648E-2</v>
      </c>
      <c r="O229" s="74">
        <f>Analisis_Inputs_Grales!$D$75*('Analisis 20Años'!O225+'Analisis 20Años'!O227)</f>
        <v>3.4585607940446648E-2</v>
      </c>
      <c r="P229" s="74">
        <f>Analisis_Inputs_Grales!$D$75*('Analisis 20Años'!P225+'Analisis 20Años'!P227)</f>
        <v>3.4585607940446648E-2</v>
      </c>
      <c r="Q229" s="74">
        <f>Analisis_Inputs_Grales!$D$75*('Analisis 20Años'!Q225+'Analisis 20Años'!Q227)</f>
        <v>3.4585607940446648E-2</v>
      </c>
      <c r="R229" s="74">
        <f>Analisis_Inputs_Grales!$D$75*('Analisis 20Años'!R225+'Analisis 20Años'!R227)</f>
        <v>3.4585607940446648E-2</v>
      </c>
    </row>
    <row r="230" spans="2:18" x14ac:dyDescent="0.2">
      <c r="B230" s="30" t="s">
        <v>94</v>
      </c>
      <c r="C230" s="31" t="s">
        <v>207</v>
      </c>
      <c r="D230" s="52">
        <f>D229*12*Analisis_Inputs_Grales!$D$59</f>
        <v>3585.8358312655082</v>
      </c>
      <c r="E230" s="52">
        <f>E229*12*Analisis_Inputs_Grales!$D$59</f>
        <v>3585.8358312655082</v>
      </c>
      <c r="F230" s="52">
        <f>F229*12*Analisis_Inputs_Grales!$D$59</f>
        <v>3585.8358312655082</v>
      </c>
      <c r="G230" s="52">
        <f>G229*12*Analisis_Inputs_Grales!$D$59</f>
        <v>3585.8358312655082</v>
      </c>
      <c r="H230" s="52">
        <f>H229*12*Analisis_Inputs_Grales!$D$59</f>
        <v>3585.8358312655082</v>
      </c>
      <c r="I230" s="52">
        <f>I229*12*Analisis_Inputs_Grales!$D$59</f>
        <v>3585.8358312655082</v>
      </c>
      <c r="J230" s="52">
        <f>J229*12*Analisis_Inputs_Grales!$D$59</f>
        <v>3585.8358312655082</v>
      </c>
      <c r="K230" s="52">
        <f>K229*12*Analisis_Inputs_Grales!$D$59</f>
        <v>3585.8358312655082</v>
      </c>
      <c r="L230" s="52">
        <f>L229*12*Analisis_Inputs_Grales!$D$59</f>
        <v>3585.8358312655082</v>
      </c>
      <c r="M230" s="52">
        <f>M229*12*Analisis_Inputs_Grales!$D$59</f>
        <v>3585.8358312655082</v>
      </c>
      <c r="N230" s="52">
        <f>N229*12*Analisis_Inputs_Grales!$D$59</f>
        <v>3585.8358312655082</v>
      </c>
      <c r="O230" s="52">
        <f>O229*12*Analisis_Inputs_Grales!$D$59</f>
        <v>3585.8358312655082</v>
      </c>
      <c r="P230" s="52">
        <f>P229*12*Analisis_Inputs_Grales!$D$59</f>
        <v>3585.8358312655082</v>
      </c>
      <c r="Q230" s="52">
        <f>Q229*12*Analisis_Inputs_Grales!$D$59</f>
        <v>3585.8358312655082</v>
      </c>
      <c r="R230" s="52">
        <f>R229*12*Analisis_Inputs_Grales!$D$59</f>
        <v>3585.8358312655082</v>
      </c>
    </row>
    <row r="231" spans="2:18" x14ac:dyDescent="0.2">
      <c r="B231" s="28" t="s">
        <v>95</v>
      </c>
      <c r="C231" s="29" t="s">
        <v>452</v>
      </c>
      <c r="D231" s="74">
        <f>D229+D227+D225</f>
        <v>0.12104962779156327</v>
      </c>
      <c r="E231" s="74">
        <f t="shared" ref="E231:R231" si="52">E229+E227+E225</f>
        <v>0.12104962779156327</v>
      </c>
      <c r="F231" s="74">
        <f t="shared" si="52"/>
        <v>0.12104962779156327</v>
      </c>
      <c r="G231" s="74">
        <f t="shared" si="52"/>
        <v>0.12104962779156327</v>
      </c>
      <c r="H231" s="74">
        <f t="shared" si="52"/>
        <v>0.12104962779156327</v>
      </c>
      <c r="I231" s="74">
        <f t="shared" si="52"/>
        <v>0.12104962779156327</v>
      </c>
      <c r="J231" s="74">
        <f t="shared" si="52"/>
        <v>0.12104962779156327</v>
      </c>
      <c r="K231" s="74">
        <f t="shared" si="52"/>
        <v>0.12104962779156327</v>
      </c>
      <c r="L231" s="74">
        <f t="shared" si="52"/>
        <v>0.12104962779156327</v>
      </c>
      <c r="M231" s="74">
        <f t="shared" si="52"/>
        <v>0.12104962779156327</v>
      </c>
      <c r="N231" s="74">
        <f t="shared" si="52"/>
        <v>0.12104962779156327</v>
      </c>
      <c r="O231" s="74">
        <f t="shared" si="52"/>
        <v>0.12104962779156327</v>
      </c>
      <c r="P231" s="74">
        <f t="shared" si="52"/>
        <v>0.12104962779156327</v>
      </c>
      <c r="Q231" s="74">
        <f t="shared" si="52"/>
        <v>0.12104962779156327</v>
      </c>
      <c r="R231" s="74">
        <f t="shared" si="52"/>
        <v>0.12104962779156327</v>
      </c>
    </row>
    <row r="232" spans="2:18" x14ac:dyDescent="0.2">
      <c r="B232" s="32" t="s">
        <v>95</v>
      </c>
      <c r="C232" s="31" t="s">
        <v>207</v>
      </c>
      <c r="D232" s="52">
        <f>D231*12*Analisis_Inputs_Grales!$D$59</f>
        <v>12550.425409429279</v>
      </c>
      <c r="E232" s="52">
        <f>E231*12*Analisis_Inputs_Grales!$D$59</f>
        <v>12550.425409429279</v>
      </c>
      <c r="F232" s="52">
        <f>F231*12*Analisis_Inputs_Grales!$D$59</f>
        <v>12550.425409429279</v>
      </c>
      <c r="G232" s="52">
        <f>G231*12*Analisis_Inputs_Grales!$D$59</f>
        <v>12550.425409429279</v>
      </c>
      <c r="H232" s="52">
        <f>H231*12*Analisis_Inputs_Grales!$D$59</f>
        <v>12550.425409429279</v>
      </c>
      <c r="I232" s="52">
        <f>I231*12*Analisis_Inputs_Grales!$D$59</f>
        <v>12550.425409429279</v>
      </c>
      <c r="J232" s="52">
        <f>J231*12*Analisis_Inputs_Grales!$D$59</f>
        <v>12550.425409429279</v>
      </c>
      <c r="K232" s="52">
        <f>K231*12*Analisis_Inputs_Grales!$D$59</f>
        <v>12550.425409429279</v>
      </c>
      <c r="L232" s="52">
        <f>L231*12*Analisis_Inputs_Grales!$D$59</f>
        <v>12550.425409429279</v>
      </c>
      <c r="M232" s="52">
        <f>M231*12*Analisis_Inputs_Grales!$D$59</f>
        <v>12550.425409429279</v>
      </c>
      <c r="N232" s="52">
        <f>N231*12*Analisis_Inputs_Grales!$D$59</f>
        <v>12550.425409429279</v>
      </c>
      <c r="O232" s="52">
        <f>O231*12*Analisis_Inputs_Grales!$D$59</f>
        <v>12550.425409429279</v>
      </c>
      <c r="P232" s="52">
        <f>P231*12*Analisis_Inputs_Grales!$D$59</f>
        <v>12550.425409429279</v>
      </c>
      <c r="Q232" s="52">
        <f>Q231*12*Analisis_Inputs_Grales!$D$59</f>
        <v>12550.425409429279</v>
      </c>
      <c r="R232" s="52">
        <f>R231*12*Analisis_Inputs_Grales!$D$59</f>
        <v>12550.425409429279</v>
      </c>
    </row>
    <row r="233" spans="2:18" x14ac:dyDescent="0.2">
      <c r="B233" s="34"/>
    </row>
    <row r="234" spans="2:18" x14ac:dyDescent="0.2">
      <c r="B234" s="35" t="s">
        <v>96</v>
      </c>
      <c r="C234" s="36" t="s">
        <v>452</v>
      </c>
      <c r="D234" s="74">
        <f>+D221+D231</f>
        <v>0.55532624816193366</v>
      </c>
      <c r="E234" s="74">
        <f t="shared" ref="E234:R234" si="53">+E221+E231</f>
        <v>0.55532624816193366</v>
      </c>
      <c r="F234" s="74">
        <f t="shared" si="53"/>
        <v>0.55532624816193366</v>
      </c>
      <c r="G234" s="74">
        <f t="shared" si="53"/>
        <v>0.55532624816193366</v>
      </c>
      <c r="H234" s="74">
        <f t="shared" si="53"/>
        <v>0.55532624816193366</v>
      </c>
      <c r="I234" s="74">
        <f t="shared" si="53"/>
        <v>0.55532624816193366</v>
      </c>
      <c r="J234" s="74">
        <f t="shared" si="53"/>
        <v>0.55532624816193366</v>
      </c>
      <c r="K234" s="74">
        <f t="shared" si="53"/>
        <v>0.55532624816193366</v>
      </c>
      <c r="L234" s="74">
        <f t="shared" si="53"/>
        <v>0.55532624816193366</v>
      </c>
      <c r="M234" s="74">
        <f t="shared" si="53"/>
        <v>0.55532624816193366</v>
      </c>
      <c r="N234" s="74">
        <f t="shared" si="53"/>
        <v>0.55532624816193366</v>
      </c>
      <c r="O234" s="74">
        <f t="shared" si="53"/>
        <v>0.55532624816193366</v>
      </c>
      <c r="P234" s="74">
        <f t="shared" si="53"/>
        <v>0.55532624816193366</v>
      </c>
      <c r="Q234" s="74">
        <f t="shared" si="53"/>
        <v>0.55532624816193366</v>
      </c>
      <c r="R234" s="74">
        <f t="shared" si="53"/>
        <v>0.55532624816193366</v>
      </c>
    </row>
    <row r="235" spans="2:18" x14ac:dyDescent="0.2">
      <c r="B235" s="37" t="s">
        <v>96</v>
      </c>
      <c r="C235" s="38" t="s">
        <v>207</v>
      </c>
      <c r="D235" s="52">
        <f>D234*12*Analisis_Inputs_Grales!$D$59</f>
        <v>57576.22540942928</v>
      </c>
      <c r="E235" s="52">
        <f>E234*12*Analisis_Inputs_Grales!$D$59</f>
        <v>57576.22540942928</v>
      </c>
      <c r="F235" s="52">
        <f>F234*12*Analisis_Inputs_Grales!$D$59</f>
        <v>57576.22540942928</v>
      </c>
      <c r="G235" s="52">
        <f>G234*12*Analisis_Inputs_Grales!$D$59</f>
        <v>57576.22540942928</v>
      </c>
      <c r="H235" s="52">
        <f>H234*12*Analisis_Inputs_Grales!$D$59</f>
        <v>57576.22540942928</v>
      </c>
      <c r="I235" s="52">
        <f>I234*12*Analisis_Inputs_Grales!$D$59</f>
        <v>57576.22540942928</v>
      </c>
      <c r="J235" s="52">
        <f>J234*12*Analisis_Inputs_Grales!$D$59</f>
        <v>57576.22540942928</v>
      </c>
      <c r="K235" s="52">
        <f>K234*12*Analisis_Inputs_Grales!$D$59</f>
        <v>57576.22540942928</v>
      </c>
      <c r="L235" s="52">
        <f>L234*12*Analisis_Inputs_Grales!$D$59</f>
        <v>57576.22540942928</v>
      </c>
      <c r="M235" s="52">
        <f>M234*12*Analisis_Inputs_Grales!$D$59</f>
        <v>57576.22540942928</v>
      </c>
      <c r="N235" s="52">
        <f>N234*12*Analisis_Inputs_Grales!$D$59</f>
        <v>57576.22540942928</v>
      </c>
      <c r="O235" s="52">
        <f>O234*12*Analisis_Inputs_Grales!$D$59</f>
        <v>57576.22540942928</v>
      </c>
      <c r="P235" s="52">
        <f>P234*12*Analisis_Inputs_Grales!$D$59</f>
        <v>57576.22540942928</v>
      </c>
      <c r="Q235" s="52">
        <f>Q234*12*Analisis_Inputs_Grales!$D$59</f>
        <v>57576.22540942928</v>
      </c>
      <c r="R235" s="52">
        <f>R234*12*Analisis_Inputs_Grales!$D$59</f>
        <v>57576.22540942928</v>
      </c>
    </row>
    <row r="236" spans="2:18" x14ac:dyDescent="0.2">
      <c r="B236" s="39"/>
      <c r="C236" s="40"/>
    </row>
    <row r="237" spans="2:18" x14ac:dyDescent="0.2">
      <c r="B237" s="41" t="s">
        <v>97</v>
      </c>
      <c r="C237" s="36" t="s">
        <v>453</v>
      </c>
      <c r="D237" s="74">
        <f>D234/(Analisis_Inputs_Grales!$D$64)</f>
        <v>2.9382341172589078E-2</v>
      </c>
      <c r="E237" s="74">
        <f>E234/(Analisis_Inputs_Grales!$D$64)</f>
        <v>2.9382341172589078E-2</v>
      </c>
      <c r="F237" s="74">
        <f>F234/(Analisis_Inputs_Grales!$D$64)</f>
        <v>2.9382341172589078E-2</v>
      </c>
      <c r="G237" s="74">
        <f>G234/(Analisis_Inputs_Grales!$D$64)</f>
        <v>2.9382341172589078E-2</v>
      </c>
      <c r="H237" s="74">
        <f>H234/(Analisis_Inputs_Grales!$D$64)</f>
        <v>2.9382341172589078E-2</v>
      </c>
      <c r="I237" s="74">
        <f>I234/(Analisis_Inputs_Grales!$D$64)</f>
        <v>2.9382341172589078E-2</v>
      </c>
      <c r="J237" s="74">
        <f>J234/(Analisis_Inputs_Grales!$D$64)</f>
        <v>2.9382341172589078E-2</v>
      </c>
      <c r="K237" s="74">
        <f>K234/(Analisis_Inputs_Grales!$D$64)</f>
        <v>2.9382341172589078E-2</v>
      </c>
      <c r="L237" s="74">
        <f>L234/(Analisis_Inputs_Grales!$D$64)</f>
        <v>2.9382341172589078E-2</v>
      </c>
      <c r="M237" s="74">
        <f>M234/(Analisis_Inputs_Grales!$D$64)</f>
        <v>2.9382341172589078E-2</v>
      </c>
      <c r="N237" s="74">
        <f>N234/(Analisis_Inputs_Grales!$D$64)</f>
        <v>2.9382341172589078E-2</v>
      </c>
      <c r="O237" s="74">
        <f>O234/(Analisis_Inputs_Grales!$D$64)</f>
        <v>2.9382341172589078E-2</v>
      </c>
      <c r="P237" s="74">
        <f>P234/(Analisis_Inputs_Grales!$D$64)</f>
        <v>2.9382341172589078E-2</v>
      </c>
      <c r="Q237" s="74">
        <f>Q234/(Analisis_Inputs_Grales!$D$64)</f>
        <v>2.9382341172589078E-2</v>
      </c>
      <c r="R237" s="74">
        <f>R234/(Analisis_Inputs_Grales!$D$64)</f>
        <v>2.9382341172589078E-2</v>
      </c>
    </row>
    <row r="238" spans="2:18" x14ac:dyDescent="0.2">
      <c r="B238" s="34" t="s">
        <v>98</v>
      </c>
      <c r="C238" s="31" t="s">
        <v>454</v>
      </c>
      <c r="D238" s="52">
        <f>D237*12*Analisis_Inputs_Grales!$D$59</f>
        <v>3046.3611327740359</v>
      </c>
      <c r="E238" s="52">
        <f>E237*12*Analisis_Inputs_Grales!$D$59</f>
        <v>3046.3611327740359</v>
      </c>
      <c r="F238" s="52">
        <f>F237*12*Analisis_Inputs_Grales!$D$59</f>
        <v>3046.3611327740359</v>
      </c>
      <c r="G238" s="52">
        <f>G237*12*Analisis_Inputs_Grales!$D$59</f>
        <v>3046.3611327740359</v>
      </c>
      <c r="H238" s="52">
        <f>H237*12*Analisis_Inputs_Grales!$D$59</f>
        <v>3046.3611327740359</v>
      </c>
      <c r="I238" s="52">
        <f>I237*12*Analisis_Inputs_Grales!$D$59</f>
        <v>3046.3611327740359</v>
      </c>
      <c r="J238" s="52">
        <f>J237*12*Analisis_Inputs_Grales!$D$59</f>
        <v>3046.3611327740359</v>
      </c>
      <c r="K238" s="52">
        <f>K237*12*Analisis_Inputs_Grales!$D$59</f>
        <v>3046.3611327740359</v>
      </c>
      <c r="L238" s="52">
        <f>L237*12*Analisis_Inputs_Grales!$D$59</f>
        <v>3046.3611327740359</v>
      </c>
      <c r="M238" s="52">
        <f>M237*12*Analisis_Inputs_Grales!$D$59</f>
        <v>3046.3611327740359</v>
      </c>
      <c r="N238" s="52">
        <f>N237*12*Analisis_Inputs_Grales!$D$59</f>
        <v>3046.3611327740359</v>
      </c>
      <c r="O238" s="52">
        <f>O237*12*Analisis_Inputs_Grales!$D$59</f>
        <v>3046.3611327740359</v>
      </c>
      <c r="P238" s="52">
        <f>P237*12*Analisis_Inputs_Grales!$D$59</f>
        <v>3046.3611327740359</v>
      </c>
      <c r="Q238" s="52">
        <f>Q237*12*Analisis_Inputs_Grales!$D$59</f>
        <v>3046.3611327740359</v>
      </c>
      <c r="R238" s="52">
        <f>R237*12*Analisis_Inputs_Grales!$D$59</f>
        <v>3046.3611327740359</v>
      </c>
    </row>
    <row r="239" spans="2:18" ht="28.5" x14ac:dyDescent="0.2">
      <c r="B239" s="37" t="s">
        <v>99</v>
      </c>
      <c r="C239" s="38" t="s">
        <v>134</v>
      </c>
      <c r="D239" s="74">
        <f>(Analisis_Inputs_Grales!$D$79+Analisis_Inputs_Grales!$D$80)*D221/Analisis_Inputs_Grales!$D$64</f>
        <v>0.80421596364883385</v>
      </c>
      <c r="E239" s="74">
        <f>(Analisis_Inputs_Grales!$D$79+Analisis_Inputs_Grales!$D$80)*E221/Analisis_Inputs_Grales!$D$64</f>
        <v>0.80421596364883385</v>
      </c>
      <c r="F239" s="74">
        <f>(Analisis_Inputs_Grales!$D$79+Analisis_Inputs_Grales!$D$80)*F221/Analisis_Inputs_Grales!$D$64</f>
        <v>0.80421596364883385</v>
      </c>
      <c r="G239" s="74">
        <f>(Analisis_Inputs_Grales!$D$79+Analisis_Inputs_Grales!$D$80)*G221/Analisis_Inputs_Grales!$D$64</f>
        <v>0.80421596364883385</v>
      </c>
      <c r="H239" s="74">
        <f>(Analisis_Inputs_Grales!$D$79+Analisis_Inputs_Grales!$D$80)*H221/Analisis_Inputs_Grales!$D$64</f>
        <v>0.80421596364883385</v>
      </c>
      <c r="I239" s="74">
        <f>(Analisis_Inputs_Grales!$D$79+Analisis_Inputs_Grales!$D$80)*I221/Analisis_Inputs_Grales!$D$64</f>
        <v>0.80421596364883385</v>
      </c>
      <c r="J239" s="74">
        <f>(Analisis_Inputs_Grales!$D$79+Analisis_Inputs_Grales!$D$80)*J221/Analisis_Inputs_Grales!$D$64</f>
        <v>0.80421596364883385</v>
      </c>
      <c r="K239" s="74">
        <f>(Analisis_Inputs_Grales!$D$79+Analisis_Inputs_Grales!$D$80)*K221/Analisis_Inputs_Grales!$D$64</f>
        <v>0.80421596364883385</v>
      </c>
      <c r="L239" s="74">
        <f>(Analisis_Inputs_Grales!$D$79+Analisis_Inputs_Grales!$D$80)*L221/Analisis_Inputs_Grales!$D$64</f>
        <v>0.80421596364883385</v>
      </c>
      <c r="M239" s="74">
        <f>(Analisis_Inputs_Grales!$D$79+Analisis_Inputs_Grales!$D$80)*M221/Analisis_Inputs_Grales!$D$64</f>
        <v>0.80421596364883385</v>
      </c>
      <c r="N239" s="74">
        <f>(Analisis_Inputs_Grales!$D$79+Analisis_Inputs_Grales!$D$80)*N221/Analisis_Inputs_Grales!$D$64</f>
        <v>0.80421596364883385</v>
      </c>
      <c r="O239" s="74">
        <f>(Analisis_Inputs_Grales!$D$79+Analisis_Inputs_Grales!$D$80)*O221/Analisis_Inputs_Grales!$D$64</f>
        <v>0.80421596364883385</v>
      </c>
      <c r="P239" s="74">
        <f>(Analisis_Inputs_Grales!$D$79+Analisis_Inputs_Grales!$D$80)*P221/Analisis_Inputs_Grales!$D$64</f>
        <v>0.80421596364883385</v>
      </c>
      <c r="Q239" s="74">
        <f>(Analisis_Inputs_Grales!$D$79+Analisis_Inputs_Grales!$D$80)*Q221/Analisis_Inputs_Grales!$D$64</f>
        <v>0.80421596364883385</v>
      </c>
      <c r="R239" s="74">
        <f>(Analisis_Inputs_Grales!$D$79+Analisis_Inputs_Grales!$D$80)*R221/Analisis_Inputs_Grales!$D$64</f>
        <v>0.80421596364883385</v>
      </c>
    </row>
    <row r="241" spans="2:23" x14ac:dyDescent="0.2">
      <c r="B241" s="34" t="s">
        <v>123</v>
      </c>
      <c r="C241" s="31" t="s">
        <v>455</v>
      </c>
      <c r="D241" s="74">
        <f>D237/(Analisis_Inputs_Grales!$D$72/60)</f>
        <v>2.4546041839797323E-2</v>
      </c>
      <c r="E241" s="74">
        <f>E237/(Analisis_Inputs_Grales!$D$72/60)</f>
        <v>2.4546041839797323E-2</v>
      </c>
      <c r="F241" s="74">
        <f>F237/(Analisis_Inputs_Grales!$D$72/60)</f>
        <v>2.4546041839797323E-2</v>
      </c>
      <c r="G241" s="74">
        <f>G237/(Analisis_Inputs_Grales!$D$72/60)</f>
        <v>2.4546041839797323E-2</v>
      </c>
      <c r="H241" s="74">
        <f>H237/(Analisis_Inputs_Grales!$D$72/60)</f>
        <v>2.4546041839797323E-2</v>
      </c>
      <c r="I241" s="74">
        <f>I237/(Analisis_Inputs_Grales!$D$72/60)</f>
        <v>2.4546041839797323E-2</v>
      </c>
      <c r="J241" s="74">
        <f>J237/(Analisis_Inputs_Grales!$D$72/60)</f>
        <v>2.4546041839797323E-2</v>
      </c>
      <c r="K241" s="74">
        <f>K237/(Analisis_Inputs_Grales!$D$72/60)</f>
        <v>2.4546041839797323E-2</v>
      </c>
      <c r="L241" s="74">
        <f>L237/(Analisis_Inputs_Grales!$D$72/60)</f>
        <v>2.4546041839797323E-2</v>
      </c>
      <c r="M241" s="74">
        <f>M237/(Analisis_Inputs_Grales!$D$72/60)</f>
        <v>2.4546041839797323E-2</v>
      </c>
      <c r="N241" s="74">
        <f>N237/(Analisis_Inputs_Grales!$D$72/60)</f>
        <v>2.4546041839797323E-2</v>
      </c>
      <c r="O241" s="74">
        <f>O237/(Analisis_Inputs_Grales!$D$72/60)</f>
        <v>2.4546041839797323E-2</v>
      </c>
      <c r="P241" s="74">
        <f>P237/(Analisis_Inputs_Grales!$D$72/60)</f>
        <v>2.4546041839797323E-2</v>
      </c>
      <c r="Q241" s="74">
        <f>Q237/(Analisis_Inputs_Grales!$D$72/60)</f>
        <v>2.4546041839797323E-2</v>
      </c>
      <c r="R241" s="74">
        <f>R237/(Analisis_Inputs_Grales!$D$72/60)</f>
        <v>2.4546041839797323E-2</v>
      </c>
    </row>
    <row r="242" spans="2:23" x14ac:dyDescent="0.2">
      <c r="B242" s="64" t="s">
        <v>124</v>
      </c>
      <c r="C242" s="65" t="s">
        <v>23</v>
      </c>
      <c r="D242" s="74">
        <f>(1+Analisis_Inputs_Grales!$D$127)^'Analisis 20Años'!D$3</f>
        <v>1</v>
      </c>
      <c r="E242" s="74">
        <f>(1+Analisis_Inputs_Grales!$D$127)^'Analisis 20Años'!E$3</f>
        <v>1.1200000000000001</v>
      </c>
      <c r="F242" s="74">
        <f>(1+Analisis_Inputs_Grales!$D$127)^'Analisis 20Años'!F$3</f>
        <v>1.2544000000000002</v>
      </c>
      <c r="G242" s="74">
        <f>(1+Analisis_Inputs_Grales!$D$127)^'Analisis 20Años'!G$3</f>
        <v>1.4049280000000004</v>
      </c>
      <c r="H242" s="74">
        <f>(1+Analisis_Inputs_Grales!$D$127)^'Analisis 20Años'!H$3</f>
        <v>1.5735193600000004</v>
      </c>
      <c r="I242" s="74">
        <f>(1+Analisis_Inputs_Grales!$D$127)^'Analisis 20Años'!I$3</f>
        <v>1.7623416832000005</v>
      </c>
      <c r="J242" s="74">
        <f>(1+Analisis_Inputs_Grales!$D$127)^'Analisis 20Años'!J$3</f>
        <v>1.9738226851840008</v>
      </c>
      <c r="K242" s="74">
        <f>(1+Analisis_Inputs_Grales!$D$127)^'Analisis 20Años'!K$3</f>
        <v>2.210681407406081</v>
      </c>
      <c r="L242" s="74">
        <f>(1+Analisis_Inputs_Grales!$D$127)^'Analisis 20Años'!L$3</f>
        <v>2.4759631762948109</v>
      </c>
      <c r="M242" s="74">
        <f>(1+Analisis_Inputs_Grales!$D$127)^'Analisis 20Años'!M$3</f>
        <v>2.7730787574501883</v>
      </c>
      <c r="N242" s="74">
        <f>(1+Analisis_Inputs_Grales!$D$127)^'Analisis 20Años'!N$3</f>
        <v>3.1058482083442112</v>
      </c>
      <c r="O242" s="74">
        <f>(1+Analisis_Inputs_Grales!$D$127)^'Analisis 20Años'!O$3</f>
        <v>3.4785499933455171</v>
      </c>
      <c r="P242" s="74">
        <f>(1+Analisis_Inputs_Grales!$D$127)^'Analisis 20Años'!P$3</f>
        <v>3.8959759925469788</v>
      </c>
      <c r="Q242" s="74">
        <f>(1+Analisis_Inputs_Grales!$D$127)^'Analisis 20Años'!Q$3</f>
        <v>4.363493111652617</v>
      </c>
      <c r="R242" s="74">
        <f>(1+Analisis_Inputs_Grales!$D$127)^'Analisis 20Años'!R$3</f>
        <v>4.8871122850509314</v>
      </c>
    </row>
    <row r="243" spans="2:23" x14ac:dyDescent="0.2">
      <c r="B243" s="64" t="s">
        <v>125</v>
      </c>
      <c r="C243" s="65" t="s">
        <v>455</v>
      </c>
      <c r="D243" s="74">
        <f>D241*D242</f>
        <v>2.4546041839797323E-2</v>
      </c>
      <c r="E243" s="74">
        <f t="shared" ref="E243:R243" si="54">E241*E242</f>
        <v>2.7491566860573004E-2</v>
      </c>
      <c r="F243" s="74">
        <f t="shared" si="54"/>
        <v>3.0790554883841765E-2</v>
      </c>
      <c r="G243" s="74">
        <f t="shared" si="54"/>
        <v>3.4485421469902786E-2</v>
      </c>
      <c r="H243" s="74">
        <f t="shared" si="54"/>
        <v>3.8623672046291115E-2</v>
      </c>
      <c r="I243" s="74">
        <f t="shared" si="54"/>
        <v>4.3258512691846052E-2</v>
      </c>
      <c r="J243" s="74">
        <f t="shared" si="54"/>
        <v>4.8449534214867584E-2</v>
      </c>
      <c r="K243" s="74">
        <f t="shared" si="54"/>
        <v>5.4263478320651697E-2</v>
      </c>
      <c r="L243" s="74">
        <f t="shared" si="54"/>
        <v>6.0775095719129903E-2</v>
      </c>
      <c r="M243" s="74">
        <f t="shared" si="54"/>
        <v>6.8068107205425499E-2</v>
      </c>
      <c r="N243" s="74">
        <f t="shared" si="54"/>
        <v>7.6236280070076559E-2</v>
      </c>
      <c r="O243" s="74">
        <f t="shared" si="54"/>
        <v>8.5384633678485755E-2</v>
      </c>
      <c r="P243" s="74">
        <f t="shared" si="54"/>
        <v>9.5630789719904047E-2</v>
      </c>
      <c r="Q243" s="74">
        <f t="shared" si="54"/>
        <v>0.10710648448629255</v>
      </c>
      <c r="R243" s="74">
        <f t="shared" si="54"/>
        <v>0.11995926262464766</v>
      </c>
    </row>
    <row r="244" spans="2:23" ht="15" x14ac:dyDescent="0.25">
      <c r="B244" s="66" t="s">
        <v>128</v>
      </c>
      <c r="C244" s="65" t="s">
        <v>455</v>
      </c>
      <c r="D244" s="74">
        <f>SUM(D243:R243)</f>
        <v>0.91506943583173317</v>
      </c>
    </row>
    <row r="246" spans="2:23" ht="15" thickBot="1" x14ac:dyDescent="0.25"/>
    <row r="247" spans="2:23" ht="16.5" thickBot="1" x14ac:dyDescent="0.3">
      <c r="B247" s="63" t="s">
        <v>65</v>
      </c>
      <c r="C247" s="62">
        <v>20</v>
      </c>
      <c r="D247" s="52"/>
    </row>
    <row r="248" spans="2:23" ht="15.75" x14ac:dyDescent="0.25">
      <c r="B248" s="60" t="s">
        <v>86</v>
      </c>
      <c r="D248" s="52"/>
    </row>
    <row r="249" spans="2:23" x14ac:dyDescent="0.2">
      <c r="B249" s="28" t="s">
        <v>87</v>
      </c>
      <c r="C249" s="29" t="s">
        <v>452</v>
      </c>
      <c r="D249" s="74">
        <f>Analisis_Inputs_Grales!$D$67*(Analisis_Inputs_Grales!$D$127/12)/Analisis_Inputs_Grales!$D$59</f>
        <v>0.16775000000000001</v>
      </c>
      <c r="E249" s="74">
        <f>Analisis_Inputs_Grales!$D$67*(Analisis_Inputs_Grales!$D$127/12)/Analisis_Inputs_Grales!$D$59</f>
        <v>0.16775000000000001</v>
      </c>
      <c r="F249" s="74">
        <f>Analisis_Inputs_Grales!$D$67*(Analisis_Inputs_Grales!$D$127/12)/Analisis_Inputs_Grales!$D$59</f>
        <v>0.16775000000000001</v>
      </c>
      <c r="G249" s="74">
        <f>Analisis_Inputs_Grales!$D$67*(Analisis_Inputs_Grales!$D$127/12)/Analisis_Inputs_Grales!$D$59</f>
        <v>0.16775000000000001</v>
      </c>
      <c r="H249" s="74">
        <f>Analisis_Inputs_Grales!$D$67*(Analisis_Inputs_Grales!$D$127/12)/Analisis_Inputs_Grales!$D$59</f>
        <v>0.16775000000000001</v>
      </c>
      <c r="I249" s="74">
        <f>Analisis_Inputs_Grales!$D$67*(Analisis_Inputs_Grales!$D$127/12)/Analisis_Inputs_Grales!$D$59</f>
        <v>0.16775000000000001</v>
      </c>
      <c r="J249" s="74">
        <f>Analisis_Inputs_Grales!$D$67*(Analisis_Inputs_Grales!$D$127/12)/Analisis_Inputs_Grales!$D$59</f>
        <v>0.16775000000000001</v>
      </c>
      <c r="K249" s="74">
        <f>Analisis_Inputs_Grales!$D$67*(Analisis_Inputs_Grales!$D$127/12)/Analisis_Inputs_Grales!$D$59</f>
        <v>0.16775000000000001</v>
      </c>
      <c r="L249" s="74">
        <f>Analisis_Inputs_Grales!$D$67*(Analisis_Inputs_Grales!$D$127/12)/Analisis_Inputs_Grales!$D$59</f>
        <v>0.16775000000000001</v>
      </c>
      <c r="M249" s="74">
        <f>Analisis_Inputs_Grales!$D$67*(Analisis_Inputs_Grales!$D$127/12)/Analisis_Inputs_Grales!$D$59</f>
        <v>0.16775000000000001</v>
      </c>
      <c r="N249" s="74">
        <f>Analisis_Inputs_Grales!$D$67*(Analisis_Inputs_Grales!$D$127/12)/Analisis_Inputs_Grales!$D$59</f>
        <v>0.16775000000000001</v>
      </c>
      <c r="O249" s="74">
        <f>Analisis_Inputs_Grales!$D$67*(Analisis_Inputs_Grales!$D$127/12)/Analisis_Inputs_Grales!$D$59</f>
        <v>0.16775000000000001</v>
      </c>
      <c r="P249" s="74">
        <f>Analisis_Inputs_Grales!$D$67*(Analisis_Inputs_Grales!$D$127/12)/Analisis_Inputs_Grales!$D$59</f>
        <v>0.16775000000000001</v>
      </c>
      <c r="Q249" s="74">
        <f>Analisis_Inputs_Grales!$D$67*(Analisis_Inputs_Grales!$D$127/12)/Analisis_Inputs_Grales!$D$59</f>
        <v>0.16775000000000001</v>
      </c>
      <c r="R249" s="74">
        <f>Analisis_Inputs_Grales!$D$67*(Analisis_Inputs_Grales!$D$127/12)/Analisis_Inputs_Grales!$D$59</f>
        <v>0.16775000000000001</v>
      </c>
      <c r="S249" s="74">
        <f>Analisis_Inputs_Grales!$D$67*(Analisis_Inputs_Grales!$D$127/12)/Analisis_Inputs_Grales!$D$59</f>
        <v>0.16775000000000001</v>
      </c>
      <c r="T249" s="74">
        <f>Analisis_Inputs_Grales!$D$67*(Analisis_Inputs_Grales!$D$127/12)/Analisis_Inputs_Grales!$D$59</f>
        <v>0.16775000000000001</v>
      </c>
      <c r="U249" s="74">
        <f>Analisis_Inputs_Grales!$D$67*(Analisis_Inputs_Grales!$D$127/12)/Analisis_Inputs_Grales!$D$59</f>
        <v>0.16775000000000001</v>
      </c>
      <c r="V249" s="74">
        <f>Analisis_Inputs_Grales!$D$67*(Analisis_Inputs_Grales!$D$127/12)/Analisis_Inputs_Grales!$D$59</f>
        <v>0.16775000000000001</v>
      </c>
      <c r="W249" s="74">
        <f>Analisis_Inputs_Grales!$D$67*(Analisis_Inputs_Grales!$D$127/12)/Analisis_Inputs_Grales!$D$59</f>
        <v>0.16775000000000001</v>
      </c>
    </row>
    <row r="250" spans="2:23" x14ac:dyDescent="0.2">
      <c r="B250" s="30" t="s">
        <v>87</v>
      </c>
      <c r="C250" s="31" t="s">
        <v>207</v>
      </c>
      <c r="D250" s="52">
        <f>D249*12*Analisis_Inputs_Grales!$D$59</f>
        <v>17392.32</v>
      </c>
      <c r="E250" s="52">
        <f>E249*12*Analisis_Inputs_Grales!$D$59</f>
        <v>17392.32</v>
      </c>
      <c r="F250" s="52">
        <f>F249*12*Analisis_Inputs_Grales!$D$59</f>
        <v>17392.32</v>
      </c>
      <c r="G250" s="52">
        <f>G249*12*Analisis_Inputs_Grales!$D$59</f>
        <v>17392.32</v>
      </c>
      <c r="H250" s="52">
        <f>H249*12*Analisis_Inputs_Grales!$D$59</f>
        <v>17392.32</v>
      </c>
      <c r="I250" s="52">
        <f>I249*12*Analisis_Inputs_Grales!$D$59</f>
        <v>17392.32</v>
      </c>
      <c r="J250" s="52">
        <f>J249*12*Analisis_Inputs_Grales!$D$59</f>
        <v>17392.32</v>
      </c>
      <c r="K250" s="52">
        <f>K249*12*Analisis_Inputs_Grales!$D$59</f>
        <v>17392.32</v>
      </c>
      <c r="L250" s="52">
        <f>L249*12*Analisis_Inputs_Grales!$D$59</f>
        <v>17392.32</v>
      </c>
      <c r="M250" s="52">
        <f>M249*12*Analisis_Inputs_Grales!$D$59</f>
        <v>17392.32</v>
      </c>
      <c r="N250" s="52">
        <f>N249*12*Analisis_Inputs_Grales!$D$59</f>
        <v>17392.32</v>
      </c>
      <c r="O250" s="52">
        <f>O249*12*Analisis_Inputs_Grales!$D$59</f>
        <v>17392.32</v>
      </c>
      <c r="P250" s="52">
        <f>P249*12*Analisis_Inputs_Grales!$D$59</f>
        <v>17392.32</v>
      </c>
      <c r="Q250" s="52">
        <f>Q249*12*Analisis_Inputs_Grales!$D$59</f>
        <v>17392.32</v>
      </c>
      <c r="R250" s="52">
        <f>R249*12*Analisis_Inputs_Grales!$D$59</f>
        <v>17392.32</v>
      </c>
      <c r="S250" s="52">
        <f>S249*12*Analisis_Inputs_Grales!$D$59</f>
        <v>17392.32</v>
      </c>
      <c r="T250" s="52">
        <f>T249*12*Analisis_Inputs_Grales!$D$59</f>
        <v>17392.32</v>
      </c>
      <c r="U250" s="52">
        <f>U249*12*Analisis_Inputs_Grales!$D$59</f>
        <v>17392.32</v>
      </c>
      <c r="V250" s="52">
        <f>V249*12*Analisis_Inputs_Grales!$D$59</f>
        <v>17392.32</v>
      </c>
      <c r="W250" s="52">
        <f>W249*12*Analisis_Inputs_Grales!$D$59</f>
        <v>17392.32</v>
      </c>
    </row>
    <row r="251" spans="2:23" x14ac:dyDescent="0.2">
      <c r="B251" s="28" t="s">
        <v>88</v>
      </c>
      <c r="C251" s="29" t="s">
        <v>452</v>
      </c>
      <c r="D251" s="74">
        <f>(Analisis_Inputs_Grales!$D$67-Analisis_Inputs_Grales!$D$70*Analisis_Inputs_Grales!$D$67)/(Analisis_Inputs_Grales!$D$59*12*$C$247)</f>
        <v>6.2906249999999997E-2</v>
      </c>
      <c r="E251" s="74">
        <f>(Analisis_Inputs_Grales!$D$67-Analisis_Inputs_Grales!$D$70*Analisis_Inputs_Grales!$D$67)/(Analisis_Inputs_Grales!$D$59*12*$C$247)</f>
        <v>6.2906249999999997E-2</v>
      </c>
      <c r="F251" s="74">
        <f>(Analisis_Inputs_Grales!$D$67-Analisis_Inputs_Grales!$D$70*Analisis_Inputs_Grales!$D$67)/(Analisis_Inputs_Grales!$D$59*12*$C$247)</f>
        <v>6.2906249999999997E-2</v>
      </c>
      <c r="G251" s="74">
        <f>(Analisis_Inputs_Grales!$D$67-Analisis_Inputs_Grales!$D$70*Analisis_Inputs_Grales!$D$67)/(Analisis_Inputs_Grales!$D$59*12*$C$247)</f>
        <v>6.2906249999999997E-2</v>
      </c>
      <c r="H251" s="74">
        <f>(Analisis_Inputs_Grales!$D$67-Analisis_Inputs_Grales!$D$70*Analisis_Inputs_Grales!$D$67)/(Analisis_Inputs_Grales!$D$59*12*$C$247)</f>
        <v>6.2906249999999997E-2</v>
      </c>
      <c r="I251" s="74">
        <f>(Analisis_Inputs_Grales!$D$67-Analisis_Inputs_Grales!$D$70*Analisis_Inputs_Grales!$D$67)/(Analisis_Inputs_Grales!$D$59*12*$C$247)</f>
        <v>6.2906249999999997E-2</v>
      </c>
      <c r="J251" s="74">
        <f>(Analisis_Inputs_Grales!$D$67-Analisis_Inputs_Grales!$D$70*Analisis_Inputs_Grales!$D$67)/(Analisis_Inputs_Grales!$D$59*12*$C$247)</f>
        <v>6.2906249999999997E-2</v>
      </c>
      <c r="K251" s="74">
        <f>(Analisis_Inputs_Grales!$D$67-Analisis_Inputs_Grales!$D$70*Analisis_Inputs_Grales!$D$67)/(Analisis_Inputs_Grales!$D$59*12*$C$247)</f>
        <v>6.2906249999999997E-2</v>
      </c>
      <c r="L251" s="74">
        <f>(Analisis_Inputs_Grales!$D$67-Analisis_Inputs_Grales!$D$70*Analisis_Inputs_Grales!$D$67)/(Analisis_Inputs_Grales!$D$59*12*$C$247)</f>
        <v>6.2906249999999997E-2</v>
      </c>
      <c r="M251" s="74">
        <f>(Analisis_Inputs_Grales!$D$67-Analisis_Inputs_Grales!$D$70*Analisis_Inputs_Grales!$D$67)/(Analisis_Inputs_Grales!$D$59*12*$C$247)</f>
        <v>6.2906249999999997E-2</v>
      </c>
      <c r="N251" s="74">
        <f>(Analisis_Inputs_Grales!$D$67-Analisis_Inputs_Grales!$D$70*Analisis_Inputs_Grales!$D$67)/(Analisis_Inputs_Grales!$D$59*12*$C$247)</f>
        <v>6.2906249999999997E-2</v>
      </c>
      <c r="O251" s="74">
        <f>(Analisis_Inputs_Grales!$D$67-Analisis_Inputs_Grales!$D$70*Analisis_Inputs_Grales!$D$67)/(Analisis_Inputs_Grales!$D$59*12*$C$247)</f>
        <v>6.2906249999999997E-2</v>
      </c>
      <c r="P251" s="74">
        <f>(Analisis_Inputs_Grales!$D$67-Analisis_Inputs_Grales!$D$70*Analisis_Inputs_Grales!$D$67)/(Analisis_Inputs_Grales!$D$59*12*$C$247)</f>
        <v>6.2906249999999997E-2</v>
      </c>
      <c r="Q251" s="74">
        <f>(Analisis_Inputs_Grales!$D$67-Analisis_Inputs_Grales!$D$70*Analisis_Inputs_Grales!$D$67)/(Analisis_Inputs_Grales!$D$59*12*$C$247)</f>
        <v>6.2906249999999997E-2</v>
      </c>
      <c r="R251" s="74">
        <f>(Analisis_Inputs_Grales!$D$67-Analisis_Inputs_Grales!$D$70*Analisis_Inputs_Grales!$D$67)/(Analisis_Inputs_Grales!$D$59*12*$C$247)</f>
        <v>6.2906249999999997E-2</v>
      </c>
      <c r="S251" s="74">
        <f>(Analisis_Inputs_Grales!$D$67-Analisis_Inputs_Grales!$D$70*Analisis_Inputs_Grales!$D$67)/(Analisis_Inputs_Grales!$D$59*12*$C$247)</f>
        <v>6.2906249999999997E-2</v>
      </c>
      <c r="T251" s="74">
        <f>(Analisis_Inputs_Grales!$D$67-Analisis_Inputs_Grales!$D$70*Analisis_Inputs_Grales!$D$67)/(Analisis_Inputs_Grales!$D$59*12*$C$247)</f>
        <v>6.2906249999999997E-2</v>
      </c>
      <c r="U251" s="74">
        <f>(Analisis_Inputs_Grales!$D$67-Analisis_Inputs_Grales!$D$70*Analisis_Inputs_Grales!$D$67)/(Analisis_Inputs_Grales!$D$59*12*$C$247)</f>
        <v>6.2906249999999997E-2</v>
      </c>
      <c r="V251" s="74">
        <f>(Analisis_Inputs_Grales!$D$67-Analisis_Inputs_Grales!$D$70*Analisis_Inputs_Grales!$D$67)/(Analisis_Inputs_Grales!$D$59*12*$C$247)</f>
        <v>6.2906249999999997E-2</v>
      </c>
      <c r="W251" s="74">
        <f>(Analisis_Inputs_Grales!$D$67-Analisis_Inputs_Grales!$D$70*Analisis_Inputs_Grales!$D$67)/(Analisis_Inputs_Grales!$D$59*12*$C$247)</f>
        <v>6.2906249999999997E-2</v>
      </c>
    </row>
    <row r="252" spans="2:23" x14ac:dyDescent="0.2">
      <c r="B252" s="30" t="s">
        <v>88</v>
      </c>
      <c r="C252" s="31" t="s">
        <v>207</v>
      </c>
      <c r="D252" s="52">
        <f>D251*12*Analisis_Inputs_Grales!$D$59</f>
        <v>6522.12</v>
      </c>
      <c r="E252" s="52">
        <f>E251*12*Analisis_Inputs_Grales!$D$59</f>
        <v>6522.12</v>
      </c>
      <c r="F252" s="52">
        <f>F251*12*Analisis_Inputs_Grales!$D$59</f>
        <v>6522.12</v>
      </c>
      <c r="G252" s="52">
        <f>G251*12*Analisis_Inputs_Grales!$D$59</f>
        <v>6522.12</v>
      </c>
      <c r="H252" s="52">
        <f>H251*12*Analisis_Inputs_Grales!$D$59</f>
        <v>6522.12</v>
      </c>
      <c r="I252" s="52">
        <f>I251*12*Analisis_Inputs_Grales!$D$59</f>
        <v>6522.12</v>
      </c>
      <c r="J252" s="52">
        <f>J251*12*Analisis_Inputs_Grales!$D$59</f>
        <v>6522.12</v>
      </c>
      <c r="K252" s="52">
        <f>K251*12*Analisis_Inputs_Grales!$D$59</f>
        <v>6522.12</v>
      </c>
      <c r="L252" s="52">
        <f>L251*12*Analisis_Inputs_Grales!$D$59</f>
        <v>6522.12</v>
      </c>
      <c r="M252" s="52">
        <f>M251*12*Analisis_Inputs_Grales!$D$59</f>
        <v>6522.12</v>
      </c>
      <c r="N252" s="52">
        <f>N251*12*Analisis_Inputs_Grales!$D$59</f>
        <v>6522.12</v>
      </c>
      <c r="O252" s="52">
        <f>O251*12*Analisis_Inputs_Grales!$D$59</f>
        <v>6522.12</v>
      </c>
      <c r="P252" s="52">
        <f>P251*12*Analisis_Inputs_Grales!$D$59</f>
        <v>6522.12</v>
      </c>
      <c r="Q252" s="52">
        <f>Q251*12*Analisis_Inputs_Grales!$D$59</f>
        <v>6522.12</v>
      </c>
      <c r="R252" s="52">
        <f>R251*12*Analisis_Inputs_Grales!$D$59</f>
        <v>6522.12</v>
      </c>
      <c r="S252" s="52">
        <f>S251*12*Analisis_Inputs_Grales!$D$59</f>
        <v>6522.12</v>
      </c>
      <c r="T252" s="52">
        <f>T251*12*Analisis_Inputs_Grales!$D$59</f>
        <v>6522.12</v>
      </c>
      <c r="U252" s="52">
        <f>U251*12*Analisis_Inputs_Grales!$D$59</f>
        <v>6522.12</v>
      </c>
      <c r="V252" s="52">
        <f>V251*12*Analisis_Inputs_Grales!$D$59</f>
        <v>6522.12</v>
      </c>
      <c r="W252" s="52">
        <f>W251*12*Analisis_Inputs_Grales!$D$59</f>
        <v>6522.12</v>
      </c>
    </row>
    <row r="253" spans="2:23" x14ac:dyDescent="0.2">
      <c r="B253" s="28" t="s">
        <v>89</v>
      </c>
      <c r="C253" s="29" t="s">
        <v>452</v>
      </c>
      <c r="D253" s="74">
        <f>Analisis_Inputs_Grales!$D$51/Analisis_Inputs_Grales!$D$59</f>
        <v>0.18265162037037036</v>
      </c>
      <c r="E253" s="74">
        <f>Analisis_Inputs_Grales!$D$51/Analisis_Inputs_Grales!$D$59</f>
        <v>0.18265162037037036</v>
      </c>
      <c r="F253" s="74">
        <f>Analisis_Inputs_Grales!$D$51/Analisis_Inputs_Grales!$D$59</f>
        <v>0.18265162037037036</v>
      </c>
      <c r="G253" s="74">
        <f>Analisis_Inputs_Grales!$D$51/Analisis_Inputs_Grales!$D$59</f>
        <v>0.18265162037037036</v>
      </c>
      <c r="H253" s="74">
        <f>Analisis_Inputs_Grales!$D$51/Analisis_Inputs_Grales!$D$59</f>
        <v>0.18265162037037036</v>
      </c>
      <c r="I253" s="74">
        <f>Analisis_Inputs_Grales!$D$51/Analisis_Inputs_Grales!$D$59</f>
        <v>0.18265162037037036</v>
      </c>
      <c r="J253" s="74">
        <f>Analisis_Inputs_Grales!$D$51/Analisis_Inputs_Grales!$D$59</f>
        <v>0.18265162037037036</v>
      </c>
      <c r="K253" s="74">
        <f>Analisis_Inputs_Grales!$D$51/Analisis_Inputs_Grales!$D$59</f>
        <v>0.18265162037037036</v>
      </c>
      <c r="L253" s="74">
        <f>Analisis_Inputs_Grales!$D$51/Analisis_Inputs_Grales!$D$59</f>
        <v>0.18265162037037036</v>
      </c>
      <c r="M253" s="74">
        <f>Analisis_Inputs_Grales!$D$51/Analisis_Inputs_Grales!$D$59</f>
        <v>0.18265162037037036</v>
      </c>
      <c r="N253" s="74">
        <f>Analisis_Inputs_Grales!$D$51/Analisis_Inputs_Grales!$D$59</f>
        <v>0.18265162037037036</v>
      </c>
      <c r="O253" s="74">
        <f>Analisis_Inputs_Grales!$D$51/Analisis_Inputs_Grales!$D$59</f>
        <v>0.18265162037037036</v>
      </c>
      <c r="P253" s="74">
        <f>Analisis_Inputs_Grales!$D$51/Analisis_Inputs_Grales!$D$59</f>
        <v>0.18265162037037036</v>
      </c>
      <c r="Q253" s="74">
        <f>Analisis_Inputs_Grales!$D$51/Analisis_Inputs_Grales!$D$59</f>
        <v>0.18265162037037036</v>
      </c>
      <c r="R253" s="74">
        <f>Analisis_Inputs_Grales!$D$51/Analisis_Inputs_Grales!$D$59</f>
        <v>0.18265162037037036</v>
      </c>
      <c r="S253" s="74">
        <f>Analisis_Inputs_Grales!$D$51/Analisis_Inputs_Grales!$D$59</f>
        <v>0.18265162037037036</v>
      </c>
      <c r="T253" s="74">
        <f>Analisis_Inputs_Grales!$D$51/Analisis_Inputs_Grales!$D$59</f>
        <v>0.18265162037037036</v>
      </c>
      <c r="U253" s="74">
        <f>Analisis_Inputs_Grales!$D$51/Analisis_Inputs_Grales!$D$59</f>
        <v>0.18265162037037036</v>
      </c>
      <c r="V253" s="74">
        <f>Analisis_Inputs_Grales!$D$51/Analisis_Inputs_Grales!$D$59</f>
        <v>0.18265162037037036</v>
      </c>
      <c r="W253" s="74">
        <f>Analisis_Inputs_Grales!$D$51/Analisis_Inputs_Grales!$D$59</f>
        <v>0.18265162037037036</v>
      </c>
    </row>
    <row r="254" spans="2:23" x14ac:dyDescent="0.2">
      <c r="B254" s="32" t="s">
        <v>89</v>
      </c>
      <c r="C254" s="33" t="s">
        <v>207</v>
      </c>
      <c r="D254" s="52">
        <f>D253*12*Analisis_Inputs_Grales!$D$59</f>
        <v>18937.32</v>
      </c>
      <c r="E254" s="52">
        <f>E253*12*Analisis_Inputs_Grales!$D$59</f>
        <v>18937.32</v>
      </c>
      <c r="F254" s="52">
        <f>F253*12*Analisis_Inputs_Grales!$D$59</f>
        <v>18937.32</v>
      </c>
      <c r="G254" s="52">
        <f>G253*12*Analisis_Inputs_Grales!$D$59</f>
        <v>18937.32</v>
      </c>
      <c r="H254" s="52">
        <f>H253*12*Analisis_Inputs_Grales!$D$59</f>
        <v>18937.32</v>
      </c>
      <c r="I254" s="52">
        <f>I253*12*Analisis_Inputs_Grales!$D$59</f>
        <v>18937.32</v>
      </c>
      <c r="J254" s="52">
        <f>J253*12*Analisis_Inputs_Grales!$D$59</f>
        <v>18937.32</v>
      </c>
      <c r="K254" s="52">
        <f>K253*12*Analisis_Inputs_Grales!$D$59</f>
        <v>18937.32</v>
      </c>
      <c r="L254" s="52">
        <f>L253*12*Analisis_Inputs_Grales!$D$59</f>
        <v>18937.32</v>
      </c>
      <c r="M254" s="52">
        <f>M253*12*Analisis_Inputs_Grales!$D$59</f>
        <v>18937.32</v>
      </c>
      <c r="N254" s="52">
        <f>N253*12*Analisis_Inputs_Grales!$D$59</f>
        <v>18937.32</v>
      </c>
      <c r="O254" s="52">
        <f>O253*12*Analisis_Inputs_Grales!$D$59</f>
        <v>18937.32</v>
      </c>
      <c r="P254" s="52">
        <f>P253*12*Analisis_Inputs_Grales!$D$59</f>
        <v>18937.32</v>
      </c>
      <c r="Q254" s="52">
        <f>Q253*12*Analisis_Inputs_Grales!$D$59</f>
        <v>18937.32</v>
      </c>
      <c r="R254" s="52">
        <f>R253*12*Analisis_Inputs_Grales!$D$59</f>
        <v>18937.32</v>
      </c>
      <c r="S254" s="52">
        <f>S253*12*Analisis_Inputs_Grales!$D$59</f>
        <v>18937.32</v>
      </c>
      <c r="T254" s="52">
        <f>T253*12*Analisis_Inputs_Grales!$D$59</f>
        <v>18937.32</v>
      </c>
      <c r="U254" s="52">
        <f>U253*12*Analisis_Inputs_Grales!$D$59</f>
        <v>18937.32</v>
      </c>
      <c r="V254" s="52">
        <f>V253*12*Analisis_Inputs_Grales!$D$59</f>
        <v>18937.32</v>
      </c>
      <c r="W254" s="52">
        <f>W253*12*Analisis_Inputs_Grales!$D$59</f>
        <v>18937.32</v>
      </c>
    </row>
    <row r="255" spans="2:23" x14ac:dyDescent="0.2">
      <c r="B255" s="28" t="s">
        <v>90</v>
      </c>
      <c r="C255" s="29" t="s">
        <v>452</v>
      </c>
      <c r="D255" s="74">
        <f>D253+D251+D249</f>
        <v>0.41330787037037037</v>
      </c>
      <c r="E255" s="74">
        <f t="shared" ref="E255:W255" si="55">E253+E251+E249</f>
        <v>0.41330787037037037</v>
      </c>
      <c r="F255" s="74">
        <f t="shared" si="55"/>
        <v>0.41330787037037037</v>
      </c>
      <c r="G255" s="74">
        <f t="shared" si="55"/>
        <v>0.41330787037037037</v>
      </c>
      <c r="H255" s="74">
        <f t="shared" si="55"/>
        <v>0.41330787037037037</v>
      </c>
      <c r="I255" s="74">
        <f t="shared" si="55"/>
        <v>0.41330787037037037</v>
      </c>
      <c r="J255" s="74">
        <f t="shared" si="55"/>
        <v>0.41330787037037037</v>
      </c>
      <c r="K255" s="74">
        <f t="shared" si="55"/>
        <v>0.41330787037037037</v>
      </c>
      <c r="L255" s="74">
        <f t="shared" si="55"/>
        <v>0.41330787037037037</v>
      </c>
      <c r="M255" s="74">
        <f t="shared" si="55"/>
        <v>0.41330787037037037</v>
      </c>
      <c r="N255" s="74">
        <f t="shared" si="55"/>
        <v>0.41330787037037037</v>
      </c>
      <c r="O255" s="74">
        <f t="shared" si="55"/>
        <v>0.41330787037037037</v>
      </c>
      <c r="P255" s="74">
        <f t="shared" si="55"/>
        <v>0.41330787037037037</v>
      </c>
      <c r="Q255" s="74">
        <f t="shared" si="55"/>
        <v>0.41330787037037037</v>
      </c>
      <c r="R255" s="74">
        <f t="shared" si="55"/>
        <v>0.41330787037037037</v>
      </c>
      <c r="S255" s="74">
        <f t="shared" si="55"/>
        <v>0.41330787037037037</v>
      </c>
      <c r="T255" s="74">
        <f t="shared" si="55"/>
        <v>0.41330787037037037</v>
      </c>
      <c r="U255" s="74">
        <f t="shared" si="55"/>
        <v>0.41330787037037037</v>
      </c>
      <c r="V255" s="74">
        <f t="shared" si="55"/>
        <v>0.41330787037037037</v>
      </c>
      <c r="W255" s="74">
        <f t="shared" si="55"/>
        <v>0.41330787037037037</v>
      </c>
    </row>
    <row r="256" spans="2:23" x14ac:dyDescent="0.2">
      <c r="B256" s="30" t="s">
        <v>90</v>
      </c>
      <c r="C256" s="31" t="s">
        <v>207</v>
      </c>
      <c r="D256" s="52">
        <f>D255*12*Analisis_Inputs_Grales!$D$59</f>
        <v>42851.76</v>
      </c>
      <c r="E256" s="52">
        <f>E255*12*Analisis_Inputs_Grales!$D$59</f>
        <v>42851.76</v>
      </c>
      <c r="F256" s="52">
        <f>F255*12*Analisis_Inputs_Grales!$D$59</f>
        <v>42851.76</v>
      </c>
      <c r="G256" s="52">
        <f>G255*12*Analisis_Inputs_Grales!$D$59</f>
        <v>42851.76</v>
      </c>
      <c r="H256" s="52">
        <f>H255*12*Analisis_Inputs_Grales!$D$59</f>
        <v>42851.76</v>
      </c>
      <c r="I256" s="52">
        <f>I255*12*Analisis_Inputs_Grales!$D$59</f>
        <v>42851.76</v>
      </c>
      <c r="J256" s="52">
        <f>J255*12*Analisis_Inputs_Grales!$D$59</f>
        <v>42851.76</v>
      </c>
      <c r="K256" s="52">
        <f>K255*12*Analisis_Inputs_Grales!$D$59</f>
        <v>42851.76</v>
      </c>
      <c r="L256" s="52">
        <f>L255*12*Analisis_Inputs_Grales!$D$59</f>
        <v>42851.76</v>
      </c>
      <c r="M256" s="52">
        <f>M255*12*Analisis_Inputs_Grales!$D$59</f>
        <v>42851.76</v>
      </c>
      <c r="N256" s="52">
        <f>N255*12*Analisis_Inputs_Grales!$D$59</f>
        <v>42851.76</v>
      </c>
      <c r="O256" s="52">
        <f>O255*12*Analisis_Inputs_Grales!$D$59</f>
        <v>42851.76</v>
      </c>
      <c r="P256" s="52">
        <f>P255*12*Analisis_Inputs_Grales!$D$59</f>
        <v>42851.76</v>
      </c>
      <c r="Q256" s="52">
        <f>Q255*12*Analisis_Inputs_Grales!$D$59</f>
        <v>42851.76</v>
      </c>
      <c r="R256" s="52">
        <f>R255*12*Analisis_Inputs_Grales!$D$59</f>
        <v>42851.76</v>
      </c>
      <c r="S256" s="52">
        <f>S255*12*Analisis_Inputs_Grales!$D$59</f>
        <v>42851.76</v>
      </c>
      <c r="T256" s="52">
        <f>T255*12*Analisis_Inputs_Grales!$D$59</f>
        <v>42851.76</v>
      </c>
      <c r="U256" s="52">
        <f>U255*12*Analisis_Inputs_Grales!$D$59</f>
        <v>42851.76</v>
      </c>
      <c r="V256" s="52">
        <f>V255*12*Analisis_Inputs_Grales!$D$59</f>
        <v>42851.76</v>
      </c>
      <c r="W256" s="52">
        <f>W255*12*Analisis_Inputs_Grales!$D$59</f>
        <v>42851.76</v>
      </c>
    </row>
    <row r="257" spans="2:23" x14ac:dyDescent="0.2">
      <c r="C257" s="31"/>
    </row>
    <row r="258" spans="2:23" ht="15" x14ac:dyDescent="0.25">
      <c r="B258" s="27" t="s">
        <v>91</v>
      </c>
      <c r="C258" s="31"/>
    </row>
    <row r="259" spans="2:23" x14ac:dyDescent="0.2">
      <c r="B259" s="28" t="s">
        <v>92</v>
      </c>
      <c r="C259" s="29" t="s">
        <v>452</v>
      </c>
      <c r="D259" s="74">
        <f>Analisis_Inputs_Grales!$D$73/(Analisis_Inputs_Grales!$D$71*Analisis_Inputs_Grales!$D$72/60)</f>
        <v>7.5186104218362276E-2</v>
      </c>
      <c r="E259" s="74">
        <f>Analisis_Inputs_Grales!$D$73/(Analisis_Inputs_Grales!$D$71*Analisis_Inputs_Grales!$D$72/60)</f>
        <v>7.5186104218362276E-2</v>
      </c>
      <c r="F259" s="74">
        <f>Analisis_Inputs_Grales!$D$73/(Analisis_Inputs_Grales!$D$71*Analisis_Inputs_Grales!$D$72/60)</f>
        <v>7.5186104218362276E-2</v>
      </c>
      <c r="G259" s="74">
        <f>Analisis_Inputs_Grales!$D$73/(Analisis_Inputs_Grales!$D$71*Analisis_Inputs_Grales!$D$72/60)</f>
        <v>7.5186104218362276E-2</v>
      </c>
      <c r="H259" s="74">
        <f>Analisis_Inputs_Grales!$D$73/(Analisis_Inputs_Grales!$D$71*Analisis_Inputs_Grales!$D$72/60)</f>
        <v>7.5186104218362276E-2</v>
      </c>
      <c r="I259" s="74">
        <f>Analisis_Inputs_Grales!$D$73/(Analisis_Inputs_Grales!$D$71*Analisis_Inputs_Grales!$D$72/60)</f>
        <v>7.5186104218362276E-2</v>
      </c>
      <c r="J259" s="74">
        <f>Analisis_Inputs_Grales!$D$73/(Analisis_Inputs_Grales!$D$71*Analisis_Inputs_Grales!$D$72/60)</f>
        <v>7.5186104218362276E-2</v>
      </c>
      <c r="K259" s="74">
        <f>Analisis_Inputs_Grales!$D$73/(Analisis_Inputs_Grales!$D$71*Analisis_Inputs_Grales!$D$72/60)</f>
        <v>7.5186104218362276E-2</v>
      </c>
      <c r="L259" s="74">
        <f>Analisis_Inputs_Grales!$D$73/(Analisis_Inputs_Grales!$D$71*Analisis_Inputs_Grales!$D$72/60)</f>
        <v>7.5186104218362276E-2</v>
      </c>
      <c r="M259" s="74">
        <f>Analisis_Inputs_Grales!$D$73/(Analisis_Inputs_Grales!$D$71*Analisis_Inputs_Grales!$D$72/60)</f>
        <v>7.5186104218362276E-2</v>
      </c>
      <c r="N259" s="74">
        <f>Analisis_Inputs_Grales!$D$73/(Analisis_Inputs_Grales!$D$71*Analisis_Inputs_Grales!$D$72/60)</f>
        <v>7.5186104218362276E-2</v>
      </c>
      <c r="O259" s="74">
        <f>Analisis_Inputs_Grales!$D$73/(Analisis_Inputs_Grales!$D$71*Analisis_Inputs_Grales!$D$72/60)</f>
        <v>7.5186104218362276E-2</v>
      </c>
      <c r="P259" s="74">
        <f>Analisis_Inputs_Grales!$D$73/(Analisis_Inputs_Grales!$D$71*Analisis_Inputs_Grales!$D$72/60)</f>
        <v>7.5186104218362276E-2</v>
      </c>
      <c r="Q259" s="74">
        <f>Analisis_Inputs_Grales!$D$73/(Analisis_Inputs_Grales!$D$71*Analisis_Inputs_Grales!$D$72/60)</f>
        <v>7.5186104218362276E-2</v>
      </c>
      <c r="R259" s="74">
        <f>Analisis_Inputs_Grales!$D$73/(Analisis_Inputs_Grales!$D$71*Analisis_Inputs_Grales!$D$72/60)</f>
        <v>7.5186104218362276E-2</v>
      </c>
      <c r="S259" s="74">
        <f>Analisis_Inputs_Grales!$D$73/(Analisis_Inputs_Grales!$D$71*Analisis_Inputs_Grales!$D$72/60)</f>
        <v>7.5186104218362276E-2</v>
      </c>
      <c r="T259" s="74">
        <f>Analisis_Inputs_Grales!$D$73/(Analisis_Inputs_Grales!$D$71*Analisis_Inputs_Grales!$D$72/60)</f>
        <v>7.5186104218362276E-2</v>
      </c>
      <c r="U259" s="74">
        <f>Analisis_Inputs_Grales!$D$73/(Analisis_Inputs_Grales!$D$71*Analisis_Inputs_Grales!$D$72/60)</f>
        <v>7.5186104218362276E-2</v>
      </c>
      <c r="V259" s="74">
        <f>Analisis_Inputs_Grales!$D$73/(Analisis_Inputs_Grales!$D$71*Analisis_Inputs_Grales!$D$72/60)</f>
        <v>7.5186104218362276E-2</v>
      </c>
      <c r="W259" s="74">
        <f>Analisis_Inputs_Grales!$D$73/(Analisis_Inputs_Grales!$D$71*Analisis_Inputs_Grales!$D$72/60)</f>
        <v>7.5186104218362276E-2</v>
      </c>
    </row>
    <row r="260" spans="2:23" x14ac:dyDescent="0.2">
      <c r="B260" s="30" t="s">
        <v>92</v>
      </c>
      <c r="C260" s="31" t="s">
        <v>207</v>
      </c>
      <c r="D260" s="52">
        <f>D259*12*Analisis_Inputs_Grales!$D$59</f>
        <v>7795.2952853598008</v>
      </c>
      <c r="E260" s="52">
        <f>E259*12*Analisis_Inputs_Grales!$D$59</f>
        <v>7795.2952853598008</v>
      </c>
      <c r="F260" s="52">
        <f>F259*12*Analisis_Inputs_Grales!$D$59</f>
        <v>7795.2952853598008</v>
      </c>
      <c r="G260" s="52">
        <f>G259*12*Analisis_Inputs_Grales!$D$59</f>
        <v>7795.2952853598008</v>
      </c>
      <c r="H260" s="52">
        <f>H259*12*Analisis_Inputs_Grales!$D$59</f>
        <v>7795.2952853598008</v>
      </c>
      <c r="I260" s="52">
        <f>I259*12*Analisis_Inputs_Grales!$D$59</f>
        <v>7795.2952853598008</v>
      </c>
      <c r="J260" s="52">
        <f>J259*12*Analisis_Inputs_Grales!$D$59</f>
        <v>7795.2952853598008</v>
      </c>
      <c r="K260" s="52">
        <f>K259*12*Analisis_Inputs_Grales!$D$59</f>
        <v>7795.2952853598008</v>
      </c>
      <c r="L260" s="52">
        <f>L259*12*Analisis_Inputs_Grales!$D$59</f>
        <v>7795.2952853598008</v>
      </c>
      <c r="M260" s="52">
        <f>M259*12*Analisis_Inputs_Grales!$D$59</f>
        <v>7795.2952853598008</v>
      </c>
      <c r="N260" s="52">
        <f>N259*12*Analisis_Inputs_Grales!$D$59</f>
        <v>7795.2952853598008</v>
      </c>
      <c r="O260" s="52">
        <f>O259*12*Analisis_Inputs_Grales!$D$59</f>
        <v>7795.2952853598008</v>
      </c>
      <c r="P260" s="52">
        <f>P259*12*Analisis_Inputs_Grales!$D$59</f>
        <v>7795.2952853598008</v>
      </c>
      <c r="Q260" s="52">
        <f>Q259*12*Analisis_Inputs_Grales!$D$59</f>
        <v>7795.2952853598008</v>
      </c>
      <c r="R260" s="52">
        <f>R259*12*Analisis_Inputs_Grales!$D$59</f>
        <v>7795.2952853598008</v>
      </c>
      <c r="S260" s="52">
        <f>S259*12*Analisis_Inputs_Grales!$D$59</f>
        <v>7795.2952853598008</v>
      </c>
      <c r="T260" s="52">
        <f>T259*12*Analisis_Inputs_Grales!$D$59</f>
        <v>7795.2952853598008</v>
      </c>
      <c r="U260" s="52">
        <f>U259*12*Analisis_Inputs_Grales!$D$59</f>
        <v>7795.2952853598008</v>
      </c>
      <c r="V260" s="52">
        <f>V259*12*Analisis_Inputs_Grales!$D$59</f>
        <v>7795.2952853598008</v>
      </c>
      <c r="W260" s="52">
        <f>W259*12*Analisis_Inputs_Grales!$D$59</f>
        <v>7795.2952853598008</v>
      </c>
    </row>
    <row r="261" spans="2:23" x14ac:dyDescent="0.2">
      <c r="B261" s="28" t="s">
        <v>93</v>
      </c>
      <c r="C261" s="29" t="s">
        <v>452</v>
      </c>
      <c r="D261" s="74">
        <f>Analisis_Inputs_Grales!$D$74*'Analisis 20Años'!D259</f>
        <v>1.1277915632754341E-2</v>
      </c>
      <c r="E261" s="74">
        <f>Analisis_Inputs_Grales!$D$74*'Analisis 20Años'!E259</f>
        <v>1.1277915632754341E-2</v>
      </c>
      <c r="F261" s="74">
        <f>Analisis_Inputs_Grales!$D$74*'Analisis 20Años'!F259</f>
        <v>1.1277915632754341E-2</v>
      </c>
      <c r="G261" s="74">
        <f>Analisis_Inputs_Grales!$D$74*'Analisis 20Años'!G259</f>
        <v>1.1277915632754341E-2</v>
      </c>
      <c r="H261" s="74">
        <f>Analisis_Inputs_Grales!$D$74*'Analisis 20Años'!H259</f>
        <v>1.1277915632754341E-2</v>
      </c>
      <c r="I261" s="74">
        <f>Analisis_Inputs_Grales!$D$74*'Analisis 20Años'!I259</f>
        <v>1.1277915632754341E-2</v>
      </c>
      <c r="J261" s="74">
        <f>Analisis_Inputs_Grales!$D$74*'Analisis 20Años'!J259</f>
        <v>1.1277915632754341E-2</v>
      </c>
      <c r="K261" s="74">
        <f>Analisis_Inputs_Grales!$D$74*'Analisis 20Años'!K259</f>
        <v>1.1277915632754341E-2</v>
      </c>
      <c r="L261" s="74">
        <f>Analisis_Inputs_Grales!$D$74*'Analisis 20Años'!L259</f>
        <v>1.1277915632754341E-2</v>
      </c>
      <c r="M261" s="74">
        <f>Analisis_Inputs_Grales!$D$74*'Analisis 20Años'!M259</f>
        <v>1.1277915632754341E-2</v>
      </c>
      <c r="N261" s="74">
        <f>Analisis_Inputs_Grales!$D$74*'Analisis 20Años'!N259</f>
        <v>1.1277915632754341E-2</v>
      </c>
      <c r="O261" s="74">
        <f>Analisis_Inputs_Grales!$D$74*'Analisis 20Años'!O259</f>
        <v>1.1277915632754341E-2</v>
      </c>
      <c r="P261" s="74">
        <f>Analisis_Inputs_Grales!$D$74*'Analisis 20Años'!P259</f>
        <v>1.1277915632754341E-2</v>
      </c>
      <c r="Q261" s="74">
        <f>Analisis_Inputs_Grales!$D$74*'Analisis 20Años'!Q259</f>
        <v>1.1277915632754341E-2</v>
      </c>
      <c r="R261" s="74">
        <f>Analisis_Inputs_Grales!$D$74*'Analisis 20Años'!R259</f>
        <v>1.1277915632754341E-2</v>
      </c>
      <c r="S261" s="74">
        <f>Analisis_Inputs_Grales!$D$74*'Analisis 20Años'!S259</f>
        <v>1.1277915632754341E-2</v>
      </c>
      <c r="T261" s="74">
        <f>Analisis_Inputs_Grales!$D$74*'Analisis 20Años'!T259</f>
        <v>1.1277915632754341E-2</v>
      </c>
      <c r="U261" s="74">
        <f>Analisis_Inputs_Grales!$D$74*'Analisis 20Años'!U259</f>
        <v>1.1277915632754341E-2</v>
      </c>
      <c r="V261" s="74">
        <f>Analisis_Inputs_Grales!$D$74*'Analisis 20Años'!V259</f>
        <v>1.1277915632754341E-2</v>
      </c>
      <c r="W261" s="74">
        <f>Analisis_Inputs_Grales!$D$74*'Analisis 20Años'!W259</f>
        <v>1.1277915632754341E-2</v>
      </c>
    </row>
    <row r="262" spans="2:23" x14ac:dyDescent="0.2">
      <c r="B262" s="30" t="s">
        <v>93</v>
      </c>
      <c r="C262" s="31" t="s">
        <v>207</v>
      </c>
      <c r="D262" s="52">
        <f>D261*12*Analisis_Inputs_Grales!$D$59</f>
        <v>1169.2942928039702</v>
      </c>
      <c r="E262" s="52">
        <f>E261*12*Analisis_Inputs_Grales!$D$59</f>
        <v>1169.2942928039702</v>
      </c>
      <c r="F262" s="52">
        <f>F261*12*Analisis_Inputs_Grales!$D$59</f>
        <v>1169.2942928039702</v>
      </c>
      <c r="G262" s="52">
        <f>G261*12*Analisis_Inputs_Grales!$D$59</f>
        <v>1169.2942928039702</v>
      </c>
      <c r="H262" s="52">
        <f>H261*12*Analisis_Inputs_Grales!$D$59</f>
        <v>1169.2942928039702</v>
      </c>
      <c r="I262" s="52">
        <f>I261*12*Analisis_Inputs_Grales!$D$59</f>
        <v>1169.2942928039702</v>
      </c>
      <c r="J262" s="52">
        <f>J261*12*Analisis_Inputs_Grales!$D$59</f>
        <v>1169.2942928039702</v>
      </c>
      <c r="K262" s="52">
        <f>K261*12*Analisis_Inputs_Grales!$D$59</f>
        <v>1169.2942928039702</v>
      </c>
      <c r="L262" s="52">
        <f>L261*12*Analisis_Inputs_Grales!$D$59</f>
        <v>1169.2942928039702</v>
      </c>
      <c r="M262" s="52">
        <f>M261*12*Analisis_Inputs_Grales!$D$59</f>
        <v>1169.2942928039702</v>
      </c>
      <c r="N262" s="52">
        <f>N261*12*Analisis_Inputs_Grales!$D$59</f>
        <v>1169.2942928039702</v>
      </c>
      <c r="O262" s="52">
        <f>O261*12*Analisis_Inputs_Grales!$D$59</f>
        <v>1169.2942928039702</v>
      </c>
      <c r="P262" s="52">
        <f>P261*12*Analisis_Inputs_Grales!$D$59</f>
        <v>1169.2942928039702</v>
      </c>
      <c r="Q262" s="52">
        <f>Q261*12*Analisis_Inputs_Grales!$D$59</f>
        <v>1169.2942928039702</v>
      </c>
      <c r="R262" s="52">
        <f>R261*12*Analisis_Inputs_Grales!$D$59</f>
        <v>1169.2942928039702</v>
      </c>
      <c r="S262" s="52">
        <f>S261*12*Analisis_Inputs_Grales!$D$59</f>
        <v>1169.2942928039702</v>
      </c>
      <c r="T262" s="52">
        <f>T261*12*Analisis_Inputs_Grales!$D$59</f>
        <v>1169.2942928039702</v>
      </c>
      <c r="U262" s="52">
        <f>U261*12*Analisis_Inputs_Grales!$D$59</f>
        <v>1169.2942928039702</v>
      </c>
      <c r="V262" s="52">
        <f>V261*12*Analisis_Inputs_Grales!$D$59</f>
        <v>1169.2942928039702</v>
      </c>
      <c r="W262" s="52">
        <f>W261*12*Analisis_Inputs_Grales!$D$59</f>
        <v>1169.2942928039702</v>
      </c>
    </row>
    <row r="263" spans="2:23" x14ac:dyDescent="0.2">
      <c r="B263" s="28" t="s">
        <v>94</v>
      </c>
      <c r="C263" s="29" t="s">
        <v>452</v>
      </c>
      <c r="D263" s="74">
        <f>Analisis_Inputs_Grales!$D$75*('Analisis 20Años'!D259+'Analisis 20Años'!D261)</f>
        <v>3.4585607940446648E-2</v>
      </c>
      <c r="E263" s="74">
        <f>Analisis_Inputs_Grales!$D$75*('Analisis 20Años'!E259+'Analisis 20Años'!E261)</f>
        <v>3.4585607940446648E-2</v>
      </c>
      <c r="F263" s="74">
        <f>Analisis_Inputs_Grales!$D$75*('Analisis 20Años'!F259+'Analisis 20Años'!F261)</f>
        <v>3.4585607940446648E-2</v>
      </c>
      <c r="G263" s="74">
        <f>Analisis_Inputs_Grales!$D$75*('Analisis 20Años'!G259+'Analisis 20Años'!G261)</f>
        <v>3.4585607940446648E-2</v>
      </c>
      <c r="H263" s="74">
        <f>Analisis_Inputs_Grales!$D$75*('Analisis 20Años'!H259+'Analisis 20Años'!H261)</f>
        <v>3.4585607940446648E-2</v>
      </c>
      <c r="I263" s="74">
        <f>Analisis_Inputs_Grales!$D$75*('Analisis 20Años'!I259+'Analisis 20Años'!I261)</f>
        <v>3.4585607940446648E-2</v>
      </c>
      <c r="J263" s="74">
        <f>Analisis_Inputs_Grales!$D$75*('Analisis 20Años'!J259+'Analisis 20Años'!J261)</f>
        <v>3.4585607940446648E-2</v>
      </c>
      <c r="K263" s="74">
        <f>Analisis_Inputs_Grales!$D$75*('Analisis 20Años'!K259+'Analisis 20Años'!K261)</f>
        <v>3.4585607940446648E-2</v>
      </c>
      <c r="L263" s="74">
        <f>Analisis_Inputs_Grales!$D$75*('Analisis 20Años'!L259+'Analisis 20Años'!L261)</f>
        <v>3.4585607940446648E-2</v>
      </c>
      <c r="M263" s="74">
        <f>Analisis_Inputs_Grales!$D$75*('Analisis 20Años'!M259+'Analisis 20Años'!M261)</f>
        <v>3.4585607940446648E-2</v>
      </c>
      <c r="N263" s="74">
        <f>Analisis_Inputs_Grales!$D$75*('Analisis 20Años'!N259+'Analisis 20Años'!N261)</f>
        <v>3.4585607940446648E-2</v>
      </c>
      <c r="O263" s="74">
        <f>Analisis_Inputs_Grales!$D$75*('Analisis 20Años'!O259+'Analisis 20Años'!O261)</f>
        <v>3.4585607940446648E-2</v>
      </c>
      <c r="P263" s="74">
        <f>Analisis_Inputs_Grales!$D$75*('Analisis 20Años'!P259+'Analisis 20Años'!P261)</f>
        <v>3.4585607940446648E-2</v>
      </c>
      <c r="Q263" s="74">
        <f>Analisis_Inputs_Grales!$D$75*('Analisis 20Años'!Q259+'Analisis 20Años'!Q261)</f>
        <v>3.4585607940446648E-2</v>
      </c>
      <c r="R263" s="74">
        <f>Analisis_Inputs_Grales!$D$75*('Analisis 20Años'!R259+'Analisis 20Años'!R261)</f>
        <v>3.4585607940446648E-2</v>
      </c>
      <c r="S263" s="74">
        <f>Analisis_Inputs_Grales!$D$75*('Analisis 20Años'!S259+'Analisis 20Años'!S261)</f>
        <v>3.4585607940446648E-2</v>
      </c>
      <c r="T263" s="74">
        <f>Analisis_Inputs_Grales!$D$75*('Analisis 20Años'!T259+'Analisis 20Años'!T261)</f>
        <v>3.4585607940446648E-2</v>
      </c>
      <c r="U263" s="74">
        <f>Analisis_Inputs_Grales!$D$75*('Analisis 20Años'!U259+'Analisis 20Años'!U261)</f>
        <v>3.4585607940446648E-2</v>
      </c>
      <c r="V263" s="74">
        <f>Analisis_Inputs_Grales!$D$75*('Analisis 20Años'!V259+'Analisis 20Años'!V261)</f>
        <v>3.4585607940446648E-2</v>
      </c>
      <c r="W263" s="74">
        <f>Analisis_Inputs_Grales!$D$75*('Analisis 20Años'!W259+'Analisis 20Años'!W261)</f>
        <v>3.4585607940446648E-2</v>
      </c>
    </row>
    <row r="264" spans="2:23" x14ac:dyDescent="0.2">
      <c r="B264" s="30" t="s">
        <v>94</v>
      </c>
      <c r="C264" s="31" t="s">
        <v>207</v>
      </c>
      <c r="D264" s="52">
        <f>D263*12*Analisis_Inputs_Grales!$D$59</f>
        <v>3585.8358312655082</v>
      </c>
      <c r="E264" s="52">
        <f>E263*12*Analisis_Inputs_Grales!$D$59</f>
        <v>3585.8358312655082</v>
      </c>
      <c r="F264" s="52">
        <f>F263*12*Analisis_Inputs_Grales!$D$59</f>
        <v>3585.8358312655082</v>
      </c>
      <c r="G264" s="52">
        <f>G263*12*Analisis_Inputs_Grales!$D$59</f>
        <v>3585.8358312655082</v>
      </c>
      <c r="H264" s="52">
        <f>H263*12*Analisis_Inputs_Grales!$D$59</f>
        <v>3585.8358312655082</v>
      </c>
      <c r="I264" s="52">
        <f>I263*12*Analisis_Inputs_Grales!$D$59</f>
        <v>3585.8358312655082</v>
      </c>
      <c r="J264" s="52">
        <f>J263*12*Analisis_Inputs_Grales!$D$59</f>
        <v>3585.8358312655082</v>
      </c>
      <c r="K264" s="52">
        <f>K263*12*Analisis_Inputs_Grales!$D$59</f>
        <v>3585.8358312655082</v>
      </c>
      <c r="L264" s="52">
        <f>L263*12*Analisis_Inputs_Grales!$D$59</f>
        <v>3585.8358312655082</v>
      </c>
      <c r="M264" s="52">
        <f>M263*12*Analisis_Inputs_Grales!$D$59</f>
        <v>3585.8358312655082</v>
      </c>
      <c r="N264" s="52">
        <f>N263*12*Analisis_Inputs_Grales!$D$59</f>
        <v>3585.8358312655082</v>
      </c>
      <c r="O264" s="52">
        <f>O263*12*Analisis_Inputs_Grales!$D$59</f>
        <v>3585.8358312655082</v>
      </c>
      <c r="P264" s="52">
        <f>P263*12*Analisis_Inputs_Grales!$D$59</f>
        <v>3585.8358312655082</v>
      </c>
      <c r="Q264" s="52">
        <f>Q263*12*Analisis_Inputs_Grales!$D$59</f>
        <v>3585.8358312655082</v>
      </c>
      <c r="R264" s="52">
        <f>R263*12*Analisis_Inputs_Grales!$D$59</f>
        <v>3585.8358312655082</v>
      </c>
      <c r="S264" s="52">
        <f>S263*12*Analisis_Inputs_Grales!$D$59</f>
        <v>3585.8358312655082</v>
      </c>
      <c r="T264" s="52">
        <f>T263*12*Analisis_Inputs_Grales!$D$59</f>
        <v>3585.8358312655082</v>
      </c>
      <c r="U264" s="52">
        <f>U263*12*Analisis_Inputs_Grales!$D$59</f>
        <v>3585.8358312655082</v>
      </c>
      <c r="V264" s="52">
        <f>V263*12*Analisis_Inputs_Grales!$D$59</f>
        <v>3585.8358312655082</v>
      </c>
      <c r="W264" s="52">
        <f>W263*12*Analisis_Inputs_Grales!$D$59</f>
        <v>3585.8358312655082</v>
      </c>
    </row>
    <row r="265" spans="2:23" x14ac:dyDescent="0.2">
      <c r="B265" s="28" t="s">
        <v>95</v>
      </c>
      <c r="C265" s="29" t="s">
        <v>452</v>
      </c>
      <c r="D265" s="74">
        <f>D263+D261+D259</f>
        <v>0.12104962779156327</v>
      </c>
      <c r="E265" s="74">
        <f t="shared" ref="E265:W265" si="56">E263+E261+E259</f>
        <v>0.12104962779156327</v>
      </c>
      <c r="F265" s="74">
        <f t="shared" si="56"/>
        <v>0.12104962779156327</v>
      </c>
      <c r="G265" s="74">
        <f t="shared" si="56"/>
        <v>0.12104962779156327</v>
      </c>
      <c r="H265" s="74">
        <f t="shared" si="56"/>
        <v>0.12104962779156327</v>
      </c>
      <c r="I265" s="74">
        <f t="shared" si="56"/>
        <v>0.12104962779156327</v>
      </c>
      <c r="J265" s="74">
        <f t="shared" si="56"/>
        <v>0.12104962779156327</v>
      </c>
      <c r="K265" s="74">
        <f t="shared" si="56"/>
        <v>0.12104962779156327</v>
      </c>
      <c r="L265" s="74">
        <f t="shared" si="56"/>
        <v>0.12104962779156327</v>
      </c>
      <c r="M265" s="74">
        <f t="shared" si="56"/>
        <v>0.12104962779156327</v>
      </c>
      <c r="N265" s="74">
        <f t="shared" si="56"/>
        <v>0.12104962779156327</v>
      </c>
      <c r="O265" s="74">
        <f t="shared" si="56"/>
        <v>0.12104962779156327</v>
      </c>
      <c r="P265" s="74">
        <f t="shared" si="56"/>
        <v>0.12104962779156327</v>
      </c>
      <c r="Q265" s="74">
        <f t="shared" si="56"/>
        <v>0.12104962779156327</v>
      </c>
      <c r="R265" s="74">
        <f t="shared" si="56"/>
        <v>0.12104962779156327</v>
      </c>
      <c r="S265" s="74">
        <f t="shared" si="56"/>
        <v>0.12104962779156327</v>
      </c>
      <c r="T265" s="74">
        <f t="shared" si="56"/>
        <v>0.12104962779156327</v>
      </c>
      <c r="U265" s="74">
        <f t="shared" si="56"/>
        <v>0.12104962779156327</v>
      </c>
      <c r="V265" s="74">
        <f t="shared" si="56"/>
        <v>0.12104962779156327</v>
      </c>
      <c r="W265" s="74">
        <f t="shared" si="56"/>
        <v>0.12104962779156327</v>
      </c>
    </row>
    <row r="266" spans="2:23" x14ac:dyDescent="0.2">
      <c r="B266" s="32" t="s">
        <v>95</v>
      </c>
      <c r="C266" s="31" t="s">
        <v>207</v>
      </c>
      <c r="D266" s="52">
        <f>D265*12*Analisis_Inputs_Grales!$D$59</f>
        <v>12550.425409429279</v>
      </c>
      <c r="E266" s="52">
        <f>E265*12*Analisis_Inputs_Grales!$D$59</f>
        <v>12550.425409429279</v>
      </c>
      <c r="F266" s="52">
        <f>F265*12*Analisis_Inputs_Grales!$D$59</f>
        <v>12550.425409429279</v>
      </c>
      <c r="G266" s="52">
        <f>G265*12*Analisis_Inputs_Grales!$D$59</f>
        <v>12550.425409429279</v>
      </c>
      <c r="H266" s="52">
        <f>H265*12*Analisis_Inputs_Grales!$D$59</f>
        <v>12550.425409429279</v>
      </c>
      <c r="I266" s="52">
        <f>I265*12*Analisis_Inputs_Grales!$D$59</f>
        <v>12550.425409429279</v>
      </c>
      <c r="J266" s="52">
        <f>J265*12*Analisis_Inputs_Grales!$D$59</f>
        <v>12550.425409429279</v>
      </c>
      <c r="K266" s="52">
        <f>K265*12*Analisis_Inputs_Grales!$D$59</f>
        <v>12550.425409429279</v>
      </c>
      <c r="L266" s="52">
        <f>L265*12*Analisis_Inputs_Grales!$D$59</f>
        <v>12550.425409429279</v>
      </c>
      <c r="M266" s="52">
        <f>M265*12*Analisis_Inputs_Grales!$D$59</f>
        <v>12550.425409429279</v>
      </c>
      <c r="N266" s="52">
        <f>N265*12*Analisis_Inputs_Grales!$D$59</f>
        <v>12550.425409429279</v>
      </c>
      <c r="O266" s="52">
        <f>O265*12*Analisis_Inputs_Grales!$D$59</f>
        <v>12550.425409429279</v>
      </c>
      <c r="P266" s="52">
        <f>P265*12*Analisis_Inputs_Grales!$D$59</f>
        <v>12550.425409429279</v>
      </c>
      <c r="Q266" s="52">
        <f>Q265*12*Analisis_Inputs_Grales!$D$59</f>
        <v>12550.425409429279</v>
      </c>
      <c r="R266" s="52">
        <f>R265*12*Analisis_Inputs_Grales!$D$59</f>
        <v>12550.425409429279</v>
      </c>
      <c r="S266" s="52">
        <f>S265*12*Analisis_Inputs_Grales!$D$59</f>
        <v>12550.425409429279</v>
      </c>
      <c r="T266" s="52">
        <f>T265*12*Analisis_Inputs_Grales!$D$59</f>
        <v>12550.425409429279</v>
      </c>
      <c r="U266" s="52">
        <f>U265*12*Analisis_Inputs_Grales!$D$59</f>
        <v>12550.425409429279</v>
      </c>
      <c r="V266" s="52">
        <f>V265*12*Analisis_Inputs_Grales!$D$59</f>
        <v>12550.425409429279</v>
      </c>
      <c r="W266" s="52">
        <f>W265*12*Analisis_Inputs_Grales!$D$59</f>
        <v>12550.425409429279</v>
      </c>
    </row>
    <row r="267" spans="2:23" x14ac:dyDescent="0.2">
      <c r="B267" s="34"/>
    </row>
    <row r="268" spans="2:23" x14ac:dyDescent="0.2">
      <c r="B268" s="35" t="s">
        <v>96</v>
      </c>
      <c r="C268" s="36" t="s">
        <v>452</v>
      </c>
      <c r="D268" s="74">
        <f>+D255+D265</f>
        <v>0.53435749816193368</v>
      </c>
      <c r="E268" s="74">
        <f t="shared" ref="E268:W268" si="57">+E255+E265</f>
        <v>0.53435749816193368</v>
      </c>
      <c r="F268" s="74">
        <f t="shared" si="57"/>
        <v>0.53435749816193368</v>
      </c>
      <c r="G268" s="74">
        <f t="shared" si="57"/>
        <v>0.53435749816193368</v>
      </c>
      <c r="H268" s="74">
        <f t="shared" si="57"/>
        <v>0.53435749816193368</v>
      </c>
      <c r="I268" s="74">
        <f t="shared" si="57"/>
        <v>0.53435749816193368</v>
      </c>
      <c r="J268" s="74">
        <f t="shared" si="57"/>
        <v>0.53435749816193368</v>
      </c>
      <c r="K268" s="74">
        <f t="shared" si="57"/>
        <v>0.53435749816193368</v>
      </c>
      <c r="L268" s="74">
        <f t="shared" si="57"/>
        <v>0.53435749816193368</v>
      </c>
      <c r="M268" s="74">
        <f t="shared" si="57"/>
        <v>0.53435749816193368</v>
      </c>
      <c r="N268" s="74">
        <f t="shared" si="57"/>
        <v>0.53435749816193368</v>
      </c>
      <c r="O268" s="74">
        <f t="shared" si="57"/>
        <v>0.53435749816193368</v>
      </c>
      <c r="P268" s="74">
        <f t="shared" si="57"/>
        <v>0.53435749816193368</v>
      </c>
      <c r="Q268" s="74">
        <f t="shared" si="57"/>
        <v>0.53435749816193368</v>
      </c>
      <c r="R268" s="74">
        <f t="shared" si="57"/>
        <v>0.53435749816193368</v>
      </c>
      <c r="S268" s="74">
        <f t="shared" si="57"/>
        <v>0.53435749816193368</v>
      </c>
      <c r="T268" s="74">
        <f t="shared" si="57"/>
        <v>0.53435749816193368</v>
      </c>
      <c r="U268" s="74">
        <f t="shared" si="57"/>
        <v>0.53435749816193368</v>
      </c>
      <c r="V268" s="74">
        <f t="shared" si="57"/>
        <v>0.53435749816193368</v>
      </c>
      <c r="W268" s="74">
        <f t="shared" si="57"/>
        <v>0.53435749816193368</v>
      </c>
    </row>
    <row r="269" spans="2:23" x14ac:dyDescent="0.2">
      <c r="B269" s="37" t="s">
        <v>96</v>
      </c>
      <c r="C269" s="38" t="s">
        <v>207</v>
      </c>
      <c r="D269" s="52">
        <f>D268*12*Analisis_Inputs_Grales!$D$59</f>
        <v>55402.185409429287</v>
      </c>
      <c r="E269" s="52">
        <f>E268*12*Analisis_Inputs_Grales!$D$59</f>
        <v>55402.185409429287</v>
      </c>
      <c r="F269" s="52">
        <f>F268*12*Analisis_Inputs_Grales!$D$59</f>
        <v>55402.185409429287</v>
      </c>
      <c r="G269" s="52">
        <f>G268*12*Analisis_Inputs_Grales!$D$59</f>
        <v>55402.185409429287</v>
      </c>
      <c r="H269" s="52">
        <f>H268*12*Analisis_Inputs_Grales!$D$59</f>
        <v>55402.185409429287</v>
      </c>
      <c r="I269" s="52">
        <f>I268*12*Analisis_Inputs_Grales!$D$59</f>
        <v>55402.185409429287</v>
      </c>
      <c r="J269" s="52">
        <f>J268*12*Analisis_Inputs_Grales!$D$59</f>
        <v>55402.185409429287</v>
      </c>
      <c r="K269" s="52">
        <f>K268*12*Analisis_Inputs_Grales!$D$59</f>
        <v>55402.185409429287</v>
      </c>
      <c r="L269" s="52">
        <f>L268*12*Analisis_Inputs_Grales!$D$59</f>
        <v>55402.185409429287</v>
      </c>
      <c r="M269" s="52">
        <f>M268*12*Analisis_Inputs_Grales!$D$59</f>
        <v>55402.185409429287</v>
      </c>
      <c r="N269" s="52">
        <f>N268*12*Analisis_Inputs_Grales!$D$59</f>
        <v>55402.185409429287</v>
      </c>
      <c r="O269" s="52">
        <f>O268*12*Analisis_Inputs_Grales!$D$59</f>
        <v>55402.185409429287</v>
      </c>
      <c r="P269" s="52">
        <f>P268*12*Analisis_Inputs_Grales!$D$59</f>
        <v>55402.185409429287</v>
      </c>
      <c r="Q269" s="52">
        <f>Q268*12*Analisis_Inputs_Grales!$D$59</f>
        <v>55402.185409429287</v>
      </c>
      <c r="R269" s="52">
        <f>R268*12*Analisis_Inputs_Grales!$D$59</f>
        <v>55402.185409429287</v>
      </c>
      <c r="S269" s="52">
        <f>S268*12*Analisis_Inputs_Grales!$D$59</f>
        <v>55402.185409429287</v>
      </c>
      <c r="T269" s="52">
        <f>T268*12*Analisis_Inputs_Grales!$D$59</f>
        <v>55402.185409429287</v>
      </c>
      <c r="U269" s="52">
        <f>U268*12*Analisis_Inputs_Grales!$D$59</f>
        <v>55402.185409429287</v>
      </c>
      <c r="V269" s="52">
        <f>V268*12*Analisis_Inputs_Grales!$D$59</f>
        <v>55402.185409429287</v>
      </c>
      <c r="W269" s="52">
        <f>W268*12*Analisis_Inputs_Grales!$D$59</f>
        <v>55402.185409429287</v>
      </c>
    </row>
    <row r="270" spans="2:23" x14ac:dyDescent="0.2">
      <c r="B270" s="39"/>
      <c r="C270" s="40"/>
    </row>
    <row r="271" spans="2:23" x14ac:dyDescent="0.2">
      <c r="B271" s="41" t="s">
        <v>97</v>
      </c>
      <c r="C271" s="36" t="s">
        <v>453</v>
      </c>
      <c r="D271" s="74">
        <f>D268/(Analisis_Inputs_Grales!$D$64)</f>
        <v>2.8272883500631407E-2</v>
      </c>
      <c r="E271" s="74">
        <f>E268/(Analisis_Inputs_Grales!$D$64)</f>
        <v>2.8272883500631407E-2</v>
      </c>
      <c r="F271" s="74">
        <f>F268/(Analisis_Inputs_Grales!$D$64)</f>
        <v>2.8272883500631407E-2</v>
      </c>
      <c r="G271" s="74">
        <f>G268/(Analisis_Inputs_Grales!$D$64)</f>
        <v>2.8272883500631407E-2</v>
      </c>
      <c r="H271" s="74">
        <f>H268/(Analisis_Inputs_Grales!$D$64)</f>
        <v>2.8272883500631407E-2</v>
      </c>
      <c r="I271" s="74">
        <f>I268/(Analisis_Inputs_Grales!$D$64)</f>
        <v>2.8272883500631407E-2</v>
      </c>
      <c r="J271" s="74">
        <f>J268/(Analisis_Inputs_Grales!$D$64)</f>
        <v>2.8272883500631407E-2</v>
      </c>
      <c r="K271" s="74">
        <f>K268/(Analisis_Inputs_Grales!$D$64)</f>
        <v>2.8272883500631407E-2</v>
      </c>
      <c r="L271" s="74">
        <f>L268/(Analisis_Inputs_Grales!$D$64)</f>
        <v>2.8272883500631407E-2</v>
      </c>
      <c r="M271" s="74">
        <f>M268/(Analisis_Inputs_Grales!$D$64)</f>
        <v>2.8272883500631407E-2</v>
      </c>
      <c r="N271" s="74">
        <f>N268/(Analisis_Inputs_Grales!$D$64)</f>
        <v>2.8272883500631407E-2</v>
      </c>
      <c r="O271" s="74">
        <f>O268/(Analisis_Inputs_Grales!$D$64)</f>
        <v>2.8272883500631407E-2</v>
      </c>
      <c r="P271" s="74">
        <f>P268/(Analisis_Inputs_Grales!$D$64)</f>
        <v>2.8272883500631407E-2</v>
      </c>
      <c r="Q271" s="74">
        <f>Q268/(Analisis_Inputs_Grales!$D$64)</f>
        <v>2.8272883500631407E-2</v>
      </c>
      <c r="R271" s="74">
        <f>R268/(Analisis_Inputs_Grales!$D$64)</f>
        <v>2.8272883500631407E-2</v>
      </c>
      <c r="S271" s="74">
        <f>S268/(Analisis_Inputs_Grales!$D$64)</f>
        <v>2.8272883500631407E-2</v>
      </c>
      <c r="T271" s="74">
        <f>T268/(Analisis_Inputs_Grales!$D$64)</f>
        <v>2.8272883500631407E-2</v>
      </c>
      <c r="U271" s="74">
        <f>U268/(Analisis_Inputs_Grales!$D$64)</f>
        <v>2.8272883500631407E-2</v>
      </c>
      <c r="V271" s="74">
        <f>V268/(Analisis_Inputs_Grales!$D$64)</f>
        <v>2.8272883500631407E-2</v>
      </c>
      <c r="W271" s="74">
        <f>W268/(Analisis_Inputs_Grales!$D$64)</f>
        <v>2.8272883500631407E-2</v>
      </c>
    </row>
    <row r="272" spans="2:23" x14ac:dyDescent="0.2">
      <c r="B272" s="34" t="s">
        <v>98</v>
      </c>
      <c r="C272" s="31" t="s">
        <v>454</v>
      </c>
      <c r="D272" s="52">
        <f>D271*12*Analisis_Inputs_Grales!$D$59</f>
        <v>2931.332561345464</v>
      </c>
      <c r="E272" s="52">
        <f>E271*12*Analisis_Inputs_Grales!$D$59</f>
        <v>2931.332561345464</v>
      </c>
      <c r="F272" s="52">
        <f>F271*12*Analisis_Inputs_Grales!$D$59</f>
        <v>2931.332561345464</v>
      </c>
      <c r="G272" s="52">
        <f>G271*12*Analisis_Inputs_Grales!$D$59</f>
        <v>2931.332561345464</v>
      </c>
      <c r="H272" s="52">
        <f>H271*12*Analisis_Inputs_Grales!$D$59</f>
        <v>2931.332561345464</v>
      </c>
      <c r="I272" s="52">
        <f>I271*12*Analisis_Inputs_Grales!$D$59</f>
        <v>2931.332561345464</v>
      </c>
      <c r="J272" s="52">
        <f>J271*12*Analisis_Inputs_Grales!$D$59</f>
        <v>2931.332561345464</v>
      </c>
      <c r="K272" s="52">
        <f>K271*12*Analisis_Inputs_Grales!$D$59</f>
        <v>2931.332561345464</v>
      </c>
      <c r="L272" s="52">
        <f>L271*12*Analisis_Inputs_Grales!$D$59</f>
        <v>2931.332561345464</v>
      </c>
      <c r="M272" s="52">
        <f>M271*12*Analisis_Inputs_Grales!$D$59</f>
        <v>2931.332561345464</v>
      </c>
      <c r="N272" s="52">
        <f>N271*12*Analisis_Inputs_Grales!$D$59</f>
        <v>2931.332561345464</v>
      </c>
      <c r="O272" s="52">
        <f>O271*12*Analisis_Inputs_Grales!$D$59</f>
        <v>2931.332561345464</v>
      </c>
      <c r="P272" s="52">
        <f>P271*12*Analisis_Inputs_Grales!$D$59</f>
        <v>2931.332561345464</v>
      </c>
      <c r="Q272" s="52">
        <f>Q271*12*Analisis_Inputs_Grales!$D$59</f>
        <v>2931.332561345464</v>
      </c>
      <c r="R272" s="52">
        <f>R271*12*Analisis_Inputs_Grales!$D$59</f>
        <v>2931.332561345464</v>
      </c>
      <c r="S272" s="52">
        <f>S271*12*Analisis_Inputs_Grales!$D$59</f>
        <v>2931.332561345464</v>
      </c>
      <c r="T272" s="52">
        <f>T271*12*Analisis_Inputs_Grales!$D$59</f>
        <v>2931.332561345464</v>
      </c>
      <c r="U272" s="52">
        <f>U271*12*Analisis_Inputs_Grales!$D$59</f>
        <v>2931.332561345464</v>
      </c>
      <c r="V272" s="52">
        <f>V271*12*Analisis_Inputs_Grales!$D$59</f>
        <v>2931.332561345464</v>
      </c>
      <c r="W272" s="52">
        <f>W271*12*Analisis_Inputs_Grales!$D$59</f>
        <v>2931.332561345464</v>
      </c>
    </row>
    <row r="273" spans="2:23" ht="28.5" x14ac:dyDescent="0.2">
      <c r="B273" s="37" t="s">
        <v>99</v>
      </c>
      <c r="C273" s="38" t="s">
        <v>134</v>
      </c>
      <c r="D273" s="74">
        <f>(Analisis_Inputs_Grales!$D$79+Analisis_Inputs_Grales!$D$80)*D255/Analisis_Inputs_Grales!$D$64</f>
        <v>0.76538494513031541</v>
      </c>
      <c r="E273" s="74">
        <f>(Analisis_Inputs_Grales!$D$79+Analisis_Inputs_Grales!$D$80)*E255/Analisis_Inputs_Grales!$D$64</f>
        <v>0.76538494513031541</v>
      </c>
      <c r="F273" s="74">
        <f>(Analisis_Inputs_Grales!$D$79+Analisis_Inputs_Grales!$D$80)*F255/Analisis_Inputs_Grales!$D$64</f>
        <v>0.76538494513031541</v>
      </c>
      <c r="G273" s="74">
        <f>(Analisis_Inputs_Grales!$D$79+Analisis_Inputs_Grales!$D$80)*G255/Analisis_Inputs_Grales!$D$64</f>
        <v>0.76538494513031541</v>
      </c>
      <c r="H273" s="74">
        <f>(Analisis_Inputs_Grales!$D$79+Analisis_Inputs_Grales!$D$80)*H255/Analisis_Inputs_Grales!$D$64</f>
        <v>0.76538494513031541</v>
      </c>
      <c r="I273" s="74">
        <f>(Analisis_Inputs_Grales!$D$79+Analisis_Inputs_Grales!$D$80)*I255/Analisis_Inputs_Grales!$D$64</f>
        <v>0.76538494513031541</v>
      </c>
      <c r="J273" s="74">
        <f>(Analisis_Inputs_Grales!$D$79+Analisis_Inputs_Grales!$D$80)*J255/Analisis_Inputs_Grales!$D$64</f>
        <v>0.76538494513031541</v>
      </c>
      <c r="K273" s="74">
        <f>(Analisis_Inputs_Grales!$D$79+Analisis_Inputs_Grales!$D$80)*K255/Analisis_Inputs_Grales!$D$64</f>
        <v>0.76538494513031541</v>
      </c>
      <c r="L273" s="74">
        <f>(Analisis_Inputs_Grales!$D$79+Analisis_Inputs_Grales!$D$80)*L255/Analisis_Inputs_Grales!$D$64</f>
        <v>0.76538494513031541</v>
      </c>
      <c r="M273" s="74">
        <f>(Analisis_Inputs_Grales!$D$79+Analisis_Inputs_Grales!$D$80)*M255/Analisis_Inputs_Grales!$D$64</f>
        <v>0.76538494513031541</v>
      </c>
      <c r="N273" s="74">
        <f>(Analisis_Inputs_Grales!$D$79+Analisis_Inputs_Grales!$D$80)*N255/Analisis_Inputs_Grales!$D$64</f>
        <v>0.76538494513031541</v>
      </c>
      <c r="O273" s="74">
        <f>(Analisis_Inputs_Grales!$D$79+Analisis_Inputs_Grales!$D$80)*O255/Analisis_Inputs_Grales!$D$64</f>
        <v>0.76538494513031541</v>
      </c>
      <c r="P273" s="74">
        <f>(Analisis_Inputs_Grales!$D$79+Analisis_Inputs_Grales!$D$80)*P255/Analisis_Inputs_Grales!$D$64</f>
        <v>0.76538494513031541</v>
      </c>
      <c r="Q273" s="74">
        <f>(Analisis_Inputs_Grales!$D$79+Analisis_Inputs_Grales!$D$80)*Q255/Analisis_Inputs_Grales!$D$64</f>
        <v>0.76538494513031541</v>
      </c>
      <c r="R273" s="74">
        <f>(Analisis_Inputs_Grales!$D$79+Analisis_Inputs_Grales!$D$80)*R255/Analisis_Inputs_Grales!$D$64</f>
        <v>0.76538494513031541</v>
      </c>
      <c r="S273" s="74">
        <f>(Analisis_Inputs_Grales!$D$79+Analisis_Inputs_Grales!$D$80)*S255/Analisis_Inputs_Grales!$D$64</f>
        <v>0.76538494513031541</v>
      </c>
      <c r="T273" s="74">
        <f>(Analisis_Inputs_Grales!$D$79+Analisis_Inputs_Grales!$D$80)*T255/Analisis_Inputs_Grales!$D$64</f>
        <v>0.76538494513031541</v>
      </c>
      <c r="U273" s="74">
        <f>(Analisis_Inputs_Grales!$D$79+Analisis_Inputs_Grales!$D$80)*U255/Analisis_Inputs_Grales!$D$64</f>
        <v>0.76538494513031541</v>
      </c>
      <c r="V273" s="74">
        <f>(Analisis_Inputs_Grales!$D$79+Analisis_Inputs_Grales!$D$80)*V255/Analisis_Inputs_Grales!$D$64</f>
        <v>0.76538494513031541</v>
      </c>
      <c r="W273" s="74">
        <f>(Analisis_Inputs_Grales!$D$79+Analisis_Inputs_Grales!$D$80)*W255/Analisis_Inputs_Grales!$D$64</f>
        <v>0.76538494513031541</v>
      </c>
    </row>
    <row r="275" spans="2:23" x14ac:dyDescent="0.2">
      <c r="B275" s="34" t="s">
        <v>123</v>
      </c>
      <c r="C275" s="31" t="s">
        <v>455</v>
      </c>
      <c r="D275" s="74">
        <f>D271/(Analisis_Inputs_Grales!$D$72/60)</f>
        <v>2.3619199615912089E-2</v>
      </c>
      <c r="E275" s="74">
        <f>E271/(Analisis_Inputs_Grales!$D$72/60)</f>
        <v>2.3619199615912089E-2</v>
      </c>
      <c r="F275" s="74">
        <f>F271/(Analisis_Inputs_Grales!$D$72/60)</f>
        <v>2.3619199615912089E-2</v>
      </c>
      <c r="G275" s="74">
        <f>G271/(Analisis_Inputs_Grales!$D$72/60)</f>
        <v>2.3619199615912089E-2</v>
      </c>
      <c r="H275" s="74">
        <f>H271/(Analisis_Inputs_Grales!$D$72/60)</f>
        <v>2.3619199615912089E-2</v>
      </c>
      <c r="I275" s="74">
        <f>I271/(Analisis_Inputs_Grales!$D$72/60)</f>
        <v>2.3619199615912089E-2</v>
      </c>
      <c r="J275" s="74">
        <f>J271/(Analisis_Inputs_Grales!$D$72/60)</f>
        <v>2.3619199615912089E-2</v>
      </c>
      <c r="K275" s="74">
        <f>K271/(Analisis_Inputs_Grales!$D$72/60)</f>
        <v>2.3619199615912089E-2</v>
      </c>
      <c r="L275" s="74">
        <f>L271/(Analisis_Inputs_Grales!$D$72/60)</f>
        <v>2.3619199615912089E-2</v>
      </c>
      <c r="M275" s="74">
        <f>M271/(Analisis_Inputs_Grales!$D$72/60)</f>
        <v>2.3619199615912089E-2</v>
      </c>
      <c r="N275" s="74">
        <f>N271/(Analisis_Inputs_Grales!$D$72/60)</f>
        <v>2.3619199615912089E-2</v>
      </c>
      <c r="O275" s="74">
        <f>O271/(Analisis_Inputs_Grales!$D$72/60)</f>
        <v>2.3619199615912089E-2</v>
      </c>
      <c r="P275" s="74">
        <f>P271/(Analisis_Inputs_Grales!$D$72/60)</f>
        <v>2.3619199615912089E-2</v>
      </c>
      <c r="Q275" s="74">
        <f>Q271/(Analisis_Inputs_Grales!$D$72/60)</f>
        <v>2.3619199615912089E-2</v>
      </c>
      <c r="R275" s="74">
        <f>R271/(Analisis_Inputs_Grales!$D$72/60)</f>
        <v>2.3619199615912089E-2</v>
      </c>
      <c r="S275" s="74">
        <f>S271/(Analisis_Inputs_Grales!$D$72/60)</f>
        <v>2.3619199615912089E-2</v>
      </c>
      <c r="T275" s="74">
        <f>T271/(Analisis_Inputs_Grales!$D$72/60)</f>
        <v>2.3619199615912089E-2</v>
      </c>
      <c r="U275" s="74">
        <f>U271/(Analisis_Inputs_Grales!$D$72/60)</f>
        <v>2.3619199615912089E-2</v>
      </c>
      <c r="V275" s="74">
        <f>V271/(Analisis_Inputs_Grales!$D$72/60)</f>
        <v>2.3619199615912089E-2</v>
      </c>
      <c r="W275" s="74">
        <f>W271/(Analisis_Inputs_Grales!$D$72/60)</f>
        <v>2.3619199615912089E-2</v>
      </c>
    </row>
    <row r="276" spans="2:23" x14ac:dyDescent="0.2">
      <c r="B276" s="64" t="s">
        <v>124</v>
      </c>
      <c r="C276" s="65" t="s">
        <v>23</v>
      </c>
      <c r="D276" s="74">
        <f>(1+Analisis_Inputs_Grales!$D$127)^'Analisis 20Años'!D$3</f>
        <v>1</v>
      </c>
      <c r="E276" s="74">
        <f>(1+Analisis_Inputs_Grales!$D$127)^'Analisis 20Años'!E$3</f>
        <v>1.1200000000000001</v>
      </c>
      <c r="F276" s="74">
        <f>(1+Analisis_Inputs_Grales!$D$127)^'Analisis 20Años'!F$3</f>
        <v>1.2544000000000002</v>
      </c>
      <c r="G276" s="74">
        <f>(1+Analisis_Inputs_Grales!$D$127)^'Analisis 20Años'!G$3</f>
        <v>1.4049280000000004</v>
      </c>
      <c r="H276" s="74">
        <f>(1+Analisis_Inputs_Grales!$D$127)^'Analisis 20Años'!H$3</f>
        <v>1.5735193600000004</v>
      </c>
      <c r="I276" s="74">
        <f>(1+Analisis_Inputs_Grales!$D$127)^'Analisis 20Años'!I$3</f>
        <v>1.7623416832000005</v>
      </c>
      <c r="J276" s="74">
        <f>(1+Analisis_Inputs_Grales!$D$127)^'Analisis 20Años'!J$3</f>
        <v>1.9738226851840008</v>
      </c>
      <c r="K276" s="74">
        <f>(1+Analisis_Inputs_Grales!$D$127)^'Analisis 20Años'!K$3</f>
        <v>2.210681407406081</v>
      </c>
      <c r="L276" s="74">
        <f>(1+Analisis_Inputs_Grales!$D$127)^'Analisis 20Años'!L$3</f>
        <v>2.4759631762948109</v>
      </c>
      <c r="M276" s="74">
        <f>(1+Analisis_Inputs_Grales!$D$127)^'Analisis 20Años'!M$3</f>
        <v>2.7730787574501883</v>
      </c>
      <c r="N276" s="74">
        <f>(1+Analisis_Inputs_Grales!$D$127)^'Analisis 20Años'!N$3</f>
        <v>3.1058482083442112</v>
      </c>
      <c r="O276" s="74">
        <f>(1+Analisis_Inputs_Grales!$D$127)^'Analisis 20Años'!O$3</f>
        <v>3.4785499933455171</v>
      </c>
      <c r="P276" s="74">
        <f>(1+Analisis_Inputs_Grales!$D$127)^'Analisis 20Años'!P$3</f>
        <v>3.8959759925469788</v>
      </c>
      <c r="Q276" s="74">
        <f>(1+Analisis_Inputs_Grales!$D$127)^'Analisis 20Años'!Q$3</f>
        <v>4.363493111652617</v>
      </c>
      <c r="R276" s="74">
        <f>(1+Analisis_Inputs_Grales!$D$127)^'Analisis 20Años'!R$3</f>
        <v>4.8871122850509314</v>
      </c>
      <c r="S276" s="74">
        <f>(1+Analisis_Inputs_Grales!$D$127)^'Analisis 20Años'!S$3</f>
        <v>5.4735657592570428</v>
      </c>
      <c r="T276" s="74">
        <f>(1+Analisis_Inputs_Grales!$D$127)^'Analisis 20Años'!T$3</f>
        <v>6.1303936503678891</v>
      </c>
      <c r="U276" s="74">
        <f>(1+Analisis_Inputs_Grales!$D$127)^'Analisis 20Años'!U$3</f>
        <v>6.8660408884120363</v>
      </c>
      <c r="V276" s="74">
        <f>(1+Analisis_Inputs_Grales!$D$127)^'Analisis 20Años'!V$3</f>
        <v>7.6899657950214815</v>
      </c>
      <c r="W276" s="74">
        <f>(1+Analisis_Inputs_Grales!$D$127)^'Analisis 20Años'!W$3</f>
        <v>8.61276169042406</v>
      </c>
    </row>
    <row r="277" spans="2:23" x14ac:dyDescent="0.2">
      <c r="B277" s="64" t="s">
        <v>125</v>
      </c>
      <c r="C277" s="65" t="s">
        <v>455</v>
      </c>
      <c r="D277" s="74">
        <f>D275*D276</f>
        <v>2.3619199615912089E-2</v>
      </c>
      <c r="E277" s="74">
        <f t="shared" ref="E277:W277" si="58">E275*E276</f>
        <v>2.6453503569821544E-2</v>
      </c>
      <c r="F277" s="74">
        <f t="shared" si="58"/>
        <v>2.9627923998200127E-2</v>
      </c>
      <c r="G277" s="74">
        <f t="shared" si="58"/>
        <v>3.3183274877984149E-2</v>
      </c>
      <c r="H277" s="74">
        <f t="shared" si="58"/>
        <v>3.7165267863342247E-2</v>
      </c>
      <c r="I277" s="74">
        <f t="shared" si="58"/>
        <v>4.1625100006943319E-2</v>
      </c>
      <c r="J277" s="74">
        <f t="shared" si="58"/>
        <v>4.6620112007776521E-2</v>
      </c>
      <c r="K277" s="74">
        <f t="shared" si="58"/>
        <v>5.2214525448709706E-2</v>
      </c>
      <c r="L277" s="74">
        <f t="shared" si="58"/>
        <v>5.8480268502554875E-2</v>
      </c>
      <c r="M277" s="74">
        <f t="shared" si="58"/>
        <v>6.5497900722861463E-2</v>
      </c>
      <c r="N277" s="74">
        <f t="shared" si="58"/>
        <v>7.3357648809604839E-2</v>
      </c>
      <c r="O277" s="74">
        <f t="shared" si="58"/>
        <v>8.2160566666757431E-2</v>
      </c>
      <c r="P277" s="74">
        <f t="shared" si="58"/>
        <v>9.2019834666768316E-2</v>
      </c>
      <c r="Q277" s="74">
        <f t="shared" si="58"/>
        <v>0.10306221482678053</v>
      </c>
      <c r="R277" s="74">
        <f t="shared" si="58"/>
        <v>0.11542968060599421</v>
      </c>
      <c r="S277" s="74">
        <f t="shared" si="58"/>
        <v>0.12928124227871352</v>
      </c>
      <c r="T277" s="74">
        <f t="shared" si="58"/>
        <v>0.14479499135215915</v>
      </c>
      <c r="U277" s="74">
        <f t="shared" si="58"/>
        <v>0.16217039031441827</v>
      </c>
      <c r="V277" s="74">
        <f t="shared" si="58"/>
        <v>0.18163083715214848</v>
      </c>
      <c r="W277" s="74">
        <f t="shared" si="58"/>
        <v>0.20342653761040633</v>
      </c>
    </row>
    <row r="278" spans="2:23" ht="15" x14ac:dyDescent="0.25">
      <c r="B278" s="66" t="s">
        <v>127</v>
      </c>
      <c r="C278" s="65" t="s">
        <v>455</v>
      </c>
      <c r="D278" s="74">
        <f>SUM(D277:W277)</f>
        <v>1.701821020897857</v>
      </c>
    </row>
    <row r="280" spans="2:23" ht="15" thickBot="1" x14ac:dyDescent="0.25">
      <c r="D280" s="31" t="s">
        <v>455</v>
      </c>
      <c r="E280" s="38" t="s">
        <v>134</v>
      </c>
    </row>
    <row r="281" spans="2:23" x14ac:dyDescent="0.2">
      <c r="B281" s="208" t="s">
        <v>129</v>
      </c>
      <c r="C281" s="68">
        <v>5</v>
      </c>
      <c r="D281" s="70">
        <f>D173</f>
        <v>3.1960779630879198E-2</v>
      </c>
      <c r="E281" s="70">
        <f>D171</f>
        <v>1.114864111796982</v>
      </c>
    </row>
    <row r="282" spans="2:23" x14ac:dyDescent="0.2">
      <c r="B282" s="209"/>
      <c r="C282" s="67">
        <v>10</v>
      </c>
      <c r="D282" s="71">
        <f>D207</f>
        <v>2.6399726287567794E-2</v>
      </c>
      <c r="E282" s="71">
        <f>D205</f>
        <v>0.88187800068587097</v>
      </c>
    </row>
    <row r="283" spans="2:23" x14ac:dyDescent="0.2">
      <c r="B283" s="209"/>
      <c r="C283" s="67">
        <v>15</v>
      </c>
      <c r="D283" s="71">
        <f>D241</f>
        <v>2.4546041839797323E-2</v>
      </c>
      <c r="E283" s="71">
        <f>D239</f>
        <v>0.80421596364883385</v>
      </c>
    </row>
    <row r="284" spans="2:23" ht="15" thickBot="1" x14ac:dyDescent="0.25">
      <c r="B284" s="210"/>
      <c r="C284" s="69">
        <v>20</v>
      </c>
      <c r="D284" s="72">
        <f>D275</f>
        <v>2.3619199615912089E-2</v>
      </c>
      <c r="E284" s="72">
        <f>D273</f>
        <v>0.76538494513031541</v>
      </c>
      <c r="I284" s="83"/>
    </row>
    <row r="287" spans="2:23" ht="18" x14ac:dyDescent="0.25">
      <c r="B287" s="87" t="s">
        <v>80</v>
      </c>
    </row>
    <row r="288" spans="2:23" ht="15.75" x14ac:dyDescent="0.25">
      <c r="B288" s="88"/>
      <c r="C288" s="89"/>
      <c r="E288" s="25" t="s">
        <v>134</v>
      </c>
    </row>
    <row r="289" spans="2:26" x14ac:dyDescent="0.2">
      <c r="B289" s="23" t="s">
        <v>87</v>
      </c>
      <c r="C289" s="31" t="s">
        <v>451</v>
      </c>
      <c r="D289" s="90">
        <f>(Analisis_Inputs_Grales!D95*(Analisis_Inputs_Grales!D93)/Analisis_Inputs_Grales!D91)</f>
        <v>1024.499746514698</v>
      </c>
      <c r="E289" s="211">
        <f>+(D289+D290)/Analisis_Inputs_Grales!$D$87</f>
        <v>2.9355858121286538</v>
      </c>
    </row>
    <row r="290" spans="2:26" x14ac:dyDescent="0.2">
      <c r="B290" s="23" t="s">
        <v>148</v>
      </c>
      <c r="C290" s="31" t="s">
        <v>451</v>
      </c>
      <c r="D290" s="90">
        <f>Analisis_Inputs_Grales!D95/(Analisis_Inputs_Grales!D86*Analisis_Inputs_Grales!D92*Analisis_Inputs_Grales!D89)</f>
        <v>443.29315954962891</v>
      </c>
      <c r="E290" s="211"/>
    </row>
    <row r="291" spans="2:26" x14ac:dyDescent="0.2">
      <c r="B291" s="23" t="s">
        <v>81</v>
      </c>
      <c r="C291" s="31" t="s">
        <v>451</v>
      </c>
      <c r="D291" s="90">
        <f>Analisis_Inputs_Grales!D96/Analisis_Inputs_Grales!D91</f>
        <v>1642.3966028957295</v>
      </c>
      <c r="E291" s="51">
        <f>+D291/Analisis_Inputs_Grales!D87</f>
        <v>3.2847932057914591</v>
      </c>
      <c r="F291" s="161">
        <f>+E291/E289</f>
        <v>1.1189566294468456</v>
      </c>
    </row>
    <row r="292" spans="2:26" x14ac:dyDescent="0.2">
      <c r="B292" s="91" t="s">
        <v>149</v>
      </c>
      <c r="C292" s="92" t="s">
        <v>134</v>
      </c>
      <c r="D292" s="93">
        <f>(D289+D290+D291)/Analisis_Inputs_Grales!D87</f>
        <v>6.2203790179201128</v>
      </c>
    </row>
    <row r="294" spans="2:26" ht="18" x14ac:dyDescent="0.25">
      <c r="B294" s="87" t="s">
        <v>463</v>
      </c>
      <c r="C294" s="89"/>
      <c r="D294" s="159"/>
      <c r="E294" s="159" t="s">
        <v>134</v>
      </c>
      <c r="F294" s="159"/>
    </row>
    <row r="295" spans="2:26" x14ac:dyDescent="0.2">
      <c r="B295" s="23" t="s">
        <v>87</v>
      </c>
      <c r="C295" s="31" t="s">
        <v>451</v>
      </c>
      <c r="D295" s="90">
        <f>Analisis_Inputs_Grales!$D$118*Analisis_Inputs_Grales!$D$113/Analisis_Inputs_Grales!$D$111</f>
        <v>13400.215155880658</v>
      </c>
      <c r="E295" s="211">
        <f>(D295+D296)/Analisis_Inputs_Grales!$D$107</f>
        <v>38.396770350504191</v>
      </c>
      <c r="F295" s="159"/>
    </row>
    <row r="296" spans="2:26" ht="15" thickBot="1" x14ac:dyDescent="0.25">
      <c r="B296" s="23" t="s">
        <v>148</v>
      </c>
      <c r="C296" s="31" t="s">
        <v>451</v>
      </c>
      <c r="D296" s="90">
        <f>Analisis_Inputs_Grales!$D$118/(Analisis_Inputs_Grales!$D$106*Analisis_Inputs_Grales!$D$112*Analisis_Inputs_Grales!$D$109)</f>
        <v>5798.1700193714387</v>
      </c>
      <c r="E296" s="211"/>
      <c r="F296" s="159"/>
    </row>
    <row r="297" spans="2:26" ht="15" x14ac:dyDescent="0.2">
      <c r="B297" s="23" t="s">
        <v>81</v>
      </c>
      <c r="C297" s="31" t="s">
        <v>451</v>
      </c>
      <c r="D297" s="90">
        <f>Analisis_Inputs_Grales!$D$119/Analisis_Inputs_Grales!$D$111</f>
        <v>2955.4783950617284</v>
      </c>
      <c r="E297" s="51">
        <f>D297/Analisis_Inputs_Grales!$D$107</f>
        <v>5.910956790123457</v>
      </c>
      <c r="F297" s="161">
        <f>+E297/E295</f>
        <v>0.15394411394930876</v>
      </c>
      <c r="J297" s="212" t="s">
        <v>442</v>
      </c>
      <c r="K297" s="213"/>
      <c r="L297" s="162">
        <f>Analisis_Inputs_Grales!$C$2</f>
        <v>10</v>
      </c>
    </row>
    <row r="298" spans="2:26" ht="72" thickBot="1" x14ac:dyDescent="0.25">
      <c r="I298" s="166" t="s">
        <v>443</v>
      </c>
      <c r="J298" s="163" t="s">
        <v>150</v>
      </c>
      <c r="K298" s="164" t="s">
        <v>151</v>
      </c>
      <c r="L298" s="165" t="s">
        <v>152</v>
      </c>
    </row>
    <row r="299" spans="2:26" x14ac:dyDescent="0.2">
      <c r="I299" s="51">
        <f>ABS(K299-L299)</f>
        <v>7.1022570186059841</v>
      </c>
      <c r="J299" s="97">
        <v>0</v>
      </c>
      <c r="K299" s="99">
        <f t="shared" ref="K299:K335" si="59">VLOOKUP($L$297,$C$138:$D$141,2,FALSE)*J299</f>
        <v>0</v>
      </c>
      <c r="L299" s="98">
        <f>VLOOKUP($L$297,$C$281:$E$284,2,FALSE)*J299+(VLOOKUP($L$297,$C$281:$E$284,3,FALSE)+$D$292)</f>
        <v>7.1022570186059841</v>
      </c>
    </row>
    <row r="300" spans="2:26" x14ac:dyDescent="0.2">
      <c r="I300" s="51">
        <f t="shared" ref="I300:I363" si="60">ABS(K300-L300)</f>
        <v>6.3281710040696977</v>
      </c>
      <c r="J300" s="94">
        <v>5</v>
      </c>
      <c r="K300" s="95">
        <f t="shared" si="59"/>
        <v>0.90608464597412575</v>
      </c>
      <c r="L300" s="96">
        <f>VLOOKUP($L$297,$C$281:$E$284,2,FALSE)*J300+(VLOOKUP($L$297,$C$281:$E$284,3,FALSE)+$D$292)</f>
        <v>7.2342556500438233</v>
      </c>
    </row>
    <row r="301" spans="2:26" x14ac:dyDescent="0.2">
      <c r="I301" s="51">
        <f t="shared" si="60"/>
        <v>5.5540849895334112</v>
      </c>
      <c r="J301" s="94">
        <v>10</v>
      </c>
      <c r="K301" s="95">
        <f t="shared" si="59"/>
        <v>1.8121692919482515</v>
      </c>
      <c r="L301" s="96">
        <f>VLOOKUP($L$297,$C$281:$E$284,2,FALSE)*J301+(VLOOKUP($L$297,$C$281:$E$284,3,FALSE)+$D$292)</f>
        <v>7.3662542814816625</v>
      </c>
      <c r="Y301" s="159" t="s">
        <v>464</v>
      </c>
      <c r="Z301" s="159" t="s">
        <v>465</v>
      </c>
    </row>
    <row r="302" spans="2:26" x14ac:dyDescent="0.2">
      <c r="I302" s="51">
        <f t="shared" si="60"/>
        <v>4.7799989749971239</v>
      </c>
      <c r="J302" s="94">
        <v>15</v>
      </c>
      <c r="K302" s="95">
        <f t="shared" si="59"/>
        <v>2.7182539379223774</v>
      </c>
      <c r="L302" s="96">
        <f>VLOOKUP($L$297,$C$281:$E$284,2,FALSE)*J302+(VLOOKUP($L$297,$C$281:$E$284,3,FALSE)+$D$292)</f>
        <v>7.4982529129195008</v>
      </c>
      <c r="Y302" s="159">
        <v>500</v>
      </c>
      <c r="Z302" s="159">
        <v>45</v>
      </c>
    </row>
    <row r="303" spans="2:26" x14ac:dyDescent="0.2">
      <c r="I303" s="51">
        <f t="shared" si="60"/>
        <v>4.0059129604608366</v>
      </c>
      <c r="J303" s="94">
        <v>20</v>
      </c>
      <c r="K303" s="95">
        <f t="shared" si="59"/>
        <v>3.624338583896503</v>
      </c>
      <c r="L303" s="96">
        <f>VLOOKUP($L$297,$C$281:$E$284,2,FALSE)*J303+(VLOOKUP($L$297,$C$281:$E$284,3,FALSE)+$D$292)</f>
        <v>7.63025154435734</v>
      </c>
      <c r="Y303" s="159">
        <v>450</v>
      </c>
      <c r="Z303" s="159">
        <v>50</v>
      </c>
    </row>
    <row r="304" spans="2:26" x14ac:dyDescent="0.2">
      <c r="I304" s="51">
        <f t="shared" si="60"/>
        <v>3.2318269459245501</v>
      </c>
      <c r="J304" s="94">
        <v>25</v>
      </c>
      <c r="K304" s="95">
        <f>VLOOKUP($L$297,$C$138:$D$141,2,FALSE)*J304</f>
        <v>4.5304232298706291</v>
      </c>
      <c r="L304" s="96">
        <f>VLOOKUP($L$297,$C$281:$E$284,2,FALSE)*J304+(VLOOKUP($L$297,$C$281:$E$284,3,FALSE)+$D$292)</f>
        <v>7.7622501757951792</v>
      </c>
      <c r="Y304" s="159">
        <v>400</v>
      </c>
      <c r="Z304" s="159">
        <v>55</v>
      </c>
    </row>
    <row r="305" spans="8:26" x14ac:dyDescent="0.2">
      <c r="I305" s="51">
        <f t="shared" si="60"/>
        <v>2.4577409313882628</v>
      </c>
      <c r="J305" s="94">
        <v>30</v>
      </c>
      <c r="K305" s="95">
        <f t="shared" si="59"/>
        <v>5.4365078758447547</v>
      </c>
      <c r="L305" s="96">
        <f>VLOOKUP($L$297,$C$281:$E$284,2,FALSE)*J305+(VLOOKUP($L$297,$C$281:$E$284,3,FALSE)+$D$292)</f>
        <v>7.8942488072330175</v>
      </c>
      <c r="Y305" s="159">
        <v>350</v>
      </c>
      <c r="Z305" s="159">
        <v>60</v>
      </c>
    </row>
    <row r="306" spans="8:26" x14ac:dyDescent="0.2">
      <c r="I306" s="51">
        <f t="shared" si="60"/>
        <v>1.6836549168519772</v>
      </c>
      <c r="J306" s="94">
        <v>35</v>
      </c>
      <c r="K306" s="95">
        <f t="shared" si="59"/>
        <v>6.3425925218188803</v>
      </c>
      <c r="L306" s="96">
        <f>VLOOKUP($L$297,$C$281:$E$284,2,FALSE)*J306+(VLOOKUP($L$297,$C$281:$E$284,3,FALSE)+$D$292)</f>
        <v>8.0262474386708575</v>
      </c>
      <c r="Y306" s="159">
        <v>300</v>
      </c>
      <c r="Z306" s="159">
        <v>70</v>
      </c>
    </row>
    <row r="307" spans="8:26" x14ac:dyDescent="0.2">
      <c r="I307" s="51">
        <f t="shared" si="60"/>
        <v>0.90956890231568988</v>
      </c>
      <c r="J307" s="94">
        <v>40</v>
      </c>
      <c r="K307" s="95">
        <f t="shared" si="59"/>
        <v>7.248677167793006</v>
      </c>
      <c r="L307" s="96">
        <f>VLOOKUP($L$297,$C$281:$E$284,2,FALSE)*J307+(VLOOKUP($L$297,$C$281:$E$284,3,FALSE)+$D$292)</f>
        <v>8.1582460701086958</v>
      </c>
      <c r="Y307" s="159">
        <v>250</v>
      </c>
      <c r="Z307" s="159">
        <v>80</v>
      </c>
    </row>
    <row r="308" spans="8:26" x14ac:dyDescent="0.2">
      <c r="I308" s="51">
        <f t="shared" si="60"/>
        <v>0.13548288777940165</v>
      </c>
      <c r="J308" s="94">
        <v>45</v>
      </c>
      <c r="K308" s="95">
        <f t="shared" si="59"/>
        <v>8.1547618137671325</v>
      </c>
      <c r="L308" s="96">
        <f>VLOOKUP($L$297,$C$281:$E$284,2,FALSE)*J308+(VLOOKUP($L$297,$C$281:$E$284,3,FALSE)+$D$292)</f>
        <v>8.2902447015465341</v>
      </c>
      <c r="Y308" s="159">
        <v>200</v>
      </c>
      <c r="Z308" s="159">
        <v>100</v>
      </c>
    </row>
    <row r="309" spans="8:26" x14ac:dyDescent="0.2">
      <c r="I309" s="51">
        <f t="shared" si="60"/>
        <v>0.63860312675688391</v>
      </c>
      <c r="J309" s="94">
        <v>50</v>
      </c>
      <c r="K309" s="95">
        <f t="shared" si="59"/>
        <v>9.0608464597412581</v>
      </c>
      <c r="L309" s="96">
        <f>VLOOKUP($L$297,$C$281:$E$284,2,FALSE)*J309+(VLOOKUP($L$297,$C$281:$E$284,3,FALSE)+$D$292)</f>
        <v>8.4222433329843742</v>
      </c>
      <c r="Y309" s="159">
        <v>150</v>
      </c>
      <c r="Z309" s="159">
        <v>125</v>
      </c>
    </row>
    <row r="310" spans="8:26" x14ac:dyDescent="0.2">
      <c r="I310" s="51">
        <f t="shared" si="60"/>
        <v>1.4126891412931712</v>
      </c>
      <c r="J310" s="94">
        <v>55</v>
      </c>
      <c r="K310" s="95">
        <f t="shared" si="59"/>
        <v>9.9669311057153838</v>
      </c>
      <c r="L310" s="96">
        <f>VLOOKUP($L$297,$C$281:$E$284,2,FALSE)*J310+(VLOOKUP($L$297,$C$281:$E$284,3,FALSE)+$D$292)</f>
        <v>8.5542419644222125</v>
      </c>
      <c r="Y310" s="159">
        <v>100</v>
      </c>
      <c r="Z310" s="159">
        <v>224</v>
      </c>
    </row>
    <row r="311" spans="8:26" x14ac:dyDescent="0.2">
      <c r="I311" s="51">
        <f t="shared" si="60"/>
        <v>2.1867751558294568</v>
      </c>
      <c r="J311" s="94">
        <v>60</v>
      </c>
      <c r="K311" s="95">
        <f t="shared" si="59"/>
        <v>10.873015751689509</v>
      </c>
      <c r="L311" s="96">
        <f>VLOOKUP($L$297,$C$281:$E$284,2,FALSE)*J311+(VLOOKUP($L$297,$C$281:$E$284,3,FALSE)+$D$292)</f>
        <v>8.6862405958600526</v>
      </c>
      <c r="Y311" s="159">
        <v>75</v>
      </c>
      <c r="Z311" s="159">
        <v>262</v>
      </c>
    </row>
    <row r="312" spans="8:26" x14ac:dyDescent="0.2">
      <c r="I312" s="51">
        <f t="shared" si="60"/>
        <v>2.9608611703657441</v>
      </c>
      <c r="J312" s="94">
        <v>65</v>
      </c>
      <c r="K312" s="95">
        <f t="shared" si="59"/>
        <v>11.779100397663635</v>
      </c>
      <c r="L312" s="96">
        <f>VLOOKUP($L$297,$C$281:$E$284,2,FALSE)*J312+(VLOOKUP($L$297,$C$281:$E$284,3,FALSE)+$D$292)</f>
        <v>8.8182392272978909</v>
      </c>
      <c r="Y312" s="159">
        <v>50</v>
      </c>
      <c r="Z312" s="159">
        <v>367</v>
      </c>
    </row>
    <row r="313" spans="8:26" x14ac:dyDescent="0.2">
      <c r="I313" s="51">
        <f t="shared" si="60"/>
        <v>3.7349471849020315</v>
      </c>
      <c r="J313" s="94">
        <v>70</v>
      </c>
      <c r="K313" s="95">
        <f t="shared" si="59"/>
        <v>12.685185043637761</v>
      </c>
      <c r="L313" s="96">
        <f>VLOOKUP($L$297,$C$281:$E$284,2,FALSE)*J313+(VLOOKUP($L$297,$C$281:$E$284,3,FALSE)+$D$292)</f>
        <v>8.9502378587357292</v>
      </c>
      <c r="Y313" s="159">
        <v>25</v>
      </c>
      <c r="Z313" s="159">
        <v>663</v>
      </c>
    </row>
    <row r="314" spans="8:26" x14ac:dyDescent="0.2">
      <c r="I314" s="51">
        <f t="shared" si="60"/>
        <v>4.509033199438317</v>
      </c>
      <c r="J314" s="94">
        <v>75</v>
      </c>
      <c r="K314" s="95">
        <f t="shared" si="59"/>
        <v>13.591269689611886</v>
      </c>
      <c r="L314" s="96">
        <f>VLOOKUP($L$297,$C$281:$E$284,2,FALSE)*J314+(VLOOKUP($L$297,$C$281:$E$284,3,FALSE)+$D$292)</f>
        <v>9.0822364901735693</v>
      </c>
      <c r="Y314" s="159">
        <v>1</v>
      </c>
      <c r="Z314" s="159">
        <v>7331</v>
      </c>
    </row>
    <row r="315" spans="8:26" x14ac:dyDescent="0.2">
      <c r="H315" s="159"/>
      <c r="I315" s="51">
        <f t="shared" si="60"/>
        <v>5.2831192139746044</v>
      </c>
      <c r="J315" s="94">
        <v>80</v>
      </c>
      <c r="K315" s="95">
        <f t="shared" si="59"/>
        <v>14.497354335586012</v>
      </c>
      <c r="L315" s="96">
        <f>VLOOKUP($L$297,$C$281:$E$284,2,FALSE)*J315+(VLOOKUP($L$297,$C$281:$E$284,3,FALSE)+$D$292)</f>
        <v>9.2142351216114076</v>
      </c>
      <c r="M315" s="159"/>
      <c r="N315" s="159"/>
      <c r="O315" s="159"/>
      <c r="P315" s="159"/>
      <c r="Q315" s="159"/>
      <c r="R315" s="159"/>
      <c r="S315" s="159"/>
      <c r="T315" s="159"/>
      <c r="U315" s="159"/>
      <c r="V315" s="159"/>
      <c r="W315" s="159"/>
      <c r="X315" s="159"/>
    </row>
    <row r="316" spans="8:26" x14ac:dyDescent="0.2">
      <c r="H316" s="159"/>
      <c r="I316" s="51">
        <f t="shared" si="60"/>
        <v>6.0572052285108899</v>
      </c>
      <c r="J316" s="94">
        <v>85</v>
      </c>
      <c r="K316" s="95">
        <f t="shared" si="59"/>
        <v>15.403438981560138</v>
      </c>
      <c r="L316" s="96">
        <f>VLOOKUP($L$297,$C$281:$E$284,2,FALSE)*J316+(VLOOKUP($L$297,$C$281:$E$284,3,FALSE)+$D$292)</f>
        <v>9.3462337530492476</v>
      </c>
      <c r="M316" s="159"/>
      <c r="N316" s="159"/>
      <c r="O316" s="159"/>
      <c r="P316" s="159"/>
      <c r="Q316" s="159"/>
      <c r="R316" s="159"/>
      <c r="S316" s="159"/>
      <c r="T316" s="159"/>
      <c r="U316" s="159"/>
      <c r="V316" s="159"/>
      <c r="W316" s="159"/>
      <c r="X316" s="159"/>
    </row>
    <row r="317" spans="8:26" x14ac:dyDescent="0.2">
      <c r="H317" s="159"/>
      <c r="I317" s="51">
        <f t="shared" si="60"/>
        <v>6.8312912430471791</v>
      </c>
      <c r="J317" s="94">
        <v>90</v>
      </c>
      <c r="K317" s="95">
        <f t="shared" si="59"/>
        <v>16.309523627534265</v>
      </c>
      <c r="L317" s="96">
        <f>VLOOKUP($L$297,$C$281:$E$284,2,FALSE)*J317+(VLOOKUP($L$297,$C$281:$E$284,3,FALSE)+$D$292)</f>
        <v>9.4782323844870859</v>
      </c>
      <c r="M317" s="159"/>
      <c r="N317" s="159"/>
      <c r="O317" s="159"/>
      <c r="P317" s="159"/>
      <c r="Q317" s="159"/>
      <c r="R317" s="159"/>
      <c r="S317" s="159"/>
      <c r="T317" s="159"/>
      <c r="U317" s="159"/>
      <c r="V317" s="159"/>
      <c r="W317" s="159"/>
      <c r="X317" s="159"/>
    </row>
    <row r="318" spans="8:26" x14ac:dyDescent="0.2">
      <c r="H318" s="159"/>
      <c r="I318" s="51">
        <f t="shared" si="60"/>
        <v>7.6053772575834664</v>
      </c>
      <c r="J318" s="94">
        <v>95</v>
      </c>
      <c r="K318" s="95">
        <f t="shared" si="59"/>
        <v>17.215608273508391</v>
      </c>
      <c r="L318" s="96">
        <f>VLOOKUP($L$297,$C$281:$E$284,2,FALSE)*J318+(VLOOKUP($L$297,$C$281:$E$284,3,FALSE)+$D$292)</f>
        <v>9.6102310159249242</v>
      </c>
      <c r="M318" s="159"/>
      <c r="N318" s="159"/>
      <c r="O318" s="159"/>
      <c r="P318" s="159"/>
      <c r="Q318" s="159"/>
      <c r="R318" s="159"/>
      <c r="S318" s="159"/>
      <c r="T318" s="159"/>
      <c r="U318" s="159"/>
      <c r="V318" s="159"/>
      <c r="W318" s="159"/>
      <c r="X318" s="159"/>
    </row>
    <row r="319" spans="8:26" x14ac:dyDescent="0.2">
      <c r="H319" s="159"/>
      <c r="I319" s="51">
        <f t="shared" si="60"/>
        <v>8.3794632721197537</v>
      </c>
      <c r="J319" s="94">
        <v>100</v>
      </c>
      <c r="K319" s="95">
        <f t="shared" si="59"/>
        <v>18.121692919482516</v>
      </c>
      <c r="L319" s="96">
        <f>VLOOKUP($L$297,$C$281:$E$284,2,FALSE)*J319+(VLOOKUP($L$297,$C$281:$E$284,3,FALSE)+$D$292)</f>
        <v>9.7422296473627625</v>
      </c>
      <c r="M319" s="159"/>
      <c r="N319" s="159"/>
      <c r="O319" s="159"/>
      <c r="P319" s="159"/>
      <c r="Q319" s="159"/>
      <c r="R319" s="159"/>
      <c r="S319" s="159"/>
      <c r="T319" s="159"/>
      <c r="U319" s="159"/>
      <c r="V319" s="159"/>
      <c r="W319" s="159"/>
      <c r="X319" s="159"/>
    </row>
    <row r="320" spans="8:26" x14ac:dyDescent="0.2">
      <c r="H320" s="159"/>
      <c r="I320" s="51">
        <f t="shared" si="60"/>
        <v>9.1535492866560393</v>
      </c>
      <c r="J320" s="94">
        <v>105</v>
      </c>
      <c r="K320" s="95">
        <f t="shared" si="59"/>
        <v>19.027777565456642</v>
      </c>
      <c r="L320" s="96">
        <f>VLOOKUP($L$297,$C$281:$E$284,2,FALSE)*J320+(VLOOKUP($L$297,$C$281:$E$284,3,FALSE)+$D$292)</f>
        <v>9.8742282788006026</v>
      </c>
      <c r="M320" s="159"/>
      <c r="N320" s="159"/>
      <c r="O320" s="159"/>
      <c r="P320" s="159"/>
      <c r="Q320" s="159"/>
      <c r="R320" s="159"/>
      <c r="S320" s="159"/>
      <c r="T320" s="159"/>
      <c r="U320" s="159"/>
      <c r="V320" s="159"/>
      <c r="W320" s="159"/>
      <c r="X320" s="159"/>
    </row>
    <row r="321" spans="6:24" x14ac:dyDescent="0.2">
      <c r="H321" s="159"/>
      <c r="I321" s="51">
        <f t="shared" si="60"/>
        <v>9.9276353011923266</v>
      </c>
      <c r="J321" s="94">
        <v>110</v>
      </c>
      <c r="K321" s="95">
        <f t="shared" si="59"/>
        <v>19.933862211430768</v>
      </c>
      <c r="L321" s="96">
        <f>VLOOKUP($L$297,$C$281:$E$284,2,FALSE)*J321+(VLOOKUP($L$297,$C$281:$E$284,3,FALSE)+$D$292)</f>
        <v>10.006226910238441</v>
      </c>
      <c r="M321" s="159"/>
      <c r="N321" s="159"/>
      <c r="O321" s="159"/>
      <c r="P321" s="159"/>
      <c r="Q321" s="159"/>
      <c r="R321" s="159"/>
      <c r="S321" s="159"/>
      <c r="T321" s="159"/>
      <c r="U321" s="159"/>
      <c r="V321" s="159"/>
      <c r="W321" s="159"/>
      <c r="X321" s="159"/>
    </row>
    <row r="322" spans="6:24" x14ac:dyDescent="0.2">
      <c r="H322" s="159"/>
      <c r="I322" s="51">
        <f t="shared" si="60"/>
        <v>10.701721315728612</v>
      </c>
      <c r="J322" s="94">
        <v>115</v>
      </c>
      <c r="K322" s="95">
        <f t="shared" si="59"/>
        <v>20.839946857404893</v>
      </c>
      <c r="L322" s="96">
        <f>VLOOKUP($L$297,$C$281:$E$284,2,FALSE)*J322+(VLOOKUP($L$297,$C$281:$E$284,3,FALSE)+$D$292)</f>
        <v>10.138225541676281</v>
      </c>
      <c r="M322" s="159"/>
      <c r="N322" s="159"/>
      <c r="O322" s="159"/>
      <c r="P322" s="159"/>
      <c r="Q322" s="159"/>
      <c r="R322" s="159"/>
      <c r="S322" s="159"/>
      <c r="T322" s="159"/>
      <c r="U322" s="159"/>
      <c r="V322" s="159"/>
      <c r="W322" s="159"/>
      <c r="X322" s="159"/>
    </row>
    <row r="323" spans="6:24" x14ac:dyDescent="0.2">
      <c r="H323" s="159"/>
      <c r="I323" s="51">
        <f t="shared" si="60"/>
        <v>11.4758073302649</v>
      </c>
      <c r="J323" s="94">
        <v>120</v>
      </c>
      <c r="K323" s="95">
        <f t="shared" si="59"/>
        <v>21.746031503379019</v>
      </c>
      <c r="L323" s="96">
        <f>VLOOKUP($L$297,$C$281:$E$284,2,FALSE)*J323+(VLOOKUP($L$297,$C$281:$E$284,3,FALSE)+$D$292)</f>
        <v>10.270224173114119</v>
      </c>
      <c r="M323" s="159"/>
      <c r="N323" s="159"/>
      <c r="O323" s="159"/>
      <c r="P323" s="159"/>
      <c r="Q323" s="159"/>
      <c r="R323" s="159"/>
      <c r="S323" s="159"/>
      <c r="T323" s="159"/>
      <c r="U323" s="159"/>
      <c r="V323" s="159"/>
      <c r="W323" s="159"/>
      <c r="X323" s="159"/>
    </row>
    <row r="324" spans="6:24" x14ac:dyDescent="0.2">
      <c r="H324" s="159"/>
      <c r="I324" s="51">
        <f t="shared" si="60"/>
        <v>12.249893344801187</v>
      </c>
      <c r="J324" s="94">
        <v>125</v>
      </c>
      <c r="K324" s="95">
        <f t="shared" si="59"/>
        <v>22.652116149353144</v>
      </c>
      <c r="L324" s="96">
        <f>VLOOKUP($L$297,$C$281:$E$284,2,FALSE)*J324+(VLOOKUP($L$297,$C$281:$E$284,3,FALSE)+$D$292)</f>
        <v>10.402222804551958</v>
      </c>
      <c r="M324" s="159"/>
      <c r="N324" s="159"/>
      <c r="O324" s="159"/>
      <c r="P324" s="159"/>
      <c r="Q324" s="159"/>
      <c r="R324" s="159"/>
      <c r="S324" s="159"/>
      <c r="T324" s="159"/>
      <c r="U324" s="159"/>
      <c r="V324" s="159"/>
      <c r="W324" s="159"/>
      <c r="X324" s="159"/>
    </row>
    <row r="325" spans="6:24" x14ac:dyDescent="0.2">
      <c r="H325" s="159"/>
      <c r="I325" s="51">
        <f t="shared" si="60"/>
        <v>13.023979359337472</v>
      </c>
      <c r="J325" s="94">
        <v>130</v>
      </c>
      <c r="K325" s="95">
        <f t="shared" si="59"/>
        <v>23.55820079532727</v>
      </c>
      <c r="L325" s="96">
        <f>VLOOKUP($L$297,$C$281:$E$284,2,FALSE)*J325+(VLOOKUP($L$297,$C$281:$E$284,3,FALSE)+$D$292)</f>
        <v>10.534221435989798</v>
      </c>
      <c r="M325" s="159"/>
      <c r="N325" s="159"/>
      <c r="O325" s="159"/>
      <c r="P325" s="159"/>
      <c r="Q325" s="159"/>
      <c r="R325" s="159"/>
      <c r="S325" s="159"/>
      <c r="T325" s="159"/>
      <c r="U325" s="159"/>
      <c r="V325" s="159"/>
      <c r="W325" s="159"/>
      <c r="X325" s="159"/>
    </row>
    <row r="326" spans="6:24" x14ac:dyDescent="0.2">
      <c r="H326" s="159"/>
      <c r="I326" s="51">
        <f t="shared" si="60"/>
        <v>13.79806537387376</v>
      </c>
      <c r="J326" s="94">
        <v>135</v>
      </c>
      <c r="K326" s="95">
        <f t="shared" si="59"/>
        <v>24.464285441301396</v>
      </c>
      <c r="L326" s="96">
        <f>VLOOKUP($L$297,$C$281:$E$284,2,FALSE)*J326+(VLOOKUP($L$297,$C$281:$E$284,3,FALSE)+$D$292)</f>
        <v>10.666220067427636</v>
      </c>
      <c r="M326" s="159"/>
      <c r="N326" s="159"/>
      <c r="O326" s="159"/>
      <c r="P326" s="159"/>
      <c r="Q326" s="159"/>
      <c r="R326" s="159"/>
      <c r="S326" s="159"/>
      <c r="T326" s="159"/>
      <c r="U326" s="159"/>
      <c r="V326" s="159"/>
      <c r="W326" s="159"/>
      <c r="X326" s="159"/>
    </row>
    <row r="327" spans="6:24" x14ac:dyDescent="0.2">
      <c r="H327" s="159"/>
      <c r="I327" s="51">
        <f t="shared" si="60"/>
        <v>14.572151388410045</v>
      </c>
      <c r="J327" s="94">
        <v>140</v>
      </c>
      <c r="K327" s="95">
        <f t="shared" si="59"/>
        <v>25.370370087275521</v>
      </c>
      <c r="L327" s="96">
        <f>VLOOKUP($L$297,$C$281:$E$284,2,FALSE)*J327+(VLOOKUP($L$297,$C$281:$E$284,3,FALSE)+$D$292)</f>
        <v>10.798218698865476</v>
      </c>
      <c r="M327" s="159"/>
      <c r="N327" s="159"/>
      <c r="O327" s="159"/>
      <c r="P327" s="159"/>
      <c r="Q327" s="159"/>
      <c r="R327" s="159"/>
      <c r="S327" s="159"/>
      <c r="T327" s="159"/>
      <c r="U327" s="159"/>
      <c r="V327" s="159"/>
      <c r="W327" s="159"/>
      <c r="X327" s="159"/>
    </row>
    <row r="328" spans="6:24" x14ac:dyDescent="0.2">
      <c r="H328" s="159"/>
      <c r="I328" s="51">
        <f t="shared" si="60"/>
        <v>15.346237402946333</v>
      </c>
      <c r="J328" s="94">
        <v>145</v>
      </c>
      <c r="K328" s="95">
        <f t="shared" ref="K328:K391" si="61">VLOOKUP($L$297,$C$138:$D$141,2,FALSE)*J328</f>
        <v>26.276454733249647</v>
      </c>
      <c r="L328" s="96">
        <f t="shared" ref="L328:L391" si="62">VLOOKUP($L$297,$C$281:$E$284,2,FALSE)*J328+(VLOOKUP($L$297,$C$281:$E$284,3,FALSE)+$D$292)</f>
        <v>10.930217330303314</v>
      </c>
      <c r="M328" s="159"/>
      <c r="N328" s="159"/>
      <c r="O328" s="159"/>
      <c r="P328" s="159"/>
      <c r="Q328" s="159"/>
      <c r="R328" s="159"/>
      <c r="S328" s="159"/>
      <c r="T328" s="159"/>
      <c r="U328" s="159"/>
      <c r="V328" s="159"/>
      <c r="W328" s="159"/>
      <c r="X328" s="159"/>
    </row>
    <row r="329" spans="6:24" x14ac:dyDescent="0.2">
      <c r="H329" s="159"/>
      <c r="I329" s="51">
        <f t="shared" si="60"/>
        <v>16.12032341748262</v>
      </c>
      <c r="J329" s="94">
        <v>150</v>
      </c>
      <c r="K329" s="95">
        <f t="shared" si="61"/>
        <v>27.182539379223773</v>
      </c>
      <c r="L329" s="96">
        <f t="shared" si="62"/>
        <v>11.062215961741153</v>
      </c>
      <c r="M329" s="159"/>
      <c r="N329" s="159"/>
      <c r="O329" s="159"/>
      <c r="P329" s="159"/>
      <c r="Q329" s="159"/>
      <c r="R329" s="159"/>
      <c r="S329" s="159"/>
      <c r="T329" s="159"/>
      <c r="U329" s="159"/>
      <c r="V329" s="159"/>
      <c r="W329" s="159"/>
      <c r="X329" s="159"/>
    </row>
    <row r="330" spans="6:24" x14ac:dyDescent="0.2">
      <c r="H330" s="159"/>
      <c r="I330" s="51">
        <f t="shared" si="60"/>
        <v>16.894409432018907</v>
      </c>
      <c r="J330" s="94">
        <v>155</v>
      </c>
      <c r="K330" s="95">
        <f t="shared" si="61"/>
        <v>28.088624025197898</v>
      </c>
      <c r="L330" s="96">
        <f t="shared" si="62"/>
        <v>11.194214593178991</v>
      </c>
      <c r="M330" s="159"/>
      <c r="N330" s="159"/>
      <c r="O330" s="159"/>
      <c r="P330" s="159"/>
      <c r="Q330" s="159"/>
      <c r="R330" s="159"/>
      <c r="S330" s="159"/>
      <c r="T330" s="159"/>
      <c r="U330" s="159"/>
      <c r="V330" s="159"/>
      <c r="W330" s="159"/>
      <c r="X330" s="159"/>
    </row>
    <row r="331" spans="6:24" x14ac:dyDescent="0.2">
      <c r="H331" s="159"/>
      <c r="I331" s="51">
        <f t="shared" si="60"/>
        <v>17.668495446555191</v>
      </c>
      <c r="J331" s="94">
        <v>160</v>
      </c>
      <c r="K331" s="95">
        <f t="shared" si="61"/>
        <v>28.994708671172024</v>
      </c>
      <c r="L331" s="96">
        <f t="shared" si="62"/>
        <v>11.326213224616831</v>
      </c>
      <c r="M331" s="159"/>
      <c r="N331" s="159"/>
      <c r="O331" s="159"/>
      <c r="P331" s="159"/>
      <c r="Q331" s="159"/>
      <c r="R331" s="159"/>
      <c r="S331" s="159"/>
      <c r="T331" s="159"/>
      <c r="U331" s="159"/>
      <c r="V331" s="159"/>
      <c r="W331" s="159"/>
      <c r="X331" s="159"/>
    </row>
    <row r="332" spans="6:24" x14ac:dyDescent="0.2">
      <c r="H332" s="159"/>
      <c r="I332" s="51">
        <f t="shared" si="60"/>
        <v>18.442581461091478</v>
      </c>
      <c r="J332" s="94">
        <v>165</v>
      </c>
      <c r="K332" s="95">
        <f t="shared" si="61"/>
        <v>29.90079331714615</v>
      </c>
      <c r="L332" s="96">
        <f t="shared" si="62"/>
        <v>11.458211856054671</v>
      </c>
      <c r="M332" s="159"/>
      <c r="N332" s="159"/>
      <c r="O332" s="159"/>
      <c r="P332" s="159"/>
      <c r="Q332" s="159"/>
      <c r="R332" s="159"/>
      <c r="S332" s="159"/>
      <c r="T332" s="159"/>
      <c r="U332" s="159"/>
      <c r="V332" s="159"/>
      <c r="W332" s="159"/>
      <c r="X332" s="159"/>
    </row>
    <row r="333" spans="6:24" x14ac:dyDescent="0.2">
      <c r="H333" s="159"/>
      <c r="I333" s="51">
        <f t="shared" si="60"/>
        <v>19.216667475627766</v>
      </c>
      <c r="J333" s="94">
        <v>170</v>
      </c>
      <c r="K333" s="95">
        <f t="shared" si="61"/>
        <v>30.806877963120275</v>
      </c>
      <c r="L333" s="96">
        <f t="shared" si="62"/>
        <v>11.590210487492509</v>
      </c>
      <c r="M333" s="159"/>
      <c r="N333" s="159"/>
      <c r="O333" s="159"/>
      <c r="P333" s="159"/>
      <c r="Q333" s="159"/>
      <c r="R333" s="159"/>
      <c r="S333" s="159"/>
      <c r="T333" s="159"/>
      <c r="U333" s="159"/>
      <c r="V333" s="159"/>
      <c r="W333" s="159"/>
      <c r="X333" s="159"/>
    </row>
    <row r="334" spans="6:24" x14ac:dyDescent="0.2">
      <c r="H334" s="159"/>
      <c r="I334" s="173">
        <f t="shared" si="60"/>
        <v>19.990753490164053</v>
      </c>
      <c r="J334" s="94">
        <v>175</v>
      </c>
      <c r="K334" s="95">
        <f t="shared" si="61"/>
        <v>31.712962609094401</v>
      </c>
      <c r="L334" s="96">
        <f t="shared" si="62"/>
        <v>11.722209118930348</v>
      </c>
      <c r="M334" s="159"/>
      <c r="N334" s="159"/>
      <c r="O334" s="159"/>
      <c r="P334" s="159"/>
      <c r="Q334" s="159"/>
      <c r="R334" s="159"/>
      <c r="S334" s="159"/>
      <c r="T334" s="159"/>
      <c r="U334" s="159"/>
      <c r="V334" s="159"/>
      <c r="W334" s="159"/>
      <c r="X334" s="159"/>
    </row>
    <row r="335" spans="6:24" x14ac:dyDescent="0.2">
      <c r="H335" s="159"/>
      <c r="I335" s="173">
        <f t="shared" si="60"/>
        <v>20.764839504700344</v>
      </c>
      <c r="J335" s="94">
        <v>180</v>
      </c>
      <c r="K335" s="95">
        <f t="shared" si="61"/>
        <v>32.61904725506853</v>
      </c>
      <c r="L335" s="96">
        <f t="shared" si="62"/>
        <v>11.854207750368186</v>
      </c>
      <c r="M335" s="159"/>
      <c r="N335" s="159"/>
      <c r="O335" s="159"/>
      <c r="P335" s="159"/>
      <c r="Q335" s="159"/>
      <c r="R335" s="159"/>
      <c r="S335" s="159"/>
      <c r="T335" s="159"/>
      <c r="U335" s="159"/>
      <c r="V335" s="159"/>
      <c r="W335" s="159"/>
      <c r="X335" s="159"/>
    </row>
    <row r="336" spans="6:24" ht="15" x14ac:dyDescent="0.2">
      <c r="F336" s="23" t="s">
        <v>444</v>
      </c>
      <c r="H336" s="167">
        <f>MIN($I$299:$I$1156)</f>
        <v>0.13548288777940165</v>
      </c>
      <c r="I336" s="173">
        <f t="shared" si="60"/>
        <v>21.538925519236628</v>
      </c>
      <c r="J336" s="94">
        <v>185</v>
      </c>
      <c r="K336" s="95">
        <f t="shared" si="61"/>
        <v>33.525131901042656</v>
      </c>
      <c r="L336" s="96">
        <f t="shared" si="62"/>
        <v>11.986206381806026</v>
      </c>
      <c r="M336" s="159"/>
      <c r="N336" s="159"/>
      <c r="O336" s="159"/>
      <c r="P336" s="159"/>
      <c r="Q336" s="159"/>
      <c r="R336" s="159"/>
      <c r="S336" s="159"/>
      <c r="T336" s="159"/>
      <c r="U336" s="159"/>
      <c r="V336" s="159"/>
      <c r="W336" s="159"/>
      <c r="X336" s="159"/>
    </row>
    <row r="337" spans="4:24" x14ac:dyDescent="0.2">
      <c r="H337" s="159"/>
      <c r="I337" s="173">
        <f t="shared" si="60"/>
        <v>22.313011533772915</v>
      </c>
      <c r="J337" s="94">
        <v>190</v>
      </c>
      <c r="K337" s="95">
        <f t="shared" si="61"/>
        <v>34.431216547016781</v>
      </c>
      <c r="L337" s="96">
        <f t="shared" si="62"/>
        <v>12.118205013243866</v>
      </c>
      <c r="M337" s="159"/>
      <c r="N337" s="159"/>
      <c r="O337" s="159"/>
      <c r="P337" s="159"/>
      <c r="Q337" s="159"/>
      <c r="R337" s="159"/>
      <c r="S337" s="159"/>
      <c r="T337" s="159"/>
      <c r="U337" s="159"/>
      <c r="V337" s="159"/>
      <c r="W337" s="159"/>
      <c r="X337" s="159"/>
    </row>
    <row r="338" spans="4:24" ht="15" x14ac:dyDescent="0.2">
      <c r="E338" s="214" t="s">
        <v>445</v>
      </c>
      <c r="F338" s="214"/>
      <c r="G338" s="214"/>
      <c r="H338" s="168">
        <f>VLOOKUP($H$336,$I$299:$J$1156,2,FALSE)</f>
        <v>45</v>
      </c>
      <c r="I338" s="173">
        <f t="shared" si="60"/>
        <v>22.467828736680175</v>
      </c>
      <c r="J338" s="94">
        <v>191</v>
      </c>
      <c r="K338" s="95">
        <f t="shared" ref="K338:K401" si="63">VLOOKUP($L$297,$C$138:$D$141,2,FALSE)*J338</f>
        <v>34.612433476211606</v>
      </c>
      <c r="L338" s="96">
        <f t="shared" ref="L338:L401" si="64">VLOOKUP($L$297,$C$281:$E$284,2,FALSE)*J338+(VLOOKUP($L$297,$C$281:$E$284,3,FALSE)+$D$292)</f>
        <v>12.144604739531433</v>
      </c>
      <c r="M338" s="159"/>
      <c r="N338" s="159"/>
      <c r="O338" s="159"/>
      <c r="P338" s="159"/>
      <c r="Q338" s="159"/>
      <c r="R338" s="159"/>
      <c r="S338" s="159"/>
      <c r="T338" s="159"/>
      <c r="U338" s="159"/>
      <c r="V338" s="159"/>
      <c r="W338" s="159"/>
      <c r="X338" s="159"/>
    </row>
    <row r="339" spans="4:24" x14ac:dyDescent="0.2">
      <c r="D339" s="159"/>
      <c r="E339" s="159"/>
      <c r="F339" s="159"/>
      <c r="G339" s="159"/>
      <c r="H339" s="159"/>
      <c r="I339" s="173">
        <f t="shared" si="60"/>
        <v>22.622645939587429</v>
      </c>
      <c r="J339" s="94">
        <v>192</v>
      </c>
      <c r="K339" s="95">
        <f t="shared" si="63"/>
        <v>34.793650405406432</v>
      </c>
      <c r="L339" s="96">
        <f t="shared" si="64"/>
        <v>12.171004465819001</v>
      </c>
      <c r="M339" s="159"/>
      <c r="N339" s="159"/>
      <c r="O339" s="159"/>
      <c r="P339" s="159"/>
      <c r="Q339" s="159"/>
      <c r="R339" s="159"/>
      <c r="S339" s="159"/>
      <c r="T339" s="159"/>
      <c r="U339" s="159"/>
      <c r="V339" s="159"/>
      <c r="W339" s="159"/>
      <c r="X339" s="159"/>
    </row>
    <row r="340" spans="4:24" x14ac:dyDescent="0.2">
      <c r="I340" s="173">
        <f t="shared" si="60"/>
        <v>22.777463142494689</v>
      </c>
      <c r="J340" s="94">
        <v>193</v>
      </c>
      <c r="K340" s="95">
        <f t="shared" si="63"/>
        <v>34.974867334601257</v>
      </c>
      <c r="L340" s="96">
        <f t="shared" si="64"/>
        <v>12.197404192106568</v>
      </c>
    </row>
    <row r="341" spans="4:24" x14ac:dyDescent="0.2">
      <c r="I341" s="173">
        <f t="shared" si="60"/>
        <v>22.932280345401946</v>
      </c>
      <c r="J341" s="94">
        <v>194</v>
      </c>
      <c r="K341" s="95">
        <f t="shared" si="63"/>
        <v>35.156084263796082</v>
      </c>
      <c r="L341" s="96">
        <f t="shared" si="64"/>
        <v>12.223803918394136</v>
      </c>
    </row>
    <row r="342" spans="4:24" x14ac:dyDescent="0.2">
      <c r="I342" s="173">
        <f t="shared" si="60"/>
        <v>23.087097548309202</v>
      </c>
      <c r="J342" s="94">
        <v>195</v>
      </c>
      <c r="K342" s="95">
        <f t="shared" si="63"/>
        <v>35.337301192990907</v>
      </c>
      <c r="L342" s="96">
        <f t="shared" si="64"/>
        <v>12.250203644681704</v>
      </c>
    </row>
    <row r="343" spans="4:24" x14ac:dyDescent="0.2">
      <c r="I343" s="173">
        <f t="shared" si="60"/>
        <v>23.241914751216459</v>
      </c>
      <c r="J343" s="94">
        <v>196</v>
      </c>
      <c r="K343" s="95">
        <f t="shared" si="63"/>
        <v>35.518518122185732</v>
      </c>
      <c r="L343" s="96">
        <f t="shared" si="64"/>
        <v>12.276603370969273</v>
      </c>
    </row>
    <row r="344" spans="4:24" x14ac:dyDescent="0.2">
      <c r="I344" s="173">
        <f t="shared" si="60"/>
        <v>23.396731954123716</v>
      </c>
      <c r="J344" s="94">
        <v>197</v>
      </c>
      <c r="K344" s="95">
        <f t="shared" si="63"/>
        <v>35.699735051380557</v>
      </c>
      <c r="L344" s="96">
        <f t="shared" si="64"/>
        <v>12.303003097256839</v>
      </c>
    </row>
    <row r="345" spans="4:24" x14ac:dyDescent="0.2">
      <c r="I345" s="173">
        <f t="shared" si="60"/>
        <v>23.551549157030976</v>
      </c>
      <c r="J345" s="94">
        <v>198</v>
      </c>
      <c r="K345" s="95">
        <f t="shared" si="63"/>
        <v>35.880951980575382</v>
      </c>
      <c r="L345" s="96">
        <f t="shared" si="64"/>
        <v>12.329402823544408</v>
      </c>
    </row>
    <row r="346" spans="4:24" x14ac:dyDescent="0.2">
      <c r="I346" s="173">
        <f t="shared" si="60"/>
        <v>23.706366359938233</v>
      </c>
      <c r="J346" s="94">
        <v>199</v>
      </c>
      <c r="K346" s="95">
        <f t="shared" si="63"/>
        <v>36.062168909770207</v>
      </c>
      <c r="L346" s="96">
        <f t="shared" si="64"/>
        <v>12.355802549831974</v>
      </c>
    </row>
    <row r="347" spans="4:24" x14ac:dyDescent="0.2">
      <c r="I347" s="173">
        <f t="shared" si="60"/>
        <v>23.86118356284549</v>
      </c>
      <c r="J347" s="94">
        <v>200</v>
      </c>
      <c r="K347" s="95">
        <f t="shared" si="63"/>
        <v>36.243385838965033</v>
      </c>
      <c r="L347" s="96">
        <f t="shared" si="64"/>
        <v>12.382202276119543</v>
      </c>
    </row>
    <row r="348" spans="4:24" x14ac:dyDescent="0.2">
      <c r="I348" s="173">
        <f t="shared" si="60"/>
        <v>24.016000765752747</v>
      </c>
      <c r="J348" s="94">
        <v>201</v>
      </c>
      <c r="K348" s="95">
        <f t="shared" si="63"/>
        <v>36.424602768159858</v>
      </c>
      <c r="L348" s="96">
        <f t="shared" si="64"/>
        <v>12.408602002407111</v>
      </c>
    </row>
    <row r="349" spans="4:24" x14ac:dyDescent="0.2">
      <c r="I349" s="173">
        <f t="shared" si="60"/>
        <v>24.170817968660003</v>
      </c>
      <c r="J349" s="94">
        <v>202</v>
      </c>
      <c r="K349" s="95">
        <f t="shared" si="63"/>
        <v>36.605819697354683</v>
      </c>
      <c r="L349" s="96">
        <f t="shared" si="64"/>
        <v>12.435001728694679</v>
      </c>
    </row>
    <row r="350" spans="4:24" x14ac:dyDescent="0.2">
      <c r="I350" s="173">
        <f t="shared" si="60"/>
        <v>24.325635171567264</v>
      </c>
      <c r="J350" s="94">
        <v>203</v>
      </c>
      <c r="K350" s="95">
        <f t="shared" si="63"/>
        <v>36.787036626549508</v>
      </c>
      <c r="L350" s="96">
        <f t="shared" si="64"/>
        <v>12.461401454982246</v>
      </c>
    </row>
    <row r="351" spans="4:24" x14ac:dyDescent="0.2">
      <c r="I351" s="173">
        <f t="shared" si="60"/>
        <v>24.480452374474517</v>
      </c>
      <c r="J351" s="94">
        <v>204</v>
      </c>
      <c r="K351" s="95">
        <f t="shared" si="63"/>
        <v>36.968253555744333</v>
      </c>
      <c r="L351" s="96">
        <f t="shared" si="64"/>
        <v>12.487801181269814</v>
      </c>
    </row>
    <row r="352" spans="4:24" x14ac:dyDescent="0.2">
      <c r="I352" s="173">
        <f t="shared" si="60"/>
        <v>24.635269577381777</v>
      </c>
      <c r="J352" s="94">
        <v>205</v>
      </c>
      <c r="K352" s="95">
        <f t="shared" si="63"/>
        <v>37.149470484939158</v>
      </c>
      <c r="L352" s="96">
        <f t="shared" si="64"/>
        <v>12.514200907557381</v>
      </c>
    </row>
    <row r="353" spans="9:12" x14ac:dyDescent="0.2">
      <c r="I353" s="173">
        <f t="shared" si="60"/>
        <v>24.790086780289034</v>
      </c>
      <c r="J353" s="94">
        <v>206</v>
      </c>
      <c r="K353" s="95">
        <f t="shared" si="63"/>
        <v>37.330687414133983</v>
      </c>
      <c r="L353" s="96">
        <f t="shared" si="64"/>
        <v>12.540600633844949</v>
      </c>
    </row>
    <row r="354" spans="9:12" x14ac:dyDescent="0.2">
      <c r="I354" s="173">
        <f t="shared" si="60"/>
        <v>24.944903983196291</v>
      </c>
      <c r="J354" s="94">
        <v>207</v>
      </c>
      <c r="K354" s="95">
        <f t="shared" si="63"/>
        <v>37.511904343328808</v>
      </c>
      <c r="L354" s="96">
        <f t="shared" si="64"/>
        <v>12.567000360132518</v>
      </c>
    </row>
    <row r="355" spans="9:12" x14ac:dyDescent="0.2">
      <c r="I355" s="173">
        <f t="shared" si="60"/>
        <v>25.099721186103547</v>
      </c>
      <c r="J355" s="94">
        <v>208</v>
      </c>
      <c r="K355" s="95">
        <f t="shared" si="63"/>
        <v>37.693121272523634</v>
      </c>
      <c r="L355" s="96">
        <f t="shared" si="64"/>
        <v>12.593400086420086</v>
      </c>
    </row>
    <row r="356" spans="9:12" x14ac:dyDescent="0.2">
      <c r="I356" s="173">
        <f t="shared" si="60"/>
        <v>25.254538389010804</v>
      </c>
      <c r="J356" s="94">
        <v>209</v>
      </c>
      <c r="K356" s="95">
        <f t="shared" si="63"/>
        <v>37.874338201718459</v>
      </c>
      <c r="L356" s="96">
        <f t="shared" si="64"/>
        <v>12.619799812707653</v>
      </c>
    </row>
    <row r="357" spans="9:12" x14ac:dyDescent="0.2">
      <c r="I357" s="173">
        <f t="shared" si="60"/>
        <v>25.409355591918064</v>
      </c>
      <c r="J357" s="94">
        <v>210</v>
      </c>
      <c r="K357" s="95">
        <f t="shared" si="63"/>
        <v>38.055555130913284</v>
      </c>
      <c r="L357" s="96">
        <f t="shared" si="64"/>
        <v>12.646199538995221</v>
      </c>
    </row>
    <row r="358" spans="9:12" x14ac:dyDescent="0.2">
      <c r="I358" s="173">
        <f t="shared" si="60"/>
        <v>25.564172794825321</v>
      </c>
      <c r="J358" s="94">
        <v>211</v>
      </c>
      <c r="K358" s="95">
        <f t="shared" si="63"/>
        <v>38.236772060108109</v>
      </c>
      <c r="L358" s="96">
        <f t="shared" si="64"/>
        <v>12.672599265282788</v>
      </c>
    </row>
    <row r="359" spans="9:12" x14ac:dyDescent="0.2">
      <c r="I359" s="173">
        <f t="shared" si="60"/>
        <v>25.718989997732578</v>
      </c>
      <c r="J359" s="94">
        <v>212</v>
      </c>
      <c r="K359" s="95">
        <f t="shared" si="63"/>
        <v>38.417988989302934</v>
      </c>
      <c r="L359" s="96">
        <f t="shared" si="64"/>
        <v>12.698998991570356</v>
      </c>
    </row>
    <row r="360" spans="9:12" x14ac:dyDescent="0.2">
      <c r="I360" s="173">
        <f t="shared" si="60"/>
        <v>25.873807200639835</v>
      </c>
      <c r="J360" s="94">
        <v>213</v>
      </c>
      <c r="K360" s="95">
        <f t="shared" si="63"/>
        <v>38.599205918497759</v>
      </c>
      <c r="L360" s="96">
        <f t="shared" si="64"/>
        <v>12.725398717857924</v>
      </c>
    </row>
    <row r="361" spans="9:12" x14ac:dyDescent="0.2">
      <c r="I361" s="173">
        <f t="shared" si="60"/>
        <v>26.028624403547092</v>
      </c>
      <c r="J361" s="94">
        <v>214</v>
      </c>
      <c r="K361" s="95">
        <f t="shared" si="63"/>
        <v>38.780422847692584</v>
      </c>
      <c r="L361" s="96">
        <f t="shared" si="64"/>
        <v>12.751798444145493</v>
      </c>
    </row>
    <row r="362" spans="9:12" x14ac:dyDescent="0.2">
      <c r="I362" s="173">
        <f t="shared" si="60"/>
        <v>26.183441606454348</v>
      </c>
      <c r="J362" s="94">
        <v>215</v>
      </c>
      <c r="K362" s="95">
        <f t="shared" si="63"/>
        <v>38.961639776887409</v>
      </c>
      <c r="L362" s="96">
        <f t="shared" si="64"/>
        <v>12.778198170433061</v>
      </c>
    </row>
    <row r="363" spans="9:12" x14ac:dyDescent="0.2">
      <c r="I363" s="173">
        <f t="shared" si="60"/>
        <v>26.338258809361605</v>
      </c>
      <c r="J363" s="94">
        <v>216</v>
      </c>
      <c r="K363" s="95">
        <f t="shared" si="63"/>
        <v>39.142856706082235</v>
      </c>
      <c r="L363" s="96">
        <f t="shared" si="64"/>
        <v>12.804597896720628</v>
      </c>
    </row>
    <row r="364" spans="9:12" x14ac:dyDescent="0.2">
      <c r="I364" s="173">
        <f t="shared" ref="I364:I427" si="65">ABS(K364-L364)</f>
        <v>26.493076012268865</v>
      </c>
      <c r="J364" s="94">
        <v>217</v>
      </c>
      <c r="K364" s="95">
        <f t="shared" si="63"/>
        <v>39.32407363527706</v>
      </c>
      <c r="L364" s="96">
        <f t="shared" si="64"/>
        <v>12.830997623008194</v>
      </c>
    </row>
    <row r="365" spans="9:12" x14ac:dyDescent="0.2">
      <c r="I365" s="173">
        <f t="shared" si="65"/>
        <v>26.647893215176122</v>
      </c>
      <c r="J365" s="94">
        <v>218</v>
      </c>
      <c r="K365" s="95">
        <f t="shared" si="63"/>
        <v>39.505290564471885</v>
      </c>
      <c r="L365" s="96">
        <f t="shared" si="64"/>
        <v>12.857397349295763</v>
      </c>
    </row>
    <row r="366" spans="9:12" x14ac:dyDescent="0.2">
      <c r="I366" s="173">
        <f t="shared" si="65"/>
        <v>26.802710418083379</v>
      </c>
      <c r="J366" s="94">
        <v>219</v>
      </c>
      <c r="K366" s="95">
        <f t="shared" si="63"/>
        <v>39.68650749366671</v>
      </c>
      <c r="L366" s="96">
        <f t="shared" si="64"/>
        <v>12.883797075583331</v>
      </c>
    </row>
    <row r="367" spans="9:12" x14ac:dyDescent="0.2">
      <c r="I367" s="173">
        <f t="shared" si="65"/>
        <v>26.957527620990636</v>
      </c>
      <c r="J367" s="94">
        <v>220</v>
      </c>
      <c r="K367" s="95">
        <f t="shared" si="63"/>
        <v>39.867724422861535</v>
      </c>
      <c r="L367" s="96">
        <f t="shared" si="64"/>
        <v>12.910196801870899</v>
      </c>
    </row>
    <row r="368" spans="9:12" x14ac:dyDescent="0.2">
      <c r="I368" s="173">
        <f t="shared" si="65"/>
        <v>27.112344823897892</v>
      </c>
      <c r="J368" s="94">
        <v>221</v>
      </c>
      <c r="K368" s="95">
        <f t="shared" si="63"/>
        <v>40.04894135205636</v>
      </c>
      <c r="L368" s="96">
        <f t="shared" si="64"/>
        <v>12.936596528158468</v>
      </c>
    </row>
    <row r="369" spans="9:12" x14ac:dyDescent="0.2">
      <c r="I369" s="173">
        <f t="shared" si="65"/>
        <v>27.267162026805153</v>
      </c>
      <c r="J369" s="94">
        <v>222</v>
      </c>
      <c r="K369" s="95">
        <f t="shared" si="63"/>
        <v>40.230158281251185</v>
      </c>
      <c r="L369" s="96">
        <f t="shared" si="64"/>
        <v>12.962996254446034</v>
      </c>
    </row>
    <row r="370" spans="9:12" x14ac:dyDescent="0.2">
      <c r="I370" s="173">
        <f t="shared" si="65"/>
        <v>27.421979229712409</v>
      </c>
      <c r="J370" s="94">
        <v>223</v>
      </c>
      <c r="K370" s="95">
        <f t="shared" si="63"/>
        <v>40.41137521044601</v>
      </c>
      <c r="L370" s="96">
        <f t="shared" si="64"/>
        <v>12.989395980733601</v>
      </c>
    </row>
    <row r="371" spans="9:12" x14ac:dyDescent="0.2">
      <c r="I371" s="173">
        <f t="shared" si="65"/>
        <v>27.576796432619666</v>
      </c>
      <c r="J371" s="94">
        <v>224</v>
      </c>
      <c r="K371" s="95">
        <f t="shared" si="63"/>
        <v>40.592592139640836</v>
      </c>
      <c r="L371" s="96">
        <f t="shared" si="64"/>
        <v>13.015795707021169</v>
      </c>
    </row>
    <row r="372" spans="9:12" x14ac:dyDescent="0.2">
      <c r="I372" s="173">
        <f t="shared" si="65"/>
        <v>27.731613635526923</v>
      </c>
      <c r="J372" s="94">
        <v>225</v>
      </c>
      <c r="K372" s="95">
        <f t="shared" si="63"/>
        <v>40.773809068835661</v>
      </c>
      <c r="L372" s="96">
        <f t="shared" si="64"/>
        <v>13.042195433308738</v>
      </c>
    </row>
    <row r="373" spans="9:12" x14ac:dyDescent="0.2">
      <c r="I373" s="173">
        <f t="shared" si="65"/>
        <v>27.88643083843418</v>
      </c>
      <c r="J373" s="94">
        <v>226</v>
      </c>
      <c r="K373" s="95">
        <f t="shared" si="63"/>
        <v>40.955025998030486</v>
      </c>
      <c r="L373" s="96">
        <f t="shared" si="64"/>
        <v>13.068595159596306</v>
      </c>
    </row>
    <row r="374" spans="9:12" x14ac:dyDescent="0.2">
      <c r="I374" s="173">
        <f t="shared" si="65"/>
        <v>28.041248041341436</v>
      </c>
      <c r="J374" s="94">
        <v>227</v>
      </c>
      <c r="K374" s="95">
        <f t="shared" si="63"/>
        <v>41.136242927225311</v>
      </c>
      <c r="L374" s="96">
        <f t="shared" si="64"/>
        <v>13.094994885883875</v>
      </c>
    </row>
    <row r="375" spans="9:12" x14ac:dyDescent="0.2">
      <c r="I375" s="173">
        <f t="shared" si="65"/>
        <v>28.196065244248693</v>
      </c>
      <c r="J375" s="94">
        <v>228</v>
      </c>
      <c r="K375" s="95">
        <f t="shared" si="63"/>
        <v>41.317459856420136</v>
      </c>
      <c r="L375" s="96">
        <f t="shared" si="64"/>
        <v>13.121394612171441</v>
      </c>
    </row>
    <row r="376" spans="9:12" x14ac:dyDescent="0.2">
      <c r="I376" s="173">
        <f t="shared" si="65"/>
        <v>28.350882447155954</v>
      </c>
      <c r="J376" s="94">
        <v>229</v>
      </c>
      <c r="K376" s="95">
        <f t="shared" si="63"/>
        <v>41.498676785614961</v>
      </c>
      <c r="L376" s="96">
        <f t="shared" si="64"/>
        <v>13.147794338459009</v>
      </c>
    </row>
    <row r="377" spans="9:12" x14ac:dyDescent="0.2">
      <c r="I377" s="173">
        <f t="shared" si="65"/>
        <v>28.50569965006321</v>
      </c>
      <c r="J377" s="94">
        <v>230</v>
      </c>
      <c r="K377" s="95">
        <f t="shared" si="63"/>
        <v>41.679893714809786</v>
      </c>
      <c r="L377" s="96">
        <f t="shared" si="64"/>
        <v>13.174194064746576</v>
      </c>
    </row>
    <row r="378" spans="9:12" x14ac:dyDescent="0.2">
      <c r="I378" s="173">
        <f t="shared" si="65"/>
        <v>28.660516852970467</v>
      </c>
      <c r="J378" s="94">
        <v>231</v>
      </c>
      <c r="K378" s="95">
        <f t="shared" si="63"/>
        <v>41.861110644004611</v>
      </c>
      <c r="L378" s="96">
        <f t="shared" si="64"/>
        <v>13.200593791034144</v>
      </c>
    </row>
    <row r="379" spans="9:12" x14ac:dyDescent="0.2">
      <c r="I379" s="173">
        <f t="shared" si="65"/>
        <v>28.815334055877724</v>
      </c>
      <c r="J379" s="94">
        <v>232</v>
      </c>
      <c r="K379" s="95">
        <f t="shared" si="63"/>
        <v>42.042327573199437</v>
      </c>
      <c r="L379" s="96">
        <f t="shared" si="64"/>
        <v>13.226993517321713</v>
      </c>
    </row>
    <row r="380" spans="9:12" x14ac:dyDescent="0.2">
      <c r="I380" s="173">
        <f t="shared" si="65"/>
        <v>28.970151258784981</v>
      </c>
      <c r="J380" s="94">
        <v>233</v>
      </c>
      <c r="K380" s="95">
        <f t="shared" si="63"/>
        <v>42.223544502394262</v>
      </c>
      <c r="L380" s="96">
        <f t="shared" si="64"/>
        <v>13.253393243609281</v>
      </c>
    </row>
    <row r="381" spans="9:12" x14ac:dyDescent="0.2">
      <c r="I381" s="173">
        <f t="shared" si="65"/>
        <v>29.124968461692241</v>
      </c>
      <c r="J381" s="94">
        <v>234</v>
      </c>
      <c r="K381" s="95">
        <f t="shared" si="63"/>
        <v>42.404761431589087</v>
      </c>
      <c r="L381" s="96">
        <f t="shared" si="64"/>
        <v>13.279792969896848</v>
      </c>
    </row>
    <row r="382" spans="9:12" x14ac:dyDescent="0.2">
      <c r="I382" s="173">
        <f t="shared" si="65"/>
        <v>29.279785664599494</v>
      </c>
      <c r="J382" s="94">
        <v>235</v>
      </c>
      <c r="K382" s="95">
        <f t="shared" si="63"/>
        <v>42.585978360783912</v>
      </c>
      <c r="L382" s="96">
        <f t="shared" si="64"/>
        <v>13.306192696184416</v>
      </c>
    </row>
    <row r="383" spans="9:12" x14ac:dyDescent="0.2">
      <c r="I383" s="173">
        <f t="shared" si="65"/>
        <v>29.434602867506754</v>
      </c>
      <c r="J383" s="94">
        <v>236</v>
      </c>
      <c r="K383" s="95">
        <f t="shared" si="63"/>
        <v>42.767195289978737</v>
      </c>
      <c r="L383" s="96">
        <f t="shared" si="64"/>
        <v>13.332592422471983</v>
      </c>
    </row>
    <row r="384" spans="9:12" x14ac:dyDescent="0.2">
      <c r="I384" s="173">
        <f t="shared" si="65"/>
        <v>29.589420070414011</v>
      </c>
      <c r="J384" s="94">
        <v>237</v>
      </c>
      <c r="K384" s="95">
        <f t="shared" si="63"/>
        <v>42.948412219173562</v>
      </c>
      <c r="L384" s="96">
        <f t="shared" si="64"/>
        <v>13.358992148759551</v>
      </c>
    </row>
    <row r="385" spans="9:12" x14ac:dyDescent="0.2">
      <c r="I385" s="173">
        <f t="shared" si="65"/>
        <v>29.744237273321268</v>
      </c>
      <c r="J385" s="94">
        <v>238</v>
      </c>
      <c r="K385" s="95">
        <f t="shared" si="63"/>
        <v>43.129629148368387</v>
      </c>
      <c r="L385" s="96">
        <f t="shared" si="64"/>
        <v>13.385391875047119</v>
      </c>
    </row>
    <row r="386" spans="9:12" x14ac:dyDescent="0.2">
      <c r="I386" s="173">
        <f t="shared" si="65"/>
        <v>29.899054476228525</v>
      </c>
      <c r="J386" s="94">
        <v>239</v>
      </c>
      <c r="K386" s="95">
        <f t="shared" si="63"/>
        <v>43.310846077563212</v>
      </c>
      <c r="L386" s="96">
        <f t="shared" si="64"/>
        <v>13.411791601334688</v>
      </c>
    </row>
    <row r="387" spans="9:12" x14ac:dyDescent="0.2">
      <c r="I387" s="173">
        <f t="shared" si="65"/>
        <v>30.053871679135781</v>
      </c>
      <c r="J387" s="94">
        <v>240</v>
      </c>
      <c r="K387" s="95">
        <f t="shared" si="63"/>
        <v>43.492063006758038</v>
      </c>
      <c r="L387" s="96">
        <f t="shared" si="64"/>
        <v>13.438191327622254</v>
      </c>
    </row>
    <row r="388" spans="9:12" x14ac:dyDescent="0.2">
      <c r="I388" s="173">
        <f t="shared" si="65"/>
        <v>30.208688882043042</v>
      </c>
      <c r="J388" s="94">
        <v>241</v>
      </c>
      <c r="K388" s="95">
        <f t="shared" si="63"/>
        <v>43.673279935952863</v>
      </c>
      <c r="L388" s="96">
        <f t="shared" si="64"/>
        <v>13.464591053909823</v>
      </c>
    </row>
    <row r="389" spans="9:12" x14ac:dyDescent="0.2">
      <c r="I389" s="173">
        <f t="shared" si="65"/>
        <v>30.363506084950298</v>
      </c>
      <c r="J389" s="94">
        <v>242</v>
      </c>
      <c r="K389" s="95">
        <f t="shared" si="63"/>
        <v>43.854496865147688</v>
      </c>
      <c r="L389" s="96">
        <f t="shared" si="64"/>
        <v>13.490990780197389</v>
      </c>
    </row>
    <row r="390" spans="9:12" x14ac:dyDescent="0.2">
      <c r="I390" s="173">
        <f t="shared" si="65"/>
        <v>30.518323287857555</v>
      </c>
      <c r="J390" s="94">
        <v>243</v>
      </c>
      <c r="K390" s="95">
        <f t="shared" si="63"/>
        <v>44.035713794342513</v>
      </c>
      <c r="L390" s="96">
        <f t="shared" si="64"/>
        <v>13.517390506484958</v>
      </c>
    </row>
    <row r="391" spans="9:12" x14ac:dyDescent="0.2">
      <c r="I391" s="173">
        <f t="shared" si="65"/>
        <v>30.673140490764812</v>
      </c>
      <c r="J391" s="94">
        <v>244</v>
      </c>
      <c r="K391" s="95">
        <f t="shared" si="63"/>
        <v>44.216930723537338</v>
      </c>
      <c r="L391" s="96">
        <f t="shared" si="64"/>
        <v>13.543790232772526</v>
      </c>
    </row>
    <row r="392" spans="9:12" x14ac:dyDescent="0.2">
      <c r="I392" s="173">
        <f t="shared" si="65"/>
        <v>30.827957693672069</v>
      </c>
      <c r="J392" s="94">
        <v>245</v>
      </c>
      <c r="K392" s="95">
        <f t="shared" si="63"/>
        <v>44.398147652732163</v>
      </c>
      <c r="L392" s="96">
        <f t="shared" si="64"/>
        <v>13.570189959060095</v>
      </c>
    </row>
    <row r="393" spans="9:12" x14ac:dyDescent="0.2">
      <c r="I393" s="173">
        <f t="shared" si="65"/>
        <v>30.982774896579329</v>
      </c>
      <c r="J393" s="94">
        <v>246</v>
      </c>
      <c r="K393" s="95">
        <f t="shared" si="63"/>
        <v>44.579364581926988</v>
      </c>
      <c r="L393" s="96">
        <f t="shared" si="64"/>
        <v>13.596589685347661</v>
      </c>
    </row>
    <row r="394" spans="9:12" x14ac:dyDescent="0.2">
      <c r="I394" s="173">
        <f t="shared" si="65"/>
        <v>31.137592099486582</v>
      </c>
      <c r="J394" s="94">
        <v>247</v>
      </c>
      <c r="K394" s="95">
        <f t="shared" si="63"/>
        <v>44.760581511121813</v>
      </c>
      <c r="L394" s="96">
        <f t="shared" si="64"/>
        <v>13.622989411635229</v>
      </c>
    </row>
    <row r="395" spans="9:12" x14ac:dyDescent="0.2">
      <c r="I395" s="173">
        <f t="shared" si="65"/>
        <v>31.292409302393843</v>
      </c>
      <c r="J395" s="94">
        <v>248</v>
      </c>
      <c r="K395" s="95">
        <f t="shared" si="63"/>
        <v>44.941798440316639</v>
      </c>
      <c r="L395" s="96">
        <f t="shared" si="64"/>
        <v>13.649389137922796</v>
      </c>
    </row>
    <row r="396" spans="9:12" x14ac:dyDescent="0.2">
      <c r="I396" s="173">
        <f t="shared" si="65"/>
        <v>31.447226505301099</v>
      </c>
      <c r="J396" s="94">
        <v>249</v>
      </c>
      <c r="K396" s="95">
        <f t="shared" si="63"/>
        <v>45.123015369511464</v>
      </c>
      <c r="L396" s="96">
        <f t="shared" si="64"/>
        <v>13.675788864210364</v>
      </c>
    </row>
    <row r="397" spans="9:12" x14ac:dyDescent="0.2">
      <c r="I397" s="173">
        <f t="shared" si="65"/>
        <v>31.602043708208356</v>
      </c>
      <c r="J397" s="94">
        <v>250</v>
      </c>
      <c r="K397" s="95">
        <f t="shared" si="63"/>
        <v>45.304232298706289</v>
      </c>
      <c r="L397" s="96">
        <f t="shared" si="64"/>
        <v>13.702188590497933</v>
      </c>
    </row>
    <row r="398" spans="9:12" x14ac:dyDescent="0.2">
      <c r="I398" s="173">
        <f t="shared" si="65"/>
        <v>31.756860911115613</v>
      </c>
      <c r="J398" s="94">
        <v>251</v>
      </c>
      <c r="K398" s="95">
        <f t="shared" si="63"/>
        <v>45.485449227901114</v>
      </c>
      <c r="L398" s="96">
        <f t="shared" si="64"/>
        <v>13.728588316785501</v>
      </c>
    </row>
    <row r="399" spans="9:12" x14ac:dyDescent="0.2">
      <c r="I399" s="173">
        <f t="shared" si="65"/>
        <v>31.91167811402287</v>
      </c>
      <c r="J399" s="94">
        <v>252</v>
      </c>
      <c r="K399" s="95">
        <f t="shared" si="63"/>
        <v>45.666666157095939</v>
      </c>
      <c r="L399" s="96">
        <f t="shared" si="64"/>
        <v>13.75498804307307</v>
      </c>
    </row>
    <row r="400" spans="9:12" x14ac:dyDescent="0.2">
      <c r="I400" s="173">
        <f t="shared" si="65"/>
        <v>32.06649531693013</v>
      </c>
      <c r="J400" s="94">
        <v>253</v>
      </c>
      <c r="K400" s="95">
        <f t="shared" si="63"/>
        <v>45.847883086290764</v>
      </c>
      <c r="L400" s="96">
        <f t="shared" si="64"/>
        <v>13.781387769360636</v>
      </c>
    </row>
    <row r="401" spans="9:12" x14ac:dyDescent="0.2">
      <c r="I401" s="173">
        <f t="shared" si="65"/>
        <v>32.221312519837383</v>
      </c>
      <c r="J401" s="94">
        <v>254</v>
      </c>
      <c r="K401" s="95">
        <f t="shared" si="63"/>
        <v>46.029100015485589</v>
      </c>
      <c r="L401" s="96">
        <f t="shared" si="64"/>
        <v>13.807787495648203</v>
      </c>
    </row>
    <row r="402" spans="9:12" x14ac:dyDescent="0.2">
      <c r="I402" s="173">
        <f t="shared" si="65"/>
        <v>32.376129722744643</v>
      </c>
      <c r="J402" s="94">
        <v>255</v>
      </c>
      <c r="K402" s="95">
        <f t="shared" ref="K402:K465" si="66">VLOOKUP($L$297,$C$138:$D$141,2,FALSE)*J402</f>
        <v>46.210316944680415</v>
      </c>
      <c r="L402" s="96">
        <f t="shared" ref="L402:L465" si="67">VLOOKUP($L$297,$C$281:$E$284,2,FALSE)*J402+(VLOOKUP($L$297,$C$281:$E$284,3,FALSE)+$D$292)</f>
        <v>13.834187221935771</v>
      </c>
    </row>
    <row r="403" spans="9:12" x14ac:dyDescent="0.2">
      <c r="I403" s="173">
        <f t="shared" si="65"/>
        <v>32.530946925651904</v>
      </c>
      <c r="J403" s="94">
        <v>256</v>
      </c>
      <c r="K403" s="95">
        <f t="shared" si="66"/>
        <v>46.39153387387524</v>
      </c>
      <c r="L403" s="96">
        <f t="shared" si="67"/>
        <v>13.860586948223339</v>
      </c>
    </row>
    <row r="404" spans="9:12" x14ac:dyDescent="0.2">
      <c r="I404" s="173">
        <f t="shared" si="65"/>
        <v>32.685764128559157</v>
      </c>
      <c r="J404" s="94">
        <v>257</v>
      </c>
      <c r="K404" s="95">
        <f t="shared" si="66"/>
        <v>46.572750803070065</v>
      </c>
      <c r="L404" s="96">
        <f t="shared" si="67"/>
        <v>13.886986674510908</v>
      </c>
    </row>
    <row r="405" spans="9:12" x14ac:dyDescent="0.2">
      <c r="I405" s="173">
        <f t="shared" si="65"/>
        <v>32.84058133146641</v>
      </c>
      <c r="J405" s="94">
        <v>258</v>
      </c>
      <c r="K405" s="95">
        <f t="shared" si="66"/>
        <v>46.75396773226489</v>
      </c>
      <c r="L405" s="96">
        <f t="shared" si="67"/>
        <v>13.913386400798476</v>
      </c>
    </row>
    <row r="406" spans="9:12" x14ac:dyDescent="0.2">
      <c r="I406" s="173">
        <f t="shared" si="65"/>
        <v>32.99539853437367</v>
      </c>
      <c r="J406" s="94">
        <v>259</v>
      </c>
      <c r="K406" s="95">
        <f t="shared" si="66"/>
        <v>46.935184661459715</v>
      </c>
      <c r="L406" s="96">
        <f t="shared" si="67"/>
        <v>13.939786127086043</v>
      </c>
    </row>
    <row r="407" spans="9:12" x14ac:dyDescent="0.2">
      <c r="I407" s="173">
        <f t="shared" si="65"/>
        <v>33.150215737280931</v>
      </c>
      <c r="J407" s="94">
        <v>260</v>
      </c>
      <c r="K407" s="95">
        <f t="shared" si="66"/>
        <v>47.11640159065454</v>
      </c>
      <c r="L407" s="96">
        <f t="shared" si="67"/>
        <v>13.966185853373609</v>
      </c>
    </row>
    <row r="408" spans="9:12" x14ac:dyDescent="0.2">
      <c r="I408" s="173">
        <f t="shared" si="65"/>
        <v>33.305032940188184</v>
      </c>
      <c r="J408" s="94">
        <v>261</v>
      </c>
      <c r="K408" s="95">
        <f t="shared" si="66"/>
        <v>47.297618519849365</v>
      </c>
      <c r="L408" s="96">
        <f t="shared" si="67"/>
        <v>13.992585579661178</v>
      </c>
    </row>
    <row r="409" spans="9:12" x14ac:dyDescent="0.2">
      <c r="I409" s="173">
        <f t="shared" si="65"/>
        <v>33.459850143095444</v>
      </c>
      <c r="J409" s="94">
        <v>262</v>
      </c>
      <c r="K409" s="95">
        <f t="shared" si="66"/>
        <v>47.47883544904419</v>
      </c>
      <c r="L409" s="96">
        <f t="shared" si="67"/>
        <v>14.018985305948746</v>
      </c>
    </row>
    <row r="410" spans="9:12" x14ac:dyDescent="0.2">
      <c r="I410" s="173">
        <f t="shared" si="65"/>
        <v>33.614667346002705</v>
      </c>
      <c r="J410" s="94">
        <v>263</v>
      </c>
      <c r="K410" s="95">
        <f t="shared" si="66"/>
        <v>47.660052378239016</v>
      </c>
      <c r="L410" s="96">
        <f t="shared" si="67"/>
        <v>14.045385032236315</v>
      </c>
    </row>
    <row r="411" spans="9:12" x14ac:dyDescent="0.2">
      <c r="I411" s="173">
        <f t="shared" si="65"/>
        <v>33.769484548909958</v>
      </c>
      <c r="J411" s="94">
        <v>264</v>
      </c>
      <c r="K411" s="95">
        <f t="shared" si="66"/>
        <v>47.841269307433841</v>
      </c>
      <c r="L411" s="96">
        <f t="shared" si="67"/>
        <v>14.071784758523883</v>
      </c>
    </row>
    <row r="412" spans="9:12" x14ac:dyDescent="0.2">
      <c r="I412" s="173">
        <f t="shared" si="65"/>
        <v>33.924301751817218</v>
      </c>
      <c r="J412" s="94">
        <v>265</v>
      </c>
      <c r="K412" s="95">
        <f t="shared" si="66"/>
        <v>48.022486236628666</v>
      </c>
      <c r="L412" s="96">
        <f t="shared" si="67"/>
        <v>14.098184484811449</v>
      </c>
    </row>
    <row r="413" spans="9:12" x14ac:dyDescent="0.2">
      <c r="I413" s="173">
        <f t="shared" si="65"/>
        <v>34.079118954724471</v>
      </c>
      <c r="J413" s="94">
        <v>266</v>
      </c>
      <c r="K413" s="95">
        <f t="shared" si="66"/>
        <v>48.203703165823491</v>
      </c>
      <c r="L413" s="96">
        <f t="shared" si="67"/>
        <v>14.124584211099018</v>
      </c>
    </row>
    <row r="414" spans="9:12" x14ac:dyDescent="0.2">
      <c r="I414" s="173">
        <f t="shared" si="65"/>
        <v>34.233936157631732</v>
      </c>
      <c r="J414" s="94">
        <v>267</v>
      </c>
      <c r="K414" s="95">
        <f t="shared" si="66"/>
        <v>48.384920095018316</v>
      </c>
      <c r="L414" s="96">
        <f t="shared" si="67"/>
        <v>14.150983937386584</v>
      </c>
    </row>
    <row r="415" spans="9:12" x14ac:dyDescent="0.2">
      <c r="I415" s="173">
        <f t="shared" si="65"/>
        <v>34.388753360538985</v>
      </c>
      <c r="J415" s="94">
        <v>268</v>
      </c>
      <c r="K415" s="95">
        <f t="shared" si="66"/>
        <v>48.566137024213141</v>
      </c>
      <c r="L415" s="96">
        <f t="shared" si="67"/>
        <v>14.177383663674153</v>
      </c>
    </row>
    <row r="416" spans="9:12" x14ac:dyDescent="0.2">
      <c r="I416" s="173">
        <f t="shared" si="65"/>
        <v>34.543570563446245</v>
      </c>
      <c r="J416" s="94">
        <v>269</v>
      </c>
      <c r="K416" s="95">
        <f t="shared" si="66"/>
        <v>48.747353953407966</v>
      </c>
      <c r="L416" s="96">
        <f t="shared" si="67"/>
        <v>14.203783389961721</v>
      </c>
    </row>
    <row r="417" spans="9:12" x14ac:dyDescent="0.2">
      <c r="I417" s="173">
        <f t="shared" si="65"/>
        <v>34.698387766353505</v>
      </c>
      <c r="J417" s="94">
        <v>270</v>
      </c>
      <c r="K417" s="95">
        <f t="shared" si="66"/>
        <v>48.928570882602791</v>
      </c>
      <c r="L417" s="96">
        <f t="shared" si="67"/>
        <v>14.23018311624929</v>
      </c>
    </row>
    <row r="418" spans="9:12" x14ac:dyDescent="0.2">
      <c r="I418" s="173">
        <f t="shared" si="65"/>
        <v>34.853204969260759</v>
      </c>
      <c r="J418" s="94">
        <v>271</v>
      </c>
      <c r="K418" s="95">
        <f t="shared" si="66"/>
        <v>49.109787811797617</v>
      </c>
      <c r="L418" s="96">
        <f t="shared" si="67"/>
        <v>14.256582842536856</v>
      </c>
    </row>
    <row r="419" spans="9:12" x14ac:dyDescent="0.2">
      <c r="I419" s="173">
        <f t="shared" si="65"/>
        <v>35.008022172168019</v>
      </c>
      <c r="J419" s="94">
        <v>272</v>
      </c>
      <c r="K419" s="95">
        <f t="shared" si="66"/>
        <v>49.291004740992442</v>
      </c>
      <c r="L419" s="96">
        <f t="shared" si="67"/>
        <v>14.282982568824425</v>
      </c>
    </row>
    <row r="420" spans="9:12" x14ac:dyDescent="0.2">
      <c r="I420" s="173">
        <f t="shared" si="65"/>
        <v>35.162839375075279</v>
      </c>
      <c r="J420" s="94">
        <v>273</v>
      </c>
      <c r="K420" s="95">
        <f t="shared" si="66"/>
        <v>49.472221670187267</v>
      </c>
      <c r="L420" s="96">
        <f t="shared" si="67"/>
        <v>14.309382295111991</v>
      </c>
    </row>
    <row r="421" spans="9:12" x14ac:dyDescent="0.2">
      <c r="I421" s="173">
        <f t="shared" si="65"/>
        <v>35.317656577982532</v>
      </c>
      <c r="J421" s="94">
        <v>274</v>
      </c>
      <c r="K421" s="95">
        <f t="shared" si="66"/>
        <v>49.653438599382092</v>
      </c>
      <c r="L421" s="96">
        <f t="shared" si="67"/>
        <v>14.335782021399559</v>
      </c>
    </row>
    <row r="422" spans="9:12" x14ac:dyDescent="0.2">
      <c r="I422" s="173">
        <f t="shared" si="65"/>
        <v>35.472473780889786</v>
      </c>
      <c r="J422" s="94">
        <v>275</v>
      </c>
      <c r="K422" s="95">
        <f t="shared" si="66"/>
        <v>49.834655528576917</v>
      </c>
      <c r="L422" s="96">
        <f t="shared" si="67"/>
        <v>14.362181747687128</v>
      </c>
    </row>
    <row r="423" spans="9:12" x14ac:dyDescent="0.2">
      <c r="I423" s="173">
        <f t="shared" si="65"/>
        <v>35.627290983797046</v>
      </c>
      <c r="J423" s="94">
        <v>276</v>
      </c>
      <c r="K423" s="95">
        <f t="shared" si="66"/>
        <v>50.015872457771742</v>
      </c>
      <c r="L423" s="96">
        <f t="shared" si="67"/>
        <v>14.388581473974696</v>
      </c>
    </row>
    <row r="424" spans="9:12" x14ac:dyDescent="0.2">
      <c r="I424" s="173">
        <f t="shared" si="65"/>
        <v>35.782108186704306</v>
      </c>
      <c r="J424" s="94">
        <v>277</v>
      </c>
      <c r="K424" s="95">
        <f t="shared" si="66"/>
        <v>50.197089386966567</v>
      </c>
      <c r="L424" s="96">
        <f t="shared" si="67"/>
        <v>14.414981200262263</v>
      </c>
    </row>
    <row r="425" spans="9:12" x14ac:dyDescent="0.2">
      <c r="I425" s="173">
        <f t="shared" si="65"/>
        <v>35.936925389611559</v>
      </c>
      <c r="J425" s="94">
        <v>278</v>
      </c>
      <c r="K425" s="95">
        <f t="shared" si="66"/>
        <v>50.378306316161392</v>
      </c>
      <c r="L425" s="96">
        <f t="shared" si="67"/>
        <v>14.441380926549831</v>
      </c>
    </row>
    <row r="426" spans="9:12" x14ac:dyDescent="0.2">
      <c r="I426" s="173">
        <f t="shared" si="65"/>
        <v>36.09174259251882</v>
      </c>
      <c r="J426" s="94">
        <v>279</v>
      </c>
      <c r="K426" s="95">
        <f t="shared" si="66"/>
        <v>50.559523245356218</v>
      </c>
      <c r="L426" s="96">
        <f t="shared" si="67"/>
        <v>14.467780652837398</v>
      </c>
    </row>
    <row r="427" spans="9:12" x14ac:dyDescent="0.2">
      <c r="I427" s="173">
        <f t="shared" si="65"/>
        <v>36.24655979542608</v>
      </c>
      <c r="J427" s="94">
        <v>280</v>
      </c>
      <c r="K427" s="95">
        <f t="shared" si="66"/>
        <v>50.740740174551043</v>
      </c>
      <c r="L427" s="96">
        <f t="shared" si="67"/>
        <v>14.494180379124966</v>
      </c>
    </row>
    <row r="428" spans="9:12" x14ac:dyDescent="0.2">
      <c r="I428" s="173">
        <f t="shared" ref="I428:I491" si="68">ABS(K428-L428)</f>
        <v>36.401376998333333</v>
      </c>
      <c r="J428" s="94">
        <v>281</v>
      </c>
      <c r="K428" s="95">
        <f t="shared" si="66"/>
        <v>50.921957103745868</v>
      </c>
      <c r="L428" s="96">
        <f t="shared" si="67"/>
        <v>14.520580105412535</v>
      </c>
    </row>
    <row r="429" spans="9:12" x14ac:dyDescent="0.2">
      <c r="I429" s="173">
        <f t="shared" si="68"/>
        <v>36.556194201240586</v>
      </c>
      <c r="J429" s="94">
        <v>282</v>
      </c>
      <c r="K429" s="95">
        <f t="shared" si="66"/>
        <v>51.103174032940693</v>
      </c>
      <c r="L429" s="96">
        <f t="shared" si="67"/>
        <v>14.546979831700103</v>
      </c>
    </row>
    <row r="430" spans="9:12" x14ac:dyDescent="0.2">
      <c r="I430" s="173">
        <f t="shared" si="68"/>
        <v>36.711011404147847</v>
      </c>
      <c r="J430" s="94">
        <v>283</v>
      </c>
      <c r="K430" s="95">
        <f t="shared" si="66"/>
        <v>51.284390962135518</v>
      </c>
      <c r="L430" s="96">
        <f t="shared" si="67"/>
        <v>14.573379557987669</v>
      </c>
    </row>
    <row r="431" spans="9:12" x14ac:dyDescent="0.2">
      <c r="I431" s="173">
        <f t="shared" si="68"/>
        <v>36.865828607055107</v>
      </c>
      <c r="J431" s="94">
        <v>284</v>
      </c>
      <c r="K431" s="95">
        <f t="shared" si="66"/>
        <v>51.465607891330343</v>
      </c>
      <c r="L431" s="96">
        <f t="shared" si="67"/>
        <v>14.599779284275238</v>
      </c>
    </row>
    <row r="432" spans="9:12" x14ac:dyDescent="0.2">
      <c r="I432" s="173">
        <f t="shared" si="68"/>
        <v>37.02064580996236</v>
      </c>
      <c r="J432" s="94">
        <v>285</v>
      </c>
      <c r="K432" s="95">
        <f t="shared" si="66"/>
        <v>51.646824820525168</v>
      </c>
      <c r="L432" s="96">
        <f t="shared" si="67"/>
        <v>14.626179010562804</v>
      </c>
    </row>
    <row r="433" spans="9:12" x14ac:dyDescent="0.2">
      <c r="I433" s="173">
        <f t="shared" si="68"/>
        <v>37.175463012869621</v>
      </c>
      <c r="J433" s="94">
        <v>286</v>
      </c>
      <c r="K433" s="95">
        <f t="shared" si="66"/>
        <v>51.828041749719993</v>
      </c>
      <c r="L433" s="96">
        <f t="shared" si="67"/>
        <v>14.652578736850373</v>
      </c>
    </row>
    <row r="434" spans="9:12" x14ac:dyDescent="0.2">
      <c r="I434" s="173">
        <f t="shared" si="68"/>
        <v>37.330280215776881</v>
      </c>
      <c r="J434" s="94">
        <v>287</v>
      </c>
      <c r="K434" s="95">
        <f t="shared" si="66"/>
        <v>52.009258678914819</v>
      </c>
      <c r="L434" s="96">
        <f t="shared" si="67"/>
        <v>14.678978463137941</v>
      </c>
    </row>
    <row r="435" spans="9:12" x14ac:dyDescent="0.2">
      <c r="I435" s="173">
        <f t="shared" si="68"/>
        <v>37.485097418684134</v>
      </c>
      <c r="J435" s="94">
        <v>288</v>
      </c>
      <c r="K435" s="95">
        <f t="shared" si="66"/>
        <v>52.190475608109644</v>
      </c>
      <c r="L435" s="96">
        <f t="shared" si="67"/>
        <v>14.70537818942551</v>
      </c>
    </row>
    <row r="436" spans="9:12" x14ac:dyDescent="0.2">
      <c r="I436" s="173">
        <f t="shared" si="68"/>
        <v>37.639914621591387</v>
      </c>
      <c r="J436" s="94">
        <v>289</v>
      </c>
      <c r="K436" s="95">
        <f t="shared" si="66"/>
        <v>52.371692537304469</v>
      </c>
      <c r="L436" s="96">
        <f t="shared" si="67"/>
        <v>14.731777915713078</v>
      </c>
    </row>
    <row r="437" spans="9:12" x14ac:dyDescent="0.2">
      <c r="I437" s="173">
        <f t="shared" si="68"/>
        <v>37.794731824498648</v>
      </c>
      <c r="J437" s="94">
        <v>290</v>
      </c>
      <c r="K437" s="95">
        <f t="shared" si="66"/>
        <v>52.552909466499294</v>
      </c>
      <c r="L437" s="96">
        <f t="shared" si="67"/>
        <v>14.758177642000645</v>
      </c>
    </row>
    <row r="438" spans="9:12" x14ac:dyDescent="0.2">
      <c r="I438" s="173">
        <f t="shared" si="68"/>
        <v>37.949549027405908</v>
      </c>
      <c r="J438" s="94">
        <v>291</v>
      </c>
      <c r="K438" s="95">
        <f t="shared" si="66"/>
        <v>52.734126395694119</v>
      </c>
      <c r="L438" s="96">
        <f t="shared" si="67"/>
        <v>14.784577368288211</v>
      </c>
    </row>
    <row r="439" spans="9:12" x14ac:dyDescent="0.2">
      <c r="I439" s="173">
        <f t="shared" si="68"/>
        <v>38.104366230313161</v>
      </c>
      <c r="J439" s="94">
        <v>292</v>
      </c>
      <c r="K439" s="95">
        <f t="shared" si="66"/>
        <v>52.915343324888944</v>
      </c>
      <c r="L439" s="96">
        <f t="shared" si="67"/>
        <v>14.810977094575779</v>
      </c>
    </row>
    <row r="440" spans="9:12" x14ac:dyDescent="0.2">
      <c r="I440" s="173">
        <f t="shared" si="68"/>
        <v>38.259183433220421</v>
      </c>
      <c r="J440" s="94">
        <v>293</v>
      </c>
      <c r="K440" s="95">
        <f t="shared" si="66"/>
        <v>53.096560254083769</v>
      </c>
      <c r="L440" s="96">
        <f t="shared" si="67"/>
        <v>14.837376820863348</v>
      </c>
    </row>
    <row r="441" spans="9:12" x14ac:dyDescent="0.2">
      <c r="I441" s="173">
        <f t="shared" si="68"/>
        <v>38.414000636127682</v>
      </c>
      <c r="J441" s="94">
        <v>294</v>
      </c>
      <c r="K441" s="95">
        <f t="shared" si="66"/>
        <v>53.277777183278594</v>
      </c>
      <c r="L441" s="96">
        <f t="shared" si="67"/>
        <v>14.863776547150916</v>
      </c>
    </row>
    <row r="442" spans="9:12" x14ac:dyDescent="0.2">
      <c r="I442" s="173">
        <f t="shared" si="68"/>
        <v>38.568817839034935</v>
      </c>
      <c r="J442" s="94">
        <v>295</v>
      </c>
      <c r="K442" s="95">
        <f t="shared" si="66"/>
        <v>53.45899411247342</v>
      </c>
      <c r="L442" s="96">
        <f t="shared" si="67"/>
        <v>14.890176273438485</v>
      </c>
    </row>
    <row r="443" spans="9:12" x14ac:dyDescent="0.2">
      <c r="I443" s="173">
        <f t="shared" si="68"/>
        <v>38.723635041942195</v>
      </c>
      <c r="J443" s="94">
        <v>296</v>
      </c>
      <c r="K443" s="95">
        <f t="shared" si="66"/>
        <v>53.640211041668245</v>
      </c>
      <c r="L443" s="96">
        <f t="shared" si="67"/>
        <v>14.916575999726051</v>
      </c>
    </row>
    <row r="444" spans="9:12" x14ac:dyDescent="0.2">
      <c r="I444" s="173">
        <f t="shared" si="68"/>
        <v>38.878452244849456</v>
      </c>
      <c r="J444" s="94">
        <v>297</v>
      </c>
      <c r="K444" s="95">
        <f t="shared" si="66"/>
        <v>53.82142797086307</v>
      </c>
      <c r="L444" s="96">
        <f t="shared" si="67"/>
        <v>14.942975726013618</v>
      </c>
    </row>
    <row r="445" spans="9:12" x14ac:dyDescent="0.2">
      <c r="I445" s="173">
        <f t="shared" si="68"/>
        <v>39.033269447756709</v>
      </c>
      <c r="J445" s="94">
        <v>298</v>
      </c>
      <c r="K445" s="95">
        <f t="shared" si="66"/>
        <v>54.002644900057895</v>
      </c>
      <c r="L445" s="96">
        <f t="shared" si="67"/>
        <v>14.969375452301186</v>
      </c>
    </row>
    <row r="446" spans="9:12" x14ac:dyDescent="0.2">
      <c r="I446" s="173">
        <f t="shared" si="68"/>
        <v>39.188086650663962</v>
      </c>
      <c r="J446" s="94">
        <v>299</v>
      </c>
      <c r="K446" s="95">
        <f t="shared" si="66"/>
        <v>54.18386182925272</v>
      </c>
      <c r="L446" s="96">
        <f t="shared" si="67"/>
        <v>14.995775178588755</v>
      </c>
    </row>
    <row r="447" spans="9:12" x14ac:dyDescent="0.2">
      <c r="I447" s="173">
        <f t="shared" si="68"/>
        <v>39.342903853571222</v>
      </c>
      <c r="J447" s="94">
        <v>300</v>
      </c>
      <c r="K447" s="95">
        <f t="shared" si="66"/>
        <v>54.365078758447545</v>
      </c>
      <c r="L447" s="96">
        <f t="shared" si="67"/>
        <v>15.022174904876323</v>
      </c>
    </row>
    <row r="448" spans="9:12" x14ac:dyDescent="0.2">
      <c r="I448" s="173">
        <f t="shared" si="68"/>
        <v>39.497721056478483</v>
      </c>
      <c r="J448" s="94">
        <v>301</v>
      </c>
      <c r="K448" s="95">
        <f t="shared" si="66"/>
        <v>54.54629568764237</v>
      </c>
      <c r="L448" s="96">
        <f t="shared" si="67"/>
        <v>15.048574631163891</v>
      </c>
    </row>
    <row r="449" spans="9:12" x14ac:dyDescent="0.2">
      <c r="I449" s="173">
        <f t="shared" si="68"/>
        <v>39.652538259385736</v>
      </c>
      <c r="J449" s="94">
        <v>302</v>
      </c>
      <c r="K449" s="95">
        <f t="shared" si="66"/>
        <v>54.727512616837195</v>
      </c>
      <c r="L449" s="96">
        <f t="shared" si="67"/>
        <v>15.074974357451458</v>
      </c>
    </row>
    <row r="450" spans="9:12" x14ac:dyDescent="0.2">
      <c r="I450" s="173">
        <f t="shared" si="68"/>
        <v>39.807355462292996</v>
      </c>
      <c r="J450" s="94">
        <v>303</v>
      </c>
      <c r="K450" s="95">
        <f t="shared" si="66"/>
        <v>54.908729546032021</v>
      </c>
      <c r="L450" s="96">
        <f t="shared" si="67"/>
        <v>15.101374083739026</v>
      </c>
    </row>
    <row r="451" spans="9:12" x14ac:dyDescent="0.2">
      <c r="I451" s="173">
        <f t="shared" si="68"/>
        <v>39.962172665200256</v>
      </c>
      <c r="J451" s="94">
        <v>304</v>
      </c>
      <c r="K451" s="95">
        <f t="shared" si="66"/>
        <v>55.089946475226846</v>
      </c>
      <c r="L451" s="96">
        <f t="shared" si="67"/>
        <v>15.127773810026593</v>
      </c>
    </row>
    <row r="452" spans="9:12" x14ac:dyDescent="0.2">
      <c r="I452" s="173">
        <f t="shared" si="68"/>
        <v>40.11698986810751</v>
      </c>
      <c r="J452" s="94">
        <v>305</v>
      </c>
      <c r="K452" s="95">
        <f t="shared" si="66"/>
        <v>55.271163404421671</v>
      </c>
      <c r="L452" s="96">
        <f t="shared" si="67"/>
        <v>15.154173536314161</v>
      </c>
    </row>
    <row r="453" spans="9:12" x14ac:dyDescent="0.2">
      <c r="I453" s="173">
        <f t="shared" si="68"/>
        <v>40.271807071014763</v>
      </c>
      <c r="J453" s="94">
        <v>306</v>
      </c>
      <c r="K453" s="95">
        <f t="shared" si="66"/>
        <v>55.452380333616496</v>
      </c>
      <c r="L453" s="96">
        <f t="shared" si="67"/>
        <v>15.18057326260173</v>
      </c>
    </row>
    <row r="454" spans="9:12" x14ac:dyDescent="0.2">
      <c r="I454" s="173">
        <f t="shared" si="68"/>
        <v>40.426624273922023</v>
      </c>
      <c r="J454" s="94">
        <v>307</v>
      </c>
      <c r="K454" s="95">
        <f t="shared" si="66"/>
        <v>55.633597262811321</v>
      </c>
      <c r="L454" s="96">
        <f t="shared" si="67"/>
        <v>15.206972988889296</v>
      </c>
    </row>
    <row r="455" spans="9:12" x14ac:dyDescent="0.2">
      <c r="I455" s="173">
        <f t="shared" si="68"/>
        <v>40.581441476829283</v>
      </c>
      <c r="J455" s="94">
        <v>308</v>
      </c>
      <c r="K455" s="95">
        <f t="shared" si="66"/>
        <v>55.814814192006146</v>
      </c>
      <c r="L455" s="96">
        <f t="shared" si="67"/>
        <v>15.233372715176865</v>
      </c>
    </row>
    <row r="456" spans="9:12" x14ac:dyDescent="0.2">
      <c r="I456" s="173">
        <f t="shared" si="68"/>
        <v>40.736258679736537</v>
      </c>
      <c r="J456" s="94">
        <v>309</v>
      </c>
      <c r="K456" s="95">
        <f t="shared" si="66"/>
        <v>55.996031121200971</v>
      </c>
      <c r="L456" s="96">
        <f t="shared" si="67"/>
        <v>15.259772441464433</v>
      </c>
    </row>
    <row r="457" spans="9:12" x14ac:dyDescent="0.2">
      <c r="I457" s="173">
        <f t="shared" si="68"/>
        <v>40.891075882643797</v>
      </c>
      <c r="J457" s="94">
        <v>310</v>
      </c>
      <c r="K457" s="95">
        <f t="shared" si="66"/>
        <v>56.177248050395796</v>
      </c>
      <c r="L457" s="96">
        <f t="shared" si="67"/>
        <v>15.286172167751999</v>
      </c>
    </row>
    <row r="458" spans="9:12" x14ac:dyDescent="0.2">
      <c r="I458" s="173">
        <f t="shared" si="68"/>
        <v>41.045893085551057</v>
      </c>
      <c r="J458" s="94">
        <v>311</v>
      </c>
      <c r="K458" s="95">
        <f t="shared" si="66"/>
        <v>56.358464979590622</v>
      </c>
      <c r="L458" s="96">
        <f t="shared" si="67"/>
        <v>15.312571894039568</v>
      </c>
    </row>
    <row r="459" spans="9:12" x14ac:dyDescent="0.2">
      <c r="I459" s="173">
        <f t="shared" si="68"/>
        <v>41.200710288458311</v>
      </c>
      <c r="J459" s="94">
        <v>312</v>
      </c>
      <c r="K459" s="95">
        <f t="shared" si="66"/>
        <v>56.539681908785447</v>
      </c>
      <c r="L459" s="96">
        <f t="shared" si="67"/>
        <v>15.338971620327136</v>
      </c>
    </row>
    <row r="460" spans="9:12" x14ac:dyDescent="0.2">
      <c r="I460" s="173">
        <f t="shared" si="68"/>
        <v>41.355527491365564</v>
      </c>
      <c r="J460" s="94">
        <v>313</v>
      </c>
      <c r="K460" s="95">
        <f t="shared" si="66"/>
        <v>56.720898837980272</v>
      </c>
      <c r="L460" s="96">
        <f t="shared" si="67"/>
        <v>15.365371346614705</v>
      </c>
    </row>
    <row r="461" spans="9:12" x14ac:dyDescent="0.2">
      <c r="I461" s="173">
        <f t="shared" si="68"/>
        <v>41.510344694272824</v>
      </c>
      <c r="J461" s="94">
        <v>314</v>
      </c>
      <c r="K461" s="95">
        <f t="shared" si="66"/>
        <v>56.902115767175097</v>
      </c>
      <c r="L461" s="96">
        <f t="shared" si="67"/>
        <v>15.391771072902271</v>
      </c>
    </row>
    <row r="462" spans="9:12" x14ac:dyDescent="0.2">
      <c r="I462" s="173">
        <f t="shared" si="68"/>
        <v>41.665161897180084</v>
      </c>
      <c r="J462" s="94">
        <v>315</v>
      </c>
      <c r="K462" s="95">
        <f t="shared" si="66"/>
        <v>57.083332696369922</v>
      </c>
      <c r="L462" s="96">
        <f t="shared" si="67"/>
        <v>15.41817079918984</v>
      </c>
    </row>
    <row r="463" spans="9:12" x14ac:dyDescent="0.2">
      <c r="I463" s="173">
        <f t="shared" si="68"/>
        <v>41.819979100087338</v>
      </c>
      <c r="J463" s="94">
        <v>316</v>
      </c>
      <c r="K463" s="95">
        <f t="shared" si="66"/>
        <v>57.264549625564747</v>
      </c>
      <c r="L463" s="96">
        <f t="shared" si="67"/>
        <v>15.444570525477408</v>
      </c>
    </row>
    <row r="464" spans="9:12" x14ac:dyDescent="0.2">
      <c r="I464" s="173">
        <f t="shared" si="68"/>
        <v>41.974796302994598</v>
      </c>
      <c r="J464" s="94">
        <v>317</v>
      </c>
      <c r="K464" s="95">
        <f t="shared" si="66"/>
        <v>57.445766554759572</v>
      </c>
      <c r="L464" s="96">
        <f t="shared" si="67"/>
        <v>15.470970251764975</v>
      </c>
    </row>
    <row r="465" spans="9:12" x14ac:dyDescent="0.2">
      <c r="I465" s="173">
        <f t="shared" si="68"/>
        <v>42.129613505901858</v>
      </c>
      <c r="J465" s="94">
        <v>318</v>
      </c>
      <c r="K465" s="95">
        <f t="shared" si="66"/>
        <v>57.626983483954398</v>
      </c>
      <c r="L465" s="96">
        <f t="shared" si="67"/>
        <v>15.497369978052543</v>
      </c>
    </row>
    <row r="466" spans="9:12" x14ac:dyDescent="0.2">
      <c r="I466" s="173">
        <f t="shared" si="68"/>
        <v>42.284430708809111</v>
      </c>
      <c r="J466" s="94">
        <v>319</v>
      </c>
      <c r="K466" s="95">
        <f t="shared" ref="K466:K529" si="69">VLOOKUP($L$297,$C$138:$D$141,2,FALSE)*J466</f>
        <v>57.808200413149223</v>
      </c>
      <c r="L466" s="96">
        <f t="shared" ref="L466:L529" si="70">VLOOKUP($L$297,$C$281:$E$284,2,FALSE)*J466+(VLOOKUP($L$297,$C$281:$E$284,3,FALSE)+$D$292)</f>
        <v>15.523769704340111</v>
      </c>
    </row>
    <row r="467" spans="9:12" x14ac:dyDescent="0.2">
      <c r="I467" s="173">
        <f t="shared" si="68"/>
        <v>42.439247911716372</v>
      </c>
      <c r="J467" s="94">
        <v>320</v>
      </c>
      <c r="K467" s="95">
        <f t="shared" si="69"/>
        <v>57.989417342344048</v>
      </c>
      <c r="L467" s="96">
        <f t="shared" si="70"/>
        <v>15.550169430627678</v>
      </c>
    </row>
    <row r="468" spans="9:12" x14ac:dyDescent="0.2">
      <c r="I468" s="173">
        <f t="shared" si="68"/>
        <v>42.594065114623625</v>
      </c>
      <c r="J468" s="94">
        <v>321</v>
      </c>
      <c r="K468" s="95">
        <f t="shared" si="69"/>
        <v>58.170634271538873</v>
      </c>
      <c r="L468" s="96">
        <f t="shared" si="70"/>
        <v>15.576569156915246</v>
      </c>
    </row>
    <row r="469" spans="9:12" x14ac:dyDescent="0.2">
      <c r="I469" s="173">
        <f t="shared" si="68"/>
        <v>42.748882317530885</v>
      </c>
      <c r="J469" s="94">
        <v>322</v>
      </c>
      <c r="K469" s="95">
        <f t="shared" si="69"/>
        <v>58.351851200733698</v>
      </c>
      <c r="L469" s="96">
        <f t="shared" si="70"/>
        <v>15.602968883202815</v>
      </c>
    </row>
    <row r="470" spans="9:12" x14ac:dyDescent="0.2">
      <c r="I470" s="173">
        <f t="shared" si="68"/>
        <v>42.903699520438138</v>
      </c>
      <c r="J470" s="94">
        <v>323</v>
      </c>
      <c r="K470" s="95">
        <f t="shared" si="69"/>
        <v>58.533068129928523</v>
      </c>
      <c r="L470" s="96">
        <f t="shared" si="70"/>
        <v>15.629368609490381</v>
      </c>
    </row>
    <row r="471" spans="9:12" x14ac:dyDescent="0.2">
      <c r="I471" s="173">
        <f t="shared" si="68"/>
        <v>43.058516723345399</v>
      </c>
      <c r="J471" s="94">
        <v>324</v>
      </c>
      <c r="K471" s="95">
        <f t="shared" si="69"/>
        <v>58.714285059123348</v>
      </c>
      <c r="L471" s="96">
        <f t="shared" si="70"/>
        <v>15.65576833577795</v>
      </c>
    </row>
    <row r="472" spans="9:12" x14ac:dyDescent="0.2">
      <c r="I472" s="173">
        <f t="shared" si="68"/>
        <v>43.213333926252659</v>
      </c>
      <c r="J472" s="94">
        <v>325</v>
      </c>
      <c r="K472" s="95">
        <f t="shared" si="69"/>
        <v>58.895501988318173</v>
      </c>
      <c r="L472" s="96">
        <f t="shared" si="70"/>
        <v>15.682168062065518</v>
      </c>
    </row>
    <row r="473" spans="9:12" x14ac:dyDescent="0.2">
      <c r="I473" s="173">
        <f t="shared" si="68"/>
        <v>43.368151129159912</v>
      </c>
      <c r="J473" s="94">
        <v>326</v>
      </c>
      <c r="K473" s="95">
        <f t="shared" si="69"/>
        <v>59.076718917512999</v>
      </c>
      <c r="L473" s="96">
        <f t="shared" si="70"/>
        <v>15.708567788353085</v>
      </c>
    </row>
    <row r="474" spans="9:12" x14ac:dyDescent="0.2">
      <c r="I474" s="173">
        <f t="shared" si="68"/>
        <v>43.522968332067173</v>
      </c>
      <c r="J474" s="94">
        <v>327</v>
      </c>
      <c r="K474" s="95">
        <f t="shared" si="69"/>
        <v>59.257935846707824</v>
      </c>
      <c r="L474" s="96">
        <f t="shared" si="70"/>
        <v>15.734967514640653</v>
      </c>
    </row>
    <row r="475" spans="9:12" x14ac:dyDescent="0.2">
      <c r="I475" s="173">
        <f t="shared" si="68"/>
        <v>43.677785534974426</v>
      </c>
      <c r="J475" s="94">
        <v>328</v>
      </c>
      <c r="K475" s="95">
        <f t="shared" si="69"/>
        <v>59.439152775902649</v>
      </c>
      <c r="L475" s="96">
        <f t="shared" si="70"/>
        <v>15.761367240928221</v>
      </c>
    </row>
    <row r="476" spans="9:12" x14ac:dyDescent="0.2">
      <c r="I476" s="173">
        <f t="shared" si="68"/>
        <v>43.832602737881686</v>
      </c>
      <c r="J476" s="94">
        <v>329</v>
      </c>
      <c r="K476" s="95">
        <f t="shared" si="69"/>
        <v>59.620369705097474</v>
      </c>
      <c r="L476" s="96">
        <f t="shared" si="70"/>
        <v>15.787766967215788</v>
      </c>
    </row>
    <row r="477" spans="9:12" x14ac:dyDescent="0.2">
      <c r="I477" s="173">
        <f t="shared" si="68"/>
        <v>43.987419940788939</v>
      </c>
      <c r="J477" s="94">
        <v>330</v>
      </c>
      <c r="K477" s="95">
        <f t="shared" si="69"/>
        <v>59.801586634292299</v>
      </c>
      <c r="L477" s="96">
        <f t="shared" si="70"/>
        <v>15.814166693503356</v>
      </c>
    </row>
    <row r="478" spans="9:12" x14ac:dyDescent="0.2">
      <c r="I478" s="173">
        <f t="shared" si="68"/>
        <v>44.1422371436962</v>
      </c>
      <c r="J478" s="94">
        <v>331</v>
      </c>
      <c r="K478" s="95">
        <f t="shared" si="69"/>
        <v>59.982803563487124</v>
      </c>
      <c r="L478" s="96">
        <f t="shared" si="70"/>
        <v>15.840566419790925</v>
      </c>
    </row>
    <row r="479" spans="9:12" x14ac:dyDescent="0.2">
      <c r="I479" s="173">
        <f t="shared" si="68"/>
        <v>44.29705434660346</v>
      </c>
      <c r="J479" s="94">
        <v>332</v>
      </c>
      <c r="K479" s="95">
        <f t="shared" si="69"/>
        <v>60.164020492681949</v>
      </c>
      <c r="L479" s="96">
        <f t="shared" si="70"/>
        <v>15.866966146078491</v>
      </c>
    </row>
    <row r="480" spans="9:12" x14ac:dyDescent="0.2">
      <c r="I480" s="173">
        <f t="shared" si="68"/>
        <v>44.451871549510713</v>
      </c>
      <c r="J480" s="94">
        <v>333</v>
      </c>
      <c r="K480" s="95">
        <f t="shared" si="69"/>
        <v>60.345237421876774</v>
      </c>
      <c r="L480" s="96">
        <f t="shared" si="70"/>
        <v>15.89336587236606</v>
      </c>
    </row>
    <row r="481" spans="9:12" x14ac:dyDescent="0.2">
      <c r="I481" s="173">
        <f t="shared" si="68"/>
        <v>44.606688752417973</v>
      </c>
      <c r="J481" s="94">
        <v>334</v>
      </c>
      <c r="K481" s="95">
        <f t="shared" si="69"/>
        <v>60.5264543510716</v>
      </c>
      <c r="L481" s="96">
        <f t="shared" si="70"/>
        <v>15.919765598653628</v>
      </c>
    </row>
    <row r="482" spans="9:12" x14ac:dyDescent="0.2">
      <c r="I482" s="173">
        <f t="shared" si="68"/>
        <v>44.761505955325234</v>
      </c>
      <c r="J482" s="94">
        <v>335</v>
      </c>
      <c r="K482" s="95">
        <f t="shared" si="69"/>
        <v>60.707671280266425</v>
      </c>
      <c r="L482" s="96">
        <f t="shared" si="70"/>
        <v>15.946165324941195</v>
      </c>
    </row>
    <row r="483" spans="9:12" x14ac:dyDescent="0.2">
      <c r="I483" s="173">
        <f t="shared" si="68"/>
        <v>44.916323158232487</v>
      </c>
      <c r="J483" s="94">
        <v>336</v>
      </c>
      <c r="K483" s="95">
        <f t="shared" si="69"/>
        <v>60.88888820946125</v>
      </c>
      <c r="L483" s="96">
        <f t="shared" si="70"/>
        <v>15.972565051228763</v>
      </c>
    </row>
    <row r="484" spans="9:12" x14ac:dyDescent="0.2">
      <c r="I484" s="173">
        <f t="shared" si="68"/>
        <v>45.07114036113974</v>
      </c>
      <c r="J484" s="94">
        <v>337</v>
      </c>
      <c r="K484" s="95">
        <f t="shared" si="69"/>
        <v>61.070105138656075</v>
      </c>
      <c r="L484" s="96">
        <f t="shared" si="70"/>
        <v>15.998964777516331</v>
      </c>
    </row>
    <row r="485" spans="9:12" x14ac:dyDescent="0.2">
      <c r="I485" s="173">
        <f t="shared" si="68"/>
        <v>45.225957564047</v>
      </c>
      <c r="J485" s="94">
        <v>338</v>
      </c>
      <c r="K485" s="95">
        <f t="shared" si="69"/>
        <v>61.2513220678509</v>
      </c>
      <c r="L485" s="96">
        <f t="shared" si="70"/>
        <v>16.0253645038039</v>
      </c>
    </row>
    <row r="486" spans="9:12" x14ac:dyDescent="0.2">
      <c r="I486" s="173">
        <f t="shared" si="68"/>
        <v>45.380774766954261</v>
      </c>
      <c r="J486" s="94">
        <v>339</v>
      </c>
      <c r="K486" s="95">
        <f t="shared" si="69"/>
        <v>61.432538997045725</v>
      </c>
      <c r="L486" s="96">
        <f t="shared" si="70"/>
        <v>16.051764230091464</v>
      </c>
    </row>
    <row r="487" spans="9:12" x14ac:dyDescent="0.2">
      <c r="I487" s="173">
        <f t="shared" si="68"/>
        <v>45.535591969861514</v>
      </c>
      <c r="J487" s="94">
        <v>340</v>
      </c>
      <c r="K487" s="95">
        <f t="shared" si="69"/>
        <v>61.61375592624055</v>
      </c>
      <c r="L487" s="96">
        <f t="shared" si="70"/>
        <v>16.078163956379036</v>
      </c>
    </row>
    <row r="488" spans="9:12" x14ac:dyDescent="0.2">
      <c r="I488" s="173">
        <f t="shared" si="68"/>
        <v>45.690409172768774</v>
      </c>
      <c r="J488" s="94">
        <v>341</v>
      </c>
      <c r="K488" s="95">
        <f t="shared" si="69"/>
        <v>61.794972855435375</v>
      </c>
      <c r="L488" s="96">
        <f t="shared" si="70"/>
        <v>16.104563682666601</v>
      </c>
    </row>
    <row r="489" spans="9:12" x14ac:dyDescent="0.2">
      <c r="I489" s="173">
        <f t="shared" si="68"/>
        <v>45.845226375676035</v>
      </c>
      <c r="J489" s="94">
        <v>342</v>
      </c>
      <c r="K489" s="95">
        <f t="shared" si="69"/>
        <v>61.976189784630201</v>
      </c>
      <c r="L489" s="96">
        <f t="shared" si="70"/>
        <v>16.13096340895417</v>
      </c>
    </row>
    <row r="490" spans="9:12" x14ac:dyDescent="0.2">
      <c r="I490" s="173">
        <f t="shared" si="68"/>
        <v>46.000043578583288</v>
      </c>
      <c r="J490" s="94">
        <v>343</v>
      </c>
      <c r="K490" s="95">
        <f t="shared" si="69"/>
        <v>62.157406713825026</v>
      </c>
      <c r="L490" s="96">
        <f t="shared" si="70"/>
        <v>16.157363135241738</v>
      </c>
    </row>
    <row r="491" spans="9:12" x14ac:dyDescent="0.2">
      <c r="I491" s="173">
        <f t="shared" si="68"/>
        <v>46.154860781490548</v>
      </c>
      <c r="J491" s="94">
        <v>344</v>
      </c>
      <c r="K491" s="95">
        <f t="shared" si="69"/>
        <v>62.338623643019851</v>
      </c>
      <c r="L491" s="96">
        <f t="shared" si="70"/>
        <v>16.183762861529303</v>
      </c>
    </row>
    <row r="492" spans="9:12" x14ac:dyDescent="0.2">
      <c r="I492" s="173">
        <f t="shared" ref="I492:I555" si="71">ABS(K492-L492)</f>
        <v>46.309677984397801</v>
      </c>
      <c r="J492" s="94">
        <v>345</v>
      </c>
      <c r="K492" s="95">
        <f t="shared" si="69"/>
        <v>62.519840572214676</v>
      </c>
      <c r="L492" s="96">
        <f t="shared" si="70"/>
        <v>16.210162587816875</v>
      </c>
    </row>
    <row r="493" spans="9:12" x14ac:dyDescent="0.2">
      <c r="I493" s="173">
        <f t="shared" si="71"/>
        <v>46.464495187305062</v>
      </c>
      <c r="J493" s="94">
        <v>346</v>
      </c>
      <c r="K493" s="95">
        <f t="shared" si="69"/>
        <v>62.701057501409501</v>
      </c>
      <c r="L493" s="96">
        <f t="shared" si="70"/>
        <v>16.23656231410444</v>
      </c>
    </row>
    <row r="494" spans="9:12" x14ac:dyDescent="0.2">
      <c r="I494" s="173">
        <f t="shared" si="71"/>
        <v>46.619312390212315</v>
      </c>
      <c r="J494" s="94">
        <v>347</v>
      </c>
      <c r="K494" s="95">
        <f t="shared" si="69"/>
        <v>62.882274430604326</v>
      </c>
      <c r="L494" s="96">
        <f t="shared" si="70"/>
        <v>16.262962040392008</v>
      </c>
    </row>
    <row r="495" spans="9:12" x14ac:dyDescent="0.2">
      <c r="I495" s="173">
        <f t="shared" si="71"/>
        <v>46.774129593119575</v>
      </c>
      <c r="J495" s="94">
        <v>348</v>
      </c>
      <c r="K495" s="95">
        <f t="shared" si="69"/>
        <v>63.063491359799151</v>
      </c>
      <c r="L495" s="96">
        <f t="shared" si="70"/>
        <v>16.289361766679576</v>
      </c>
    </row>
    <row r="496" spans="9:12" x14ac:dyDescent="0.2">
      <c r="I496" s="173">
        <f t="shared" si="71"/>
        <v>46.928946796026835</v>
      </c>
      <c r="J496" s="94">
        <v>349</v>
      </c>
      <c r="K496" s="95">
        <f t="shared" si="69"/>
        <v>63.244708288993976</v>
      </c>
      <c r="L496" s="96">
        <f t="shared" si="70"/>
        <v>16.315761492967145</v>
      </c>
    </row>
    <row r="497" spans="9:12" x14ac:dyDescent="0.2">
      <c r="I497" s="173">
        <f t="shared" si="71"/>
        <v>47.083763998934089</v>
      </c>
      <c r="J497" s="94">
        <v>350</v>
      </c>
      <c r="K497" s="95">
        <f t="shared" si="69"/>
        <v>63.425925218188802</v>
      </c>
      <c r="L497" s="96">
        <f t="shared" si="70"/>
        <v>16.342161219254713</v>
      </c>
    </row>
    <row r="498" spans="9:12" x14ac:dyDescent="0.2">
      <c r="I498" s="173">
        <f t="shared" si="71"/>
        <v>47.238581201841349</v>
      </c>
      <c r="J498" s="94">
        <v>351</v>
      </c>
      <c r="K498" s="95">
        <f t="shared" si="69"/>
        <v>63.607142147383627</v>
      </c>
      <c r="L498" s="96">
        <f t="shared" si="70"/>
        <v>16.368560945542278</v>
      </c>
    </row>
    <row r="499" spans="9:12" x14ac:dyDescent="0.2">
      <c r="I499" s="173">
        <f t="shared" si="71"/>
        <v>47.393398404748602</v>
      </c>
      <c r="J499" s="94">
        <v>352</v>
      </c>
      <c r="K499" s="95">
        <f t="shared" si="69"/>
        <v>63.788359076578452</v>
      </c>
      <c r="L499" s="96">
        <f t="shared" si="70"/>
        <v>16.39496067182985</v>
      </c>
    </row>
    <row r="500" spans="9:12" x14ac:dyDescent="0.2">
      <c r="I500" s="173">
        <f t="shared" si="71"/>
        <v>47.548215607655862</v>
      </c>
      <c r="J500" s="94">
        <v>353</v>
      </c>
      <c r="K500" s="95">
        <f t="shared" si="69"/>
        <v>63.969576005773277</v>
      </c>
      <c r="L500" s="96">
        <f t="shared" si="70"/>
        <v>16.421360398117415</v>
      </c>
    </row>
    <row r="501" spans="9:12" x14ac:dyDescent="0.2">
      <c r="I501" s="173">
        <f t="shared" si="71"/>
        <v>47.70303281056313</v>
      </c>
      <c r="J501" s="94">
        <v>354</v>
      </c>
      <c r="K501" s="95">
        <f t="shared" si="69"/>
        <v>64.150792934968109</v>
      </c>
      <c r="L501" s="96">
        <f t="shared" si="70"/>
        <v>16.447760124404983</v>
      </c>
    </row>
    <row r="502" spans="9:12" x14ac:dyDescent="0.2">
      <c r="I502" s="173">
        <f t="shared" si="71"/>
        <v>47.857850013470376</v>
      </c>
      <c r="J502" s="94">
        <v>355</v>
      </c>
      <c r="K502" s="95">
        <f t="shared" si="69"/>
        <v>64.332009864162927</v>
      </c>
      <c r="L502" s="96">
        <f t="shared" si="70"/>
        <v>16.474159850692551</v>
      </c>
    </row>
    <row r="503" spans="9:12" x14ac:dyDescent="0.2">
      <c r="I503" s="173">
        <f t="shared" si="71"/>
        <v>48.012667216377636</v>
      </c>
      <c r="J503" s="94">
        <v>356</v>
      </c>
      <c r="K503" s="95">
        <f t="shared" si="69"/>
        <v>64.513226793357759</v>
      </c>
      <c r="L503" s="96">
        <f t="shared" si="70"/>
        <v>16.50055957698012</v>
      </c>
    </row>
    <row r="504" spans="9:12" x14ac:dyDescent="0.2">
      <c r="I504" s="173">
        <f t="shared" si="71"/>
        <v>48.167484419284889</v>
      </c>
      <c r="J504" s="94">
        <v>357</v>
      </c>
      <c r="K504" s="95">
        <f t="shared" si="69"/>
        <v>64.694443722552577</v>
      </c>
      <c r="L504" s="96">
        <f t="shared" si="70"/>
        <v>16.526959303267688</v>
      </c>
    </row>
    <row r="505" spans="9:12" x14ac:dyDescent="0.2">
      <c r="I505" s="173">
        <f t="shared" si="71"/>
        <v>48.322301622192157</v>
      </c>
      <c r="J505" s="94">
        <v>358</v>
      </c>
      <c r="K505" s="95">
        <f t="shared" si="69"/>
        <v>64.87566065174741</v>
      </c>
      <c r="L505" s="96">
        <f t="shared" si="70"/>
        <v>16.553359029555253</v>
      </c>
    </row>
    <row r="506" spans="9:12" x14ac:dyDescent="0.2">
      <c r="I506" s="173">
        <f t="shared" si="71"/>
        <v>48.477118825099403</v>
      </c>
      <c r="J506" s="94">
        <v>359</v>
      </c>
      <c r="K506" s="95">
        <f t="shared" si="69"/>
        <v>65.056877580942228</v>
      </c>
      <c r="L506" s="96">
        <f t="shared" si="70"/>
        <v>16.579758755842825</v>
      </c>
    </row>
    <row r="507" spans="9:12" x14ac:dyDescent="0.2">
      <c r="I507" s="173">
        <f t="shared" si="71"/>
        <v>48.63193602800667</v>
      </c>
      <c r="J507" s="94">
        <v>360</v>
      </c>
      <c r="K507" s="95">
        <f t="shared" si="69"/>
        <v>65.23809451013706</v>
      </c>
      <c r="L507" s="96">
        <f t="shared" si="70"/>
        <v>16.60615848213039</v>
      </c>
    </row>
    <row r="508" spans="9:12" x14ac:dyDescent="0.2">
      <c r="I508" s="173">
        <f t="shared" si="71"/>
        <v>48.786753230913916</v>
      </c>
      <c r="J508" s="94">
        <v>361</v>
      </c>
      <c r="K508" s="95">
        <f t="shared" si="69"/>
        <v>65.419311439331878</v>
      </c>
      <c r="L508" s="96">
        <f t="shared" si="70"/>
        <v>16.632558208417958</v>
      </c>
    </row>
    <row r="509" spans="9:12" x14ac:dyDescent="0.2">
      <c r="I509" s="173">
        <f t="shared" si="71"/>
        <v>48.941570433821184</v>
      </c>
      <c r="J509" s="94">
        <v>362</v>
      </c>
      <c r="K509" s="95">
        <f t="shared" si="69"/>
        <v>65.60052836852671</v>
      </c>
      <c r="L509" s="96">
        <f t="shared" si="70"/>
        <v>16.658957934705526</v>
      </c>
    </row>
    <row r="510" spans="9:12" x14ac:dyDescent="0.2">
      <c r="I510" s="173">
        <f t="shared" si="71"/>
        <v>49.096387636728437</v>
      </c>
      <c r="J510" s="94">
        <v>363</v>
      </c>
      <c r="K510" s="95">
        <f t="shared" si="69"/>
        <v>65.781745297721528</v>
      </c>
      <c r="L510" s="96">
        <f t="shared" si="70"/>
        <v>16.685357660993091</v>
      </c>
    </row>
    <row r="511" spans="9:12" x14ac:dyDescent="0.2">
      <c r="I511" s="173">
        <f t="shared" si="71"/>
        <v>49.251204839635697</v>
      </c>
      <c r="J511" s="94">
        <v>364</v>
      </c>
      <c r="K511" s="95">
        <f t="shared" si="69"/>
        <v>65.96296222691636</v>
      </c>
      <c r="L511" s="96">
        <f t="shared" si="70"/>
        <v>16.711757387280663</v>
      </c>
    </row>
    <row r="512" spans="9:12" x14ac:dyDescent="0.2">
      <c r="I512" s="173">
        <f t="shared" si="71"/>
        <v>49.406022042542951</v>
      </c>
      <c r="J512" s="94">
        <v>365</v>
      </c>
      <c r="K512" s="95">
        <f t="shared" si="69"/>
        <v>66.144179156111178</v>
      </c>
      <c r="L512" s="96">
        <f t="shared" si="70"/>
        <v>16.738157113568228</v>
      </c>
    </row>
    <row r="513" spans="9:12" x14ac:dyDescent="0.2">
      <c r="I513" s="173">
        <f t="shared" si="71"/>
        <v>49.560839245450211</v>
      </c>
      <c r="J513" s="94">
        <v>366</v>
      </c>
      <c r="K513" s="95">
        <f t="shared" si="69"/>
        <v>66.325396085306011</v>
      </c>
      <c r="L513" s="96">
        <f t="shared" si="70"/>
        <v>16.764556839855796</v>
      </c>
    </row>
    <row r="514" spans="9:12" x14ac:dyDescent="0.2">
      <c r="I514" s="173">
        <f t="shared" si="71"/>
        <v>49.715656448357464</v>
      </c>
      <c r="J514" s="94">
        <v>367</v>
      </c>
      <c r="K514" s="95">
        <f t="shared" si="69"/>
        <v>66.506613014500829</v>
      </c>
      <c r="L514" s="96">
        <f t="shared" si="70"/>
        <v>16.790956566143365</v>
      </c>
    </row>
    <row r="515" spans="9:12" x14ac:dyDescent="0.2">
      <c r="I515" s="173">
        <f t="shared" si="71"/>
        <v>49.870473651264732</v>
      </c>
      <c r="J515" s="94">
        <v>368</v>
      </c>
      <c r="K515" s="95">
        <f t="shared" si="69"/>
        <v>66.687829943695661</v>
      </c>
      <c r="L515" s="96">
        <f t="shared" si="70"/>
        <v>16.817356292430933</v>
      </c>
    </row>
    <row r="516" spans="9:12" x14ac:dyDescent="0.2">
      <c r="I516" s="173">
        <f t="shared" si="71"/>
        <v>50.025290854171978</v>
      </c>
      <c r="J516" s="94">
        <v>369</v>
      </c>
      <c r="K516" s="95">
        <f t="shared" si="69"/>
        <v>66.869046872890479</v>
      </c>
      <c r="L516" s="96">
        <f t="shared" si="70"/>
        <v>16.843756018718501</v>
      </c>
    </row>
    <row r="517" spans="9:12" x14ac:dyDescent="0.2">
      <c r="I517" s="173">
        <f t="shared" si="71"/>
        <v>50.180108057079245</v>
      </c>
      <c r="J517" s="94">
        <v>370</v>
      </c>
      <c r="K517" s="95">
        <f t="shared" si="69"/>
        <v>67.050263802085311</v>
      </c>
      <c r="L517" s="96">
        <f t="shared" si="70"/>
        <v>16.870155745006066</v>
      </c>
    </row>
    <row r="518" spans="9:12" x14ac:dyDescent="0.2">
      <c r="I518" s="173">
        <f t="shared" si="71"/>
        <v>50.334925259986491</v>
      </c>
      <c r="J518" s="94">
        <v>371</v>
      </c>
      <c r="K518" s="95">
        <f t="shared" si="69"/>
        <v>67.231480731280129</v>
      </c>
      <c r="L518" s="96">
        <f t="shared" si="70"/>
        <v>16.896555471293638</v>
      </c>
    </row>
    <row r="519" spans="9:12" x14ac:dyDescent="0.2">
      <c r="I519" s="173">
        <f t="shared" si="71"/>
        <v>50.489742462893759</v>
      </c>
      <c r="J519" s="94">
        <v>372</v>
      </c>
      <c r="K519" s="95">
        <f t="shared" si="69"/>
        <v>67.412697660474961</v>
      </c>
      <c r="L519" s="96">
        <f t="shared" si="70"/>
        <v>16.922955197581203</v>
      </c>
    </row>
    <row r="520" spans="9:12" x14ac:dyDescent="0.2">
      <c r="I520" s="173">
        <f t="shared" si="71"/>
        <v>50.644559665801012</v>
      </c>
      <c r="J520" s="94">
        <v>373</v>
      </c>
      <c r="K520" s="95">
        <f t="shared" si="69"/>
        <v>67.59391458966978</v>
      </c>
      <c r="L520" s="96">
        <f t="shared" si="70"/>
        <v>16.949354923868771</v>
      </c>
    </row>
    <row r="521" spans="9:12" x14ac:dyDescent="0.2">
      <c r="I521" s="173">
        <f t="shared" si="71"/>
        <v>50.799376868708272</v>
      </c>
      <c r="J521" s="94">
        <v>374</v>
      </c>
      <c r="K521" s="95">
        <f t="shared" si="69"/>
        <v>67.775131518864612</v>
      </c>
      <c r="L521" s="96">
        <f t="shared" si="70"/>
        <v>16.97575465015634</v>
      </c>
    </row>
    <row r="522" spans="9:12" x14ac:dyDescent="0.2">
      <c r="I522" s="173">
        <f t="shared" si="71"/>
        <v>50.954194071615525</v>
      </c>
      <c r="J522" s="94">
        <v>375</v>
      </c>
      <c r="K522" s="95">
        <f t="shared" si="69"/>
        <v>67.95634844805943</v>
      </c>
      <c r="L522" s="96">
        <f t="shared" si="70"/>
        <v>17.002154376443904</v>
      </c>
    </row>
    <row r="523" spans="9:12" x14ac:dyDescent="0.2">
      <c r="I523" s="173">
        <f t="shared" si="71"/>
        <v>51.109011274522786</v>
      </c>
      <c r="J523" s="94">
        <v>376</v>
      </c>
      <c r="K523" s="95">
        <f t="shared" si="69"/>
        <v>68.137565377254262</v>
      </c>
      <c r="L523" s="96">
        <f t="shared" si="70"/>
        <v>17.028554102731476</v>
      </c>
    </row>
    <row r="524" spans="9:12" x14ac:dyDescent="0.2">
      <c r="I524" s="173">
        <f t="shared" si="71"/>
        <v>51.263828477430039</v>
      </c>
      <c r="J524" s="94">
        <v>377</v>
      </c>
      <c r="K524" s="95">
        <f t="shared" si="69"/>
        <v>68.31878230644908</v>
      </c>
      <c r="L524" s="96">
        <f t="shared" si="70"/>
        <v>17.054953829019041</v>
      </c>
    </row>
    <row r="525" spans="9:12" x14ac:dyDescent="0.2">
      <c r="I525" s="173">
        <f t="shared" si="71"/>
        <v>51.418645680337306</v>
      </c>
      <c r="J525" s="94">
        <v>378</v>
      </c>
      <c r="K525" s="95">
        <f t="shared" si="69"/>
        <v>68.499999235643912</v>
      </c>
      <c r="L525" s="96">
        <f t="shared" si="70"/>
        <v>17.08135355530661</v>
      </c>
    </row>
    <row r="526" spans="9:12" x14ac:dyDescent="0.2">
      <c r="I526" s="173">
        <f t="shared" si="71"/>
        <v>51.573462883244552</v>
      </c>
      <c r="J526" s="94">
        <v>379</v>
      </c>
      <c r="K526" s="95">
        <f t="shared" si="69"/>
        <v>68.68121616483873</v>
      </c>
      <c r="L526" s="96">
        <f t="shared" si="70"/>
        <v>17.107753281594178</v>
      </c>
    </row>
    <row r="527" spans="9:12" x14ac:dyDescent="0.2">
      <c r="I527" s="173">
        <f t="shared" si="71"/>
        <v>51.728280086151813</v>
      </c>
      <c r="J527" s="94">
        <v>380</v>
      </c>
      <c r="K527" s="95">
        <f t="shared" si="69"/>
        <v>68.862433094033562</v>
      </c>
      <c r="L527" s="96">
        <f t="shared" si="70"/>
        <v>17.134153007881746</v>
      </c>
    </row>
    <row r="528" spans="9:12" x14ac:dyDescent="0.2">
      <c r="I528" s="173">
        <f t="shared" si="71"/>
        <v>51.883097289059066</v>
      </c>
      <c r="J528" s="94">
        <v>381</v>
      </c>
      <c r="K528" s="95">
        <f t="shared" si="69"/>
        <v>69.043650023228381</v>
      </c>
      <c r="L528" s="96">
        <f t="shared" si="70"/>
        <v>17.160552734169315</v>
      </c>
    </row>
    <row r="529" spans="9:12" x14ac:dyDescent="0.2">
      <c r="I529" s="173">
        <f t="shared" si="71"/>
        <v>52.037914491966333</v>
      </c>
      <c r="J529" s="94">
        <v>382</v>
      </c>
      <c r="K529" s="95">
        <f t="shared" si="69"/>
        <v>69.224866952423213</v>
      </c>
      <c r="L529" s="96">
        <f t="shared" si="70"/>
        <v>17.18695246045688</v>
      </c>
    </row>
    <row r="530" spans="9:12" x14ac:dyDescent="0.2">
      <c r="I530" s="173">
        <f t="shared" si="71"/>
        <v>52.192731694873579</v>
      </c>
      <c r="J530" s="94">
        <v>383</v>
      </c>
      <c r="K530" s="95">
        <f t="shared" ref="K530:K593" si="72">VLOOKUP($L$297,$C$138:$D$141,2,FALSE)*J530</f>
        <v>69.406083881618031</v>
      </c>
      <c r="L530" s="96">
        <f t="shared" ref="L530:L593" si="73">VLOOKUP($L$297,$C$281:$E$284,2,FALSE)*J530+(VLOOKUP($L$297,$C$281:$E$284,3,FALSE)+$D$292)</f>
        <v>17.213352186744451</v>
      </c>
    </row>
    <row r="531" spans="9:12" x14ac:dyDescent="0.2">
      <c r="I531" s="173">
        <f t="shared" si="71"/>
        <v>52.347548897780847</v>
      </c>
      <c r="J531" s="94">
        <v>384</v>
      </c>
      <c r="K531" s="95">
        <f t="shared" si="72"/>
        <v>69.587300810812863</v>
      </c>
      <c r="L531" s="96">
        <f t="shared" si="73"/>
        <v>17.239751913032016</v>
      </c>
    </row>
    <row r="532" spans="9:12" x14ac:dyDescent="0.2">
      <c r="I532" s="173">
        <f t="shared" si="71"/>
        <v>52.502366100688093</v>
      </c>
      <c r="J532" s="94">
        <v>385</v>
      </c>
      <c r="K532" s="95">
        <f t="shared" si="72"/>
        <v>69.768517740007681</v>
      </c>
      <c r="L532" s="96">
        <f t="shared" si="73"/>
        <v>17.266151639319585</v>
      </c>
    </row>
    <row r="533" spans="9:12" x14ac:dyDescent="0.2">
      <c r="I533" s="173">
        <f t="shared" si="71"/>
        <v>52.65718330359536</v>
      </c>
      <c r="J533" s="94">
        <v>386</v>
      </c>
      <c r="K533" s="95">
        <f t="shared" si="72"/>
        <v>69.949734669202513</v>
      </c>
      <c r="L533" s="96">
        <f t="shared" si="73"/>
        <v>17.292551365607153</v>
      </c>
    </row>
    <row r="534" spans="9:12" x14ac:dyDescent="0.2">
      <c r="I534" s="173">
        <f t="shared" si="71"/>
        <v>52.812000506502613</v>
      </c>
      <c r="J534" s="94">
        <v>387</v>
      </c>
      <c r="K534" s="95">
        <f t="shared" si="72"/>
        <v>70.130951598397331</v>
      </c>
      <c r="L534" s="96">
        <f t="shared" si="73"/>
        <v>17.318951091894721</v>
      </c>
    </row>
    <row r="535" spans="9:12" x14ac:dyDescent="0.2">
      <c r="I535" s="173">
        <f t="shared" si="71"/>
        <v>52.966817709409874</v>
      </c>
      <c r="J535" s="94">
        <v>388</v>
      </c>
      <c r="K535" s="95">
        <f t="shared" si="72"/>
        <v>70.312168527592164</v>
      </c>
      <c r="L535" s="96">
        <f t="shared" si="73"/>
        <v>17.34535081818229</v>
      </c>
    </row>
    <row r="536" spans="9:12" x14ac:dyDescent="0.2">
      <c r="I536" s="173">
        <f t="shared" si="71"/>
        <v>53.121634912317127</v>
      </c>
      <c r="J536" s="94">
        <v>389</v>
      </c>
      <c r="K536" s="95">
        <f t="shared" si="72"/>
        <v>70.493385456786982</v>
      </c>
      <c r="L536" s="96">
        <f t="shared" si="73"/>
        <v>17.371750544469855</v>
      </c>
    </row>
    <row r="537" spans="9:12" x14ac:dyDescent="0.2">
      <c r="I537" s="173">
        <f t="shared" si="71"/>
        <v>53.276452115224387</v>
      </c>
      <c r="J537" s="94">
        <v>390</v>
      </c>
      <c r="K537" s="95">
        <f t="shared" si="72"/>
        <v>70.674602385981814</v>
      </c>
      <c r="L537" s="96">
        <f t="shared" si="73"/>
        <v>17.398150270757426</v>
      </c>
    </row>
    <row r="538" spans="9:12" x14ac:dyDescent="0.2">
      <c r="I538" s="173">
        <f t="shared" si="71"/>
        <v>53.43126931813164</v>
      </c>
      <c r="J538" s="94">
        <v>391</v>
      </c>
      <c r="K538" s="95">
        <f t="shared" si="72"/>
        <v>70.855819315176632</v>
      </c>
      <c r="L538" s="96">
        <f t="shared" si="73"/>
        <v>17.424549997044991</v>
      </c>
    </row>
    <row r="539" spans="9:12" x14ac:dyDescent="0.2">
      <c r="I539" s="173">
        <f t="shared" si="71"/>
        <v>53.586086521038908</v>
      </c>
      <c r="J539" s="94">
        <v>392</v>
      </c>
      <c r="K539" s="95">
        <f t="shared" si="72"/>
        <v>71.037036244371464</v>
      </c>
      <c r="L539" s="96">
        <f t="shared" si="73"/>
        <v>17.45094972333256</v>
      </c>
    </row>
    <row r="540" spans="9:12" x14ac:dyDescent="0.2">
      <c r="I540" s="173">
        <f t="shared" si="71"/>
        <v>53.740903723946154</v>
      </c>
      <c r="J540" s="94">
        <v>393</v>
      </c>
      <c r="K540" s="95">
        <f t="shared" si="72"/>
        <v>71.218253173566282</v>
      </c>
      <c r="L540" s="96">
        <f t="shared" si="73"/>
        <v>17.477349449620128</v>
      </c>
    </row>
    <row r="541" spans="9:12" x14ac:dyDescent="0.2">
      <c r="I541" s="173">
        <f t="shared" si="71"/>
        <v>53.895720926853421</v>
      </c>
      <c r="J541" s="94">
        <v>394</v>
      </c>
      <c r="K541" s="95">
        <f t="shared" si="72"/>
        <v>71.399470102761114</v>
      </c>
      <c r="L541" s="96">
        <f t="shared" si="73"/>
        <v>17.503749175907693</v>
      </c>
    </row>
    <row r="542" spans="9:12" x14ac:dyDescent="0.2">
      <c r="I542" s="173">
        <f t="shared" si="71"/>
        <v>54.050538129760668</v>
      </c>
      <c r="J542" s="94">
        <v>395</v>
      </c>
      <c r="K542" s="95">
        <f t="shared" si="72"/>
        <v>71.580687031955932</v>
      </c>
      <c r="L542" s="96">
        <f t="shared" si="73"/>
        <v>17.530148902195265</v>
      </c>
    </row>
    <row r="543" spans="9:12" x14ac:dyDescent="0.2">
      <c r="I543" s="173">
        <f t="shared" si="71"/>
        <v>54.205355332667935</v>
      </c>
      <c r="J543" s="94">
        <v>396</v>
      </c>
      <c r="K543" s="95">
        <f t="shared" si="72"/>
        <v>71.761903961150765</v>
      </c>
      <c r="L543" s="96">
        <f t="shared" si="73"/>
        <v>17.55654862848283</v>
      </c>
    </row>
    <row r="544" spans="9:12" x14ac:dyDescent="0.2">
      <c r="I544" s="173">
        <f t="shared" si="71"/>
        <v>54.360172535575188</v>
      </c>
      <c r="J544" s="94">
        <v>397</v>
      </c>
      <c r="K544" s="95">
        <f t="shared" si="72"/>
        <v>71.943120890345583</v>
      </c>
      <c r="L544" s="96">
        <f t="shared" si="73"/>
        <v>17.582948354770398</v>
      </c>
    </row>
    <row r="545" spans="9:12" x14ac:dyDescent="0.2">
      <c r="I545" s="173">
        <f t="shared" si="71"/>
        <v>54.514989738482448</v>
      </c>
      <c r="J545" s="94">
        <v>398</v>
      </c>
      <c r="K545" s="95">
        <f t="shared" si="72"/>
        <v>72.124337819540415</v>
      </c>
      <c r="L545" s="96">
        <f t="shared" si="73"/>
        <v>17.609348081057966</v>
      </c>
    </row>
    <row r="546" spans="9:12" x14ac:dyDescent="0.2">
      <c r="I546" s="173">
        <f t="shared" si="71"/>
        <v>54.669806941389695</v>
      </c>
      <c r="J546" s="94">
        <v>399</v>
      </c>
      <c r="K546" s="95">
        <f t="shared" si="72"/>
        <v>72.305554748735233</v>
      </c>
      <c r="L546" s="96">
        <f t="shared" si="73"/>
        <v>17.635747807345535</v>
      </c>
    </row>
    <row r="547" spans="9:12" x14ac:dyDescent="0.2">
      <c r="I547" s="173">
        <f t="shared" si="71"/>
        <v>54.824624144296962</v>
      </c>
      <c r="J547" s="94">
        <v>400</v>
      </c>
      <c r="K547" s="95">
        <f t="shared" si="72"/>
        <v>72.486771677930065</v>
      </c>
      <c r="L547" s="96">
        <f t="shared" si="73"/>
        <v>17.662147533633103</v>
      </c>
    </row>
    <row r="548" spans="9:12" x14ac:dyDescent="0.2">
      <c r="I548" s="173">
        <f t="shared" si="71"/>
        <v>54.979441347204215</v>
      </c>
      <c r="J548" s="94">
        <v>401</v>
      </c>
      <c r="K548" s="95">
        <f t="shared" si="72"/>
        <v>72.667988607124883</v>
      </c>
      <c r="L548" s="96">
        <f t="shared" si="73"/>
        <v>17.688547259920668</v>
      </c>
    </row>
    <row r="549" spans="9:12" x14ac:dyDescent="0.2">
      <c r="I549" s="173">
        <f t="shared" si="71"/>
        <v>55.134258550111475</v>
      </c>
      <c r="J549" s="94">
        <v>402</v>
      </c>
      <c r="K549" s="95">
        <f t="shared" si="72"/>
        <v>72.849205536319715</v>
      </c>
      <c r="L549" s="96">
        <f t="shared" si="73"/>
        <v>17.71494698620824</v>
      </c>
    </row>
    <row r="550" spans="9:12" x14ac:dyDescent="0.2">
      <c r="I550" s="173">
        <f t="shared" si="71"/>
        <v>55.289075753018729</v>
      </c>
      <c r="J550" s="94">
        <v>403</v>
      </c>
      <c r="K550" s="95">
        <f t="shared" si="72"/>
        <v>73.030422465514533</v>
      </c>
      <c r="L550" s="96">
        <f t="shared" si="73"/>
        <v>17.741346712495805</v>
      </c>
    </row>
    <row r="551" spans="9:12" x14ac:dyDescent="0.2">
      <c r="I551" s="173">
        <f t="shared" si="71"/>
        <v>55.443892955925989</v>
      </c>
      <c r="J551" s="94">
        <v>404</v>
      </c>
      <c r="K551" s="95">
        <f t="shared" si="72"/>
        <v>73.211639394709366</v>
      </c>
      <c r="L551" s="96">
        <f t="shared" si="73"/>
        <v>17.767746438783373</v>
      </c>
    </row>
    <row r="552" spans="9:12" x14ac:dyDescent="0.2">
      <c r="I552" s="173">
        <f t="shared" si="71"/>
        <v>55.598710158833242</v>
      </c>
      <c r="J552" s="94">
        <v>405</v>
      </c>
      <c r="K552" s="95">
        <f t="shared" si="72"/>
        <v>73.392856323904184</v>
      </c>
      <c r="L552" s="96">
        <f t="shared" si="73"/>
        <v>17.794146165070941</v>
      </c>
    </row>
    <row r="553" spans="9:12" x14ac:dyDescent="0.2">
      <c r="I553" s="173">
        <f t="shared" si="71"/>
        <v>55.75352736174051</v>
      </c>
      <c r="J553" s="94">
        <v>406</v>
      </c>
      <c r="K553" s="95">
        <f t="shared" si="72"/>
        <v>73.574073253099016</v>
      </c>
      <c r="L553" s="96">
        <f t="shared" si="73"/>
        <v>17.820545891358506</v>
      </c>
    </row>
    <row r="554" spans="9:12" x14ac:dyDescent="0.2">
      <c r="I554" s="173">
        <f t="shared" si="71"/>
        <v>55.908344564647756</v>
      </c>
      <c r="J554" s="94">
        <v>407</v>
      </c>
      <c r="K554" s="95">
        <f t="shared" si="72"/>
        <v>73.755290182293834</v>
      </c>
      <c r="L554" s="96">
        <f t="shared" si="73"/>
        <v>17.846945617646078</v>
      </c>
    </row>
    <row r="555" spans="9:12" x14ac:dyDescent="0.2">
      <c r="I555" s="173">
        <f t="shared" si="71"/>
        <v>56.063161767555023</v>
      </c>
      <c r="J555" s="94">
        <v>408</v>
      </c>
      <c r="K555" s="95">
        <f t="shared" si="72"/>
        <v>73.936507111488666</v>
      </c>
      <c r="L555" s="96">
        <f t="shared" si="73"/>
        <v>17.873345343933643</v>
      </c>
    </row>
    <row r="556" spans="9:12" x14ac:dyDescent="0.2">
      <c r="I556" s="173">
        <f t="shared" ref="I556:I619" si="74">ABS(K556-L556)</f>
        <v>56.217978970462269</v>
      </c>
      <c r="J556" s="94">
        <v>409</v>
      </c>
      <c r="K556" s="95">
        <f t="shared" si="72"/>
        <v>74.117724040683484</v>
      </c>
      <c r="L556" s="96">
        <f t="shared" si="73"/>
        <v>17.899745070221211</v>
      </c>
    </row>
    <row r="557" spans="9:12" x14ac:dyDescent="0.2">
      <c r="I557" s="173">
        <f t="shared" si="74"/>
        <v>56.372796173369537</v>
      </c>
      <c r="J557" s="94">
        <v>410</v>
      </c>
      <c r="K557" s="95">
        <f t="shared" si="72"/>
        <v>74.298940969878316</v>
      </c>
      <c r="L557" s="96">
        <f t="shared" si="73"/>
        <v>17.92614479650878</v>
      </c>
    </row>
    <row r="558" spans="9:12" x14ac:dyDescent="0.2">
      <c r="I558" s="173">
        <f t="shared" si="74"/>
        <v>56.52761337627679</v>
      </c>
      <c r="J558" s="94">
        <v>411</v>
      </c>
      <c r="K558" s="95">
        <f t="shared" si="72"/>
        <v>74.480157899073134</v>
      </c>
      <c r="L558" s="96">
        <f t="shared" si="73"/>
        <v>17.952544522796348</v>
      </c>
    </row>
    <row r="559" spans="9:12" x14ac:dyDescent="0.2">
      <c r="I559" s="173">
        <f t="shared" si="74"/>
        <v>56.68243057918405</v>
      </c>
      <c r="J559" s="94">
        <v>412</v>
      </c>
      <c r="K559" s="95">
        <f t="shared" si="72"/>
        <v>74.661374828267967</v>
      </c>
      <c r="L559" s="96">
        <f t="shared" si="73"/>
        <v>17.978944249083916</v>
      </c>
    </row>
    <row r="560" spans="9:12" x14ac:dyDescent="0.2">
      <c r="I560" s="173">
        <f t="shared" si="74"/>
        <v>56.837247782091303</v>
      </c>
      <c r="J560" s="94">
        <v>413</v>
      </c>
      <c r="K560" s="95">
        <f t="shared" si="72"/>
        <v>74.842591757462785</v>
      </c>
      <c r="L560" s="96">
        <f t="shared" si="73"/>
        <v>18.005343975371481</v>
      </c>
    </row>
    <row r="561" spans="9:12" x14ac:dyDescent="0.2">
      <c r="I561" s="173">
        <f t="shared" si="74"/>
        <v>56.992064984998564</v>
      </c>
      <c r="J561" s="94">
        <v>414</v>
      </c>
      <c r="K561" s="95">
        <f t="shared" si="72"/>
        <v>75.023808686657617</v>
      </c>
      <c r="L561" s="96">
        <f t="shared" si="73"/>
        <v>18.031743701659053</v>
      </c>
    </row>
    <row r="562" spans="9:12" x14ac:dyDescent="0.2">
      <c r="I562" s="173">
        <f t="shared" si="74"/>
        <v>57.146882187905817</v>
      </c>
      <c r="J562" s="94">
        <v>415</v>
      </c>
      <c r="K562" s="95">
        <f t="shared" si="72"/>
        <v>75.205025615852435</v>
      </c>
      <c r="L562" s="96">
        <f t="shared" si="73"/>
        <v>18.058143427946618</v>
      </c>
    </row>
    <row r="563" spans="9:12" x14ac:dyDescent="0.2">
      <c r="I563" s="173">
        <f t="shared" si="74"/>
        <v>57.301699390813084</v>
      </c>
      <c r="J563" s="94">
        <v>416</v>
      </c>
      <c r="K563" s="95">
        <f t="shared" si="72"/>
        <v>75.386242545047267</v>
      </c>
      <c r="L563" s="96">
        <f t="shared" si="73"/>
        <v>18.084543154234186</v>
      </c>
    </row>
    <row r="564" spans="9:12" x14ac:dyDescent="0.2">
      <c r="I564" s="173">
        <f t="shared" si="74"/>
        <v>57.45651659372033</v>
      </c>
      <c r="J564" s="94">
        <v>417</v>
      </c>
      <c r="K564" s="95">
        <f t="shared" si="72"/>
        <v>75.567459474242085</v>
      </c>
      <c r="L564" s="96">
        <f t="shared" si="73"/>
        <v>18.110942880521755</v>
      </c>
    </row>
    <row r="565" spans="9:12" x14ac:dyDescent="0.2">
      <c r="I565" s="173">
        <f t="shared" si="74"/>
        <v>57.611333796627598</v>
      </c>
      <c r="J565" s="94">
        <v>418</v>
      </c>
      <c r="K565" s="95">
        <f t="shared" si="72"/>
        <v>75.748676403436917</v>
      </c>
      <c r="L565" s="96">
        <f t="shared" si="73"/>
        <v>18.13734260680932</v>
      </c>
    </row>
    <row r="566" spans="9:12" x14ac:dyDescent="0.2">
      <c r="I566" s="173">
        <f t="shared" si="74"/>
        <v>57.766150999534844</v>
      </c>
      <c r="J566" s="94">
        <v>419</v>
      </c>
      <c r="K566" s="95">
        <f t="shared" si="72"/>
        <v>75.929893332631735</v>
      </c>
      <c r="L566" s="96">
        <f t="shared" si="73"/>
        <v>18.163742333096891</v>
      </c>
    </row>
    <row r="567" spans="9:12" x14ac:dyDescent="0.2">
      <c r="I567" s="173">
        <f t="shared" si="74"/>
        <v>57.920968202442111</v>
      </c>
      <c r="J567" s="94">
        <v>420</v>
      </c>
      <c r="K567" s="95">
        <f t="shared" si="72"/>
        <v>76.111110261826568</v>
      </c>
      <c r="L567" s="96">
        <f t="shared" si="73"/>
        <v>18.190142059384456</v>
      </c>
    </row>
    <row r="568" spans="9:12" x14ac:dyDescent="0.2">
      <c r="I568" s="173">
        <f t="shared" si="74"/>
        <v>58.075785405349357</v>
      </c>
      <c r="J568" s="94">
        <v>421</v>
      </c>
      <c r="K568" s="95">
        <f t="shared" si="72"/>
        <v>76.292327191021386</v>
      </c>
      <c r="L568" s="96">
        <f t="shared" si="73"/>
        <v>18.216541785672028</v>
      </c>
    </row>
    <row r="569" spans="9:12" x14ac:dyDescent="0.2">
      <c r="I569" s="173">
        <f t="shared" si="74"/>
        <v>58.230602608256625</v>
      </c>
      <c r="J569" s="94">
        <v>422</v>
      </c>
      <c r="K569" s="95">
        <f t="shared" si="72"/>
        <v>76.473544120216218</v>
      </c>
      <c r="L569" s="96">
        <f t="shared" si="73"/>
        <v>18.242941511959593</v>
      </c>
    </row>
    <row r="570" spans="9:12" x14ac:dyDescent="0.2">
      <c r="I570" s="173">
        <f t="shared" si="74"/>
        <v>58.385419811163871</v>
      </c>
      <c r="J570" s="94">
        <v>423</v>
      </c>
      <c r="K570" s="95">
        <f t="shared" si="72"/>
        <v>76.654761049411036</v>
      </c>
      <c r="L570" s="96">
        <f t="shared" si="73"/>
        <v>18.269341238247161</v>
      </c>
    </row>
    <row r="571" spans="9:12" x14ac:dyDescent="0.2">
      <c r="I571" s="173">
        <f t="shared" si="74"/>
        <v>58.540237014071138</v>
      </c>
      <c r="J571" s="94">
        <v>424</v>
      </c>
      <c r="K571" s="95">
        <f t="shared" si="72"/>
        <v>76.835977978605868</v>
      </c>
      <c r="L571" s="96">
        <f t="shared" si="73"/>
        <v>18.29574096453473</v>
      </c>
    </row>
    <row r="572" spans="9:12" x14ac:dyDescent="0.2">
      <c r="I572" s="173">
        <f t="shared" si="74"/>
        <v>58.695054216978392</v>
      </c>
      <c r="J572" s="94">
        <v>425</v>
      </c>
      <c r="K572" s="95">
        <f t="shared" si="72"/>
        <v>77.017194907800686</v>
      </c>
      <c r="L572" s="96">
        <f t="shared" si="73"/>
        <v>18.322140690822295</v>
      </c>
    </row>
    <row r="573" spans="9:12" x14ac:dyDescent="0.2">
      <c r="I573" s="173">
        <f t="shared" si="74"/>
        <v>58.849871419885652</v>
      </c>
      <c r="J573" s="94">
        <v>426</v>
      </c>
      <c r="K573" s="95">
        <f t="shared" si="72"/>
        <v>77.198411836995518</v>
      </c>
      <c r="L573" s="96">
        <f t="shared" si="73"/>
        <v>18.348540417109866</v>
      </c>
    </row>
    <row r="574" spans="9:12" x14ac:dyDescent="0.2">
      <c r="I574" s="173">
        <f t="shared" si="74"/>
        <v>59.004688622792905</v>
      </c>
      <c r="J574" s="94">
        <v>427</v>
      </c>
      <c r="K574" s="95">
        <f t="shared" si="72"/>
        <v>77.379628766190336</v>
      </c>
      <c r="L574" s="96">
        <f t="shared" si="73"/>
        <v>18.374940143397431</v>
      </c>
    </row>
    <row r="575" spans="9:12" x14ac:dyDescent="0.2">
      <c r="I575" s="173">
        <f t="shared" si="74"/>
        <v>59.159505825700165</v>
      </c>
      <c r="J575" s="94">
        <v>428</v>
      </c>
      <c r="K575" s="95">
        <f t="shared" si="72"/>
        <v>77.560845695385169</v>
      </c>
      <c r="L575" s="96">
        <f t="shared" si="73"/>
        <v>18.401339869685</v>
      </c>
    </row>
    <row r="576" spans="9:12" x14ac:dyDescent="0.2">
      <c r="I576" s="173">
        <f t="shared" si="74"/>
        <v>59.314323028607419</v>
      </c>
      <c r="J576" s="94">
        <v>429</v>
      </c>
      <c r="K576" s="95">
        <f t="shared" si="72"/>
        <v>77.742062624579987</v>
      </c>
      <c r="L576" s="96">
        <f t="shared" si="73"/>
        <v>18.427739595972568</v>
      </c>
    </row>
    <row r="577" spans="9:12" x14ac:dyDescent="0.2">
      <c r="I577" s="173">
        <f t="shared" si="74"/>
        <v>59.469140231514686</v>
      </c>
      <c r="J577" s="94">
        <v>430</v>
      </c>
      <c r="K577" s="95">
        <f t="shared" si="72"/>
        <v>77.923279553774819</v>
      </c>
      <c r="L577" s="96">
        <f t="shared" si="73"/>
        <v>18.454139322260136</v>
      </c>
    </row>
    <row r="578" spans="9:12" x14ac:dyDescent="0.2">
      <c r="I578" s="173">
        <f t="shared" si="74"/>
        <v>59.623957434421932</v>
      </c>
      <c r="J578" s="94">
        <v>431</v>
      </c>
      <c r="K578" s="95">
        <f t="shared" si="72"/>
        <v>78.104496482969637</v>
      </c>
      <c r="L578" s="96">
        <f t="shared" si="73"/>
        <v>18.480539048547705</v>
      </c>
    </row>
    <row r="579" spans="9:12" x14ac:dyDescent="0.2">
      <c r="I579" s="173">
        <f t="shared" si="74"/>
        <v>59.778774637329199</v>
      </c>
      <c r="J579" s="94">
        <v>432</v>
      </c>
      <c r="K579" s="95">
        <f t="shared" si="72"/>
        <v>78.285713412164469</v>
      </c>
      <c r="L579" s="96">
        <f t="shared" si="73"/>
        <v>18.50693877483527</v>
      </c>
    </row>
    <row r="580" spans="9:12" x14ac:dyDescent="0.2">
      <c r="I580" s="173">
        <f t="shared" si="74"/>
        <v>59.933591840236446</v>
      </c>
      <c r="J580" s="94">
        <v>433</v>
      </c>
      <c r="K580" s="95">
        <f t="shared" si="72"/>
        <v>78.466930341359287</v>
      </c>
      <c r="L580" s="96">
        <f t="shared" si="73"/>
        <v>18.533338501122842</v>
      </c>
    </row>
    <row r="581" spans="9:12" x14ac:dyDescent="0.2">
      <c r="I581" s="173">
        <f t="shared" si="74"/>
        <v>60.088409043143713</v>
      </c>
      <c r="J581" s="94">
        <v>434</v>
      </c>
      <c r="K581" s="95">
        <f t="shared" si="72"/>
        <v>78.648147270554119</v>
      </c>
      <c r="L581" s="96">
        <f t="shared" si="73"/>
        <v>18.559738227410406</v>
      </c>
    </row>
    <row r="582" spans="9:12" x14ac:dyDescent="0.2">
      <c r="I582" s="173">
        <f t="shared" si="74"/>
        <v>60.243226246050966</v>
      </c>
      <c r="J582" s="94">
        <v>435</v>
      </c>
      <c r="K582" s="95">
        <f t="shared" si="72"/>
        <v>78.829364199748937</v>
      </c>
      <c r="L582" s="96">
        <f t="shared" si="73"/>
        <v>18.586137953697975</v>
      </c>
    </row>
    <row r="583" spans="9:12" x14ac:dyDescent="0.2">
      <c r="I583" s="173">
        <f t="shared" si="74"/>
        <v>60.398043448958227</v>
      </c>
      <c r="J583" s="94">
        <v>436</v>
      </c>
      <c r="K583" s="95">
        <f t="shared" si="72"/>
        <v>79.01058112894377</v>
      </c>
      <c r="L583" s="96">
        <f t="shared" si="73"/>
        <v>18.612537679985543</v>
      </c>
    </row>
    <row r="584" spans="9:12" x14ac:dyDescent="0.2">
      <c r="I584" s="173">
        <f t="shared" si="74"/>
        <v>60.55286065186548</v>
      </c>
      <c r="J584" s="94">
        <v>437</v>
      </c>
      <c r="K584" s="95">
        <f t="shared" si="72"/>
        <v>79.191798058138588</v>
      </c>
      <c r="L584" s="96">
        <f t="shared" si="73"/>
        <v>18.638937406273108</v>
      </c>
    </row>
    <row r="585" spans="9:12" x14ac:dyDescent="0.2">
      <c r="I585" s="173">
        <f t="shared" si="74"/>
        <v>60.70767785477274</v>
      </c>
      <c r="J585" s="94">
        <v>438</v>
      </c>
      <c r="K585" s="95">
        <f t="shared" si="72"/>
        <v>79.37301498733342</v>
      </c>
      <c r="L585" s="96">
        <f t="shared" si="73"/>
        <v>18.66533713256068</v>
      </c>
    </row>
    <row r="586" spans="9:12" x14ac:dyDescent="0.2">
      <c r="I586" s="173">
        <f t="shared" si="74"/>
        <v>60.862495057679993</v>
      </c>
      <c r="J586" s="94">
        <v>439</v>
      </c>
      <c r="K586" s="95">
        <f t="shared" si="72"/>
        <v>79.554231916528238</v>
      </c>
      <c r="L586" s="96">
        <f t="shared" si="73"/>
        <v>18.691736858848245</v>
      </c>
    </row>
    <row r="587" spans="9:12" x14ac:dyDescent="0.2">
      <c r="I587" s="173">
        <f t="shared" si="74"/>
        <v>61.017312260587261</v>
      </c>
      <c r="J587" s="94">
        <v>440</v>
      </c>
      <c r="K587" s="95">
        <f t="shared" si="72"/>
        <v>79.73544884572307</v>
      </c>
      <c r="L587" s="96">
        <f t="shared" si="73"/>
        <v>18.718136585135813</v>
      </c>
    </row>
    <row r="588" spans="9:12" x14ac:dyDescent="0.2">
      <c r="I588" s="173">
        <f t="shared" si="74"/>
        <v>61.172129463494507</v>
      </c>
      <c r="J588" s="94">
        <v>441</v>
      </c>
      <c r="K588" s="95">
        <f t="shared" si="72"/>
        <v>79.916665774917888</v>
      </c>
      <c r="L588" s="96">
        <f t="shared" si="73"/>
        <v>18.744536311423381</v>
      </c>
    </row>
    <row r="589" spans="9:12" x14ac:dyDescent="0.2">
      <c r="I589" s="173">
        <f t="shared" si="74"/>
        <v>61.326946666401767</v>
      </c>
      <c r="J589" s="94">
        <v>442</v>
      </c>
      <c r="K589" s="95">
        <f t="shared" si="72"/>
        <v>80.09788270411272</v>
      </c>
      <c r="L589" s="96">
        <f t="shared" si="73"/>
        <v>18.77093603771095</v>
      </c>
    </row>
    <row r="590" spans="9:12" x14ac:dyDescent="0.2">
      <c r="I590" s="173">
        <f t="shared" si="74"/>
        <v>61.48176386930902</v>
      </c>
      <c r="J590" s="94">
        <v>443</v>
      </c>
      <c r="K590" s="95">
        <f t="shared" si="72"/>
        <v>80.279099633307538</v>
      </c>
      <c r="L590" s="96">
        <f t="shared" si="73"/>
        <v>18.797335763998518</v>
      </c>
    </row>
    <row r="591" spans="9:12" x14ac:dyDescent="0.2">
      <c r="I591" s="173">
        <f t="shared" si="74"/>
        <v>61.636581072216288</v>
      </c>
      <c r="J591" s="94">
        <v>444</v>
      </c>
      <c r="K591" s="95">
        <f t="shared" si="72"/>
        <v>80.460316562502371</v>
      </c>
      <c r="L591" s="96">
        <f t="shared" si="73"/>
        <v>18.823735490286083</v>
      </c>
    </row>
    <row r="592" spans="9:12" x14ac:dyDescent="0.2">
      <c r="I592" s="173">
        <f t="shared" si="74"/>
        <v>61.791398275123534</v>
      </c>
      <c r="J592" s="94">
        <v>445</v>
      </c>
      <c r="K592" s="95">
        <f t="shared" si="72"/>
        <v>80.641533491697189</v>
      </c>
      <c r="L592" s="96">
        <f t="shared" si="73"/>
        <v>18.850135216573655</v>
      </c>
    </row>
    <row r="593" spans="9:12" x14ac:dyDescent="0.2">
      <c r="I593" s="173">
        <f t="shared" si="74"/>
        <v>61.946215478030801</v>
      </c>
      <c r="J593" s="94">
        <v>446</v>
      </c>
      <c r="K593" s="95">
        <f t="shared" si="72"/>
        <v>80.822750420892021</v>
      </c>
      <c r="L593" s="96">
        <f t="shared" si="73"/>
        <v>18.87653494286122</v>
      </c>
    </row>
    <row r="594" spans="9:12" x14ac:dyDescent="0.2">
      <c r="I594" s="173">
        <f t="shared" si="74"/>
        <v>62.101032680938047</v>
      </c>
      <c r="J594" s="94">
        <v>447</v>
      </c>
      <c r="K594" s="95">
        <f t="shared" ref="K594:K657" si="75">VLOOKUP($L$297,$C$138:$D$141,2,FALSE)*J594</f>
        <v>81.003967350086839</v>
      </c>
      <c r="L594" s="96">
        <f t="shared" ref="L594:L657" si="76">VLOOKUP($L$297,$C$281:$E$284,2,FALSE)*J594+(VLOOKUP($L$297,$C$281:$E$284,3,FALSE)+$D$292)</f>
        <v>18.902934669148788</v>
      </c>
    </row>
    <row r="595" spans="9:12" x14ac:dyDescent="0.2">
      <c r="I595" s="173">
        <f t="shared" si="74"/>
        <v>62.255849883845315</v>
      </c>
      <c r="J595" s="94">
        <v>448</v>
      </c>
      <c r="K595" s="95">
        <f t="shared" si="75"/>
        <v>81.185184279281671</v>
      </c>
      <c r="L595" s="96">
        <f t="shared" si="76"/>
        <v>18.929334395436356</v>
      </c>
    </row>
    <row r="596" spans="9:12" x14ac:dyDescent="0.2">
      <c r="I596" s="173">
        <f t="shared" si="74"/>
        <v>62.410667086752568</v>
      </c>
      <c r="J596" s="94">
        <v>449</v>
      </c>
      <c r="K596" s="95">
        <f t="shared" si="75"/>
        <v>81.366401208476489</v>
      </c>
      <c r="L596" s="96">
        <f t="shared" si="76"/>
        <v>18.955734121723921</v>
      </c>
    </row>
    <row r="597" spans="9:12" x14ac:dyDescent="0.2">
      <c r="I597" s="173">
        <f t="shared" si="74"/>
        <v>62.565484289659828</v>
      </c>
      <c r="J597" s="94">
        <v>450</v>
      </c>
      <c r="K597" s="95">
        <f t="shared" si="75"/>
        <v>81.547618137671321</v>
      </c>
      <c r="L597" s="96">
        <f t="shared" si="76"/>
        <v>18.982133848011493</v>
      </c>
    </row>
    <row r="598" spans="9:12" x14ac:dyDescent="0.2">
      <c r="I598" s="173">
        <f t="shared" si="74"/>
        <v>62.720301492567081</v>
      </c>
      <c r="J598" s="94">
        <v>451</v>
      </c>
      <c r="K598" s="95">
        <f t="shared" si="75"/>
        <v>81.728835066866139</v>
      </c>
      <c r="L598" s="96">
        <f t="shared" si="76"/>
        <v>19.008533574299058</v>
      </c>
    </row>
    <row r="599" spans="9:12" x14ac:dyDescent="0.2">
      <c r="I599" s="173">
        <f t="shared" si="74"/>
        <v>62.875118695474342</v>
      </c>
      <c r="J599" s="94">
        <v>452</v>
      </c>
      <c r="K599" s="95">
        <f t="shared" si="75"/>
        <v>81.910051996060972</v>
      </c>
      <c r="L599" s="96">
        <f t="shared" si="76"/>
        <v>19.034933300586626</v>
      </c>
    </row>
    <row r="600" spans="9:12" x14ac:dyDescent="0.2">
      <c r="I600" s="173">
        <f t="shared" si="74"/>
        <v>63.029935898381595</v>
      </c>
      <c r="J600" s="94">
        <v>453</v>
      </c>
      <c r="K600" s="95">
        <f t="shared" si="75"/>
        <v>82.09126892525579</v>
      </c>
      <c r="L600" s="96">
        <f t="shared" si="76"/>
        <v>19.061333026874195</v>
      </c>
    </row>
    <row r="601" spans="9:12" x14ac:dyDescent="0.2">
      <c r="I601" s="173">
        <f t="shared" si="74"/>
        <v>63.184753101288862</v>
      </c>
      <c r="J601" s="94">
        <v>454</v>
      </c>
      <c r="K601" s="95">
        <f t="shared" si="75"/>
        <v>82.272485854450622</v>
      </c>
      <c r="L601" s="96">
        <f t="shared" si="76"/>
        <v>19.087732753161763</v>
      </c>
    </row>
    <row r="602" spans="9:12" x14ac:dyDescent="0.2">
      <c r="I602" s="173">
        <f t="shared" si="74"/>
        <v>63.339570304196108</v>
      </c>
      <c r="J602" s="94">
        <v>455</v>
      </c>
      <c r="K602" s="95">
        <f t="shared" si="75"/>
        <v>82.45370278364544</v>
      </c>
      <c r="L602" s="96">
        <f t="shared" si="76"/>
        <v>19.114132479449331</v>
      </c>
    </row>
    <row r="603" spans="9:12" x14ac:dyDescent="0.2">
      <c r="I603" s="173">
        <f t="shared" si="74"/>
        <v>63.494387507103376</v>
      </c>
      <c r="J603" s="94">
        <v>456</v>
      </c>
      <c r="K603" s="95">
        <f t="shared" si="75"/>
        <v>82.634919712840272</v>
      </c>
      <c r="L603" s="96">
        <f t="shared" si="76"/>
        <v>19.140532205736896</v>
      </c>
    </row>
    <row r="604" spans="9:12" x14ac:dyDescent="0.2">
      <c r="I604" s="173">
        <f t="shared" si="74"/>
        <v>63.649204710010622</v>
      </c>
      <c r="J604" s="94">
        <v>457</v>
      </c>
      <c r="K604" s="95">
        <f t="shared" si="75"/>
        <v>82.81613664203509</v>
      </c>
      <c r="L604" s="96">
        <f t="shared" si="76"/>
        <v>19.166931932024468</v>
      </c>
    </row>
    <row r="605" spans="9:12" x14ac:dyDescent="0.2">
      <c r="I605" s="173">
        <f t="shared" si="74"/>
        <v>63.804021912917889</v>
      </c>
      <c r="J605" s="94">
        <v>458</v>
      </c>
      <c r="K605" s="95">
        <f t="shared" si="75"/>
        <v>82.997353571229922</v>
      </c>
      <c r="L605" s="96">
        <f t="shared" si="76"/>
        <v>19.193331658312033</v>
      </c>
    </row>
    <row r="606" spans="9:12" x14ac:dyDescent="0.2">
      <c r="I606" s="173">
        <f t="shared" si="74"/>
        <v>63.958839115825143</v>
      </c>
      <c r="J606" s="94">
        <v>459</v>
      </c>
      <c r="K606" s="95">
        <f t="shared" si="75"/>
        <v>83.17857050042474</v>
      </c>
      <c r="L606" s="96">
        <f t="shared" si="76"/>
        <v>19.219731384599601</v>
      </c>
    </row>
    <row r="607" spans="9:12" x14ac:dyDescent="0.2">
      <c r="I607" s="173">
        <f t="shared" si="74"/>
        <v>64.11365631873241</v>
      </c>
      <c r="J607" s="94">
        <v>460</v>
      </c>
      <c r="K607" s="95">
        <f t="shared" si="75"/>
        <v>83.359787429619573</v>
      </c>
      <c r="L607" s="96">
        <f t="shared" si="76"/>
        <v>19.24613111088717</v>
      </c>
    </row>
    <row r="608" spans="9:12" x14ac:dyDescent="0.2">
      <c r="I608" s="173">
        <f t="shared" si="74"/>
        <v>64.268473521639649</v>
      </c>
      <c r="J608" s="94">
        <v>461</v>
      </c>
      <c r="K608" s="95">
        <f t="shared" si="75"/>
        <v>83.541004358814391</v>
      </c>
      <c r="L608" s="96">
        <f t="shared" si="76"/>
        <v>19.272530837174738</v>
      </c>
    </row>
    <row r="609" spans="9:12" x14ac:dyDescent="0.2">
      <c r="I609" s="173">
        <f t="shared" si="74"/>
        <v>64.423290724546916</v>
      </c>
      <c r="J609" s="94">
        <v>462</v>
      </c>
      <c r="K609" s="95">
        <f t="shared" si="75"/>
        <v>83.722221288009223</v>
      </c>
      <c r="L609" s="96">
        <f t="shared" si="76"/>
        <v>19.298930563462307</v>
      </c>
    </row>
    <row r="610" spans="9:12" x14ac:dyDescent="0.2">
      <c r="I610" s="173">
        <f t="shared" si="74"/>
        <v>64.57810792745417</v>
      </c>
      <c r="J610" s="94">
        <v>463</v>
      </c>
      <c r="K610" s="95">
        <f t="shared" si="75"/>
        <v>83.903438217204041</v>
      </c>
      <c r="L610" s="96">
        <f t="shared" si="76"/>
        <v>19.325330289749871</v>
      </c>
    </row>
    <row r="611" spans="9:12" x14ac:dyDescent="0.2">
      <c r="I611" s="173">
        <f t="shared" si="74"/>
        <v>64.732925130361423</v>
      </c>
      <c r="J611" s="94">
        <v>464</v>
      </c>
      <c r="K611" s="95">
        <f t="shared" si="75"/>
        <v>84.084655146398873</v>
      </c>
      <c r="L611" s="96">
        <f t="shared" si="76"/>
        <v>19.351730016037443</v>
      </c>
    </row>
    <row r="612" spans="9:12" x14ac:dyDescent="0.2">
      <c r="I612" s="173">
        <f t="shared" si="74"/>
        <v>64.887742333268676</v>
      </c>
      <c r="J612" s="94">
        <v>465</v>
      </c>
      <c r="K612" s="95">
        <f t="shared" si="75"/>
        <v>84.265872075593691</v>
      </c>
      <c r="L612" s="96">
        <f t="shared" si="76"/>
        <v>19.378129742325008</v>
      </c>
    </row>
    <row r="613" spans="9:12" x14ac:dyDescent="0.2">
      <c r="I613" s="173">
        <f t="shared" si="74"/>
        <v>65.042559536175943</v>
      </c>
      <c r="J613" s="94">
        <v>466</v>
      </c>
      <c r="K613" s="95">
        <f t="shared" si="75"/>
        <v>84.447089004788523</v>
      </c>
      <c r="L613" s="96">
        <f t="shared" si="76"/>
        <v>19.404529468612576</v>
      </c>
    </row>
    <row r="614" spans="9:12" x14ac:dyDescent="0.2">
      <c r="I614" s="173">
        <f t="shared" si="74"/>
        <v>65.197376739083197</v>
      </c>
      <c r="J614" s="94">
        <v>467</v>
      </c>
      <c r="K614" s="95">
        <f t="shared" si="75"/>
        <v>84.628305933983341</v>
      </c>
      <c r="L614" s="96">
        <f t="shared" si="76"/>
        <v>19.430929194900145</v>
      </c>
    </row>
    <row r="615" spans="9:12" x14ac:dyDescent="0.2">
      <c r="I615" s="173">
        <f t="shared" si="74"/>
        <v>65.352193941990464</v>
      </c>
      <c r="J615" s="94">
        <v>468</v>
      </c>
      <c r="K615" s="95">
        <f t="shared" si="75"/>
        <v>84.809522863178174</v>
      </c>
      <c r="L615" s="96">
        <f t="shared" si="76"/>
        <v>19.45732892118771</v>
      </c>
    </row>
    <row r="616" spans="9:12" x14ac:dyDescent="0.2">
      <c r="I616" s="173">
        <f t="shared" si="74"/>
        <v>65.507011144897717</v>
      </c>
      <c r="J616" s="94">
        <v>469</v>
      </c>
      <c r="K616" s="95">
        <f t="shared" si="75"/>
        <v>84.990739792372992</v>
      </c>
      <c r="L616" s="96">
        <f t="shared" si="76"/>
        <v>19.483728647475282</v>
      </c>
    </row>
    <row r="617" spans="9:12" x14ac:dyDescent="0.2">
      <c r="I617" s="173">
        <f t="shared" si="74"/>
        <v>65.66182834780497</v>
      </c>
      <c r="J617" s="94">
        <v>470</v>
      </c>
      <c r="K617" s="95">
        <f t="shared" si="75"/>
        <v>85.171956721567824</v>
      </c>
      <c r="L617" s="96">
        <f t="shared" si="76"/>
        <v>19.510128373762846</v>
      </c>
    </row>
    <row r="618" spans="9:12" x14ac:dyDescent="0.2">
      <c r="I618" s="173">
        <f t="shared" si="74"/>
        <v>65.816645550712224</v>
      </c>
      <c r="J618" s="94">
        <v>471</v>
      </c>
      <c r="K618" s="95">
        <f t="shared" si="75"/>
        <v>85.353173650762642</v>
      </c>
      <c r="L618" s="96">
        <f t="shared" si="76"/>
        <v>19.536528100050415</v>
      </c>
    </row>
    <row r="619" spans="9:12" x14ac:dyDescent="0.2">
      <c r="I619" s="173">
        <f t="shared" si="74"/>
        <v>65.971462753619491</v>
      </c>
      <c r="J619" s="94">
        <v>472</v>
      </c>
      <c r="K619" s="95">
        <f t="shared" si="75"/>
        <v>85.534390579957474</v>
      </c>
      <c r="L619" s="96">
        <f t="shared" si="76"/>
        <v>19.562927826337983</v>
      </c>
    </row>
    <row r="620" spans="9:12" x14ac:dyDescent="0.2">
      <c r="I620" s="173">
        <f t="shared" ref="I620:I683" si="77">ABS(K620-L620)</f>
        <v>66.126279956526744</v>
      </c>
      <c r="J620" s="94">
        <v>473</v>
      </c>
      <c r="K620" s="95">
        <f t="shared" si="75"/>
        <v>85.715607509152292</v>
      </c>
      <c r="L620" s="96">
        <f t="shared" si="76"/>
        <v>19.589327552625551</v>
      </c>
    </row>
    <row r="621" spans="9:12" x14ac:dyDescent="0.2">
      <c r="I621" s="173">
        <f t="shared" si="77"/>
        <v>66.281097159434012</v>
      </c>
      <c r="J621" s="94">
        <v>474</v>
      </c>
      <c r="K621" s="95">
        <f t="shared" si="75"/>
        <v>85.896824438347124</v>
      </c>
      <c r="L621" s="96">
        <f t="shared" si="76"/>
        <v>19.61572727891312</v>
      </c>
    </row>
    <row r="622" spans="9:12" x14ac:dyDescent="0.2">
      <c r="I622" s="173">
        <f t="shared" si="77"/>
        <v>66.435914362341265</v>
      </c>
      <c r="J622" s="94">
        <v>475</v>
      </c>
      <c r="K622" s="95">
        <f t="shared" si="75"/>
        <v>86.078041367541942</v>
      </c>
      <c r="L622" s="96">
        <f t="shared" si="76"/>
        <v>19.642127005200685</v>
      </c>
    </row>
    <row r="623" spans="9:12" x14ac:dyDescent="0.2">
      <c r="I623" s="173">
        <f t="shared" si="77"/>
        <v>66.590731565248518</v>
      </c>
      <c r="J623" s="94">
        <v>476</v>
      </c>
      <c r="K623" s="95">
        <f t="shared" si="75"/>
        <v>86.259258296736775</v>
      </c>
      <c r="L623" s="96">
        <f t="shared" si="76"/>
        <v>19.668526731488257</v>
      </c>
    </row>
    <row r="624" spans="9:12" x14ac:dyDescent="0.2">
      <c r="I624" s="173">
        <f t="shared" si="77"/>
        <v>66.745548768155771</v>
      </c>
      <c r="J624" s="94">
        <v>477</v>
      </c>
      <c r="K624" s="95">
        <f t="shared" si="75"/>
        <v>86.440475225931593</v>
      </c>
      <c r="L624" s="96">
        <f t="shared" si="76"/>
        <v>19.694926457775821</v>
      </c>
    </row>
    <row r="625" spans="9:12" x14ac:dyDescent="0.2">
      <c r="I625" s="173">
        <f t="shared" si="77"/>
        <v>66.900365971063039</v>
      </c>
      <c r="J625" s="94">
        <v>478</v>
      </c>
      <c r="K625" s="95">
        <f t="shared" si="75"/>
        <v>86.621692155126425</v>
      </c>
      <c r="L625" s="96">
        <f t="shared" si="76"/>
        <v>19.72132618406339</v>
      </c>
    </row>
    <row r="626" spans="9:12" x14ac:dyDescent="0.2">
      <c r="I626" s="173">
        <f t="shared" si="77"/>
        <v>67.055183173970278</v>
      </c>
      <c r="J626" s="94">
        <v>479</v>
      </c>
      <c r="K626" s="95">
        <f t="shared" si="75"/>
        <v>86.802909084321243</v>
      </c>
      <c r="L626" s="96">
        <f t="shared" si="76"/>
        <v>19.747725910350958</v>
      </c>
    </row>
    <row r="627" spans="9:12" x14ac:dyDescent="0.2">
      <c r="I627" s="173">
        <f t="shared" si="77"/>
        <v>67.210000376877559</v>
      </c>
      <c r="J627" s="94">
        <v>480</v>
      </c>
      <c r="K627" s="95">
        <f t="shared" si="75"/>
        <v>86.984126013516075</v>
      </c>
      <c r="L627" s="96">
        <f t="shared" si="76"/>
        <v>19.774125636638523</v>
      </c>
    </row>
    <row r="628" spans="9:12" x14ac:dyDescent="0.2">
      <c r="I628" s="173">
        <f t="shared" si="77"/>
        <v>67.364817579784798</v>
      </c>
      <c r="J628" s="94">
        <v>481</v>
      </c>
      <c r="K628" s="95">
        <f t="shared" si="75"/>
        <v>87.165342942710893</v>
      </c>
      <c r="L628" s="96">
        <f t="shared" si="76"/>
        <v>19.800525362926095</v>
      </c>
    </row>
    <row r="629" spans="9:12" x14ac:dyDescent="0.2">
      <c r="I629" s="173">
        <f t="shared" si="77"/>
        <v>67.519634782692066</v>
      </c>
      <c r="J629" s="94">
        <v>482</v>
      </c>
      <c r="K629" s="95">
        <f t="shared" si="75"/>
        <v>87.346559871905725</v>
      </c>
      <c r="L629" s="96">
        <f t="shared" si="76"/>
        <v>19.82692508921366</v>
      </c>
    </row>
    <row r="630" spans="9:12" x14ac:dyDescent="0.2">
      <c r="I630" s="173">
        <f t="shared" si="77"/>
        <v>67.674451985599319</v>
      </c>
      <c r="J630" s="94">
        <v>483</v>
      </c>
      <c r="K630" s="95">
        <f t="shared" si="75"/>
        <v>87.527776801100543</v>
      </c>
      <c r="L630" s="96">
        <f t="shared" si="76"/>
        <v>19.853324815501228</v>
      </c>
    </row>
    <row r="631" spans="9:12" x14ac:dyDescent="0.2">
      <c r="I631" s="173">
        <f t="shared" si="77"/>
        <v>67.829269188506572</v>
      </c>
      <c r="J631" s="94">
        <v>484</v>
      </c>
      <c r="K631" s="95">
        <f t="shared" si="75"/>
        <v>87.708993730295376</v>
      </c>
      <c r="L631" s="96">
        <f t="shared" si="76"/>
        <v>19.879724541788796</v>
      </c>
    </row>
    <row r="632" spans="9:12" x14ac:dyDescent="0.2">
      <c r="I632" s="173">
        <f t="shared" si="77"/>
        <v>67.984086391413825</v>
      </c>
      <c r="J632" s="94">
        <v>485</v>
      </c>
      <c r="K632" s="95">
        <f t="shared" si="75"/>
        <v>87.890210659490194</v>
      </c>
      <c r="L632" s="96">
        <f t="shared" si="76"/>
        <v>19.906124268076365</v>
      </c>
    </row>
    <row r="633" spans="9:12" x14ac:dyDescent="0.2">
      <c r="I633" s="173">
        <f t="shared" si="77"/>
        <v>68.138903594321093</v>
      </c>
      <c r="J633" s="94">
        <v>486</v>
      </c>
      <c r="K633" s="95">
        <f t="shared" si="75"/>
        <v>88.071427588685026</v>
      </c>
      <c r="L633" s="96">
        <f t="shared" si="76"/>
        <v>19.932523994363933</v>
      </c>
    </row>
    <row r="634" spans="9:12" x14ac:dyDescent="0.2">
      <c r="I634" s="173">
        <f t="shared" si="77"/>
        <v>68.293720797228346</v>
      </c>
      <c r="J634" s="94">
        <v>487</v>
      </c>
      <c r="K634" s="95">
        <f t="shared" si="75"/>
        <v>88.252644517879844</v>
      </c>
      <c r="L634" s="96">
        <f t="shared" si="76"/>
        <v>19.958923720651498</v>
      </c>
    </row>
    <row r="635" spans="9:12" x14ac:dyDescent="0.2">
      <c r="I635" s="173">
        <f t="shared" si="77"/>
        <v>68.448538000135613</v>
      </c>
      <c r="J635" s="94">
        <v>488</v>
      </c>
      <c r="K635" s="95">
        <f t="shared" si="75"/>
        <v>88.433861447074676</v>
      </c>
      <c r="L635" s="96">
        <f t="shared" si="76"/>
        <v>19.98532344693907</v>
      </c>
    </row>
    <row r="636" spans="9:12" x14ac:dyDescent="0.2">
      <c r="I636" s="173">
        <f t="shared" si="77"/>
        <v>68.603355203042867</v>
      </c>
      <c r="J636" s="94">
        <v>489</v>
      </c>
      <c r="K636" s="95">
        <f t="shared" si="75"/>
        <v>88.615078376269494</v>
      </c>
      <c r="L636" s="96">
        <f t="shared" si="76"/>
        <v>20.011723173226635</v>
      </c>
    </row>
    <row r="637" spans="9:12" x14ac:dyDescent="0.2">
      <c r="I637" s="173">
        <f t="shared" si="77"/>
        <v>68.75817240595012</v>
      </c>
      <c r="J637" s="94">
        <v>490</v>
      </c>
      <c r="K637" s="95">
        <f t="shared" si="75"/>
        <v>88.796295305464326</v>
      </c>
      <c r="L637" s="96">
        <f t="shared" si="76"/>
        <v>20.038122899514203</v>
      </c>
    </row>
    <row r="638" spans="9:12" x14ac:dyDescent="0.2">
      <c r="I638" s="173">
        <f t="shared" si="77"/>
        <v>68.912989608857373</v>
      </c>
      <c r="J638" s="94">
        <v>491</v>
      </c>
      <c r="K638" s="95">
        <f t="shared" si="75"/>
        <v>88.977512234659144</v>
      </c>
      <c r="L638" s="96">
        <f t="shared" si="76"/>
        <v>20.064522625801771</v>
      </c>
    </row>
    <row r="639" spans="9:12" x14ac:dyDescent="0.2">
      <c r="I639" s="173">
        <f t="shared" si="77"/>
        <v>69.06780681176464</v>
      </c>
      <c r="J639" s="94">
        <v>492</v>
      </c>
      <c r="K639" s="95">
        <f t="shared" si="75"/>
        <v>89.158729163853977</v>
      </c>
      <c r="L639" s="96">
        <f t="shared" si="76"/>
        <v>20.090922352089336</v>
      </c>
    </row>
    <row r="640" spans="9:12" x14ac:dyDescent="0.2">
      <c r="I640" s="173">
        <f t="shared" si="77"/>
        <v>69.222624014671879</v>
      </c>
      <c r="J640" s="94">
        <v>493</v>
      </c>
      <c r="K640" s="95">
        <f t="shared" si="75"/>
        <v>89.339946093048795</v>
      </c>
      <c r="L640" s="96">
        <f t="shared" si="76"/>
        <v>20.117322078376908</v>
      </c>
    </row>
    <row r="641" spans="9:12" x14ac:dyDescent="0.2">
      <c r="I641" s="173">
        <f t="shared" si="77"/>
        <v>69.377441217579161</v>
      </c>
      <c r="J641" s="94">
        <v>494</v>
      </c>
      <c r="K641" s="95">
        <f t="shared" si="75"/>
        <v>89.521163022243627</v>
      </c>
      <c r="L641" s="96">
        <f t="shared" si="76"/>
        <v>20.143721804664473</v>
      </c>
    </row>
    <row r="642" spans="9:12" x14ac:dyDescent="0.2">
      <c r="I642" s="173">
        <f t="shared" si="77"/>
        <v>69.5322584204864</v>
      </c>
      <c r="J642" s="94">
        <v>495</v>
      </c>
      <c r="K642" s="95">
        <f t="shared" si="75"/>
        <v>89.702379951438445</v>
      </c>
      <c r="L642" s="96">
        <f t="shared" si="76"/>
        <v>20.170121530952045</v>
      </c>
    </row>
    <row r="643" spans="9:12" x14ac:dyDescent="0.2">
      <c r="I643" s="173">
        <f t="shared" si="77"/>
        <v>69.687075623393667</v>
      </c>
      <c r="J643" s="94">
        <v>496</v>
      </c>
      <c r="K643" s="95">
        <f t="shared" si="75"/>
        <v>89.883596880633277</v>
      </c>
      <c r="L643" s="96">
        <f t="shared" si="76"/>
        <v>20.19652125723961</v>
      </c>
    </row>
    <row r="644" spans="9:12" x14ac:dyDescent="0.2">
      <c r="I644" s="173">
        <f t="shared" si="77"/>
        <v>69.841892826300921</v>
      </c>
      <c r="J644" s="94">
        <v>497</v>
      </c>
      <c r="K644" s="95">
        <f t="shared" si="75"/>
        <v>90.064813809828095</v>
      </c>
      <c r="L644" s="96">
        <f t="shared" si="76"/>
        <v>20.222920983527178</v>
      </c>
    </row>
    <row r="645" spans="9:12" x14ac:dyDescent="0.2">
      <c r="I645" s="173">
        <f t="shared" si="77"/>
        <v>69.996710029208174</v>
      </c>
      <c r="J645" s="94">
        <v>498</v>
      </c>
      <c r="K645" s="95">
        <f t="shared" si="75"/>
        <v>90.246030739022927</v>
      </c>
      <c r="L645" s="96">
        <f t="shared" si="76"/>
        <v>20.249320709814747</v>
      </c>
    </row>
    <row r="646" spans="9:12" x14ac:dyDescent="0.2">
      <c r="I646" s="173">
        <f t="shared" si="77"/>
        <v>70.151527232115427</v>
      </c>
      <c r="J646" s="94">
        <v>499</v>
      </c>
      <c r="K646" s="95">
        <f t="shared" si="75"/>
        <v>90.427247668217746</v>
      </c>
      <c r="L646" s="96">
        <f t="shared" si="76"/>
        <v>20.275720436102311</v>
      </c>
    </row>
    <row r="647" spans="9:12" x14ac:dyDescent="0.2">
      <c r="I647" s="173">
        <f t="shared" si="77"/>
        <v>70.306344435022694</v>
      </c>
      <c r="J647" s="94">
        <v>500</v>
      </c>
      <c r="K647" s="95">
        <f t="shared" si="75"/>
        <v>90.608464597412578</v>
      </c>
      <c r="L647" s="96">
        <f t="shared" si="76"/>
        <v>20.302120162389883</v>
      </c>
    </row>
    <row r="648" spans="9:12" x14ac:dyDescent="0.2">
      <c r="I648" s="173">
        <f t="shared" si="77"/>
        <v>70.461161637929948</v>
      </c>
      <c r="J648" s="94">
        <v>501</v>
      </c>
      <c r="K648" s="95">
        <f t="shared" si="75"/>
        <v>90.789681526607396</v>
      </c>
      <c r="L648" s="96">
        <f t="shared" si="76"/>
        <v>20.328519888677448</v>
      </c>
    </row>
    <row r="649" spans="9:12" x14ac:dyDescent="0.2">
      <c r="I649" s="173">
        <f t="shared" si="77"/>
        <v>70.615978840837215</v>
      </c>
      <c r="J649" s="94">
        <v>502</v>
      </c>
      <c r="K649" s="95">
        <f t="shared" si="75"/>
        <v>90.970898455802228</v>
      </c>
      <c r="L649" s="96">
        <f t="shared" si="76"/>
        <v>20.354919614965016</v>
      </c>
    </row>
    <row r="650" spans="9:12" x14ac:dyDescent="0.2">
      <c r="I650" s="173">
        <f t="shared" si="77"/>
        <v>70.770796043744468</v>
      </c>
      <c r="J650" s="94">
        <v>503</v>
      </c>
      <c r="K650" s="95">
        <f t="shared" si="75"/>
        <v>91.152115384997046</v>
      </c>
      <c r="L650" s="96">
        <f t="shared" si="76"/>
        <v>20.381319341252585</v>
      </c>
    </row>
    <row r="651" spans="9:12" x14ac:dyDescent="0.2">
      <c r="I651" s="173">
        <f t="shared" si="77"/>
        <v>70.925613246651722</v>
      </c>
      <c r="J651" s="94">
        <v>504</v>
      </c>
      <c r="K651" s="95">
        <f t="shared" si="75"/>
        <v>91.333332314191878</v>
      </c>
      <c r="L651" s="96">
        <f t="shared" si="76"/>
        <v>20.407719067540153</v>
      </c>
    </row>
    <row r="652" spans="9:12" x14ac:dyDescent="0.2">
      <c r="I652" s="173">
        <f t="shared" si="77"/>
        <v>71.080430449558975</v>
      </c>
      <c r="J652" s="94">
        <v>505</v>
      </c>
      <c r="K652" s="95">
        <f t="shared" si="75"/>
        <v>91.514549243386696</v>
      </c>
      <c r="L652" s="96">
        <f t="shared" si="76"/>
        <v>20.434118793827722</v>
      </c>
    </row>
    <row r="653" spans="9:12" x14ac:dyDescent="0.2">
      <c r="I653" s="173">
        <f t="shared" si="77"/>
        <v>71.235247652466242</v>
      </c>
      <c r="J653" s="94">
        <v>506</v>
      </c>
      <c r="K653" s="95">
        <f t="shared" si="75"/>
        <v>91.695766172581529</v>
      </c>
      <c r="L653" s="96">
        <f t="shared" si="76"/>
        <v>20.460518520115286</v>
      </c>
    </row>
    <row r="654" spans="9:12" x14ac:dyDescent="0.2">
      <c r="I654" s="173">
        <f t="shared" si="77"/>
        <v>71.390064855373481</v>
      </c>
      <c r="J654" s="94">
        <v>507</v>
      </c>
      <c r="K654" s="95">
        <f t="shared" si="75"/>
        <v>91.876983101776347</v>
      </c>
      <c r="L654" s="96">
        <f t="shared" si="76"/>
        <v>20.486918246402858</v>
      </c>
    </row>
    <row r="655" spans="9:12" x14ac:dyDescent="0.2">
      <c r="I655" s="173">
        <f t="shared" si="77"/>
        <v>71.544882058280763</v>
      </c>
      <c r="J655" s="94">
        <v>508</v>
      </c>
      <c r="K655" s="95">
        <f t="shared" si="75"/>
        <v>92.058200030971179</v>
      </c>
      <c r="L655" s="96">
        <f t="shared" si="76"/>
        <v>20.513317972690423</v>
      </c>
    </row>
    <row r="656" spans="9:12" x14ac:dyDescent="0.2">
      <c r="I656" s="173">
        <f t="shared" si="77"/>
        <v>71.699699261188002</v>
      </c>
      <c r="J656" s="94">
        <v>509</v>
      </c>
      <c r="K656" s="95">
        <f t="shared" si="75"/>
        <v>92.239416960165997</v>
      </c>
      <c r="L656" s="96">
        <f t="shared" si="76"/>
        <v>20.539717698977991</v>
      </c>
    </row>
    <row r="657" spans="9:12" x14ac:dyDescent="0.2">
      <c r="I657" s="173">
        <f t="shared" si="77"/>
        <v>71.854516464095269</v>
      </c>
      <c r="J657" s="94">
        <v>510</v>
      </c>
      <c r="K657" s="95">
        <f t="shared" si="75"/>
        <v>92.420633889360829</v>
      </c>
      <c r="L657" s="96">
        <f t="shared" si="76"/>
        <v>20.56611742526556</v>
      </c>
    </row>
    <row r="658" spans="9:12" x14ac:dyDescent="0.2">
      <c r="I658" s="173">
        <f t="shared" si="77"/>
        <v>72.009333667002522</v>
      </c>
      <c r="J658" s="94">
        <v>511</v>
      </c>
      <c r="K658" s="95">
        <f t="shared" ref="K658:K692" si="78">VLOOKUP($L$297,$C$138:$D$141,2,FALSE)*J658</f>
        <v>92.601850818555647</v>
      </c>
      <c r="L658" s="96">
        <f t="shared" ref="L658:L692" si="79">VLOOKUP($L$297,$C$281:$E$284,2,FALSE)*J658+(VLOOKUP($L$297,$C$281:$E$284,3,FALSE)+$D$292)</f>
        <v>20.592517151553125</v>
      </c>
    </row>
    <row r="659" spans="9:12" x14ac:dyDescent="0.2">
      <c r="I659" s="173">
        <f t="shared" si="77"/>
        <v>72.164150869909776</v>
      </c>
      <c r="J659" s="94">
        <v>512</v>
      </c>
      <c r="K659" s="95">
        <f t="shared" si="78"/>
        <v>92.783067747750479</v>
      </c>
      <c r="L659" s="96">
        <f t="shared" si="79"/>
        <v>20.618916877840697</v>
      </c>
    </row>
    <row r="660" spans="9:12" x14ac:dyDescent="0.2">
      <c r="I660" s="173">
        <f t="shared" si="77"/>
        <v>72.318968072817057</v>
      </c>
      <c r="J660" s="94">
        <v>513</v>
      </c>
      <c r="K660" s="95">
        <f t="shared" si="78"/>
        <v>92.964284676945312</v>
      </c>
      <c r="L660" s="96">
        <f t="shared" si="79"/>
        <v>20.645316604128261</v>
      </c>
    </row>
    <row r="661" spans="9:12" x14ac:dyDescent="0.2">
      <c r="I661" s="173">
        <f t="shared" si="77"/>
        <v>72.473785275724296</v>
      </c>
      <c r="J661" s="94">
        <v>514</v>
      </c>
      <c r="K661" s="95">
        <f t="shared" si="78"/>
        <v>93.14550160614013</v>
      </c>
      <c r="L661" s="96">
        <f t="shared" si="79"/>
        <v>20.67171633041583</v>
      </c>
    </row>
    <row r="662" spans="9:12" x14ac:dyDescent="0.2">
      <c r="I662" s="173">
        <f t="shared" si="77"/>
        <v>72.628602478631564</v>
      </c>
      <c r="J662" s="94">
        <v>515</v>
      </c>
      <c r="K662" s="95">
        <f t="shared" si="78"/>
        <v>93.326718535334962</v>
      </c>
      <c r="L662" s="96">
        <f t="shared" si="79"/>
        <v>20.698116056703398</v>
      </c>
    </row>
    <row r="663" spans="9:12" x14ac:dyDescent="0.2">
      <c r="I663" s="173">
        <f t="shared" si="77"/>
        <v>72.783419681538817</v>
      </c>
      <c r="J663" s="94">
        <v>516</v>
      </c>
      <c r="K663" s="95">
        <f t="shared" si="78"/>
        <v>93.50793546452978</v>
      </c>
      <c r="L663" s="96">
        <f t="shared" si="79"/>
        <v>20.724515782990967</v>
      </c>
    </row>
    <row r="664" spans="9:12" x14ac:dyDescent="0.2">
      <c r="I664" s="173">
        <f t="shared" si="77"/>
        <v>72.93823688444607</v>
      </c>
      <c r="J664" s="94">
        <v>517</v>
      </c>
      <c r="K664" s="95">
        <f t="shared" si="78"/>
        <v>93.689152393724612</v>
      </c>
      <c r="L664" s="96">
        <f t="shared" si="79"/>
        <v>20.750915509278535</v>
      </c>
    </row>
    <row r="665" spans="9:12" x14ac:dyDescent="0.2">
      <c r="I665" s="173">
        <f t="shared" si="77"/>
        <v>73.093054087353323</v>
      </c>
      <c r="J665" s="94">
        <v>518</v>
      </c>
      <c r="K665" s="95">
        <f t="shared" si="78"/>
        <v>93.87036932291943</v>
      </c>
      <c r="L665" s="96">
        <f t="shared" si="79"/>
        <v>20.7773152355661</v>
      </c>
    </row>
    <row r="666" spans="9:12" x14ac:dyDescent="0.2">
      <c r="I666" s="173">
        <f t="shared" si="77"/>
        <v>73.247871290260591</v>
      </c>
      <c r="J666" s="94">
        <v>519</v>
      </c>
      <c r="K666" s="95">
        <f t="shared" si="78"/>
        <v>94.051586252114262</v>
      </c>
      <c r="L666" s="96">
        <f t="shared" si="79"/>
        <v>20.803714961853672</v>
      </c>
    </row>
    <row r="667" spans="9:12" x14ac:dyDescent="0.2">
      <c r="I667" s="173">
        <f t="shared" si="77"/>
        <v>73.402688493167844</v>
      </c>
      <c r="J667" s="94">
        <v>520</v>
      </c>
      <c r="K667" s="95">
        <f t="shared" si="78"/>
        <v>94.23280318130908</v>
      </c>
      <c r="L667" s="96">
        <f t="shared" si="79"/>
        <v>20.830114688141236</v>
      </c>
    </row>
    <row r="668" spans="9:12" x14ac:dyDescent="0.2">
      <c r="I668" s="173">
        <f t="shared" si="77"/>
        <v>73.557505696075111</v>
      </c>
      <c r="J668" s="94">
        <v>521</v>
      </c>
      <c r="K668" s="95">
        <f t="shared" si="78"/>
        <v>94.414020110503913</v>
      </c>
      <c r="L668" s="96">
        <f t="shared" si="79"/>
        <v>20.856514414428805</v>
      </c>
    </row>
    <row r="669" spans="9:12" x14ac:dyDescent="0.2">
      <c r="I669" s="173">
        <f t="shared" si="77"/>
        <v>73.712322898982364</v>
      </c>
      <c r="J669" s="94">
        <v>522</v>
      </c>
      <c r="K669" s="95">
        <f t="shared" si="78"/>
        <v>94.595237039698731</v>
      </c>
      <c r="L669" s="96">
        <f t="shared" si="79"/>
        <v>20.882914140716373</v>
      </c>
    </row>
    <row r="670" spans="9:12" x14ac:dyDescent="0.2">
      <c r="I670" s="173">
        <f t="shared" si="77"/>
        <v>73.867140101889618</v>
      </c>
      <c r="J670" s="94">
        <v>523</v>
      </c>
      <c r="K670" s="95">
        <f t="shared" si="78"/>
        <v>94.776453968893563</v>
      </c>
      <c r="L670" s="96">
        <f t="shared" si="79"/>
        <v>20.909313867003938</v>
      </c>
    </row>
    <row r="671" spans="9:12" x14ac:dyDescent="0.2">
      <c r="I671" s="173">
        <f t="shared" si="77"/>
        <v>74.021957304796871</v>
      </c>
      <c r="J671" s="94">
        <v>524</v>
      </c>
      <c r="K671" s="95">
        <f t="shared" si="78"/>
        <v>94.957670898088381</v>
      </c>
      <c r="L671" s="96">
        <f t="shared" si="79"/>
        <v>20.93571359329151</v>
      </c>
    </row>
    <row r="672" spans="9:12" x14ac:dyDescent="0.2">
      <c r="I672" s="173">
        <f t="shared" si="77"/>
        <v>74.176774507704138</v>
      </c>
      <c r="J672" s="94">
        <v>525</v>
      </c>
      <c r="K672" s="95">
        <f t="shared" si="78"/>
        <v>95.138887827283213</v>
      </c>
      <c r="L672" s="96">
        <f t="shared" si="79"/>
        <v>20.962113319579075</v>
      </c>
    </row>
    <row r="673" spans="9:12" x14ac:dyDescent="0.2">
      <c r="I673" s="173">
        <f t="shared" si="77"/>
        <v>74.331591710611391</v>
      </c>
      <c r="J673" s="94">
        <v>526</v>
      </c>
      <c r="K673" s="95">
        <f t="shared" si="78"/>
        <v>95.320104756478031</v>
      </c>
      <c r="L673" s="96">
        <f t="shared" si="79"/>
        <v>20.988513045866643</v>
      </c>
    </row>
    <row r="674" spans="9:12" x14ac:dyDescent="0.2">
      <c r="I674" s="173">
        <f t="shared" si="77"/>
        <v>74.486408913518659</v>
      </c>
      <c r="J674" s="94">
        <v>527</v>
      </c>
      <c r="K674" s="95">
        <f t="shared" si="78"/>
        <v>95.501321685672863</v>
      </c>
      <c r="L674" s="96">
        <f t="shared" si="79"/>
        <v>21.014912772154211</v>
      </c>
    </row>
    <row r="675" spans="9:12" x14ac:dyDescent="0.2">
      <c r="I675" s="173">
        <f t="shared" si="77"/>
        <v>74.641226116425898</v>
      </c>
      <c r="J675" s="94">
        <v>528</v>
      </c>
      <c r="K675" s="95">
        <f t="shared" si="78"/>
        <v>95.682538614867681</v>
      </c>
      <c r="L675" s="96">
        <f t="shared" si="79"/>
        <v>21.04131249844178</v>
      </c>
    </row>
    <row r="676" spans="9:12" x14ac:dyDescent="0.2">
      <c r="I676" s="173">
        <f t="shared" si="77"/>
        <v>74.796043319333165</v>
      </c>
      <c r="J676" s="94">
        <v>529</v>
      </c>
      <c r="K676" s="95">
        <f t="shared" si="78"/>
        <v>95.863755544062514</v>
      </c>
      <c r="L676" s="96">
        <f t="shared" si="79"/>
        <v>21.067712224729348</v>
      </c>
    </row>
    <row r="677" spans="9:12" x14ac:dyDescent="0.2">
      <c r="I677" s="173">
        <f t="shared" si="77"/>
        <v>74.950860522240419</v>
      </c>
      <c r="J677" s="94">
        <v>530</v>
      </c>
      <c r="K677" s="95">
        <f t="shared" si="78"/>
        <v>96.044972473257332</v>
      </c>
      <c r="L677" s="96">
        <f t="shared" si="79"/>
        <v>21.094111951016913</v>
      </c>
    </row>
    <row r="678" spans="9:12" x14ac:dyDescent="0.2">
      <c r="I678" s="173">
        <f t="shared" si="77"/>
        <v>75.105677725147672</v>
      </c>
      <c r="J678" s="94">
        <v>531</v>
      </c>
      <c r="K678" s="95">
        <f t="shared" si="78"/>
        <v>96.226189402452164</v>
      </c>
      <c r="L678" s="96">
        <f t="shared" si="79"/>
        <v>21.120511677304485</v>
      </c>
    </row>
    <row r="679" spans="9:12" x14ac:dyDescent="0.2">
      <c r="I679" s="173">
        <f t="shared" si="77"/>
        <v>75.260494928054925</v>
      </c>
      <c r="J679" s="94">
        <v>532</v>
      </c>
      <c r="K679" s="95">
        <f t="shared" si="78"/>
        <v>96.407406331646982</v>
      </c>
      <c r="L679" s="96">
        <f t="shared" si="79"/>
        <v>21.14691140359205</v>
      </c>
    </row>
    <row r="680" spans="9:12" x14ac:dyDescent="0.2">
      <c r="I680" s="173">
        <f t="shared" si="77"/>
        <v>75.415312130962192</v>
      </c>
      <c r="J680" s="94">
        <v>533</v>
      </c>
      <c r="K680" s="95">
        <f t="shared" si="78"/>
        <v>96.588623260841814</v>
      </c>
      <c r="L680" s="96">
        <f t="shared" si="79"/>
        <v>21.173311129879618</v>
      </c>
    </row>
    <row r="681" spans="9:12" x14ac:dyDescent="0.2">
      <c r="I681" s="173">
        <f t="shared" si="77"/>
        <v>75.570129333869446</v>
      </c>
      <c r="J681" s="94">
        <v>534</v>
      </c>
      <c r="K681" s="95">
        <f t="shared" si="78"/>
        <v>96.769840190036632</v>
      </c>
      <c r="L681" s="96">
        <f t="shared" si="79"/>
        <v>21.199710856167187</v>
      </c>
    </row>
    <row r="682" spans="9:12" x14ac:dyDescent="0.2">
      <c r="I682" s="173">
        <f t="shared" si="77"/>
        <v>75.724946536776713</v>
      </c>
      <c r="J682" s="94">
        <v>535</v>
      </c>
      <c r="K682" s="95">
        <f t="shared" si="78"/>
        <v>96.951057119231464</v>
      </c>
      <c r="L682" s="96">
        <f t="shared" si="79"/>
        <v>21.226110582454755</v>
      </c>
    </row>
    <row r="683" spans="9:12" x14ac:dyDescent="0.2">
      <c r="I683" s="173">
        <f t="shared" si="77"/>
        <v>75.879763739683966</v>
      </c>
      <c r="J683" s="94">
        <v>536</v>
      </c>
      <c r="K683" s="95">
        <f t="shared" si="78"/>
        <v>97.132274048426282</v>
      </c>
      <c r="L683" s="96">
        <f t="shared" si="79"/>
        <v>21.252510308742323</v>
      </c>
    </row>
    <row r="684" spans="9:12" x14ac:dyDescent="0.2">
      <c r="I684" s="173">
        <f t="shared" ref="I684:I747" si="80">ABS(K684-L684)</f>
        <v>76.034580942591219</v>
      </c>
      <c r="J684" s="94">
        <v>537</v>
      </c>
      <c r="K684" s="95">
        <f t="shared" si="78"/>
        <v>97.313490977621115</v>
      </c>
      <c r="L684" s="96">
        <f t="shared" si="79"/>
        <v>21.278910035029888</v>
      </c>
    </row>
    <row r="685" spans="9:12" x14ac:dyDescent="0.2">
      <c r="I685" s="173">
        <f t="shared" si="80"/>
        <v>76.189398145498473</v>
      </c>
      <c r="J685" s="94">
        <v>538</v>
      </c>
      <c r="K685" s="95">
        <f t="shared" si="78"/>
        <v>97.494707906815933</v>
      </c>
      <c r="L685" s="96">
        <f t="shared" si="79"/>
        <v>21.30530976131746</v>
      </c>
    </row>
    <row r="686" spans="9:12" x14ac:dyDescent="0.2">
      <c r="I686" s="173">
        <f t="shared" si="80"/>
        <v>76.34421534840574</v>
      </c>
      <c r="J686" s="94">
        <v>539</v>
      </c>
      <c r="K686" s="95">
        <f t="shared" si="78"/>
        <v>97.675924836010765</v>
      </c>
      <c r="L686" s="96">
        <f t="shared" si="79"/>
        <v>21.331709487605025</v>
      </c>
    </row>
    <row r="687" spans="9:12" x14ac:dyDescent="0.2">
      <c r="I687" s="173">
        <f t="shared" si="80"/>
        <v>76.499032551312993</v>
      </c>
      <c r="J687" s="94">
        <v>540</v>
      </c>
      <c r="K687" s="95">
        <f t="shared" si="78"/>
        <v>97.857141765205583</v>
      </c>
      <c r="L687" s="96">
        <f t="shared" si="79"/>
        <v>21.358109213892593</v>
      </c>
    </row>
    <row r="688" spans="9:12" x14ac:dyDescent="0.2">
      <c r="I688" s="173">
        <f t="shared" si="80"/>
        <v>76.653849754220261</v>
      </c>
      <c r="J688" s="94">
        <v>541</v>
      </c>
      <c r="K688" s="95">
        <f t="shared" si="78"/>
        <v>98.038358694400415</v>
      </c>
      <c r="L688" s="96">
        <f t="shared" si="79"/>
        <v>21.384508940180162</v>
      </c>
    </row>
    <row r="689" spans="9:12" x14ac:dyDescent="0.2">
      <c r="I689" s="173">
        <f t="shared" si="80"/>
        <v>76.808666957127514</v>
      </c>
      <c r="J689" s="94">
        <v>542</v>
      </c>
      <c r="K689" s="95">
        <f t="shared" si="78"/>
        <v>98.219575623595233</v>
      </c>
      <c r="L689" s="96">
        <f t="shared" si="79"/>
        <v>21.410908666467726</v>
      </c>
    </row>
    <row r="690" spans="9:12" x14ac:dyDescent="0.2">
      <c r="I690" s="173">
        <f t="shared" si="80"/>
        <v>76.963484160034767</v>
      </c>
      <c r="J690" s="94">
        <v>543</v>
      </c>
      <c r="K690" s="95">
        <f t="shared" si="78"/>
        <v>98.400792552790065</v>
      </c>
      <c r="L690" s="96">
        <f t="shared" si="79"/>
        <v>21.437308392755298</v>
      </c>
    </row>
    <row r="691" spans="9:12" x14ac:dyDescent="0.2">
      <c r="I691" s="173">
        <f t="shared" si="80"/>
        <v>77.11830136294202</v>
      </c>
      <c r="J691" s="94">
        <v>544</v>
      </c>
      <c r="K691" s="95">
        <f t="shared" si="78"/>
        <v>98.582009481984883</v>
      </c>
      <c r="L691" s="96">
        <f t="shared" si="79"/>
        <v>21.463708119042863</v>
      </c>
    </row>
    <row r="692" spans="9:12" x14ac:dyDescent="0.2">
      <c r="I692" s="173">
        <f t="shared" si="80"/>
        <v>77.273118565849288</v>
      </c>
      <c r="J692" s="94">
        <v>545</v>
      </c>
      <c r="K692" s="95">
        <f t="shared" si="78"/>
        <v>98.763226411179716</v>
      </c>
      <c r="L692" s="96">
        <f t="shared" si="79"/>
        <v>21.490107845330432</v>
      </c>
    </row>
    <row r="693" spans="9:12" x14ac:dyDescent="0.2">
      <c r="I693" s="173">
        <f t="shared" si="80"/>
        <v>77.427935768756527</v>
      </c>
      <c r="J693" s="94">
        <v>546</v>
      </c>
      <c r="K693" s="95">
        <f t="shared" ref="K693:K756" si="81">VLOOKUP($L$297,$C$138:$D$141,2,FALSE)*J693</f>
        <v>98.944443340374534</v>
      </c>
      <c r="L693" s="96">
        <f t="shared" ref="L693:L756" si="82">VLOOKUP($L$297,$C$281:$E$284,2,FALSE)*J693+(VLOOKUP($L$297,$C$281:$E$284,3,FALSE)+$D$292)</f>
        <v>21.516507571618</v>
      </c>
    </row>
    <row r="694" spans="9:12" x14ac:dyDescent="0.2">
      <c r="I694" s="173">
        <f t="shared" si="80"/>
        <v>77.582752971663794</v>
      </c>
      <c r="J694" s="94">
        <v>547</v>
      </c>
      <c r="K694" s="95">
        <f t="shared" si="81"/>
        <v>99.125660269569366</v>
      </c>
      <c r="L694" s="96">
        <f t="shared" si="82"/>
        <v>21.542907297905568</v>
      </c>
    </row>
    <row r="695" spans="9:12" x14ac:dyDescent="0.2">
      <c r="I695" s="173">
        <f t="shared" si="80"/>
        <v>77.737570174571047</v>
      </c>
      <c r="J695" s="94">
        <v>548</v>
      </c>
      <c r="K695" s="95">
        <f t="shared" si="81"/>
        <v>99.306877198764184</v>
      </c>
      <c r="L695" s="96">
        <f t="shared" si="82"/>
        <v>21.569307024193137</v>
      </c>
    </row>
    <row r="696" spans="9:12" x14ac:dyDescent="0.2">
      <c r="I696" s="173">
        <f t="shared" si="80"/>
        <v>77.892387377478315</v>
      </c>
      <c r="J696" s="94">
        <v>549</v>
      </c>
      <c r="K696" s="95">
        <f t="shared" si="81"/>
        <v>99.488094127959016</v>
      </c>
      <c r="L696" s="96">
        <f t="shared" si="82"/>
        <v>21.595706750480701</v>
      </c>
    </row>
    <row r="697" spans="9:12" x14ac:dyDescent="0.2">
      <c r="I697" s="173">
        <f t="shared" si="80"/>
        <v>78.047204580385568</v>
      </c>
      <c r="J697" s="94">
        <v>550</v>
      </c>
      <c r="K697" s="95">
        <f t="shared" si="81"/>
        <v>99.669311057153834</v>
      </c>
      <c r="L697" s="96">
        <f t="shared" si="82"/>
        <v>21.622106476768273</v>
      </c>
    </row>
    <row r="698" spans="9:12" x14ac:dyDescent="0.2">
      <c r="I698" s="173">
        <f t="shared" si="80"/>
        <v>78.202021783292821</v>
      </c>
      <c r="J698" s="94">
        <v>551</v>
      </c>
      <c r="K698" s="95">
        <f t="shared" si="81"/>
        <v>99.850527986348666</v>
      </c>
      <c r="L698" s="96">
        <f t="shared" si="82"/>
        <v>21.648506203055838</v>
      </c>
    </row>
    <row r="699" spans="9:12" x14ac:dyDescent="0.2">
      <c r="I699" s="173">
        <f t="shared" si="80"/>
        <v>78.356838986200074</v>
      </c>
      <c r="J699" s="94">
        <v>552</v>
      </c>
      <c r="K699" s="95">
        <f t="shared" si="81"/>
        <v>100.03174491554348</v>
      </c>
      <c r="L699" s="96">
        <f t="shared" si="82"/>
        <v>21.674905929343407</v>
      </c>
    </row>
    <row r="700" spans="9:12" x14ac:dyDescent="0.2">
      <c r="I700" s="173">
        <f t="shared" si="80"/>
        <v>78.511656189107342</v>
      </c>
      <c r="J700" s="94">
        <v>553</v>
      </c>
      <c r="K700" s="95">
        <f t="shared" si="81"/>
        <v>100.21296184473832</v>
      </c>
      <c r="L700" s="96">
        <f t="shared" si="82"/>
        <v>21.701305655630975</v>
      </c>
    </row>
    <row r="701" spans="9:12" x14ac:dyDescent="0.2">
      <c r="I701" s="173">
        <f t="shared" si="80"/>
        <v>78.666473392014595</v>
      </c>
      <c r="J701" s="94">
        <v>554</v>
      </c>
      <c r="K701" s="95">
        <f t="shared" si="81"/>
        <v>100.39417877393313</v>
      </c>
      <c r="L701" s="96">
        <f t="shared" si="82"/>
        <v>21.72770538191854</v>
      </c>
    </row>
    <row r="702" spans="9:12" x14ac:dyDescent="0.2">
      <c r="I702" s="173">
        <f t="shared" si="80"/>
        <v>78.821290594921862</v>
      </c>
      <c r="J702" s="94">
        <v>555</v>
      </c>
      <c r="K702" s="95">
        <f t="shared" si="81"/>
        <v>100.57539570312797</v>
      </c>
      <c r="L702" s="96">
        <f t="shared" si="82"/>
        <v>21.754105108206112</v>
      </c>
    </row>
    <row r="703" spans="9:12" x14ac:dyDescent="0.2">
      <c r="I703" s="173">
        <f t="shared" si="80"/>
        <v>78.976107797829115</v>
      </c>
      <c r="J703" s="94">
        <v>556</v>
      </c>
      <c r="K703" s="95">
        <f t="shared" si="81"/>
        <v>100.75661263232278</v>
      </c>
      <c r="L703" s="96">
        <f t="shared" si="82"/>
        <v>21.780504834493676</v>
      </c>
    </row>
    <row r="704" spans="9:12" x14ac:dyDescent="0.2">
      <c r="I704" s="173">
        <f t="shared" si="80"/>
        <v>79.130925000736369</v>
      </c>
      <c r="J704" s="94">
        <v>557</v>
      </c>
      <c r="K704" s="95">
        <f t="shared" si="81"/>
        <v>100.93782956151762</v>
      </c>
      <c r="L704" s="96">
        <f t="shared" si="82"/>
        <v>21.806904560781245</v>
      </c>
    </row>
    <row r="705" spans="9:12" x14ac:dyDescent="0.2">
      <c r="I705" s="173">
        <f t="shared" si="80"/>
        <v>79.285742203643622</v>
      </c>
      <c r="J705" s="94">
        <v>558</v>
      </c>
      <c r="K705" s="95">
        <f t="shared" si="81"/>
        <v>101.11904649071244</v>
      </c>
      <c r="L705" s="96">
        <f t="shared" si="82"/>
        <v>21.833304287068813</v>
      </c>
    </row>
    <row r="706" spans="9:12" x14ac:dyDescent="0.2">
      <c r="I706" s="173">
        <f t="shared" si="80"/>
        <v>79.440559406550889</v>
      </c>
      <c r="J706" s="94">
        <v>559</v>
      </c>
      <c r="K706" s="95">
        <f t="shared" si="81"/>
        <v>101.30026341990727</v>
      </c>
      <c r="L706" s="96">
        <f t="shared" si="82"/>
        <v>21.859704013356382</v>
      </c>
    </row>
    <row r="707" spans="9:12" x14ac:dyDescent="0.2">
      <c r="I707" s="173">
        <f t="shared" si="80"/>
        <v>79.595376609458128</v>
      </c>
      <c r="J707" s="94">
        <v>560</v>
      </c>
      <c r="K707" s="95">
        <f t="shared" si="81"/>
        <v>101.48148034910209</v>
      </c>
      <c r="L707" s="96">
        <f t="shared" si="82"/>
        <v>21.88610373964395</v>
      </c>
    </row>
    <row r="708" spans="9:12" x14ac:dyDescent="0.2">
      <c r="I708" s="173">
        <f t="shared" si="80"/>
        <v>79.75019381236541</v>
      </c>
      <c r="J708" s="94">
        <v>561</v>
      </c>
      <c r="K708" s="95">
        <f t="shared" si="81"/>
        <v>101.66269727829692</v>
      </c>
      <c r="L708" s="96">
        <f t="shared" si="82"/>
        <v>21.912503465931515</v>
      </c>
    </row>
    <row r="709" spans="9:12" x14ac:dyDescent="0.2">
      <c r="I709" s="173">
        <f t="shared" si="80"/>
        <v>79.905011015272649</v>
      </c>
      <c r="J709" s="94">
        <v>562</v>
      </c>
      <c r="K709" s="95">
        <f t="shared" si="81"/>
        <v>101.84391420749174</v>
      </c>
      <c r="L709" s="96">
        <f t="shared" si="82"/>
        <v>21.938903192219087</v>
      </c>
    </row>
    <row r="710" spans="9:12" x14ac:dyDescent="0.2">
      <c r="I710" s="173">
        <f t="shared" si="80"/>
        <v>80.059828218179916</v>
      </c>
      <c r="J710" s="94">
        <v>563</v>
      </c>
      <c r="K710" s="95">
        <f t="shared" si="81"/>
        <v>102.02513113668657</v>
      </c>
      <c r="L710" s="96">
        <f t="shared" si="82"/>
        <v>21.965302918506652</v>
      </c>
    </row>
    <row r="711" spans="9:12" x14ac:dyDescent="0.2">
      <c r="I711" s="173">
        <f t="shared" si="80"/>
        <v>80.21464542108717</v>
      </c>
      <c r="J711" s="94">
        <v>564</v>
      </c>
      <c r="K711" s="95">
        <f t="shared" si="81"/>
        <v>102.20634806588139</v>
      </c>
      <c r="L711" s="96">
        <f t="shared" si="82"/>
        <v>21.99170264479422</v>
      </c>
    </row>
    <row r="712" spans="9:12" x14ac:dyDescent="0.2">
      <c r="I712" s="173">
        <f t="shared" si="80"/>
        <v>80.369462623994423</v>
      </c>
      <c r="J712" s="94">
        <v>565</v>
      </c>
      <c r="K712" s="95">
        <f t="shared" si="81"/>
        <v>102.38756499507622</v>
      </c>
      <c r="L712" s="96">
        <f t="shared" si="82"/>
        <v>22.018102371081788</v>
      </c>
    </row>
    <row r="713" spans="9:12" x14ac:dyDescent="0.2">
      <c r="I713" s="173">
        <f t="shared" si="80"/>
        <v>80.524279826901676</v>
      </c>
      <c r="J713" s="94">
        <v>566</v>
      </c>
      <c r="K713" s="95">
        <f t="shared" si="81"/>
        <v>102.56878192427104</v>
      </c>
      <c r="L713" s="96">
        <f t="shared" si="82"/>
        <v>22.044502097369353</v>
      </c>
    </row>
    <row r="714" spans="9:12" x14ac:dyDescent="0.2">
      <c r="I714" s="173">
        <f t="shared" si="80"/>
        <v>80.679097029808943</v>
      </c>
      <c r="J714" s="94">
        <v>567</v>
      </c>
      <c r="K714" s="95">
        <f t="shared" si="81"/>
        <v>102.74999885346587</v>
      </c>
      <c r="L714" s="96">
        <f t="shared" si="82"/>
        <v>22.070901823656925</v>
      </c>
    </row>
    <row r="715" spans="9:12" x14ac:dyDescent="0.2">
      <c r="I715" s="173">
        <f t="shared" si="80"/>
        <v>80.833914232716197</v>
      </c>
      <c r="J715" s="94">
        <v>568</v>
      </c>
      <c r="K715" s="95">
        <f t="shared" si="81"/>
        <v>102.93121578266069</v>
      </c>
      <c r="L715" s="96">
        <f t="shared" si="82"/>
        <v>22.09730154994449</v>
      </c>
    </row>
    <row r="716" spans="9:12" x14ac:dyDescent="0.2">
      <c r="I716" s="173">
        <f t="shared" si="80"/>
        <v>80.988731435623464</v>
      </c>
      <c r="J716" s="94">
        <v>569</v>
      </c>
      <c r="K716" s="95">
        <f t="shared" si="81"/>
        <v>103.11243271185552</v>
      </c>
      <c r="L716" s="96">
        <f t="shared" si="82"/>
        <v>22.123701276232062</v>
      </c>
    </row>
    <row r="717" spans="9:12" x14ac:dyDescent="0.2">
      <c r="I717" s="173">
        <f t="shared" si="80"/>
        <v>81.143548638530717</v>
      </c>
      <c r="J717" s="94">
        <v>570</v>
      </c>
      <c r="K717" s="95">
        <f t="shared" si="81"/>
        <v>103.29364964105034</v>
      </c>
      <c r="L717" s="96">
        <f t="shared" si="82"/>
        <v>22.150101002519627</v>
      </c>
    </row>
    <row r="718" spans="9:12" x14ac:dyDescent="0.2">
      <c r="I718" s="173">
        <f t="shared" si="80"/>
        <v>81.29836584143797</v>
      </c>
      <c r="J718" s="94">
        <v>571</v>
      </c>
      <c r="K718" s="95">
        <f t="shared" si="81"/>
        <v>103.47486657024517</v>
      </c>
      <c r="L718" s="96">
        <f t="shared" si="82"/>
        <v>22.176500728807195</v>
      </c>
    </row>
    <row r="719" spans="9:12" x14ac:dyDescent="0.2">
      <c r="I719" s="173">
        <f t="shared" si="80"/>
        <v>81.453183044345224</v>
      </c>
      <c r="J719" s="94">
        <v>572</v>
      </c>
      <c r="K719" s="95">
        <f t="shared" si="81"/>
        <v>103.65608349943999</v>
      </c>
      <c r="L719" s="96">
        <f t="shared" si="82"/>
        <v>22.202900455094763</v>
      </c>
    </row>
    <row r="720" spans="9:12" x14ac:dyDescent="0.2">
      <c r="I720" s="173">
        <f t="shared" si="80"/>
        <v>81.608000247252491</v>
      </c>
      <c r="J720" s="94">
        <v>573</v>
      </c>
      <c r="K720" s="95">
        <f t="shared" si="81"/>
        <v>103.83730042863482</v>
      </c>
      <c r="L720" s="96">
        <f t="shared" si="82"/>
        <v>22.229300181382328</v>
      </c>
    </row>
    <row r="721" spans="9:12" x14ac:dyDescent="0.2">
      <c r="I721" s="173">
        <f t="shared" si="80"/>
        <v>81.76281745015973</v>
      </c>
      <c r="J721" s="94">
        <v>574</v>
      </c>
      <c r="K721" s="95">
        <f t="shared" si="81"/>
        <v>104.01851735782964</v>
      </c>
      <c r="L721" s="96">
        <f t="shared" si="82"/>
        <v>22.2556999076699</v>
      </c>
    </row>
    <row r="722" spans="9:12" x14ac:dyDescent="0.2">
      <c r="I722" s="173">
        <f t="shared" si="80"/>
        <v>81.917634653067012</v>
      </c>
      <c r="J722" s="94">
        <v>575</v>
      </c>
      <c r="K722" s="95">
        <f t="shared" si="81"/>
        <v>104.19973428702447</v>
      </c>
      <c r="L722" s="96">
        <f t="shared" si="82"/>
        <v>22.282099633957465</v>
      </c>
    </row>
    <row r="723" spans="9:12" x14ac:dyDescent="0.2">
      <c r="I723" s="173">
        <f t="shared" si="80"/>
        <v>82.072451855974251</v>
      </c>
      <c r="J723" s="94">
        <v>576</v>
      </c>
      <c r="K723" s="95">
        <f t="shared" si="81"/>
        <v>104.38095121621929</v>
      </c>
      <c r="L723" s="96">
        <f t="shared" si="82"/>
        <v>22.308499360245033</v>
      </c>
    </row>
    <row r="724" spans="9:12" x14ac:dyDescent="0.2">
      <c r="I724" s="173">
        <f t="shared" si="80"/>
        <v>82.227269058881518</v>
      </c>
      <c r="J724" s="94">
        <v>577</v>
      </c>
      <c r="K724" s="95">
        <f t="shared" si="81"/>
        <v>104.56216814541412</v>
      </c>
      <c r="L724" s="96">
        <f t="shared" si="82"/>
        <v>22.334899086532602</v>
      </c>
    </row>
    <row r="725" spans="9:12" x14ac:dyDescent="0.2">
      <c r="I725" s="173">
        <f t="shared" si="80"/>
        <v>82.382086261788771</v>
      </c>
      <c r="J725" s="94">
        <v>578</v>
      </c>
      <c r="K725" s="95">
        <f t="shared" si="81"/>
        <v>104.74338507460894</v>
      </c>
      <c r="L725" s="96">
        <f t="shared" si="82"/>
        <v>22.36129881282017</v>
      </c>
    </row>
    <row r="726" spans="9:12" x14ac:dyDescent="0.2">
      <c r="I726" s="173">
        <f t="shared" si="80"/>
        <v>82.536903464696024</v>
      </c>
      <c r="J726" s="94">
        <v>579</v>
      </c>
      <c r="K726" s="95">
        <f t="shared" si="81"/>
        <v>104.92460200380377</v>
      </c>
      <c r="L726" s="96">
        <f t="shared" si="82"/>
        <v>22.387698539107738</v>
      </c>
    </row>
    <row r="727" spans="9:12" x14ac:dyDescent="0.2">
      <c r="I727" s="173">
        <f t="shared" si="80"/>
        <v>82.691720667603278</v>
      </c>
      <c r="J727" s="94">
        <v>580</v>
      </c>
      <c r="K727" s="95">
        <f t="shared" si="81"/>
        <v>105.10581893299859</v>
      </c>
      <c r="L727" s="96">
        <f t="shared" si="82"/>
        <v>22.414098265395303</v>
      </c>
    </row>
    <row r="728" spans="9:12" x14ac:dyDescent="0.2">
      <c r="I728" s="173">
        <f t="shared" si="80"/>
        <v>82.846537870510545</v>
      </c>
      <c r="J728" s="94">
        <v>581</v>
      </c>
      <c r="K728" s="95">
        <f t="shared" si="81"/>
        <v>105.28703586219342</v>
      </c>
      <c r="L728" s="96">
        <f t="shared" si="82"/>
        <v>22.440497991682875</v>
      </c>
    </row>
    <row r="729" spans="9:12" x14ac:dyDescent="0.2">
      <c r="I729" s="173">
        <f t="shared" si="80"/>
        <v>83.001355073417798</v>
      </c>
      <c r="J729" s="94">
        <v>582</v>
      </c>
      <c r="K729" s="95">
        <f t="shared" si="81"/>
        <v>105.46825279138824</v>
      </c>
      <c r="L729" s="96">
        <f t="shared" si="82"/>
        <v>22.46689771797044</v>
      </c>
    </row>
    <row r="730" spans="9:12" x14ac:dyDescent="0.2">
      <c r="I730" s="173">
        <f t="shared" si="80"/>
        <v>83.156172276325066</v>
      </c>
      <c r="J730" s="94">
        <v>583</v>
      </c>
      <c r="K730" s="95">
        <f t="shared" si="81"/>
        <v>105.64946972058307</v>
      </c>
      <c r="L730" s="96">
        <f t="shared" si="82"/>
        <v>22.493297444258008</v>
      </c>
    </row>
    <row r="731" spans="9:12" x14ac:dyDescent="0.2">
      <c r="I731" s="173">
        <f t="shared" si="80"/>
        <v>83.310989479232319</v>
      </c>
      <c r="J731" s="94">
        <v>584</v>
      </c>
      <c r="K731" s="95">
        <f t="shared" si="81"/>
        <v>105.83068664977789</v>
      </c>
      <c r="L731" s="96">
        <f t="shared" si="82"/>
        <v>22.519697170545577</v>
      </c>
    </row>
    <row r="732" spans="9:12" x14ac:dyDescent="0.2">
      <c r="I732" s="173">
        <f t="shared" si="80"/>
        <v>83.465806682139572</v>
      </c>
      <c r="J732" s="94">
        <v>585</v>
      </c>
      <c r="K732" s="95">
        <f t="shared" si="81"/>
        <v>106.01190357897272</v>
      </c>
      <c r="L732" s="96">
        <f t="shared" si="82"/>
        <v>22.546096896833141</v>
      </c>
    </row>
    <row r="733" spans="9:12" x14ac:dyDescent="0.2">
      <c r="I733" s="173">
        <f t="shared" si="80"/>
        <v>83.620623885046825</v>
      </c>
      <c r="J733" s="94">
        <v>586</v>
      </c>
      <c r="K733" s="95">
        <f t="shared" si="81"/>
        <v>106.19312050816754</v>
      </c>
      <c r="L733" s="96">
        <f t="shared" si="82"/>
        <v>22.572496623120713</v>
      </c>
    </row>
    <row r="734" spans="9:12" x14ac:dyDescent="0.2">
      <c r="I734" s="173">
        <f t="shared" si="80"/>
        <v>83.775441087954093</v>
      </c>
      <c r="J734" s="94">
        <v>587</v>
      </c>
      <c r="K734" s="95">
        <f t="shared" si="81"/>
        <v>106.37433743736237</v>
      </c>
      <c r="L734" s="96">
        <f t="shared" si="82"/>
        <v>22.598896349408278</v>
      </c>
    </row>
    <row r="735" spans="9:12" x14ac:dyDescent="0.2">
      <c r="I735" s="173">
        <f t="shared" si="80"/>
        <v>83.930258290861346</v>
      </c>
      <c r="J735" s="94">
        <v>588</v>
      </c>
      <c r="K735" s="95">
        <f t="shared" si="81"/>
        <v>106.55555436655719</v>
      </c>
      <c r="L735" s="96">
        <f t="shared" si="82"/>
        <v>22.625296075695847</v>
      </c>
    </row>
    <row r="736" spans="9:12" x14ac:dyDescent="0.2">
      <c r="I736" s="173">
        <f t="shared" si="80"/>
        <v>84.085075493768613</v>
      </c>
      <c r="J736" s="94">
        <v>589</v>
      </c>
      <c r="K736" s="95">
        <f t="shared" si="81"/>
        <v>106.73677129575202</v>
      </c>
      <c r="L736" s="96">
        <f t="shared" si="82"/>
        <v>22.651695801983415</v>
      </c>
    </row>
    <row r="737" spans="9:12" x14ac:dyDescent="0.2">
      <c r="I737" s="173">
        <f t="shared" si="80"/>
        <v>84.239892696675852</v>
      </c>
      <c r="J737" s="94">
        <v>590</v>
      </c>
      <c r="K737" s="95">
        <f t="shared" si="81"/>
        <v>106.91798822494684</v>
      </c>
      <c r="L737" s="96">
        <f t="shared" si="82"/>
        <v>22.678095528270983</v>
      </c>
    </row>
    <row r="738" spans="9:12" x14ac:dyDescent="0.2">
      <c r="I738" s="173">
        <f t="shared" si="80"/>
        <v>84.39470989958312</v>
      </c>
      <c r="J738" s="94">
        <v>591</v>
      </c>
      <c r="K738" s="95">
        <f t="shared" si="81"/>
        <v>107.09920515414167</v>
      </c>
      <c r="L738" s="96">
        <f t="shared" si="82"/>
        <v>22.704495254558552</v>
      </c>
    </row>
    <row r="739" spans="9:12" x14ac:dyDescent="0.2">
      <c r="I739" s="173">
        <f t="shared" si="80"/>
        <v>84.549527102490373</v>
      </c>
      <c r="J739" s="94">
        <v>592</v>
      </c>
      <c r="K739" s="95">
        <f t="shared" si="81"/>
        <v>107.28042208333649</v>
      </c>
      <c r="L739" s="96">
        <f t="shared" si="82"/>
        <v>22.730894980846116</v>
      </c>
    </row>
    <row r="740" spans="9:12" x14ac:dyDescent="0.2">
      <c r="I740" s="173">
        <f t="shared" si="80"/>
        <v>84.704344305397626</v>
      </c>
      <c r="J740" s="94">
        <v>593</v>
      </c>
      <c r="K740" s="95">
        <f t="shared" si="81"/>
        <v>107.46163901253132</v>
      </c>
      <c r="L740" s="96">
        <f t="shared" si="82"/>
        <v>22.757294707133688</v>
      </c>
    </row>
    <row r="741" spans="9:12" x14ac:dyDescent="0.2">
      <c r="I741" s="173">
        <f t="shared" si="80"/>
        <v>84.859161508304879</v>
      </c>
      <c r="J741" s="94">
        <v>594</v>
      </c>
      <c r="K741" s="95">
        <f t="shared" si="81"/>
        <v>107.64285594172614</v>
      </c>
      <c r="L741" s="96">
        <f t="shared" si="82"/>
        <v>22.783694433421253</v>
      </c>
    </row>
    <row r="742" spans="9:12" x14ac:dyDescent="0.2">
      <c r="I742" s="173">
        <f t="shared" si="80"/>
        <v>85.013978711212147</v>
      </c>
      <c r="J742" s="94">
        <v>595</v>
      </c>
      <c r="K742" s="95">
        <f t="shared" si="81"/>
        <v>107.82407287092097</v>
      </c>
      <c r="L742" s="96">
        <f t="shared" si="82"/>
        <v>22.810094159708822</v>
      </c>
    </row>
    <row r="743" spans="9:12" x14ac:dyDescent="0.2">
      <c r="I743" s="173">
        <f t="shared" si="80"/>
        <v>85.1687959141194</v>
      </c>
      <c r="J743" s="94">
        <v>596</v>
      </c>
      <c r="K743" s="95">
        <f t="shared" si="81"/>
        <v>108.00528980011579</v>
      </c>
      <c r="L743" s="96">
        <f t="shared" si="82"/>
        <v>22.83649388599639</v>
      </c>
    </row>
    <row r="744" spans="9:12" x14ac:dyDescent="0.2">
      <c r="I744" s="173">
        <f t="shared" si="80"/>
        <v>85.323613117026667</v>
      </c>
      <c r="J744" s="94">
        <v>597</v>
      </c>
      <c r="K744" s="95">
        <f t="shared" si="81"/>
        <v>108.18650672931062</v>
      </c>
      <c r="L744" s="96">
        <f t="shared" si="82"/>
        <v>22.862893612283955</v>
      </c>
    </row>
    <row r="745" spans="9:12" x14ac:dyDescent="0.2">
      <c r="I745" s="173">
        <f t="shared" si="80"/>
        <v>85.478430319933921</v>
      </c>
      <c r="J745" s="94">
        <v>598</v>
      </c>
      <c r="K745" s="95">
        <f t="shared" si="81"/>
        <v>108.36772365850544</v>
      </c>
      <c r="L745" s="96">
        <f t="shared" si="82"/>
        <v>22.889293338571527</v>
      </c>
    </row>
    <row r="746" spans="9:12" x14ac:dyDescent="0.2">
      <c r="I746" s="173">
        <f t="shared" si="80"/>
        <v>85.633247522841174</v>
      </c>
      <c r="J746" s="94">
        <v>599</v>
      </c>
      <c r="K746" s="95">
        <f t="shared" si="81"/>
        <v>108.54894058770027</v>
      </c>
      <c r="L746" s="96">
        <f t="shared" si="82"/>
        <v>22.915693064859092</v>
      </c>
    </row>
    <row r="747" spans="9:12" x14ac:dyDescent="0.2">
      <c r="I747" s="173">
        <f t="shared" si="80"/>
        <v>85.788064725748427</v>
      </c>
      <c r="J747" s="94">
        <v>600</v>
      </c>
      <c r="K747" s="95">
        <f t="shared" si="81"/>
        <v>108.73015751689509</v>
      </c>
      <c r="L747" s="96">
        <f t="shared" si="82"/>
        <v>22.94209279114666</v>
      </c>
    </row>
    <row r="748" spans="9:12" x14ac:dyDescent="0.2">
      <c r="I748" s="173">
        <f t="shared" ref="I748:I811" si="83">ABS(K748-L748)</f>
        <v>85.942881928655694</v>
      </c>
      <c r="J748" s="94">
        <v>601</v>
      </c>
      <c r="K748" s="95">
        <f t="shared" si="81"/>
        <v>108.91137444608992</v>
      </c>
      <c r="L748" s="96">
        <f t="shared" si="82"/>
        <v>22.968492517434228</v>
      </c>
    </row>
    <row r="749" spans="9:12" x14ac:dyDescent="0.2">
      <c r="I749" s="173">
        <f t="shared" si="83"/>
        <v>86.097699131562948</v>
      </c>
      <c r="J749" s="94">
        <v>602</v>
      </c>
      <c r="K749" s="95">
        <f t="shared" si="81"/>
        <v>109.09259137528474</v>
      </c>
      <c r="L749" s="96">
        <f t="shared" si="82"/>
        <v>22.994892243721797</v>
      </c>
    </row>
    <row r="750" spans="9:12" x14ac:dyDescent="0.2">
      <c r="I750" s="173">
        <f t="shared" si="83"/>
        <v>86.252516334470215</v>
      </c>
      <c r="J750" s="94">
        <v>603</v>
      </c>
      <c r="K750" s="95">
        <f t="shared" si="81"/>
        <v>109.27380830447957</v>
      </c>
      <c r="L750" s="96">
        <f t="shared" si="82"/>
        <v>23.021291970009365</v>
      </c>
    </row>
    <row r="751" spans="9:12" x14ac:dyDescent="0.2">
      <c r="I751" s="173">
        <f t="shared" si="83"/>
        <v>86.407333537377468</v>
      </c>
      <c r="J751" s="94">
        <v>604</v>
      </c>
      <c r="K751" s="95">
        <f t="shared" si="81"/>
        <v>109.45502523367439</v>
      </c>
      <c r="L751" s="96">
        <f t="shared" si="82"/>
        <v>23.04769169629693</v>
      </c>
    </row>
    <row r="752" spans="9:12" x14ac:dyDescent="0.2">
      <c r="I752" s="173">
        <f t="shared" si="83"/>
        <v>86.562150740284721</v>
      </c>
      <c r="J752" s="94">
        <v>605</v>
      </c>
      <c r="K752" s="95">
        <f t="shared" si="81"/>
        <v>109.63624216286922</v>
      </c>
      <c r="L752" s="96">
        <f t="shared" si="82"/>
        <v>23.074091422584502</v>
      </c>
    </row>
    <row r="753" spans="9:12" x14ac:dyDescent="0.2">
      <c r="I753" s="173">
        <f t="shared" si="83"/>
        <v>86.716967943191975</v>
      </c>
      <c r="J753" s="94">
        <v>606</v>
      </c>
      <c r="K753" s="95">
        <f t="shared" si="81"/>
        <v>109.81745909206404</v>
      </c>
      <c r="L753" s="96">
        <f t="shared" si="82"/>
        <v>23.100491148872067</v>
      </c>
    </row>
    <row r="754" spans="9:12" x14ac:dyDescent="0.2">
      <c r="I754" s="173">
        <f t="shared" si="83"/>
        <v>86.871785146099228</v>
      </c>
      <c r="J754" s="94">
        <v>607</v>
      </c>
      <c r="K754" s="95">
        <f t="shared" si="81"/>
        <v>109.99867602125887</v>
      </c>
      <c r="L754" s="96">
        <f t="shared" si="82"/>
        <v>23.126890875159638</v>
      </c>
    </row>
    <row r="755" spans="9:12" x14ac:dyDescent="0.2">
      <c r="I755" s="173">
        <f t="shared" si="83"/>
        <v>87.026602349006481</v>
      </c>
      <c r="J755" s="94">
        <v>608</v>
      </c>
      <c r="K755" s="95">
        <f t="shared" si="81"/>
        <v>110.17989295045369</v>
      </c>
      <c r="L755" s="96">
        <f t="shared" si="82"/>
        <v>23.153290601447203</v>
      </c>
    </row>
    <row r="756" spans="9:12" x14ac:dyDescent="0.2">
      <c r="I756" s="173">
        <f t="shared" si="83"/>
        <v>87.181419551913763</v>
      </c>
      <c r="J756" s="94">
        <v>609</v>
      </c>
      <c r="K756" s="95">
        <f t="shared" si="81"/>
        <v>110.36110987964852</v>
      </c>
      <c r="L756" s="96">
        <f t="shared" si="82"/>
        <v>23.179690327734768</v>
      </c>
    </row>
    <row r="757" spans="9:12" x14ac:dyDescent="0.2">
      <c r="I757" s="173">
        <f t="shared" si="83"/>
        <v>87.336236754821002</v>
      </c>
      <c r="J757" s="94">
        <v>610</v>
      </c>
      <c r="K757" s="95">
        <f t="shared" ref="K757:K820" si="84">VLOOKUP($L$297,$C$138:$D$141,2,FALSE)*J757</f>
        <v>110.54232680884334</v>
      </c>
      <c r="L757" s="96">
        <f t="shared" ref="L757:L820" si="85">VLOOKUP($L$297,$C$281:$E$284,2,FALSE)*J757+(VLOOKUP($L$297,$C$281:$E$284,3,FALSE)+$D$292)</f>
        <v>23.20609005402234</v>
      </c>
    </row>
    <row r="758" spans="9:12" x14ac:dyDescent="0.2">
      <c r="I758" s="173">
        <f t="shared" si="83"/>
        <v>87.491053957728269</v>
      </c>
      <c r="J758" s="94">
        <v>611</v>
      </c>
      <c r="K758" s="95">
        <f t="shared" si="84"/>
        <v>110.72354373803817</v>
      </c>
      <c r="L758" s="96">
        <f t="shared" si="85"/>
        <v>23.232489780309905</v>
      </c>
    </row>
    <row r="759" spans="9:12" x14ac:dyDescent="0.2">
      <c r="I759" s="173">
        <f t="shared" si="83"/>
        <v>87.645871160635522</v>
      </c>
      <c r="J759" s="94">
        <v>612</v>
      </c>
      <c r="K759" s="95">
        <f t="shared" si="84"/>
        <v>110.90476066723299</v>
      </c>
      <c r="L759" s="96">
        <f t="shared" si="85"/>
        <v>23.258889506597477</v>
      </c>
    </row>
    <row r="760" spans="9:12" x14ac:dyDescent="0.2">
      <c r="I760" s="173">
        <f t="shared" si="83"/>
        <v>87.800688363542776</v>
      </c>
      <c r="J760" s="94">
        <v>613</v>
      </c>
      <c r="K760" s="95">
        <f t="shared" si="84"/>
        <v>111.08597759642782</v>
      </c>
      <c r="L760" s="96">
        <f t="shared" si="85"/>
        <v>23.285289232885042</v>
      </c>
    </row>
    <row r="761" spans="9:12" x14ac:dyDescent="0.2">
      <c r="I761" s="173">
        <f t="shared" si="83"/>
        <v>87.955505566450029</v>
      </c>
      <c r="J761" s="94">
        <v>614</v>
      </c>
      <c r="K761" s="95">
        <f t="shared" si="84"/>
        <v>111.26719452562264</v>
      </c>
      <c r="L761" s="96">
        <f t="shared" si="85"/>
        <v>23.311688959172606</v>
      </c>
    </row>
    <row r="762" spans="9:12" x14ac:dyDescent="0.2">
      <c r="I762" s="173">
        <f t="shared" si="83"/>
        <v>88.110322769357296</v>
      </c>
      <c r="J762" s="94">
        <v>615</v>
      </c>
      <c r="K762" s="95">
        <f t="shared" si="84"/>
        <v>111.44841145481747</v>
      </c>
      <c r="L762" s="96">
        <f t="shared" si="85"/>
        <v>23.338088685460178</v>
      </c>
    </row>
    <row r="763" spans="9:12" x14ac:dyDescent="0.2">
      <c r="I763" s="173">
        <f t="shared" si="83"/>
        <v>88.265139972264549</v>
      </c>
      <c r="J763" s="94">
        <v>616</v>
      </c>
      <c r="K763" s="95">
        <f t="shared" si="84"/>
        <v>111.62962838401229</v>
      </c>
      <c r="L763" s="96">
        <f t="shared" si="85"/>
        <v>23.364488411747743</v>
      </c>
    </row>
    <row r="764" spans="9:12" x14ac:dyDescent="0.2">
      <c r="I764" s="173">
        <f t="shared" si="83"/>
        <v>88.419957175171817</v>
      </c>
      <c r="J764" s="94">
        <v>617</v>
      </c>
      <c r="K764" s="95">
        <f t="shared" si="84"/>
        <v>111.81084531320712</v>
      </c>
      <c r="L764" s="96">
        <f t="shared" si="85"/>
        <v>23.390888138035315</v>
      </c>
    </row>
    <row r="765" spans="9:12" x14ac:dyDescent="0.2">
      <c r="I765" s="173">
        <f t="shared" si="83"/>
        <v>88.57477437807907</v>
      </c>
      <c r="J765" s="94">
        <v>618</v>
      </c>
      <c r="K765" s="95">
        <f t="shared" si="84"/>
        <v>111.99206224240194</v>
      </c>
      <c r="L765" s="96">
        <f t="shared" si="85"/>
        <v>23.41728786432288</v>
      </c>
    </row>
    <row r="766" spans="9:12" x14ac:dyDescent="0.2">
      <c r="I766" s="173">
        <f t="shared" si="83"/>
        <v>88.729591580986323</v>
      </c>
      <c r="J766" s="94">
        <v>619</v>
      </c>
      <c r="K766" s="95">
        <f t="shared" si="84"/>
        <v>112.17327917159677</v>
      </c>
      <c r="L766" s="96">
        <f t="shared" si="85"/>
        <v>23.443687590610452</v>
      </c>
    </row>
    <row r="767" spans="9:12" x14ac:dyDescent="0.2">
      <c r="I767" s="173">
        <f t="shared" si="83"/>
        <v>88.884408783893576</v>
      </c>
      <c r="J767" s="94">
        <v>620</v>
      </c>
      <c r="K767" s="95">
        <f t="shared" si="84"/>
        <v>112.35449610079159</v>
      </c>
      <c r="L767" s="96">
        <f t="shared" si="85"/>
        <v>23.470087316898017</v>
      </c>
    </row>
    <row r="768" spans="9:12" x14ac:dyDescent="0.2">
      <c r="I768" s="173">
        <f t="shared" si="83"/>
        <v>89.039225986800844</v>
      </c>
      <c r="J768" s="94">
        <v>621</v>
      </c>
      <c r="K768" s="95">
        <f t="shared" si="84"/>
        <v>112.53571302998643</v>
      </c>
      <c r="L768" s="96">
        <f t="shared" si="85"/>
        <v>23.496487043185581</v>
      </c>
    </row>
    <row r="769" spans="9:12" x14ac:dyDescent="0.2">
      <c r="I769" s="173">
        <f t="shared" si="83"/>
        <v>89.194043189708083</v>
      </c>
      <c r="J769" s="94">
        <v>622</v>
      </c>
      <c r="K769" s="95">
        <f t="shared" si="84"/>
        <v>112.71692995918124</v>
      </c>
      <c r="L769" s="96">
        <f t="shared" si="85"/>
        <v>23.522886769473153</v>
      </c>
    </row>
    <row r="770" spans="9:12" x14ac:dyDescent="0.2">
      <c r="I770" s="173">
        <f t="shared" si="83"/>
        <v>89.348860392615364</v>
      </c>
      <c r="J770" s="94">
        <v>623</v>
      </c>
      <c r="K770" s="95">
        <f t="shared" si="84"/>
        <v>112.89814688837608</v>
      </c>
      <c r="L770" s="96">
        <f t="shared" si="85"/>
        <v>23.549286495760718</v>
      </c>
    </row>
    <row r="771" spans="9:12" x14ac:dyDescent="0.2">
      <c r="I771" s="173">
        <f t="shared" si="83"/>
        <v>89.503677595522603</v>
      </c>
      <c r="J771" s="94">
        <v>624</v>
      </c>
      <c r="K771" s="95">
        <f t="shared" si="84"/>
        <v>113.07936381757089</v>
      </c>
      <c r="L771" s="96">
        <f t="shared" si="85"/>
        <v>23.57568622204829</v>
      </c>
    </row>
    <row r="772" spans="9:12" x14ac:dyDescent="0.2">
      <c r="I772" s="173">
        <f t="shared" si="83"/>
        <v>89.658494798429871</v>
      </c>
      <c r="J772" s="94">
        <v>625</v>
      </c>
      <c r="K772" s="95">
        <f t="shared" si="84"/>
        <v>113.26058074676573</v>
      </c>
      <c r="L772" s="96">
        <f t="shared" si="85"/>
        <v>23.602085948335855</v>
      </c>
    </row>
    <row r="773" spans="9:12" x14ac:dyDescent="0.2">
      <c r="I773" s="173">
        <f t="shared" si="83"/>
        <v>89.813312001337124</v>
      </c>
      <c r="J773" s="94">
        <v>626</v>
      </c>
      <c r="K773" s="95">
        <f t="shared" si="84"/>
        <v>113.44179767596054</v>
      </c>
      <c r="L773" s="96">
        <f t="shared" si="85"/>
        <v>23.628485674623427</v>
      </c>
    </row>
    <row r="774" spans="9:12" x14ac:dyDescent="0.2">
      <c r="I774" s="173">
        <f t="shared" si="83"/>
        <v>89.968129204244377</v>
      </c>
      <c r="J774" s="94">
        <v>627</v>
      </c>
      <c r="K774" s="95">
        <f t="shared" si="84"/>
        <v>113.62301460515538</v>
      </c>
      <c r="L774" s="96">
        <f t="shared" si="85"/>
        <v>23.654885400910992</v>
      </c>
    </row>
    <row r="775" spans="9:12" x14ac:dyDescent="0.2">
      <c r="I775" s="173">
        <f t="shared" si="83"/>
        <v>90.12294640715163</v>
      </c>
      <c r="J775" s="94">
        <v>628</v>
      </c>
      <c r="K775" s="95">
        <f t="shared" si="84"/>
        <v>113.80423153435019</v>
      </c>
      <c r="L775" s="96">
        <f t="shared" si="85"/>
        <v>23.681285127198556</v>
      </c>
    </row>
    <row r="776" spans="9:12" x14ac:dyDescent="0.2">
      <c r="I776" s="173">
        <f t="shared" si="83"/>
        <v>90.277763610058898</v>
      </c>
      <c r="J776" s="94">
        <v>629</v>
      </c>
      <c r="K776" s="95">
        <f t="shared" si="84"/>
        <v>113.98544846354503</v>
      </c>
      <c r="L776" s="96">
        <f t="shared" si="85"/>
        <v>23.707684853486128</v>
      </c>
    </row>
    <row r="777" spans="9:12" x14ac:dyDescent="0.2">
      <c r="I777" s="173">
        <f t="shared" si="83"/>
        <v>90.432580812966151</v>
      </c>
      <c r="J777" s="94">
        <v>630</v>
      </c>
      <c r="K777" s="95">
        <f t="shared" si="84"/>
        <v>114.16666539273984</v>
      </c>
      <c r="L777" s="96">
        <f t="shared" si="85"/>
        <v>23.734084579773693</v>
      </c>
    </row>
    <row r="778" spans="9:12" x14ac:dyDescent="0.2">
      <c r="I778" s="173">
        <f t="shared" si="83"/>
        <v>90.587398015873418</v>
      </c>
      <c r="J778" s="94">
        <v>631</v>
      </c>
      <c r="K778" s="95">
        <f t="shared" si="84"/>
        <v>114.34788232193468</v>
      </c>
      <c r="L778" s="96">
        <f t="shared" si="85"/>
        <v>23.760484306061265</v>
      </c>
    </row>
    <row r="779" spans="9:12" x14ac:dyDescent="0.2">
      <c r="I779" s="173">
        <f t="shared" si="83"/>
        <v>90.742215218780672</v>
      </c>
      <c r="J779" s="94">
        <v>632</v>
      </c>
      <c r="K779" s="95">
        <f t="shared" si="84"/>
        <v>114.52909925112949</v>
      </c>
      <c r="L779" s="96">
        <f t="shared" si="85"/>
        <v>23.78688403234883</v>
      </c>
    </row>
    <row r="780" spans="9:12" x14ac:dyDescent="0.2">
      <c r="I780" s="173">
        <f t="shared" si="83"/>
        <v>90.897032421687925</v>
      </c>
      <c r="J780" s="94">
        <v>633</v>
      </c>
      <c r="K780" s="95">
        <f t="shared" si="84"/>
        <v>114.71031618032433</v>
      </c>
      <c r="L780" s="96">
        <f t="shared" si="85"/>
        <v>23.813283758636395</v>
      </c>
    </row>
    <row r="781" spans="9:12" x14ac:dyDescent="0.2">
      <c r="I781" s="173">
        <f t="shared" si="83"/>
        <v>91.051849624595178</v>
      </c>
      <c r="J781" s="94">
        <v>634</v>
      </c>
      <c r="K781" s="95">
        <f t="shared" si="84"/>
        <v>114.89153310951914</v>
      </c>
      <c r="L781" s="96">
        <f t="shared" si="85"/>
        <v>23.839683484923967</v>
      </c>
    </row>
    <row r="782" spans="9:12" x14ac:dyDescent="0.2">
      <c r="I782" s="173">
        <f t="shared" si="83"/>
        <v>91.206666827502445</v>
      </c>
      <c r="J782" s="94">
        <v>635</v>
      </c>
      <c r="K782" s="95">
        <f t="shared" si="84"/>
        <v>115.07275003871398</v>
      </c>
      <c r="L782" s="96">
        <f t="shared" si="85"/>
        <v>23.866083211211532</v>
      </c>
    </row>
    <row r="783" spans="9:12" x14ac:dyDescent="0.2">
      <c r="I783" s="173">
        <f t="shared" si="83"/>
        <v>91.361484030409684</v>
      </c>
      <c r="J783" s="94">
        <v>636</v>
      </c>
      <c r="K783" s="95">
        <f t="shared" si="84"/>
        <v>115.2539669679088</v>
      </c>
      <c r="L783" s="96">
        <f t="shared" si="85"/>
        <v>23.892482937499103</v>
      </c>
    </row>
    <row r="784" spans="9:12" x14ac:dyDescent="0.2">
      <c r="I784" s="173">
        <f t="shared" si="83"/>
        <v>91.516301233316966</v>
      </c>
      <c r="J784" s="94">
        <v>637</v>
      </c>
      <c r="K784" s="95">
        <f t="shared" si="84"/>
        <v>115.43518389710363</v>
      </c>
      <c r="L784" s="96">
        <f t="shared" si="85"/>
        <v>23.918882663786668</v>
      </c>
    </row>
    <row r="785" spans="9:12" x14ac:dyDescent="0.2">
      <c r="I785" s="173">
        <f t="shared" si="83"/>
        <v>91.671118436224205</v>
      </c>
      <c r="J785" s="94">
        <v>638</v>
      </c>
      <c r="K785" s="95">
        <f t="shared" si="84"/>
        <v>115.61640082629845</v>
      </c>
      <c r="L785" s="96">
        <f t="shared" si="85"/>
        <v>23.94528239007424</v>
      </c>
    </row>
    <row r="786" spans="9:12" x14ac:dyDescent="0.2">
      <c r="I786" s="173">
        <f t="shared" si="83"/>
        <v>91.825935639131472</v>
      </c>
      <c r="J786" s="94">
        <v>639</v>
      </c>
      <c r="K786" s="95">
        <f t="shared" si="84"/>
        <v>115.79761775549328</v>
      </c>
      <c r="L786" s="96">
        <f t="shared" si="85"/>
        <v>23.971682116361805</v>
      </c>
    </row>
    <row r="787" spans="9:12" x14ac:dyDescent="0.2">
      <c r="I787" s="173">
        <f t="shared" si="83"/>
        <v>91.980752842038726</v>
      </c>
      <c r="J787" s="94">
        <v>640</v>
      </c>
      <c r="K787" s="95">
        <f t="shared" si="84"/>
        <v>115.9788346846881</v>
      </c>
      <c r="L787" s="96">
        <f t="shared" si="85"/>
        <v>23.99808184264937</v>
      </c>
    </row>
    <row r="788" spans="9:12" x14ac:dyDescent="0.2">
      <c r="I788" s="173">
        <f t="shared" si="83"/>
        <v>92.135570044945979</v>
      </c>
      <c r="J788" s="94">
        <v>641</v>
      </c>
      <c r="K788" s="95">
        <f t="shared" si="84"/>
        <v>116.16005161388293</v>
      </c>
      <c r="L788" s="96">
        <f t="shared" si="85"/>
        <v>24.024481568936942</v>
      </c>
    </row>
    <row r="789" spans="9:12" x14ac:dyDescent="0.2">
      <c r="I789" s="173">
        <f t="shared" si="83"/>
        <v>92.290387247853232</v>
      </c>
      <c r="J789" s="94">
        <v>642</v>
      </c>
      <c r="K789" s="95">
        <f t="shared" si="84"/>
        <v>116.34126854307775</v>
      </c>
      <c r="L789" s="96">
        <f t="shared" si="85"/>
        <v>24.050881295224507</v>
      </c>
    </row>
    <row r="790" spans="9:12" x14ac:dyDescent="0.2">
      <c r="I790" s="173">
        <f t="shared" si="83"/>
        <v>92.4452044507605</v>
      </c>
      <c r="J790" s="94">
        <v>643</v>
      </c>
      <c r="K790" s="95">
        <f t="shared" si="84"/>
        <v>116.52248547227258</v>
      </c>
      <c r="L790" s="96">
        <f t="shared" si="85"/>
        <v>24.077281021512078</v>
      </c>
    </row>
    <row r="791" spans="9:12" x14ac:dyDescent="0.2">
      <c r="I791" s="173">
        <f t="shared" si="83"/>
        <v>92.600021653667753</v>
      </c>
      <c r="J791" s="94">
        <v>644</v>
      </c>
      <c r="K791" s="95">
        <f t="shared" si="84"/>
        <v>116.7037024014674</v>
      </c>
      <c r="L791" s="96">
        <f t="shared" si="85"/>
        <v>24.103680747799643</v>
      </c>
    </row>
    <row r="792" spans="9:12" x14ac:dyDescent="0.2">
      <c r="I792" s="173">
        <f t="shared" si="83"/>
        <v>92.75483885657502</v>
      </c>
      <c r="J792" s="94">
        <v>645</v>
      </c>
      <c r="K792" s="95">
        <f t="shared" si="84"/>
        <v>116.88491933066223</v>
      </c>
      <c r="L792" s="96">
        <f t="shared" si="85"/>
        <v>24.130080474087208</v>
      </c>
    </row>
    <row r="793" spans="9:12" x14ac:dyDescent="0.2">
      <c r="I793" s="173">
        <f t="shared" si="83"/>
        <v>92.909656059482273</v>
      </c>
      <c r="J793" s="94">
        <v>646</v>
      </c>
      <c r="K793" s="95">
        <f t="shared" si="84"/>
        <v>117.06613625985705</v>
      </c>
      <c r="L793" s="96">
        <f t="shared" si="85"/>
        <v>24.15648020037478</v>
      </c>
    </row>
    <row r="794" spans="9:12" x14ac:dyDescent="0.2">
      <c r="I794" s="173">
        <f t="shared" si="83"/>
        <v>93.064473262389527</v>
      </c>
      <c r="J794" s="94">
        <v>647</v>
      </c>
      <c r="K794" s="95">
        <f t="shared" si="84"/>
        <v>117.24735318905188</v>
      </c>
      <c r="L794" s="96">
        <f t="shared" si="85"/>
        <v>24.182879926662345</v>
      </c>
    </row>
    <row r="795" spans="9:12" x14ac:dyDescent="0.2">
      <c r="I795" s="173">
        <f t="shared" si="83"/>
        <v>93.21929046529678</v>
      </c>
      <c r="J795" s="94">
        <v>648</v>
      </c>
      <c r="K795" s="95">
        <f t="shared" si="84"/>
        <v>117.4285701182467</v>
      </c>
      <c r="L795" s="96">
        <f t="shared" si="85"/>
        <v>24.209279652949917</v>
      </c>
    </row>
    <row r="796" spans="9:12" x14ac:dyDescent="0.2">
      <c r="I796" s="173">
        <f t="shared" si="83"/>
        <v>93.374107668204047</v>
      </c>
      <c r="J796" s="94">
        <v>649</v>
      </c>
      <c r="K796" s="95">
        <f t="shared" si="84"/>
        <v>117.60978704744153</v>
      </c>
      <c r="L796" s="96">
        <f t="shared" si="85"/>
        <v>24.235679379237482</v>
      </c>
    </row>
    <row r="797" spans="9:12" x14ac:dyDescent="0.2">
      <c r="I797" s="173">
        <f t="shared" si="83"/>
        <v>93.528924871111286</v>
      </c>
      <c r="J797" s="94">
        <v>650</v>
      </c>
      <c r="K797" s="95">
        <f t="shared" si="84"/>
        <v>117.79100397663635</v>
      </c>
      <c r="L797" s="96">
        <f t="shared" si="85"/>
        <v>24.262079105525054</v>
      </c>
    </row>
    <row r="798" spans="9:12" x14ac:dyDescent="0.2">
      <c r="I798" s="173">
        <f t="shared" si="83"/>
        <v>93.683742074018568</v>
      </c>
      <c r="J798" s="94">
        <v>651</v>
      </c>
      <c r="K798" s="95">
        <f t="shared" si="84"/>
        <v>117.97222090583118</v>
      </c>
      <c r="L798" s="96">
        <f t="shared" si="85"/>
        <v>24.288478831812618</v>
      </c>
    </row>
    <row r="799" spans="9:12" x14ac:dyDescent="0.2">
      <c r="I799" s="173">
        <f t="shared" si="83"/>
        <v>93.838559276925821</v>
      </c>
      <c r="J799" s="94">
        <v>652</v>
      </c>
      <c r="K799" s="95">
        <f t="shared" si="84"/>
        <v>118.153437835026</v>
      </c>
      <c r="L799" s="96">
        <f t="shared" si="85"/>
        <v>24.314878558100183</v>
      </c>
    </row>
    <row r="800" spans="9:12" x14ac:dyDescent="0.2">
      <c r="I800" s="173">
        <f t="shared" si="83"/>
        <v>93.993376479833074</v>
      </c>
      <c r="J800" s="94">
        <v>653</v>
      </c>
      <c r="K800" s="95">
        <f t="shared" si="84"/>
        <v>118.33465476422083</v>
      </c>
      <c r="L800" s="96">
        <f t="shared" si="85"/>
        <v>24.341278284387755</v>
      </c>
    </row>
    <row r="801" spans="9:12" x14ac:dyDescent="0.2">
      <c r="I801" s="173">
        <f t="shared" si="83"/>
        <v>94.148193682740327</v>
      </c>
      <c r="J801" s="94">
        <v>654</v>
      </c>
      <c r="K801" s="95">
        <f t="shared" si="84"/>
        <v>118.51587169341565</v>
      </c>
      <c r="L801" s="96">
        <f t="shared" si="85"/>
        <v>24.36767801067532</v>
      </c>
    </row>
    <row r="802" spans="9:12" x14ac:dyDescent="0.2">
      <c r="I802" s="173">
        <f t="shared" si="83"/>
        <v>94.303010885647581</v>
      </c>
      <c r="J802" s="94">
        <v>655</v>
      </c>
      <c r="K802" s="95">
        <f t="shared" si="84"/>
        <v>118.69708862261048</v>
      </c>
      <c r="L802" s="96">
        <f t="shared" si="85"/>
        <v>24.394077736962892</v>
      </c>
    </row>
    <row r="803" spans="9:12" x14ac:dyDescent="0.2">
      <c r="I803" s="173">
        <f t="shared" si="83"/>
        <v>94.457828088554834</v>
      </c>
      <c r="J803" s="94">
        <v>656</v>
      </c>
      <c r="K803" s="95">
        <f t="shared" si="84"/>
        <v>118.8783055518053</v>
      </c>
      <c r="L803" s="96">
        <f t="shared" si="85"/>
        <v>24.420477463250457</v>
      </c>
    </row>
    <row r="804" spans="9:12" x14ac:dyDescent="0.2">
      <c r="I804" s="173">
        <f t="shared" si="83"/>
        <v>94.612645291462115</v>
      </c>
      <c r="J804" s="94">
        <v>657</v>
      </c>
      <c r="K804" s="95">
        <f t="shared" si="84"/>
        <v>119.05952248100013</v>
      </c>
      <c r="L804" s="96">
        <f t="shared" si="85"/>
        <v>24.446877189538021</v>
      </c>
    </row>
    <row r="805" spans="9:12" x14ac:dyDescent="0.2">
      <c r="I805" s="173">
        <f t="shared" si="83"/>
        <v>94.767462494369354</v>
      </c>
      <c r="J805" s="94">
        <v>658</v>
      </c>
      <c r="K805" s="95">
        <f t="shared" si="84"/>
        <v>119.24073941019495</v>
      </c>
      <c r="L805" s="96">
        <f t="shared" si="85"/>
        <v>24.473276915825593</v>
      </c>
    </row>
    <row r="806" spans="9:12" x14ac:dyDescent="0.2">
      <c r="I806" s="173">
        <f t="shared" si="83"/>
        <v>94.922279697276622</v>
      </c>
      <c r="J806" s="94">
        <v>659</v>
      </c>
      <c r="K806" s="95">
        <f t="shared" si="84"/>
        <v>119.42195633938978</v>
      </c>
      <c r="L806" s="96">
        <f t="shared" si="85"/>
        <v>24.499676642113158</v>
      </c>
    </row>
    <row r="807" spans="9:12" x14ac:dyDescent="0.2">
      <c r="I807" s="173">
        <f t="shared" si="83"/>
        <v>95.077096900183875</v>
      </c>
      <c r="J807" s="94">
        <v>660</v>
      </c>
      <c r="K807" s="95">
        <f t="shared" si="84"/>
        <v>119.6031732685846</v>
      </c>
      <c r="L807" s="96">
        <f t="shared" si="85"/>
        <v>24.52607636840073</v>
      </c>
    </row>
    <row r="808" spans="9:12" x14ac:dyDescent="0.2">
      <c r="I808" s="173">
        <f t="shared" si="83"/>
        <v>95.231914103091128</v>
      </c>
      <c r="J808" s="94">
        <v>661</v>
      </c>
      <c r="K808" s="95">
        <f t="shared" si="84"/>
        <v>119.78439019777943</v>
      </c>
      <c r="L808" s="96">
        <f t="shared" si="85"/>
        <v>24.552476094688295</v>
      </c>
    </row>
    <row r="809" spans="9:12" x14ac:dyDescent="0.2">
      <c r="I809" s="173">
        <f t="shared" si="83"/>
        <v>95.386731305998381</v>
      </c>
      <c r="J809" s="94">
        <v>662</v>
      </c>
      <c r="K809" s="95">
        <f t="shared" si="84"/>
        <v>119.96560712697425</v>
      </c>
      <c r="L809" s="96">
        <f t="shared" si="85"/>
        <v>24.578875820975867</v>
      </c>
    </row>
    <row r="810" spans="9:12" x14ac:dyDescent="0.2">
      <c r="I810" s="173">
        <f t="shared" si="83"/>
        <v>95.541548508905649</v>
      </c>
      <c r="J810" s="94">
        <v>663</v>
      </c>
      <c r="K810" s="95">
        <f t="shared" si="84"/>
        <v>120.14682405616908</v>
      </c>
      <c r="L810" s="96">
        <f t="shared" si="85"/>
        <v>24.605275547263432</v>
      </c>
    </row>
    <row r="811" spans="9:12" x14ac:dyDescent="0.2">
      <c r="I811" s="173">
        <f t="shared" si="83"/>
        <v>95.696365711812902</v>
      </c>
      <c r="J811" s="94">
        <v>664</v>
      </c>
      <c r="K811" s="95">
        <f t="shared" si="84"/>
        <v>120.3280409853639</v>
      </c>
      <c r="L811" s="96">
        <f t="shared" si="85"/>
        <v>24.631675273550997</v>
      </c>
    </row>
    <row r="812" spans="9:12" x14ac:dyDescent="0.2">
      <c r="I812" s="173">
        <f t="shared" ref="I812:I875" si="86">ABS(K812-L812)</f>
        <v>95.851182914720169</v>
      </c>
      <c r="J812" s="94">
        <v>665</v>
      </c>
      <c r="K812" s="95">
        <f t="shared" si="84"/>
        <v>120.50925791455873</v>
      </c>
      <c r="L812" s="96">
        <f t="shared" si="85"/>
        <v>24.658074999838568</v>
      </c>
    </row>
    <row r="813" spans="9:12" x14ac:dyDescent="0.2">
      <c r="I813" s="173">
        <f t="shared" si="86"/>
        <v>96.006000117627423</v>
      </c>
      <c r="J813" s="94">
        <v>666</v>
      </c>
      <c r="K813" s="95">
        <f t="shared" si="84"/>
        <v>120.69047484375355</v>
      </c>
      <c r="L813" s="96">
        <f t="shared" si="85"/>
        <v>24.684474726126133</v>
      </c>
    </row>
    <row r="814" spans="9:12" x14ac:dyDescent="0.2">
      <c r="I814" s="173">
        <f t="shared" si="86"/>
        <v>96.160817320534676</v>
      </c>
      <c r="J814" s="94">
        <v>667</v>
      </c>
      <c r="K814" s="95">
        <f t="shared" si="84"/>
        <v>120.87169177294838</v>
      </c>
      <c r="L814" s="96">
        <f t="shared" si="85"/>
        <v>24.710874452413705</v>
      </c>
    </row>
    <row r="815" spans="9:12" x14ac:dyDescent="0.2">
      <c r="I815" s="173">
        <f t="shared" si="86"/>
        <v>96.315634523441929</v>
      </c>
      <c r="J815" s="94">
        <v>668</v>
      </c>
      <c r="K815" s="95">
        <f t="shared" si="84"/>
        <v>121.0529087021432</v>
      </c>
      <c r="L815" s="96">
        <f t="shared" si="85"/>
        <v>24.73727417870127</v>
      </c>
    </row>
    <row r="816" spans="9:12" x14ac:dyDescent="0.2">
      <c r="I816" s="173">
        <f t="shared" si="86"/>
        <v>96.470451726349182</v>
      </c>
      <c r="J816" s="94">
        <v>669</v>
      </c>
      <c r="K816" s="95">
        <f t="shared" si="84"/>
        <v>121.23412563133803</v>
      </c>
      <c r="L816" s="96">
        <f t="shared" si="85"/>
        <v>24.763673904988842</v>
      </c>
    </row>
    <row r="817" spans="9:12" x14ac:dyDescent="0.2">
      <c r="I817" s="173">
        <f t="shared" si="86"/>
        <v>96.625268929256436</v>
      </c>
      <c r="J817" s="94">
        <v>670</v>
      </c>
      <c r="K817" s="95">
        <f t="shared" si="84"/>
        <v>121.41534256053285</v>
      </c>
      <c r="L817" s="96">
        <f t="shared" si="85"/>
        <v>24.790073631276407</v>
      </c>
    </row>
    <row r="818" spans="9:12" x14ac:dyDescent="0.2">
      <c r="I818" s="173">
        <f t="shared" si="86"/>
        <v>96.780086132163717</v>
      </c>
      <c r="J818" s="94">
        <v>671</v>
      </c>
      <c r="K818" s="95">
        <f t="shared" si="84"/>
        <v>121.59655948972768</v>
      </c>
      <c r="L818" s="96">
        <f t="shared" si="85"/>
        <v>24.816473357563972</v>
      </c>
    </row>
    <row r="819" spans="9:12" x14ac:dyDescent="0.2">
      <c r="I819" s="173">
        <f t="shared" si="86"/>
        <v>96.934903335070956</v>
      </c>
      <c r="J819" s="94">
        <v>672</v>
      </c>
      <c r="K819" s="95">
        <f t="shared" si="84"/>
        <v>121.7777764189225</v>
      </c>
      <c r="L819" s="96">
        <f t="shared" si="85"/>
        <v>24.842873083851543</v>
      </c>
    </row>
    <row r="820" spans="9:12" x14ac:dyDescent="0.2">
      <c r="I820" s="173">
        <f t="shared" si="86"/>
        <v>97.089720537978224</v>
      </c>
      <c r="J820" s="94">
        <v>673</v>
      </c>
      <c r="K820" s="95">
        <f t="shared" si="84"/>
        <v>121.95899334811733</v>
      </c>
      <c r="L820" s="96">
        <f t="shared" si="85"/>
        <v>24.869272810139108</v>
      </c>
    </row>
    <row r="821" spans="9:12" x14ac:dyDescent="0.2">
      <c r="I821" s="173">
        <f t="shared" si="86"/>
        <v>97.244537740885477</v>
      </c>
      <c r="J821" s="94">
        <v>674</v>
      </c>
      <c r="K821" s="95">
        <f t="shared" ref="K821:K884" si="87">VLOOKUP($L$297,$C$138:$D$141,2,FALSE)*J821</f>
        <v>122.14021027731215</v>
      </c>
      <c r="L821" s="96">
        <f t="shared" ref="L821:L884" si="88">VLOOKUP($L$297,$C$281:$E$284,2,FALSE)*J821+(VLOOKUP($L$297,$C$281:$E$284,3,FALSE)+$D$292)</f>
        <v>24.89567253642668</v>
      </c>
    </row>
    <row r="822" spans="9:12" x14ac:dyDescent="0.2">
      <c r="I822" s="173">
        <f t="shared" si="86"/>
        <v>97.39935494379273</v>
      </c>
      <c r="J822" s="94">
        <v>675</v>
      </c>
      <c r="K822" s="95">
        <f t="shared" si="87"/>
        <v>122.32142720650698</v>
      </c>
      <c r="L822" s="96">
        <f t="shared" si="88"/>
        <v>24.922072262714245</v>
      </c>
    </row>
    <row r="823" spans="9:12" x14ac:dyDescent="0.2">
      <c r="I823" s="173">
        <f t="shared" si="86"/>
        <v>97.554172146699983</v>
      </c>
      <c r="J823" s="94">
        <v>676</v>
      </c>
      <c r="K823" s="95">
        <f t="shared" si="87"/>
        <v>122.5026441357018</v>
      </c>
      <c r="L823" s="96">
        <f t="shared" si="88"/>
        <v>24.94847198900181</v>
      </c>
    </row>
    <row r="824" spans="9:12" x14ac:dyDescent="0.2">
      <c r="I824" s="173">
        <f t="shared" si="86"/>
        <v>97.708989349607251</v>
      </c>
      <c r="J824" s="94">
        <v>677</v>
      </c>
      <c r="K824" s="95">
        <f t="shared" si="87"/>
        <v>122.68386106489663</v>
      </c>
      <c r="L824" s="96">
        <f t="shared" si="88"/>
        <v>24.974871715289382</v>
      </c>
    </row>
    <row r="825" spans="9:12" x14ac:dyDescent="0.2">
      <c r="I825" s="173">
        <f t="shared" si="86"/>
        <v>97.863806552514504</v>
      </c>
      <c r="J825" s="94">
        <v>678</v>
      </c>
      <c r="K825" s="95">
        <f t="shared" si="87"/>
        <v>122.86507799409145</v>
      </c>
      <c r="L825" s="96">
        <f t="shared" si="88"/>
        <v>25.001271441576947</v>
      </c>
    </row>
    <row r="826" spans="9:12" x14ac:dyDescent="0.2">
      <c r="I826" s="173">
        <f t="shared" si="86"/>
        <v>98.018623755421771</v>
      </c>
      <c r="J826" s="94">
        <v>679</v>
      </c>
      <c r="K826" s="95">
        <f t="shared" si="87"/>
        <v>123.04629492328628</v>
      </c>
      <c r="L826" s="96">
        <f t="shared" si="88"/>
        <v>25.027671167864519</v>
      </c>
    </row>
    <row r="827" spans="9:12" x14ac:dyDescent="0.2">
      <c r="I827" s="173">
        <f t="shared" si="86"/>
        <v>98.173440958329024</v>
      </c>
      <c r="J827" s="94">
        <v>680</v>
      </c>
      <c r="K827" s="95">
        <f t="shared" si="87"/>
        <v>123.2275118524811</v>
      </c>
      <c r="L827" s="96">
        <f t="shared" si="88"/>
        <v>25.054070894152083</v>
      </c>
    </row>
    <row r="828" spans="9:12" x14ac:dyDescent="0.2">
      <c r="I828" s="173">
        <f t="shared" si="86"/>
        <v>98.328258161236278</v>
      </c>
      <c r="J828" s="94">
        <v>681</v>
      </c>
      <c r="K828" s="95">
        <f t="shared" si="87"/>
        <v>123.40872878167593</v>
      </c>
      <c r="L828" s="96">
        <f t="shared" si="88"/>
        <v>25.080470620439655</v>
      </c>
    </row>
    <row r="829" spans="9:12" x14ac:dyDescent="0.2">
      <c r="I829" s="173">
        <f t="shared" si="86"/>
        <v>98.483075364143531</v>
      </c>
      <c r="J829" s="94">
        <v>682</v>
      </c>
      <c r="K829" s="95">
        <f t="shared" si="87"/>
        <v>123.58994571087075</v>
      </c>
      <c r="L829" s="96">
        <f t="shared" si="88"/>
        <v>25.10687034672722</v>
      </c>
    </row>
    <row r="830" spans="9:12" x14ac:dyDescent="0.2">
      <c r="I830" s="173">
        <f t="shared" si="86"/>
        <v>98.637892567050798</v>
      </c>
      <c r="J830" s="94">
        <v>683</v>
      </c>
      <c r="K830" s="95">
        <f t="shared" si="87"/>
        <v>123.77116264006558</v>
      </c>
      <c r="L830" s="96">
        <f t="shared" si="88"/>
        <v>25.133270073014785</v>
      </c>
    </row>
    <row r="831" spans="9:12" x14ac:dyDescent="0.2">
      <c r="I831" s="173">
        <f t="shared" si="86"/>
        <v>98.792709769958037</v>
      </c>
      <c r="J831" s="94">
        <v>684</v>
      </c>
      <c r="K831" s="95">
        <f t="shared" si="87"/>
        <v>123.9523795692604</v>
      </c>
      <c r="L831" s="96">
        <f t="shared" si="88"/>
        <v>25.159669799302357</v>
      </c>
    </row>
    <row r="832" spans="9:12" x14ac:dyDescent="0.2">
      <c r="I832" s="173">
        <f t="shared" si="86"/>
        <v>98.947526972865319</v>
      </c>
      <c r="J832" s="94">
        <v>685</v>
      </c>
      <c r="K832" s="95">
        <f t="shared" si="87"/>
        <v>124.13359649845523</v>
      </c>
      <c r="L832" s="96">
        <f t="shared" si="88"/>
        <v>25.186069525589922</v>
      </c>
    </row>
    <row r="833" spans="9:12" x14ac:dyDescent="0.2">
      <c r="I833" s="173">
        <f t="shared" si="86"/>
        <v>99.102344175772558</v>
      </c>
      <c r="J833" s="94">
        <v>686</v>
      </c>
      <c r="K833" s="95">
        <f t="shared" si="87"/>
        <v>124.31481342765005</v>
      </c>
      <c r="L833" s="96">
        <f t="shared" si="88"/>
        <v>25.212469251877494</v>
      </c>
    </row>
    <row r="834" spans="9:12" x14ac:dyDescent="0.2">
      <c r="I834" s="173">
        <f t="shared" si="86"/>
        <v>99.257161378679825</v>
      </c>
      <c r="J834" s="94">
        <v>687</v>
      </c>
      <c r="K834" s="95">
        <f t="shared" si="87"/>
        <v>124.49603035684488</v>
      </c>
      <c r="L834" s="96">
        <f t="shared" si="88"/>
        <v>25.238868978165058</v>
      </c>
    </row>
    <row r="835" spans="9:12" x14ac:dyDescent="0.2">
      <c r="I835" s="173">
        <f t="shared" si="86"/>
        <v>99.411978581587078</v>
      </c>
      <c r="J835" s="94">
        <v>688</v>
      </c>
      <c r="K835" s="95">
        <f t="shared" si="87"/>
        <v>124.6772472860397</v>
      </c>
      <c r="L835" s="96">
        <f t="shared" si="88"/>
        <v>25.265268704452623</v>
      </c>
    </row>
    <row r="836" spans="9:12" x14ac:dyDescent="0.2">
      <c r="I836" s="173">
        <f t="shared" si="86"/>
        <v>99.566795784494332</v>
      </c>
      <c r="J836" s="94">
        <v>689</v>
      </c>
      <c r="K836" s="95">
        <f t="shared" si="87"/>
        <v>124.85846421523453</v>
      </c>
      <c r="L836" s="96">
        <f t="shared" si="88"/>
        <v>25.291668430740195</v>
      </c>
    </row>
    <row r="837" spans="9:12" x14ac:dyDescent="0.2">
      <c r="I837" s="173">
        <f t="shared" si="86"/>
        <v>99.721612987401585</v>
      </c>
      <c r="J837" s="94">
        <v>690</v>
      </c>
      <c r="K837" s="95">
        <f t="shared" si="87"/>
        <v>125.03968114442935</v>
      </c>
      <c r="L837" s="96">
        <f t="shared" si="88"/>
        <v>25.31806815702776</v>
      </c>
    </row>
    <row r="838" spans="9:12" x14ac:dyDescent="0.2">
      <c r="I838" s="173">
        <f t="shared" si="86"/>
        <v>99.876430190308852</v>
      </c>
      <c r="J838" s="94">
        <v>691</v>
      </c>
      <c r="K838" s="95">
        <f t="shared" si="87"/>
        <v>125.22089807362418</v>
      </c>
      <c r="L838" s="96">
        <f t="shared" si="88"/>
        <v>25.344467883315332</v>
      </c>
    </row>
    <row r="839" spans="9:12" x14ac:dyDescent="0.2">
      <c r="I839" s="173">
        <f t="shared" si="86"/>
        <v>100.03124739321611</v>
      </c>
      <c r="J839" s="94">
        <v>692</v>
      </c>
      <c r="K839" s="95">
        <f t="shared" si="87"/>
        <v>125.402115002819</v>
      </c>
      <c r="L839" s="96">
        <f t="shared" si="88"/>
        <v>25.370867609602897</v>
      </c>
    </row>
    <row r="840" spans="9:12" x14ac:dyDescent="0.2">
      <c r="I840" s="173">
        <f t="shared" si="86"/>
        <v>100.18606459612337</v>
      </c>
      <c r="J840" s="94">
        <v>693</v>
      </c>
      <c r="K840" s="95">
        <f t="shared" si="87"/>
        <v>125.58333193201383</v>
      </c>
      <c r="L840" s="96">
        <f t="shared" si="88"/>
        <v>25.397267335890469</v>
      </c>
    </row>
    <row r="841" spans="9:12" x14ac:dyDescent="0.2">
      <c r="I841" s="173">
        <f t="shared" si="86"/>
        <v>100.34088179903063</v>
      </c>
      <c r="J841" s="94">
        <v>694</v>
      </c>
      <c r="K841" s="95">
        <f t="shared" si="87"/>
        <v>125.76454886120865</v>
      </c>
      <c r="L841" s="96">
        <f t="shared" si="88"/>
        <v>25.423667062178033</v>
      </c>
    </row>
    <row r="842" spans="9:12" x14ac:dyDescent="0.2">
      <c r="I842" s="173">
        <f t="shared" si="86"/>
        <v>100.49569900193788</v>
      </c>
      <c r="J842" s="94">
        <v>695</v>
      </c>
      <c r="K842" s="95">
        <f t="shared" si="87"/>
        <v>125.94576579040348</v>
      </c>
      <c r="L842" s="96">
        <f t="shared" si="88"/>
        <v>25.450066788465598</v>
      </c>
    </row>
    <row r="843" spans="9:12" x14ac:dyDescent="0.2">
      <c r="I843" s="173">
        <f t="shared" si="86"/>
        <v>100.65051620484513</v>
      </c>
      <c r="J843" s="94">
        <v>696</v>
      </c>
      <c r="K843" s="95">
        <f t="shared" si="87"/>
        <v>126.1269827195983</v>
      </c>
      <c r="L843" s="96">
        <f t="shared" si="88"/>
        <v>25.47646651475317</v>
      </c>
    </row>
    <row r="844" spans="9:12" x14ac:dyDescent="0.2">
      <c r="I844" s="173">
        <f t="shared" si="86"/>
        <v>100.8053334077524</v>
      </c>
      <c r="J844" s="94">
        <v>697</v>
      </c>
      <c r="K844" s="95">
        <f t="shared" si="87"/>
        <v>126.30819964879313</v>
      </c>
      <c r="L844" s="96">
        <f t="shared" si="88"/>
        <v>25.502866241040735</v>
      </c>
    </row>
    <row r="845" spans="9:12" x14ac:dyDescent="0.2">
      <c r="I845" s="173">
        <f t="shared" si="86"/>
        <v>100.96015061065964</v>
      </c>
      <c r="J845" s="94">
        <v>698</v>
      </c>
      <c r="K845" s="95">
        <f t="shared" si="87"/>
        <v>126.48941657798795</v>
      </c>
      <c r="L845" s="96">
        <f t="shared" si="88"/>
        <v>25.529265967328307</v>
      </c>
    </row>
    <row r="846" spans="9:12" x14ac:dyDescent="0.2">
      <c r="I846" s="173">
        <f t="shared" si="86"/>
        <v>101.11496781356692</v>
      </c>
      <c r="J846" s="94">
        <v>699</v>
      </c>
      <c r="K846" s="95">
        <f t="shared" si="87"/>
        <v>126.67063350718279</v>
      </c>
      <c r="L846" s="96">
        <f t="shared" si="88"/>
        <v>25.555665693615872</v>
      </c>
    </row>
    <row r="847" spans="9:12" x14ac:dyDescent="0.2">
      <c r="I847" s="173">
        <f t="shared" si="86"/>
        <v>101.26978501647416</v>
      </c>
      <c r="J847" s="94">
        <v>700</v>
      </c>
      <c r="K847" s="95">
        <f t="shared" si="87"/>
        <v>126.8518504363776</v>
      </c>
      <c r="L847" s="96">
        <f t="shared" si="88"/>
        <v>25.582065419903444</v>
      </c>
    </row>
    <row r="848" spans="9:12" x14ac:dyDescent="0.2">
      <c r="I848" s="173">
        <f t="shared" si="86"/>
        <v>101.42460221938143</v>
      </c>
      <c r="J848" s="94">
        <v>701</v>
      </c>
      <c r="K848" s="95">
        <f t="shared" si="87"/>
        <v>127.03306736557244</v>
      </c>
      <c r="L848" s="96">
        <f t="shared" si="88"/>
        <v>25.608465146191008</v>
      </c>
    </row>
    <row r="849" spans="9:12" x14ac:dyDescent="0.2">
      <c r="I849" s="173">
        <f t="shared" si="86"/>
        <v>101.57941942228868</v>
      </c>
      <c r="J849" s="94">
        <v>702</v>
      </c>
      <c r="K849" s="95">
        <f t="shared" si="87"/>
        <v>127.21428429476725</v>
      </c>
      <c r="L849" s="96">
        <f t="shared" si="88"/>
        <v>25.634864872478573</v>
      </c>
    </row>
    <row r="850" spans="9:12" x14ac:dyDescent="0.2">
      <c r="I850" s="173">
        <f t="shared" si="86"/>
        <v>101.73423662519593</v>
      </c>
      <c r="J850" s="94">
        <v>703</v>
      </c>
      <c r="K850" s="95">
        <f t="shared" si="87"/>
        <v>127.39550122396209</v>
      </c>
      <c r="L850" s="96">
        <f t="shared" si="88"/>
        <v>25.661264598766145</v>
      </c>
    </row>
    <row r="851" spans="9:12" x14ac:dyDescent="0.2">
      <c r="I851" s="173">
        <f t="shared" si="86"/>
        <v>101.88905382810319</v>
      </c>
      <c r="J851" s="94">
        <v>704</v>
      </c>
      <c r="K851" s="95">
        <f t="shared" si="87"/>
        <v>127.5767181531569</v>
      </c>
      <c r="L851" s="96">
        <f t="shared" si="88"/>
        <v>25.68766432505371</v>
      </c>
    </row>
    <row r="852" spans="9:12" x14ac:dyDescent="0.2">
      <c r="I852" s="173">
        <f t="shared" si="86"/>
        <v>102.04387103101045</v>
      </c>
      <c r="J852" s="94">
        <v>705</v>
      </c>
      <c r="K852" s="95">
        <f t="shared" si="87"/>
        <v>127.75793508235174</v>
      </c>
      <c r="L852" s="96">
        <f t="shared" si="88"/>
        <v>25.714064051341282</v>
      </c>
    </row>
    <row r="853" spans="9:12" x14ac:dyDescent="0.2">
      <c r="I853" s="173">
        <f t="shared" si="86"/>
        <v>102.19868823391771</v>
      </c>
      <c r="J853" s="94">
        <v>706</v>
      </c>
      <c r="K853" s="95">
        <f t="shared" si="87"/>
        <v>127.93915201154655</v>
      </c>
      <c r="L853" s="96">
        <f t="shared" si="88"/>
        <v>25.740463777628847</v>
      </c>
    </row>
    <row r="854" spans="9:12" x14ac:dyDescent="0.2">
      <c r="I854" s="173">
        <f t="shared" si="86"/>
        <v>102.35350543682496</v>
      </c>
      <c r="J854" s="94">
        <v>707</v>
      </c>
      <c r="K854" s="95">
        <f t="shared" si="87"/>
        <v>128.12036894074137</v>
      </c>
      <c r="L854" s="96">
        <f t="shared" si="88"/>
        <v>25.766863503916412</v>
      </c>
    </row>
    <row r="855" spans="9:12" x14ac:dyDescent="0.2">
      <c r="I855" s="173">
        <f t="shared" si="86"/>
        <v>102.50832263973223</v>
      </c>
      <c r="J855" s="94">
        <v>708</v>
      </c>
      <c r="K855" s="95">
        <f t="shared" si="87"/>
        <v>128.30158586993622</v>
      </c>
      <c r="L855" s="96">
        <f t="shared" si="88"/>
        <v>25.793263230203983</v>
      </c>
    </row>
    <row r="856" spans="9:12" x14ac:dyDescent="0.2">
      <c r="I856" s="173">
        <f t="shared" si="86"/>
        <v>102.66313984263948</v>
      </c>
      <c r="J856" s="94">
        <v>709</v>
      </c>
      <c r="K856" s="95">
        <f t="shared" si="87"/>
        <v>128.48280279913104</v>
      </c>
      <c r="L856" s="96">
        <f t="shared" si="88"/>
        <v>25.819662956491548</v>
      </c>
    </row>
    <row r="857" spans="9:12" x14ac:dyDescent="0.2">
      <c r="I857" s="173">
        <f t="shared" si="86"/>
        <v>102.81795704554673</v>
      </c>
      <c r="J857" s="94">
        <v>710</v>
      </c>
      <c r="K857" s="95">
        <f t="shared" si="87"/>
        <v>128.66401972832585</v>
      </c>
      <c r="L857" s="96">
        <f t="shared" si="88"/>
        <v>25.84606268277912</v>
      </c>
    </row>
    <row r="858" spans="9:12" x14ac:dyDescent="0.2">
      <c r="I858" s="173">
        <f t="shared" si="86"/>
        <v>102.97277424845399</v>
      </c>
      <c r="J858" s="94">
        <v>711</v>
      </c>
      <c r="K858" s="95">
        <f t="shared" si="87"/>
        <v>128.84523665752067</v>
      </c>
      <c r="L858" s="96">
        <f t="shared" si="88"/>
        <v>25.872462409066685</v>
      </c>
    </row>
    <row r="859" spans="9:12" x14ac:dyDescent="0.2">
      <c r="I859" s="173">
        <f t="shared" si="86"/>
        <v>103.12759145136127</v>
      </c>
      <c r="J859" s="94">
        <v>712</v>
      </c>
      <c r="K859" s="95">
        <f t="shared" si="87"/>
        <v>129.02645358671552</v>
      </c>
      <c r="L859" s="96">
        <f t="shared" si="88"/>
        <v>25.898862135354257</v>
      </c>
    </row>
    <row r="860" spans="9:12" x14ac:dyDescent="0.2">
      <c r="I860" s="173">
        <f t="shared" si="86"/>
        <v>103.28240865426852</v>
      </c>
      <c r="J860" s="94">
        <v>713</v>
      </c>
      <c r="K860" s="95">
        <f t="shared" si="87"/>
        <v>129.20767051591034</v>
      </c>
      <c r="L860" s="96">
        <f t="shared" si="88"/>
        <v>25.925261861641822</v>
      </c>
    </row>
    <row r="861" spans="9:12" x14ac:dyDescent="0.2">
      <c r="I861" s="173">
        <f t="shared" si="86"/>
        <v>103.43722585717578</v>
      </c>
      <c r="J861" s="94">
        <v>714</v>
      </c>
      <c r="K861" s="95">
        <f t="shared" si="87"/>
        <v>129.38888744510515</v>
      </c>
      <c r="L861" s="96">
        <f t="shared" si="88"/>
        <v>25.951661587929387</v>
      </c>
    </row>
    <row r="862" spans="9:12" x14ac:dyDescent="0.2">
      <c r="I862" s="173">
        <f t="shared" si="86"/>
        <v>103.59204306008301</v>
      </c>
      <c r="J862" s="94">
        <v>715</v>
      </c>
      <c r="K862" s="95">
        <f t="shared" si="87"/>
        <v>129.57010437429997</v>
      </c>
      <c r="L862" s="96">
        <f t="shared" si="88"/>
        <v>25.978061314216959</v>
      </c>
    </row>
    <row r="863" spans="9:12" x14ac:dyDescent="0.2">
      <c r="I863" s="173">
        <f t="shared" si="86"/>
        <v>103.7468602629903</v>
      </c>
      <c r="J863" s="94">
        <v>716</v>
      </c>
      <c r="K863" s="95">
        <f t="shared" si="87"/>
        <v>129.75132130349482</v>
      </c>
      <c r="L863" s="96">
        <f t="shared" si="88"/>
        <v>26.004461040504523</v>
      </c>
    </row>
    <row r="864" spans="9:12" x14ac:dyDescent="0.2">
      <c r="I864" s="173">
        <f t="shared" si="86"/>
        <v>103.90167746589754</v>
      </c>
      <c r="J864" s="94">
        <v>717</v>
      </c>
      <c r="K864" s="95">
        <f t="shared" si="87"/>
        <v>129.93253823268964</v>
      </c>
      <c r="L864" s="96">
        <f t="shared" si="88"/>
        <v>26.030860766792095</v>
      </c>
    </row>
    <row r="865" spans="9:12" x14ac:dyDescent="0.2">
      <c r="I865" s="173">
        <f t="shared" si="86"/>
        <v>104.05649466880479</v>
      </c>
      <c r="J865" s="94">
        <v>718</v>
      </c>
      <c r="K865" s="95">
        <f t="shared" si="87"/>
        <v>130.11375516188446</v>
      </c>
      <c r="L865" s="96">
        <f t="shared" si="88"/>
        <v>26.05726049307966</v>
      </c>
    </row>
    <row r="866" spans="9:12" x14ac:dyDescent="0.2">
      <c r="I866" s="173">
        <f t="shared" si="86"/>
        <v>104.21131187171204</v>
      </c>
      <c r="J866" s="94">
        <v>719</v>
      </c>
      <c r="K866" s="95">
        <f t="shared" si="87"/>
        <v>130.29497209107927</v>
      </c>
      <c r="L866" s="96">
        <f t="shared" si="88"/>
        <v>26.083660219367225</v>
      </c>
    </row>
    <row r="867" spans="9:12" x14ac:dyDescent="0.2">
      <c r="I867" s="173">
        <f t="shared" si="86"/>
        <v>104.36612907461932</v>
      </c>
      <c r="J867" s="94">
        <v>720</v>
      </c>
      <c r="K867" s="95">
        <f t="shared" si="87"/>
        <v>130.47618902027412</v>
      </c>
      <c r="L867" s="96">
        <f t="shared" si="88"/>
        <v>26.110059945654797</v>
      </c>
    </row>
    <row r="868" spans="9:12" x14ac:dyDescent="0.2">
      <c r="I868" s="173">
        <f t="shared" si="86"/>
        <v>104.52094627752658</v>
      </c>
      <c r="J868" s="94">
        <v>721</v>
      </c>
      <c r="K868" s="95">
        <f t="shared" si="87"/>
        <v>130.65740594946894</v>
      </c>
      <c r="L868" s="96">
        <f t="shared" si="88"/>
        <v>26.136459671942362</v>
      </c>
    </row>
    <row r="869" spans="9:12" x14ac:dyDescent="0.2">
      <c r="I869" s="173">
        <f t="shared" si="86"/>
        <v>104.67576348043383</v>
      </c>
      <c r="J869" s="94">
        <v>722</v>
      </c>
      <c r="K869" s="95">
        <f t="shared" si="87"/>
        <v>130.83862287866376</v>
      </c>
      <c r="L869" s="96">
        <f t="shared" si="88"/>
        <v>26.162859398229934</v>
      </c>
    </row>
    <row r="870" spans="9:12" x14ac:dyDescent="0.2">
      <c r="I870" s="173">
        <f t="shared" si="86"/>
        <v>104.83058068334108</v>
      </c>
      <c r="J870" s="94">
        <v>723</v>
      </c>
      <c r="K870" s="95">
        <f t="shared" si="87"/>
        <v>131.01983980785857</v>
      </c>
      <c r="L870" s="96">
        <f t="shared" si="88"/>
        <v>26.189259124517498</v>
      </c>
    </row>
    <row r="871" spans="9:12" x14ac:dyDescent="0.2">
      <c r="I871" s="173">
        <f t="shared" si="86"/>
        <v>104.98539788624835</v>
      </c>
      <c r="J871" s="94">
        <v>724</v>
      </c>
      <c r="K871" s="95">
        <f t="shared" si="87"/>
        <v>131.20105673705342</v>
      </c>
      <c r="L871" s="96">
        <f t="shared" si="88"/>
        <v>26.21565885080507</v>
      </c>
    </row>
    <row r="872" spans="9:12" x14ac:dyDescent="0.2">
      <c r="I872" s="173">
        <f t="shared" si="86"/>
        <v>105.1402150891556</v>
      </c>
      <c r="J872" s="94">
        <v>725</v>
      </c>
      <c r="K872" s="95">
        <f t="shared" si="87"/>
        <v>131.38227366624824</v>
      </c>
      <c r="L872" s="96">
        <f t="shared" si="88"/>
        <v>26.242058577092635</v>
      </c>
    </row>
    <row r="873" spans="9:12" x14ac:dyDescent="0.2">
      <c r="I873" s="173">
        <f t="shared" si="86"/>
        <v>105.29503229206286</v>
      </c>
      <c r="J873" s="94">
        <v>726</v>
      </c>
      <c r="K873" s="95">
        <f t="shared" si="87"/>
        <v>131.56349059544306</v>
      </c>
      <c r="L873" s="96">
        <f t="shared" si="88"/>
        <v>26.2684583033802</v>
      </c>
    </row>
    <row r="874" spans="9:12" x14ac:dyDescent="0.2">
      <c r="I874" s="173">
        <f t="shared" si="86"/>
        <v>105.4498494949701</v>
      </c>
      <c r="J874" s="94">
        <v>727</v>
      </c>
      <c r="K874" s="95">
        <f t="shared" si="87"/>
        <v>131.74470752463787</v>
      </c>
      <c r="L874" s="96">
        <f t="shared" si="88"/>
        <v>26.294858029667772</v>
      </c>
    </row>
    <row r="875" spans="9:12" x14ac:dyDescent="0.2">
      <c r="I875" s="173">
        <f t="shared" si="86"/>
        <v>105.60466669787738</v>
      </c>
      <c r="J875" s="94">
        <v>728</v>
      </c>
      <c r="K875" s="95">
        <f t="shared" si="87"/>
        <v>131.92592445383272</v>
      </c>
      <c r="L875" s="96">
        <f t="shared" si="88"/>
        <v>26.321257755955337</v>
      </c>
    </row>
    <row r="876" spans="9:12" x14ac:dyDescent="0.2">
      <c r="I876" s="173">
        <f t="shared" ref="I876:I939" si="89">ABS(K876-L876)</f>
        <v>105.75948390078463</v>
      </c>
      <c r="J876" s="94">
        <v>729</v>
      </c>
      <c r="K876" s="95">
        <f t="shared" si="87"/>
        <v>132.10714138302754</v>
      </c>
      <c r="L876" s="96">
        <f t="shared" si="88"/>
        <v>26.347657482242909</v>
      </c>
    </row>
    <row r="877" spans="9:12" x14ac:dyDescent="0.2">
      <c r="I877" s="173">
        <f t="shared" si="89"/>
        <v>105.91430110369188</v>
      </c>
      <c r="J877" s="94">
        <v>730</v>
      </c>
      <c r="K877" s="95">
        <f t="shared" si="87"/>
        <v>132.28835831222236</v>
      </c>
      <c r="L877" s="96">
        <f t="shared" si="88"/>
        <v>26.374057208530473</v>
      </c>
    </row>
    <row r="878" spans="9:12" x14ac:dyDescent="0.2">
      <c r="I878" s="173">
        <f t="shared" si="89"/>
        <v>106.06911830659914</v>
      </c>
      <c r="J878" s="94">
        <v>731</v>
      </c>
      <c r="K878" s="95">
        <f t="shared" si="87"/>
        <v>132.46957524141717</v>
      </c>
      <c r="L878" s="96">
        <f t="shared" si="88"/>
        <v>26.400456934818038</v>
      </c>
    </row>
    <row r="879" spans="9:12" x14ac:dyDescent="0.2">
      <c r="I879" s="173">
        <f t="shared" si="89"/>
        <v>106.22393550950642</v>
      </c>
      <c r="J879" s="94">
        <v>732</v>
      </c>
      <c r="K879" s="95">
        <f t="shared" si="87"/>
        <v>132.65079217061202</v>
      </c>
      <c r="L879" s="96">
        <f t="shared" si="88"/>
        <v>26.42685666110561</v>
      </c>
    </row>
    <row r="880" spans="9:12" x14ac:dyDescent="0.2">
      <c r="I880" s="173">
        <f t="shared" si="89"/>
        <v>106.37875271241367</v>
      </c>
      <c r="J880" s="94">
        <v>733</v>
      </c>
      <c r="K880" s="95">
        <f t="shared" si="87"/>
        <v>132.83200909980684</v>
      </c>
      <c r="L880" s="96">
        <f t="shared" si="88"/>
        <v>26.453256387393175</v>
      </c>
    </row>
    <row r="881" spans="9:12" x14ac:dyDescent="0.2">
      <c r="I881" s="173">
        <f t="shared" si="89"/>
        <v>106.53356991532091</v>
      </c>
      <c r="J881" s="94">
        <v>734</v>
      </c>
      <c r="K881" s="95">
        <f t="shared" si="87"/>
        <v>133.01322602900166</v>
      </c>
      <c r="L881" s="96">
        <f t="shared" si="88"/>
        <v>26.479656113680747</v>
      </c>
    </row>
    <row r="882" spans="9:12" x14ac:dyDescent="0.2">
      <c r="I882" s="173">
        <f t="shared" si="89"/>
        <v>106.68838711822816</v>
      </c>
      <c r="J882" s="94">
        <v>735</v>
      </c>
      <c r="K882" s="95">
        <f t="shared" si="87"/>
        <v>133.19444295819648</v>
      </c>
      <c r="L882" s="96">
        <f t="shared" si="88"/>
        <v>26.506055839968312</v>
      </c>
    </row>
    <row r="883" spans="9:12" x14ac:dyDescent="0.2">
      <c r="I883" s="173">
        <f t="shared" si="89"/>
        <v>106.84320432113543</v>
      </c>
      <c r="J883" s="94">
        <v>736</v>
      </c>
      <c r="K883" s="95">
        <f t="shared" si="87"/>
        <v>133.37565988739132</v>
      </c>
      <c r="L883" s="96">
        <f t="shared" si="88"/>
        <v>26.532455566255884</v>
      </c>
    </row>
    <row r="884" spans="9:12" x14ac:dyDescent="0.2">
      <c r="I884" s="173">
        <f t="shared" si="89"/>
        <v>106.99802152404268</v>
      </c>
      <c r="J884" s="94">
        <v>737</v>
      </c>
      <c r="K884" s="95">
        <f t="shared" si="87"/>
        <v>133.55687681658614</v>
      </c>
      <c r="L884" s="96">
        <f t="shared" si="88"/>
        <v>26.558855292543448</v>
      </c>
    </row>
    <row r="885" spans="9:12" x14ac:dyDescent="0.2">
      <c r="I885" s="173">
        <f t="shared" si="89"/>
        <v>107.15283872694994</v>
      </c>
      <c r="J885" s="94">
        <v>738</v>
      </c>
      <c r="K885" s="95">
        <f t="shared" ref="K885:K948" si="90">VLOOKUP($L$297,$C$138:$D$141,2,FALSE)*J885</f>
        <v>133.73809374578096</v>
      </c>
      <c r="L885" s="96">
        <f t="shared" ref="L885:L948" si="91">VLOOKUP($L$297,$C$281:$E$284,2,FALSE)*J885+(VLOOKUP($L$297,$C$281:$E$284,3,FALSE)+$D$292)</f>
        <v>26.585255018831013</v>
      </c>
    </row>
    <row r="886" spans="9:12" x14ac:dyDescent="0.2">
      <c r="I886" s="173">
        <f t="shared" si="89"/>
        <v>107.30765592985719</v>
      </c>
      <c r="J886" s="94">
        <v>739</v>
      </c>
      <c r="K886" s="95">
        <f t="shared" si="90"/>
        <v>133.91931067497578</v>
      </c>
      <c r="L886" s="96">
        <f t="shared" si="91"/>
        <v>26.611654745118585</v>
      </c>
    </row>
    <row r="887" spans="9:12" x14ac:dyDescent="0.2">
      <c r="I887" s="173">
        <f t="shared" si="89"/>
        <v>107.46247313276447</v>
      </c>
      <c r="J887" s="94">
        <v>740</v>
      </c>
      <c r="K887" s="95">
        <f t="shared" si="90"/>
        <v>134.10052760417062</v>
      </c>
      <c r="L887" s="96">
        <f t="shared" si="91"/>
        <v>26.63805447140615</v>
      </c>
    </row>
    <row r="888" spans="9:12" x14ac:dyDescent="0.2">
      <c r="I888" s="173">
        <f t="shared" si="89"/>
        <v>107.61729033567173</v>
      </c>
      <c r="J888" s="94">
        <v>741</v>
      </c>
      <c r="K888" s="95">
        <f t="shared" si="90"/>
        <v>134.28174453336544</v>
      </c>
      <c r="L888" s="96">
        <f t="shared" si="91"/>
        <v>26.664454197693722</v>
      </c>
    </row>
    <row r="889" spans="9:12" x14ac:dyDescent="0.2">
      <c r="I889" s="173">
        <f t="shared" si="89"/>
        <v>107.77210753857898</v>
      </c>
      <c r="J889" s="94">
        <v>742</v>
      </c>
      <c r="K889" s="95">
        <f t="shared" si="90"/>
        <v>134.46296146256026</v>
      </c>
      <c r="L889" s="96">
        <f t="shared" si="91"/>
        <v>26.690853923981287</v>
      </c>
    </row>
    <row r="890" spans="9:12" x14ac:dyDescent="0.2">
      <c r="I890" s="173">
        <f t="shared" si="89"/>
        <v>107.92692474148622</v>
      </c>
      <c r="J890" s="94">
        <v>743</v>
      </c>
      <c r="K890" s="95">
        <f t="shared" si="90"/>
        <v>134.64417839175508</v>
      </c>
      <c r="L890" s="96">
        <f t="shared" si="91"/>
        <v>26.717253650268859</v>
      </c>
    </row>
    <row r="891" spans="9:12" x14ac:dyDescent="0.2">
      <c r="I891" s="173">
        <f t="shared" si="89"/>
        <v>108.0817419443935</v>
      </c>
      <c r="J891" s="94">
        <v>744</v>
      </c>
      <c r="K891" s="95">
        <f t="shared" si="90"/>
        <v>134.82539532094992</v>
      </c>
      <c r="L891" s="96">
        <f t="shared" si="91"/>
        <v>26.743653376556423</v>
      </c>
    </row>
    <row r="892" spans="9:12" x14ac:dyDescent="0.2">
      <c r="I892" s="173">
        <f t="shared" si="89"/>
        <v>108.23655914730075</v>
      </c>
      <c r="J892" s="94">
        <v>745</v>
      </c>
      <c r="K892" s="95">
        <f t="shared" si="90"/>
        <v>135.00661225014474</v>
      </c>
      <c r="L892" s="96">
        <f t="shared" si="91"/>
        <v>26.770053102843988</v>
      </c>
    </row>
    <row r="893" spans="9:12" x14ac:dyDescent="0.2">
      <c r="I893" s="173">
        <f t="shared" si="89"/>
        <v>108.39137635020799</v>
      </c>
      <c r="J893" s="94">
        <v>746</v>
      </c>
      <c r="K893" s="95">
        <f t="shared" si="90"/>
        <v>135.18782917933956</v>
      </c>
      <c r="L893" s="96">
        <f t="shared" si="91"/>
        <v>26.79645282913156</v>
      </c>
    </row>
    <row r="894" spans="9:12" x14ac:dyDescent="0.2">
      <c r="I894" s="173">
        <f t="shared" si="89"/>
        <v>108.54619355311524</v>
      </c>
      <c r="J894" s="94">
        <v>747</v>
      </c>
      <c r="K894" s="95">
        <f t="shared" si="90"/>
        <v>135.36904610853438</v>
      </c>
      <c r="L894" s="96">
        <f t="shared" si="91"/>
        <v>26.822852555419125</v>
      </c>
    </row>
    <row r="895" spans="9:12" x14ac:dyDescent="0.2">
      <c r="I895" s="173">
        <f t="shared" si="89"/>
        <v>108.70101075602253</v>
      </c>
      <c r="J895" s="94">
        <v>748</v>
      </c>
      <c r="K895" s="95">
        <f t="shared" si="90"/>
        <v>135.55026303772922</v>
      </c>
      <c r="L895" s="96">
        <f t="shared" si="91"/>
        <v>26.849252281706697</v>
      </c>
    </row>
    <row r="896" spans="9:12" x14ac:dyDescent="0.2">
      <c r="I896" s="173">
        <f t="shared" si="89"/>
        <v>108.85582795892978</v>
      </c>
      <c r="J896" s="94">
        <v>749</v>
      </c>
      <c r="K896" s="95">
        <f t="shared" si="90"/>
        <v>135.73147996692404</v>
      </c>
      <c r="L896" s="96">
        <f t="shared" si="91"/>
        <v>26.875652007994262</v>
      </c>
    </row>
    <row r="897" spans="9:12" x14ac:dyDescent="0.2">
      <c r="I897" s="173">
        <f t="shared" si="89"/>
        <v>109.01064516183703</v>
      </c>
      <c r="J897" s="94">
        <v>750</v>
      </c>
      <c r="K897" s="95">
        <f t="shared" si="90"/>
        <v>135.91269689611886</v>
      </c>
      <c r="L897" s="96">
        <f t="shared" si="91"/>
        <v>26.902051734281827</v>
      </c>
    </row>
    <row r="898" spans="9:12" x14ac:dyDescent="0.2">
      <c r="I898" s="173">
        <f t="shared" si="89"/>
        <v>109.16546236474429</v>
      </c>
      <c r="J898" s="94">
        <v>751</v>
      </c>
      <c r="K898" s="95">
        <f t="shared" si="90"/>
        <v>136.09391382531368</v>
      </c>
      <c r="L898" s="96">
        <f t="shared" si="91"/>
        <v>26.928451460569399</v>
      </c>
    </row>
    <row r="899" spans="9:12" x14ac:dyDescent="0.2">
      <c r="I899" s="173">
        <f t="shared" si="89"/>
        <v>109.32027956765157</v>
      </c>
      <c r="J899" s="94">
        <v>752</v>
      </c>
      <c r="K899" s="95">
        <f t="shared" si="90"/>
        <v>136.27513075450852</v>
      </c>
      <c r="L899" s="96">
        <f t="shared" si="91"/>
        <v>26.954851186856963</v>
      </c>
    </row>
    <row r="900" spans="9:12" x14ac:dyDescent="0.2">
      <c r="I900" s="173">
        <f t="shared" si="89"/>
        <v>109.47509677055881</v>
      </c>
      <c r="J900" s="94">
        <v>753</v>
      </c>
      <c r="K900" s="95">
        <f t="shared" si="90"/>
        <v>136.45634768370334</v>
      </c>
      <c r="L900" s="96">
        <f t="shared" si="91"/>
        <v>26.981250913144535</v>
      </c>
    </row>
    <row r="901" spans="9:12" x14ac:dyDescent="0.2">
      <c r="I901" s="173">
        <f t="shared" si="89"/>
        <v>109.62991397346606</v>
      </c>
      <c r="J901" s="94">
        <v>754</v>
      </c>
      <c r="K901" s="95">
        <f t="shared" si="90"/>
        <v>136.63756461289816</v>
      </c>
      <c r="L901" s="96">
        <f t="shared" si="91"/>
        <v>27.0076506394321</v>
      </c>
    </row>
    <row r="902" spans="9:12" x14ac:dyDescent="0.2">
      <c r="I902" s="173">
        <f t="shared" si="89"/>
        <v>109.7847311763733</v>
      </c>
      <c r="J902" s="94">
        <v>755</v>
      </c>
      <c r="K902" s="95">
        <f t="shared" si="90"/>
        <v>136.81878154209298</v>
      </c>
      <c r="L902" s="96">
        <f t="shared" si="91"/>
        <v>27.034050365719672</v>
      </c>
    </row>
    <row r="903" spans="9:12" x14ac:dyDescent="0.2">
      <c r="I903" s="173">
        <f t="shared" si="89"/>
        <v>109.93954837928058</v>
      </c>
      <c r="J903" s="94">
        <v>756</v>
      </c>
      <c r="K903" s="95">
        <f t="shared" si="90"/>
        <v>136.99999847128782</v>
      </c>
      <c r="L903" s="96">
        <f t="shared" si="91"/>
        <v>27.060450092007237</v>
      </c>
    </row>
    <row r="904" spans="9:12" x14ac:dyDescent="0.2">
      <c r="I904" s="173">
        <f t="shared" si="89"/>
        <v>110.09436558218783</v>
      </c>
      <c r="J904" s="94">
        <v>757</v>
      </c>
      <c r="K904" s="95">
        <f t="shared" si="90"/>
        <v>137.18121540048264</v>
      </c>
      <c r="L904" s="96">
        <f t="shared" si="91"/>
        <v>27.086849818294802</v>
      </c>
    </row>
    <row r="905" spans="9:12" x14ac:dyDescent="0.2">
      <c r="I905" s="173">
        <f t="shared" si="89"/>
        <v>110.24918278509509</v>
      </c>
      <c r="J905" s="94">
        <v>758</v>
      </c>
      <c r="K905" s="95">
        <f t="shared" si="90"/>
        <v>137.36243232967746</v>
      </c>
      <c r="L905" s="96">
        <f t="shared" si="91"/>
        <v>27.113249544582374</v>
      </c>
    </row>
    <row r="906" spans="9:12" x14ac:dyDescent="0.2">
      <c r="I906" s="173">
        <f t="shared" si="89"/>
        <v>110.40399998800234</v>
      </c>
      <c r="J906" s="94">
        <v>759</v>
      </c>
      <c r="K906" s="95">
        <f t="shared" si="90"/>
        <v>137.54364925887228</v>
      </c>
      <c r="L906" s="96">
        <f t="shared" si="91"/>
        <v>27.139649270869938</v>
      </c>
    </row>
    <row r="907" spans="9:12" x14ac:dyDescent="0.2">
      <c r="I907" s="173">
        <f t="shared" si="89"/>
        <v>110.55881719090962</v>
      </c>
      <c r="J907" s="94">
        <v>760</v>
      </c>
      <c r="K907" s="95">
        <f t="shared" si="90"/>
        <v>137.72486618806712</v>
      </c>
      <c r="L907" s="96">
        <f t="shared" si="91"/>
        <v>27.16604899715751</v>
      </c>
    </row>
    <row r="908" spans="9:12" x14ac:dyDescent="0.2">
      <c r="I908" s="173">
        <f t="shared" si="89"/>
        <v>110.71363439381687</v>
      </c>
      <c r="J908" s="94">
        <v>761</v>
      </c>
      <c r="K908" s="95">
        <f t="shared" si="90"/>
        <v>137.90608311726194</v>
      </c>
      <c r="L908" s="96">
        <f t="shared" si="91"/>
        <v>27.192448723445075</v>
      </c>
    </row>
    <row r="909" spans="9:12" x14ac:dyDescent="0.2">
      <c r="I909" s="173">
        <f t="shared" si="89"/>
        <v>110.86845159672413</v>
      </c>
      <c r="J909" s="94">
        <v>762</v>
      </c>
      <c r="K909" s="95">
        <f t="shared" si="90"/>
        <v>138.08730004645676</v>
      </c>
      <c r="L909" s="96">
        <f t="shared" si="91"/>
        <v>27.21884844973264</v>
      </c>
    </row>
    <row r="910" spans="9:12" x14ac:dyDescent="0.2">
      <c r="I910" s="173">
        <f t="shared" si="89"/>
        <v>111.02326879963137</v>
      </c>
      <c r="J910" s="94">
        <v>763</v>
      </c>
      <c r="K910" s="95">
        <f t="shared" si="90"/>
        <v>138.26851697565158</v>
      </c>
      <c r="L910" s="96">
        <f t="shared" si="91"/>
        <v>27.245248176020212</v>
      </c>
    </row>
    <row r="911" spans="9:12" x14ac:dyDescent="0.2">
      <c r="I911" s="173">
        <f t="shared" si="89"/>
        <v>111.17808600253865</v>
      </c>
      <c r="J911" s="94">
        <v>764</v>
      </c>
      <c r="K911" s="95">
        <f t="shared" si="90"/>
        <v>138.44973390484643</v>
      </c>
      <c r="L911" s="96">
        <f t="shared" si="91"/>
        <v>27.271647902307777</v>
      </c>
    </row>
    <row r="912" spans="9:12" x14ac:dyDescent="0.2">
      <c r="I912" s="173">
        <f t="shared" si="89"/>
        <v>111.33290320544589</v>
      </c>
      <c r="J912" s="94">
        <v>765</v>
      </c>
      <c r="K912" s="95">
        <f t="shared" si="90"/>
        <v>138.63095083404124</v>
      </c>
      <c r="L912" s="96">
        <f t="shared" si="91"/>
        <v>27.298047628595349</v>
      </c>
    </row>
    <row r="913" spans="9:12" x14ac:dyDescent="0.2">
      <c r="I913" s="173">
        <f t="shared" si="89"/>
        <v>111.48772040835314</v>
      </c>
      <c r="J913" s="94">
        <v>766</v>
      </c>
      <c r="K913" s="95">
        <f t="shared" si="90"/>
        <v>138.81216776323606</v>
      </c>
      <c r="L913" s="96">
        <f t="shared" si="91"/>
        <v>27.324447354882913</v>
      </c>
    </row>
    <row r="914" spans="9:12" x14ac:dyDescent="0.2">
      <c r="I914" s="173">
        <f t="shared" si="89"/>
        <v>111.64253761126039</v>
      </c>
      <c r="J914" s="94">
        <v>767</v>
      </c>
      <c r="K914" s="95">
        <f t="shared" si="90"/>
        <v>138.99338469243088</v>
      </c>
      <c r="L914" s="96">
        <f t="shared" si="91"/>
        <v>27.350847081170485</v>
      </c>
    </row>
    <row r="915" spans="9:12" x14ac:dyDescent="0.2">
      <c r="I915" s="173">
        <f t="shared" si="89"/>
        <v>111.79735481416768</v>
      </c>
      <c r="J915" s="94">
        <v>768</v>
      </c>
      <c r="K915" s="95">
        <f t="shared" si="90"/>
        <v>139.17460162162573</v>
      </c>
      <c r="L915" s="96">
        <f t="shared" si="91"/>
        <v>27.37724680745805</v>
      </c>
    </row>
    <row r="916" spans="9:12" x14ac:dyDescent="0.2">
      <c r="I916" s="173">
        <f t="shared" si="89"/>
        <v>111.95217201707493</v>
      </c>
      <c r="J916" s="94">
        <v>769</v>
      </c>
      <c r="K916" s="95">
        <f t="shared" si="90"/>
        <v>139.35581855082054</v>
      </c>
      <c r="L916" s="96">
        <f t="shared" si="91"/>
        <v>27.403646533745615</v>
      </c>
    </row>
    <row r="917" spans="9:12" x14ac:dyDescent="0.2">
      <c r="I917" s="173">
        <f t="shared" si="89"/>
        <v>112.10698921998218</v>
      </c>
      <c r="J917" s="94">
        <v>770</v>
      </c>
      <c r="K917" s="95">
        <f t="shared" si="90"/>
        <v>139.53703548001536</v>
      </c>
      <c r="L917" s="96">
        <f t="shared" si="91"/>
        <v>27.430046260033187</v>
      </c>
    </row>
    <row r="918" spans="9:12" x14ac:dyDescent="0.2">
      <c r="I918" s="173">
        <f t="shared" si="89"/>
        <v>112.26180642288946</v>
      </c>
      <c r="J918" s="94">
        <v>771</v>
      </c>
      <c r="K918" s="95">
        <f t="shared" si="90"/>
        <v>139.71825240921021</v>
      </c>
      <c r="L918" s="96">
        <f t="shared" si="91"/>
        <v>27.456445986320752</v>
      </c>
    </row>
    <row r="919" spans="9:12" x14ac:dyDescent="0.2">
      <c r="I919" s="173">
        <f t="shared" si="89"/>
        <v>112.4166236257967</v>
      </c>
      <c r="J919" s="94">
        <v>772</v>
      </c>
      <c r="K919" s="95">
        <f t="shared" si="90"/>
        <v>139.89946933840503</v>
      </c>
      <c r="L919" s="96">
        <f t="shared" si="91"/>
        <v>27.482845712608324</v>
      </c>
    </row>
    <row r="920" spans="9:12" x14ac:dyDescent="0.2">
      <c r="I920" s="173">
        <f t="shared" si="89"/>
        <v>112.57144082870396</v>
      </c>
      <c r="J920" s="94">
        <v>773</v>
      </c>
      <c r="K920" s="95">
        <f t="shared" si="90"/>
        <v>140.08068626759984</v>
      </c>
      <c r="L920" s="96">
        <f t="shared" si="91"/>
        <v>27.509245438895888</v>
      </c>
    </row>
    <row r="921" spans="9:12" x14ac:dyDescent="0.2">
      <c r="I921" s="173">
        <f t="shared" si="89"/>
        <v>112.7262580316112</v>
      </c>
      <c r="J921" s="94">
        <v>774</v>
      </c>
      <c r="K921" s="95">
        <f t="shared" si="90"/>
        <v>140.26190319679466</v>
      </c>
      <c r="L921" s="96">
        <f t="shared" si="91"/>
        <v>27.53564516518346</v>
      </c>
    </row>
    <row r="922" spans="9:12" x14ac:dyDescent="0.2">
      <c r="I922" s="173">
        <f t="shared" si="89"/>
        <v>112.88107523451848</v>
      </c>
      <c r="J922" s="94">
        <v>775</v>
      </c>
      <c r="K922" s="95">
        <f t="shared" si="90"/>
        <v>140.44312012598951</v>
      </c>
      <c r="L922" s="96">
        <f t="shared" si="91"/>
        <v>27.562044891471025</v>
      </c>
    </row>
    <row r="923" spans="9:12" x14ac:dyDescent="0.2">
      <c r="I923" s="173">
        <f t="shared" si="89"/>
        <v>113.03589243742573</v>
      </c>
      <c r="J923" s="94">
        <v>776</v>
      </c>
      <c r="K923" s="95">
        <f t="shared" si="90"/>
        <v>140.62433705518433</v>
      </c>
      <c r="L923" s="96">
        <f t="shared" si="91"/>
        <v>27.58844461775859</v>
      </c>
    </row>
    <row r="924" spans="9:12" x14ac:dyDescent="0.2">
      <c r="I924" s="173">
        <f t="shared" si="89"/>
        <v>113.19070964033298</v>
      </c>
      <c r="J924" s="94">
        <v>777</v>
      </c>
      <c r="K924" s="95">
        <f t="shared" si="90"/>
        <v>140.80555398437915</v>
      </c>
      <c r="L924" s="96">
        <f t="shared" si="91"/>
        <v>27.614844344046162</v>
      </c>
    </row>
    <row r="925" spans="9:12" x14ac:dyDescent="0.2">
      <c r="I925" s="173">
        <f t="shared" si="89"/>
        <v>113.34552684324024</v>
      </c>
      <c r="J925" s="94">
        <v>778</v>
      </c>
      <c r="K925" s="95">
        <f t="shared" si="90"/>
        <v>140.98677091357396</v>
      </c>
      <c r="L925" s="96">
        <f t="shared" si="91"/>
        <v>27.641244070333727</v>
      </c>
    </row>
    <row r="926" spans="9:12" x14ac:dyDescent="0.2">
      <c r="I926" s="173">
        <f t="shared" si="89"/>
        <v>113.50034404614752</v>
      </c>
      <c r="J926" s="94">
        <v>779</v>
      </c>
      <c r="K926" s="95">
        <f t="shared" si="90"/>
        <v>141.16798784276881</v>
      </c>
      <c r="L926" s="96">
        <f t="shared" si="91"/>
        <v>27.667643796621299</v>
      </c>
    </row>
    <row r="927" spans="9:12" x14ac:dyDescent="0.2">
      <c r="I927" s="173">
        <f t="shared" si="89"/>
        <v>113.65516124905477</v>
      </c>
      <c r="J927" s="94">
        <v>780</v>
      </c>
      <c r="K927" s="95">
        <f t="shared" si="90"/>
        <v>141.34920477196363</v>
      </c>
      <c r="L927" s="96">
        <f t="shared" si="91"/>
        <v>27.694043522908864</v>
      </c>
    </row>
    <row r="928" spans="9:12" x14ac:dyDescent="0.2">
      <c r="I928" s="173">
        <f t="shared" si="89"/>
        <v>113.80997845196202</v>
      </c>
      <c r="J928" s="94">
        <v>781</v>
      </c>
      <c r="K928" s="95">
        <f t="shared" si="90"/>
        <v>141.53042170115845</v>
      </c>
      <c r="L928" s="96">
        <f t="shared" si="91"/>
        <v>27.720443249196428</v>
      </c>
    </row>
    <row r="929" spans="9:12" x14ac:dyDescent="0.2">
      <c r="I929" s="173">
        <f t="shared" si="89"/>
        <v>113.96479565486926</v>
      </c>
      <c r="J929" s="94">
        <v>782</v>
      </c>
      <c r="K929" s="95">
        <f t="shared" si="90"/>
        <v>141.71163863035326</v>
      </c>
      <c r="L929" s="96">
        <f t="shared" si="91"/>
        <v>27.746842975484</v>
      </c>
    </row>
    <row r="930" spans="9:12" x14ac:dyDescent="0.2">
      <c r="I930" s="173">
        <f t="shared" si="89"/>
        <v>114.11961285777654</v>
      </c>
      <c r="J930" s="94">
        <v>783</v>
      </c>
      <c r="K930" s="95">
        <f t="shared" si="90"/>
        <v>141.89285555954811</v>
      </c>
      <c r="L930" s="96">
        <f t="shared" si="91"/>
        <v>27.773242701771565</v>
      </c>
    </row>
    <row r="931" spans="9:12" x14ac:dyDescent="0.2">
      <c r="I931" s="173">
        <f t="shared" si="89"/>
        <v>114.27443006068378</v>
      </c>
      <c r="J931" s="94">
        <v>784</v>
      </c>
      <c r="K931" s="95">
        <f t="shared" si="90"/>
        <v>142.07407248874293</v>
      </c>
      <c r="L931" s="96">
        <f t="shared" si="91"/>
        <v>27.799642428059137</v>
      </c>
    </row>
    <row r="932" spans="9:12" x14ac:dyDescent="0.2">
      <c r="I932" s="173">
        <f t="shared" si="89"/>
        <v>114.42924726359104</v>
      </c>
      <c r="J932" s="94">
        <v>785</v>
      </c>
      <c r="K932" s="95">
        <f t="shared" si="90"/>
        <v>142.25528941793775</v>
      </c>
      <c r="L932" s="96">
        <f t="shared" si="91"/>
        <v>27.826042154346702</v>
      </c>
    </row>
    <row r="933" spans="9:12" x14ac:dyDescent="0.2">
      <c r="I933" s="173">
        <f t="shared" si="89"/>
        <v>114.58406446649829</v>
      </c>
      <c r="J933" s="94">
        <v>786</v>
      </c>
      <c r="K933" s="95">
        <f t="shared" si="90"/>
        <v>142.43650634713256</v>
      </c>
      <c r="L933" s="96">
        <f t="shared" si="91"/>
        <v>27.852441880634274</v>
      </c>
    </row>
    <row r="934" spans="9:12" x14ac:dyDescent="0.2">
      <c r="I934" s="173">
        <f t="shared" si="89"/>
        <v>114.73888166940557</v>
      </c>
      <c r="J934" s="94">
        <v>787</v>
      </c>
      <c r="K934" s="95">
        <f t="shared" si="90"/>
        <v>142.61772327632741</v>
      </c>
      <c r="L934" s="96">
        <f t="shared" si="91"/>
        <v>27.878841606921839</v>
      </c>
    </row>
    <row r="935" spans="9:12" x14ac:dyDescent="0.2">
      <c r="I935" s="173">
        <f t="shared" si="89"/>
        <v>114.89369887231283</v>
      </c>
      <c r="J935" s="94">
        <v>788</v>
      </c>
      <c r="K935" s="95">
        <f t="shared" si="90"/>
        <v>142.79894020552223</v>
      </c>
      <c r="L935" s="96">
        <f t="shared" si="91"/>
        <v>27.905241333209403</v>
      </c>
    </row>
    <row r="936" spans="9:12" x14ac:dyDescent="0.2">
      <c r="I936" s="173">
        <f t="shared" si="89"/>
        <v>115.04851607522008</v>
      </c>
      <c r="J936" s="94">
        <v>789</v>
      </c>
      <c r="K936" s="95">
        <f t="shared" si="90"/>
        <v>142.98015713471705</v>
      </c>
      <c r="L936" s="96">
        <f t="shared" si="91"/>
        <v>27.931641059496975</v>
      </c>
    </row>
    <row r="937" spans="9:12" x14ac:dyDescent="0.2">
      <c r="I937" s="173">
        <f t="shared" si="89"/>
        <v>115.20333327812733</v>
      </c>
      <c r="J937" s="94">
        <v>790</v>
      </c>
      <c r="K937" s="95">
        <f t="shared" si="90"/>
        <v>143.16137406391186</v>
      </c>
      <c r="L937" s="96">
        <f t="shared" si="91"/>
        <v>27.95804078578454</v>
      </c>
    </row>
    <row r="938" spans="9:12" x14ac:dyDescent="0.2">
      <c r="I938" s="173">
        <f t="shared" si="89"/>
        <v>115.3581504810346</v>
      </c>
      <c r="J938" s="94">
        <v>791</v>
      </c>
      <c r="K938" s="95">
        <f t="shared" si="90"/>
        <v>143.34259099310671</v>
      </c>
      <c r="L938" s="96">
        <f t="shared" si="91"/>
        <v>27.984440512072112</v>
      </c>
    </row>
    <row r="939" spans="9:12" x14ac:dyDescent="0.2">
      <c r="I939" s="173">
        <f t="shared" si="89"/>
        <v>115.51296768394185</v>
      </c>
      <c r="J939" s="94">
        <v>792</v>
      </c>
      <c r="K939" s="95">
        <f t="shared" si="90"/>
        <v>143.52380792230153</v>
      </c>
      <c r="L939" s="96">
        <f t="shared" si="91"/>
        <v>28.010840238359677</v>
      </c>
    </row>
    <row r="940" spans="9:12" x14ac:dyDescent="0.2">
      <c r="I940" s="173">
        <f t="shared" ref="I940:I1003" si="92">ABS(K940-L940)</f>
        <v>115.66778488684911</v>
      </c>
      <c r="J940" s="94">
        <v>793</v>
      </c>
      <c r="K940" s="95">
        <f t="shared" si="90"/>
        <v>143.70502485149635</v>
      </c>
      <c r="L940" s="96">
        <f t="shared" si="91"/>
        <v>28.037239964647242</v>
      </c>
    </row>
    <row r="941" spans="9:12" x14ac:dyDescent="0.2">
      <c r="I941" s="173">
        <f t="shared" si="92"/>
        <v>115.82260208975634</v>
      </c>
      <c r="J941" s="94">
        <v>794</v>
      </c>
      <c r="K941" s="95">
        <f t="shared" si="90"/>
        <v>143.88624178069117</v>
      </c>
      <c r="L941" s="96">
        <f t="shared" si="91"/>
        <v>28.063639690934814</v>
      </c>
    </row>
    <row r="942" spans="9:12" x14ac:dyDescent="0.2">
      <c r="I942" s="173">
        <f t="shared" si="92"/>
        <v>115.97741929266363</v>
      </c>
      <c r="J942" s="94">
        <v>795</v>
      </c>
      <c r="K942" s="95">
        <f t="shared" si="90"/>
        <v>144.06745870988601</v>
      </c>
      <c r="L942" s="96">
        <f t="shared" si="91"/>
        <v>28.090039417222378</v>
      </c>
    </row>
    <row r="943" spans="9:12" x14ac:dyDescent="0.2">
      <c r="I943" s="173">
        <f t="shared" si="92"/>
        <v>116.13223649557088</v>
      </c>
      <c r="J943" s="94">
        <v>796</v>
      </c>
      <c r="K943" s="95">
        <f t="shared" si="90"/>
        <v>144.24867563908083</v>
      </c>
      <c r="L943" s="96">
        <f t="shared" si="91"/>
        <v>28.11643914350995</v>
      </c>
    </row>
    <row r="944" spans="9:12" x14ac:dyDescent="0.2">
      <c r="I944" s="173">
        <f t="shared" si="92"/>
        <v>116.28705369847813</v>
      </c>
      <c r="J944" s="94">
        <v>797</v>
      </c>
      <c r="K944" s="95">
        <f t="shared" si="90"/>
        <v>144.42989256827565</v>
      </c>
      <c r="L944" s="96">
        <f t="shared" si="91"/>
        <v>28.142838869797515</v>
      </c>
    </row>
    <row r="945" spans="9:12" x14ac:dyDescent="0.2">
      <c r="I945" s="173">
        <f t="shared" si="92"/>
        <v>116.44187090138539</v>
      </c>
      <c r="J945" s="94">
        <v>798</v>
      </c>
      <c r="K945" s="95">
        <f t="shared" si="90"/>
        <v>144.61110949747047</v>
      </c>
      <c r="L945" s="96">
        <f t="shared" si="91"/>
        <v>28.169238596085087</v>
      </c>
    </row>
    <row r="946" spans="9:12" x14ac:dyDescent="0.2">
      <c r="I946" s="173">
        <f t="shared" si="92"/>
        <v>116.59668810429267</v>
      </c>
      <c r="J946" s="94">
        <v>799</v>
      </c>
      <c r="K946" s="95">
        <f t="shared" si="90"/>
        <v>144.79232642666531</v>
      </c>
      <c r="L946" s="96">
        <f t="shared" si="91"/>
        <v>28.195638322372652</v>
      </c>
    </row>
    <row r="947" spans="9:12" x14ac:dyDescent="0.2">
      <c r="I947" s="173">
        <f t="shared" si="92"/>
        <v>116.75150530719992</v>
      </c>
      <c r="J947" s="94">
        <v>800</v>
      </c>
      <c r="K947" s="95">
        <f t="shared" si="90"/>
        <v>144.97354335586013</v>
      </c>
      <c r="L947" s="96">
        <f t="shared" si="91"/>
        <v>28.222038048660217</v>
      </c>
    </row>
    <row r="948" spans="9:12" x14ac:dyDescent="0.2">
      <c r="I948" s="173">
        <f t="shared" si="92"/>
        <v>116.90632251010716</v>
      </c>
      <c r="J948" s="94">
        <v>801</v>
      </c>
      <c r="K948" s="95">
        <f t="shared" si="90"/>
        <v>145.15476028505495</v>
      </c>
      <c r="L948" s="96">
        <f t="shared" si="91"/>
        <v>28.248437774947789</v>
      </c>
    </row>
    <row r="949" spans="9:12" x14ac:dyDescent="0.2">
      <c r="I949" s="173">
        <f t="shared" si="92"/>
        <v>117.06113971301441</v>
      </c>
      <c r="J949" s="94">
        <v>802</v>
      </c>
      <c r="K949" s="95">
        <f t="shared" ref="K949:K1012" si="93">VLOOKUP($L$297,$C$138:$D$141,2,FALSE)*J949</f>
        <v>145.33597721424977</v>
      </c>
      <c r="L949" s="96">
        <f t="shared" ref="L949:L1012" si="94">VLOOKUP($L$297,$C$281:$E$284,2,FALSE)*J949+(VLOOKUP($L$297,$C$281:$E$284,3,FALSE)+$D$292)</f>
        <v>28.274837501235353</v>
      </c>
    </row>
    <row r="950" spans="9:12" x14ac:dyDescent="0.2">
      <c r="I950" s="173">
        <f t="shared" si="92"/>
        <v>117.21595691592168</v>
      </c>
      <c r="J950" s="94">
        <v>803</v>
      </c>
      <c r="K950" s="95">
        <f t="shared" si="93"/>
        <v>145.51719414344461</v>
      </c>
      <c r="L950" s="96">
        <f t="shared" si="94"/>
        <v>28.301237227522925</v>
      </c>
    </row>
    <row r="951" spans="9:12" x14ac:dyDescent="0.2">
      <c r="I951" s="173">
        <f t="shared" si="92"/>
        <v>117.37077411882893</v>
      </c>
      <c r="J951" s="94">
        <v>804</v>
      </c>
      <c r="K951" s="95">
        <f t="shared" si="93"/>
        <v>145.69841107263943</v>
      </c>
      <c r="L951" s="96">
        <f t="shared" si="94"/>
        <v>28.32763695381049</v>
      </c>
    </row>
    <row r="952" spans="9:12" x14ac:dyDescent="0.2">
      <c r="I952" s="173">
        <f t="shared" si="92"/>
        <v>117.52559132173619</v>
      </c>
      <c r="J952" s="94">
        <v>805</v>
      </c>
      <c r="K952" s="95">
        <f t="shared" si="93"/>
        <v>145.87962800183425</v>
      </c>
      <c r="L952" s="96">
        <f t="shared" si="94"/>
        <v>28.354036680098062</v>
      </c>
    </row>
    <row r="953" spans="9:12" x14ac:dyDescent="0.2">
      <c r="I953" s="173">
        <f t="shared" si="92"/>
        <v>117.68040852464344</v>
      </c>
      <c r="J953" s="94">
        <v>806</v>
      </c>
      <c r="K953" s="95">
        <f t="shared" si="93"/>
        <v>146.06084493102907</v>
      </c>
      <c r="L953" s="96">
        <f t="shared" si="94"/>
        <v>28.380436406385627</v>
      </c>
    </row>
    <row r="954" spans="9:12" x14ac:dyDescent="0.2">
      <c r="I954" s="173">
        <f t="shared" si="92"/>
        <v>117.83522572755072</v>
      </c>
      <c r="J954" s="94">
        <v>807</v>
      </c>
      <c r="K954" s="95">
        <f t="shared" si="93"/>
        <v>146.24206186022391</v>
      </c>
      <c r="L954" s="96">
        <f t="shared" si="94"/>
        <v>28.406836132673192</v>
      </c>
    </row>
    <row r="955" spans="9:12" x14ac:dyDescent="0.2">
      <c r="I955" s="173">
        <f t="shared" si="92"/>
        <v>117.99004293045797</v>
      </c>
      <c r="J955" s="94">
        <v>808</v>
      </c>
      <c r="K955" s="95">
        <f t="shared" si="93"/>
        <v>146.42327878941873</v>
      </c>
      <c r="L955" s="96">
        <f t="shared" si="94"/>
        <v>28.433235858960764</v>
      </c>
    </row>
    <row r="956" spans="9:12" x14ac:dyDescent="0.2">
      <c r="I956" s="173">
        <f t="shared" si="92"/>
        <v>118.14486013336523</v>
      </c>
      <c r="J956" s="94">
        <v>809</v>
      </c>
      <c r="K956" s="95">
        <f t="shared" si="93"/>
        <v>146.60449571861355</v>
      </c>
      <c r="L956" s="96">
        <f t="shared" si="94"/>
        <v>28.459635585248328</v>
      </c>
    </row>
    <row r="957" spans="9:12" x14ac:dyDescent="0.2">
      <c r="I957" s="173">
        <f t="shared" si="92"/>
        <v>118.29967733627247</v>
      </c>
      <c r="J957" s="94">
        <v>810</v>
      </c>
      <c r="K957" s="95">
        <f t="shared" si="93"/>
        <v>146.78571264780837</v>
      </c>
      <c r="L957" s="96">
        <f t="shared" si="94"/>
        <v>28.4860353115359</v>
      </c>
    </row>
    <row r="958" spans="9:12" x14ac:dyDescent="0.2">
      <c r="I958" s="173">
        <f t="shared" si="92"/>
        <v>118.45449453917975</v>
      </c>
      <c r="J958" s="94">
        <v>811</v>
      </c>
      <c r="K958" s="95">
        <f t="shared" si="93"/>
        <v>146.96692957700321</v>
      </c>
      <c r="L958" s="96">
        <f t="shared" si="94"/>
        <v>28.512435037823465</v>
      </c>
    </row>
    <row r="959" spans="9:12" x14ac:dyDescent="0.2">
      <c r="I959" s="173">
        <f t="shared" si="92"/>
        <v>118.609311742087</v>
      </c>
      <c r="J959" s="94">
        <v>812</v>
      </c>
      <c r="K959" s="95">
        <f t="shared" si="93"/>
        <v>147.14814650619803</v>
      </c>
      <c r="L959" s="96">
        <f t="shared" si="94"/>
        <v>28.53883476411103</v>
      </c>
    </row>
    <row r="960" spans="9:12" x14ac:dyDescent="0.2">
      <c r="I960" s="173">
        <f t="shared" si="92"/>
        <v>118.76412894499424</v>
      </c>
      <c r="J960" s="94">
        <v>813</v>
      </c>
      <c r="K960" s="95">
        <f t="shared" si="93"/>
        <v>147.32936343539285</v>
      </c>
      <c r="L960" s="96">
        <f t="shared" si="94"/>
        <v>28.565234490398602</v>
      </c>
    </row>
    <row r="961" spans="9:12" x14ac:dyDescent="0.2">
      <c r="I961" s="173">
        <f t="shared" si="92"/>
        <v>118.91894614790149</v>
      </c>
      <c r="J961" s="94">
        <v>814</v>
      </c>
      <c r="K961" s="95">
        <f t="shared" si="93"/>
        <v>147.51058036458767</v>
      </c>
      <c r="L961" s="96">
        <f t="shared" si="94"/>
        <v>28.591634216686167</v>
      </c>
    </row>
    <row r="962" spans="9:12" x14ac:dyDescent="0.2">
      <c r="I962" s="173">
        <f t="shared" si="92"/>
        <v>119.07376335080878</v>
      </c>
      <c r="J962" s="94">
        <v>815</v>
      </c>
      <c r="K962" s="95">
        <f t="shared" si="93"/>
        <v>147.69179729378251</v>
      </c>
      <c r="L962" s="96">
        <f t="shared" si="94"/>
        <v>28.618033942973739</v>
      </c>
    </row>
    <row r="963" spans="9:12" x14ac:dyDescent="0.2">
      <c r="I963" s="173">
        <f t="shared" si="92"/>
        <v>119.22858055371603</v>
      </c>
      <c r="J963" s="94">
        <v>816</v>
      </c>
      <c r="K963" s="95">
        <f t="shared" si="93"/>
        <v>147.87301422297733</v>
      </c>
      <c r="L963" s="96">
        <f t="shared" si="94"/>
        <v>28.644433669261304</v>
      </c>
    </row>
    <row r="964" spans="9:12" x14ac:dyDescent="0.2">
      <c r="I964" s="173">
        <f t="shared" si="92"/>
        <v>119.38339775662328</v>
      </c>
      <c r="J964" s="94">
        <v>817</v>
      </c>
      <c r="K964" s="95">
        <f t="shared" si="93"/>
        <v>148.05423115217215</v>
      </c>
      <c r="L964" s="96">
        <f t="shared" si="94"/>
        <v>28.670833395548875</v>
      </c>
    </row>
    <row r="965" spans="9:12" x14ac:dyDescent="0.2">
      <c r="I965" s="173">
        <f t="shared" si="92"/>
        <v>119.53821495953053</v>
      </c>
      <c r="J965" s="94">
        <v>818</v>
      </c>
      <c r="K965" s="95">
        <f t="shared" si="93"/>
        <v>148.23544808136697</v>
      </c>
      <c r="L965" s="96">
        <f t="shared" si="94"/>
        <v>28.69723312183644</v>
      </c>
    </row>
    <row r="966" spans="9:12" x14ac:dyDescent="0.2">
      <c r="I966" s="173">
        <f t="shared" si="92"/>
        <v>119.69303216243782</v>
      </c>
      <c r="J966" s="94">
        <v>819</v>
      </c>
      <c r="K966" s="95">
        <f t="shared" si="93"/>
        <v>148.41666501056181</v>
      </c>
      <c r="L966" s="96">
        <f t="shared" si="94"/>
        <v>28.723632848124005</v>
      </c>
    </row>
    <row r="967" spans="9:12" x14ac:dyDescent="0.2">
      <c r="I967" s="173">
        <f t="shared" si="92"/>
        <v>119.84784936534506</v>
      </c>
      <c r="J967" s="94">
        <v>820</v>
      </c>
      <c r="K967" s="95">
        <f t="shared" si="93"/>
        <v>148.59788193975663</v>
      </c>
      <c r="L967" s="96">
        <f t="shared" si="94"/>
        <v>28.750032574411577</v>
      </c>
    </row>
    <row r="968" spans="9:12" x14ac:dyDescent="0.2">
      <c r="I968" s="173">
        <f t="shared" si="92"/>
        <v>120.00266656825231</v>
      </c>
      <c r="J968" s="94">
        <v>821</v>
      </c>
      <c r="K968" s="95">
        <f t="shared" si="93"/>
        <v>148.77909886895145</v>
      </c>
      <c r="L968" s="96">
        <f t="shared" si="94"/>
        <v>28.776432300699142</v>
      </c>
    </row>
    <row r="969" spans="9:12" x14ac:dyDescent="0.2">
      <c r="I969" s="173">
        <f t="shared" si="92"/>
        <v>120.15748377115955</v>
      </c>
      <c r="J969" s="94">
        <v>822</v>
      </c>
      <c r="K969" s="95">
        <f t="shared" si="93"/>
        <v>148.96031579814627</v>
      </c>
      <c r="L969" s="96">
        <f t="shared" si="94"/>
        <v>28.802832026986714</v>
      </c>
    </row>
    <row r="970" spans="9:12" x14ac:dyDescent="0.2">
      <c r="I970" s="173">
        <f t="shared" si="92"/>
        <v>120.31230097406683</v>
      </c>
      <c r="J970" s="94">
        <v>823</v>
      </c>
      <c r="K970" s="95">
        <f t="shared" si="93"/>
        <v>149.14153272734112</v>
      </c>
      <c r="L970" s="96">
        <f t="shared" si="94"/>
        <v>28.829231753274279</v>
      </c>
    </row>
    <row r="971" spans="9:12" x14ac:dyDescent="0.2">
      <c r="I971" s="173">
        <f t="shared" si="92"/>
        <v>120.46711817697408</v>
      </c>
      <c r="J971" s="94">
        <v>824</v>
      </c>
      <c r="K971" s="95">
        <f t="shared" si="93"/>
        <v>149.32274965653593</v>
      </c>
      <c r="L971" s="96">
        <f t="shared" si="94"/>
        <v>28.855631479561843</v>
      </c>
    </row>
    <row r="972" spans="9:12" x14ac:dyDescent="0.2">
      <c r="I972" s="173">
        <f t="shared" si="92"/>
        <v>120.62193537988134</v>
      </c>
      <c r="J972" s="94">
        <v>825</v>
      </c>
      <c r="K972" s="95">
        <f t="shared" si="93"/>
        <v>149.50396658573075</v>
      </c>
      <c r="L972" s="96">
        <f t="shared" si="94"/>
        <v>28.882031205849415</v>
      </c>
    </row>
    <row r="973" spans="9:12" x14ac:dyDescent="0.2">
      <c r="I973" s="173">
        <f t="shared" si="92"/>
        <v>120.77675258278859</v>
      </c>
      <c r="J973" s="94">
        <v>826</v>
      </c>
      <c r="K973" s="95">
        <f t="shared" si="93"/>
        <v>149.68518351492557</v>
      </c>
      <c r="L973" s="96">
        <f t="shared" si="94"/>
        <v>28.90843093213698</v>
      </c>
    </row>
    <row r="974" spans="9:12" x14ac:dyDescent="0.2">
      <c r="I974" s="173">
        <f t="shared" si="92"/>
        <v>120.93156978569587</v>
      </c>
      <c r="J974" s="94">
        <v>827</v>
      </c>
      <c r="K974" s="95">
        <f t="shared" si="93"/>
        <v>149.86640044412042</v>
      </c>
      <c r="L974" s="96">
        <f t="shared" si="94"/>
        <v>28.934830658424552</v>
      </c>
    </row>
    <row r="975" spans="9:12" x14ac:dyDescent="0.2">
      <c r="I975" s="173">
        <f t="shared" si="92"/>
        <v>121.08638698860312</v>
      </c>
      <c r="J975" s="94">
        <v>828</v>
      </c>
      <c r="K975" s="95">
        <f t="shared" si="93"/>
        <v>150.04761737331523</v>
      </c>
      <c r="L975" s="96">
        <f t="shared" si="94"/>
        <v>28.961230384712117</v>
      </c>
    </row>
    <row r="976" spans="9:12" x14ac:dyDescent="0.2">
      <c r="I976" s="173">
        <f t="shared" si="92"/>
        <v>121.24120419151036</v>
      </c>
      <c r="J976" s="94">
        <v>829</v>
      </c>
      <c r="K976" s="95">
        <f t="shared" si="93"/>
        <v>150.22883430251005</v>
      </c>
      <c r="L976" s="96">
        <f t="shared" si="94"/>
        <v>28.987630110999689</v>
      </c>
    </row>
    <row r="977" spans="9:12" x14ac:dyDescent="0.2">
      <c r="I977" s="173">
        <f t="shared" si="92"/>
        <v>121.39602139441762</v>
      </c>
      <c r="J977" s="94">
        <v>830</v>
      </c>
      <c r="K977" s="95">
        <f t="shared" si="93"/>
        <v>150.41005123170487</v>
      </c>
      <c r="L977" s="96">
        <f t="shared" si="94"/>
        <v>29.014029837287254</v>
      </c>
    </row>
    <row r="978" spans="9:12" x14ac:dyDescent="0.2">
      <c r="I978" s="173">
        <f t="shared" si="92"/>
        <v>121.5508385973249</v>
      </c>
      <c r="J978" s="94">
        <v>831</v>
      </c>
      <c r="K978" s="95">
        <f t="shared" si="93"/>
        <v>150.59126816089972</v>
      </c>
      <c r="L978" s="96">
        <f t="shared" si="94"/>
        <v>29.040429563574818</v>
      </c>
    </row>
    <row r="979" spans="9:12" x14ac:dyDescent="0.2">
      <c r="I979" s="173">
        <f t="shared" si="92"/>
        <v>121.70565580023214</v>
      </c>
      <c r="J979" s="94">
        <v>832</v>
      </c>
      <c r="K979" s="95">
        <f t="shared" si="93"/>
        <v>150.77248509009453</v>
      </c>
      <c r="L979" s="96">
        <f t="shared" si="94"/>
        <v>29.06682928986239</v>
      </c>
    </row>
    <row r="980" spans="9:12" x14ac:dyDescent="0.2">
      <c r="I980" s="173">
        <f t="shared" si="92"/>
        <v>121.86047300313939</v>
      </c>
      <c r="J980" s="94">
        <v>833</v>
      </c>
      <c r="K980" s="95">
        <f t="shared" si="93"/>
        <v>150.95370201928935</v>
      </c>
      <c r="L980" s="96">
        <f t="shared" si="94"/>
        <v>29.093229016149955</v>
      </c>
    </row>
    <row r="981" spans="9:12" x14ac:dyDescent="0.2">
      <c r="I981" s="173">
        <f t="shared" si="92"/>
        <v>122.01529020604664</v>
      </c>
      <c r="J981" s="94">
        <v>834</v>
      </c>
      <c r="K981" s="95">
        <f t="shared" si="93"/>
        <v>151.13491894848417</v>
      </c>
      <c r="L981" s="96">
        <f t="shared" si="94"/>
        <v>29.119628742437527</v>
      </c>
    </row>
    <row r="982" spans="9:12" x14ac:dyDescent="0.2">
      <c r="I982" s="173">
        <f t="shared" si="92"/>
        <v>122.17010740895392</v>
      </c>
      <c r="J982" s="94">
        <v>835</v>
      </c>
      <c r="K982" s="95">
        <f t="shared" si="93"/>
        <v>151.31613587767902</v>
      </c>
      <c r="L982" s="96">
        <f t="shared" si="94"/>
        <v>29.146028468725092</v>
      </c>
    </row>
    <row r="983" spans="9:12" x14ac:dyDescent="0.2">
      <c r="I983" s="173">
        <f t="shared" si="92"/>
        <v>122.32492461186118</v>
      </c>
      <c r="J983" s="94">
        <v>836</v>
      </c>
      <c r="K983" s="95">
        <f t="shared" si="93"/>
        <v>151.49735280687383</v>
      </c>
      <c r="L983" s="96">
        <f t="shared" si="94"/>
        <v>29.172428195012657</v>
      </c>
    </row>
    <row r="984" spans="9:12" x14ac:dyDescent="0.2">
      <c r="I984" s="173">
        <f t="shared" si="92"/>
        <v>122.47974181476843</v>
      </c>
      <c r="J984" s="94">
        <v>837</v>
      </c>
      <c r="K984" s="95">
        <f t="shared" si="93"/>
        <v>151.67856973606865</v>
      </c>
      <c r="L984" s="96">
        <f t="shared" si="94"/>
        <v>29.198827921300229</v>
      </c>
    </row>
    <row r="985" spans="9:12" x14ac:dyDescent="0.2">
      <c r="I985" s="173">
        <f t="shared" si="92"/>
        <v>122.63455901767568</v>
      </c>
      <c r="J985" s="94">
        <v>838</v>
      </c>
      <c r="K985" s="95">
        <f t="shared" si="93"/>
        <v>151.85978666526347</v>
      </c>
      <c r="L985" s="96">
        <f t="shared" si="94"/>
        <v>29.225227647587793</v>
      </c>
    </row>
    <row r="986" spans="9:12" x14ac:dyDescent="0.2">
      <c r="I986" s="173">
        <f t="shared" si="92"/>
        <v>122.78937622058295</v>
      </c>
      <c r="J986" s="94">
        <v>839</v>
      </c>
      <c r="K986" s="95">
        <f t="shared" si="93"/>
        <v>152.04100359445832</v>
      </c>
      <c r="L986" s="96">
        <f t="shared" si="94"/>
        <v>29.251627373875365</v>
      </c>
    </row>
    <row r="987" spans="9:12" x14ac:dyDescent="0.2">
      <c r="I987" s="173">
        <f t="shared" si="92"/>
        <v>122.9441934234902</v>
      </c>
      <c r="J987" s="94">
        <v>840</v>
      </c>
      <c r="K987" s="95">
        <f t="shared" si="93"/>
        <v>152.22222052365314</v>
      </c>
      <c r="L987" s="96">
        <f t="shared" si="94"/>
        <v>29.27802710016293</v>
      </c>
    </row>
    <row r="988" spans="9:12" x14ac:dyDescent="0.2">
      <c r="I988" s="173">
        <f t="shared" si="92"/>
        <v>123.09901062639744</v>
      </c>
      <c r="J988" s="94">
        <v>841</v>
      </c>
      <c r="K988" s="95">
        <f t="shared" si="93"/>
        <v>152.40343745284795</v>
      </c>
      <c r="L988" s="96">
        <f t="shared" si="94"/>
        <v>29.304426826450502</v>
      </c>
    </row>
    <row r="989" spans="9:12" x14ac:dyDescent="0.2">
      <c r="I989" s="173">
        <f t="shared" si="92"/>
        <v>123.2538278293047</v>
      </c>
      <c r="J989" s="94">
        <v>842</v>
      </c>
      <c r="K989" s="95">
        <f t="shared" si="93"/>
        <v>152.58465438204277</v>
      </c>
      <c r="L989" s="96">
        <f t="shared" si="94"/>
        <v>29.330826552738067</v>
      </c>
    </row>
    <row r="990" spans="9:12" x14ac:dyDescent="0.2">
      <c r="I990" s="173">
        <f t="shared" si="92"/>
        <v>123.40864503221198</v>
      </c>
      <c r="J990" s="94">
        <v>843</v>
      </c>
      <c r="K990" s="95">
        <f t="shared" si="93"/>
        <v>152.76587131123762</v>
      </c>
      <c r="L990" s="96">
        <f t="shared" si="94"/>
        <v>29.357226279025632</v>
      </c>
    </row>
    <row r="991" spans="9:12" x14ac:dyDescent="0.2">
      <c r="I991" s="173">
        <f t="shared" si="92"/>
        <v>123.56346223511923</v>
      </c>
      <c r="J991" s="94">
        <v>844</v>
      </c>
      <c r="K991" s="95">
        <f t="shared" si="93"/>
        <v>152.94708824043244</v>
      </c>
      <c r="L991" s="96">
        <f t="shared" si="94"/>
        <v>29.383626005313204</v>
      </c>
    </row>
    <row r="992" spans="9:12" x14ac:dyDescent="0.2">
      <c r="I992" s="173">
        <f t="shared" si="92"/>
        <v>123.71827943802649</v>
      </c>
      <c r="J992" s="94">
        <v>845</v>
      </c>
      <c r="K992" s="95">
        <f t="shared" si="93"/>
        <v>153.12830516962725</v>
      </c>
      <c r="L992" s="96">
        <f t="shared" si="94"/>
        <v>29.410025731600768</v>
      </c>
    </row>
    <row r="993" spans="9:12" x14ac:dyDescent="0.2">
      <c r="I993" s="173">
        <f t="shared" si="92"/>
        <v>123.87309664093374</v>
      </c>
      <c r="J993" s="94">
        <v>846</v>
      </c>
      <c r="K993" s="95">
        <f t="shared" si="93"/>
        <v>153.30952209882207</v>
      </c>
      <c r="L993" s="96">
        <f t="shared" si="94"/>
        <v>29.43642545788834</v>
      </c>
    </row>
    <row r="994" spans="9:12" x14ac:dyDescent="0.2">
      <c r="I994" s="173">
        <f t="shared" si="92"/>
        <v>124.02791384384102</v>
      </c>
      <c r="J994" s="94">
        <v>847</v>
      </c>
      <c r="K994" s="95">
        <f t="shared" si="93"/>
        <v>153.49073902801692</v>
      </c>
      <c r="L994" s="96">
        <f t="shared" si="94"/>
        <v>29.462825184175905</v>
      </c>
    </row>
    <row r="995" spans="9:12" x14ac:dyDescent="0.2">
      <c r="I995" s="173">
        <f t="shared" si="92"/>
        <v>124.18273104674826</v>
      </c>
      <c r="J995" s="94">
        <v>848</v>
      </c>
      <c r="K995" s="95">
        <f t="shared" si="93"/>
        <v>153.67195595721174</v>
      </c>
      <c r="L995" s="96">
        <f t="shared" si="94"/>
        <v>29.489224910463477</v>
      </c>
    </row>
    <row r="996" spans="9:12" x14ac:dyDescent="0.2">
      <c r="I996" s="173">
        <f t="shared" si="92"/>
        <v>124.33754824965551</v>
      </c>
      <c r="J996" s="94">
        <v>849</v>
      </c>
      <c r="K996" s="95">
        <f t="shared" si="93"/>
        <v>153.85317288640655</v>
      </c>
      <c r="L996" s="96">
        <f t="shared" si="94"/>
        <v>29.515624636751042</v>
      </c>
    </row>
    <row r="997" spans="9:12" x14ac:dyDescent="0.2">
      <c r="I997" s="173">
        <f t="shared" si="92"/>
        <v>124.49236545256277</v>
      </c>
      <c r="J997" s="94">
        <v>850</v>
      </c>
      <c r="K997" s="95">
        <f t="shared" si="93"/>
        <v>154.03438981560137</v>
      </c>
      <c r="L997" s="96">
        <f t="shared" si="94"/>
        <v>29.542024363038607</v>
      </c>
    </row>
    <row r="998" spans="9:12" x14ac:dyDescent="0.2">
      <c r="I998" s="173">
        <f t="shared" si="92"/>
        <v>124.64718265547003</v>
      </c>
      <c r="J998" s="94">
        <v>851</v>
      </c>
      <c r="K998" s="95">
        <f t="shared" si="93"/>
        <v>154.21560674479622</v>
      </c>
      <c r="L998" s="96">
        <f t="shared" si="94"/>
        <v>29.568424089326179</v>
      </c>
    </row>
    <row r="999" spans="9:12" x14ac:dyDescent="0.2">
      <c r="I999" s="173">
        <f t="shared" si="92"/>
        <v>124.80199985837729</v>
      </c>
      <c r="J999" s="94">
        <v>852</v>
      </c>
      <c r="K999" s="95">
        <f t="shared" si="93"/>
        <v>154.39682367399104</v>
      </c>
      <c r="L999" s="96">
        <f t="shared" si="94"/>
        <v>29.594823815613744</v>
      </c>
    </row>
    <row r="1000" spans="9:12" x14ac:dyDescent="0.2">
      <c r="I1000" s="173">
        <f t="shared" si="92"/>
        <v>124.95681706128454</v>
      </c>
      <c r="J1000" s="94">
        <v>853</v>
      </c>
      <c r="K1000" s="95">
        <f t="shared" si="93"/>
        <v>154.57804060318585</v>
      </c>
      <c r="L1000" s="96">
        <f t="shared" si="94"/>
        <v>29.621223541901315</v>
      </c>
    </row>
    <row r="1001" spans="9:12" x14ac:dyDescent="0.2">
      <c r="I1001" s="173">
        <f t="shared" si="92"/>
        <v>125.11163426419179</v>
      </c>
      <c r="J1001" s="94">
        <v>854</v>
      </c>
      <c r="K1001" s="95">
        <f t="shared" si="93"/>
        <v>154.75925753238067</v>
      </c>
      <c r="L1001" s="96">
        <f t="shared" si="94"/>
        <v>29.64762326818888</v>
      </c>
    </row>
    <row r="1002" spans="9:12" x14ac:dyDescent="0.2">
      <c r="I1002" s="173">
        <f t="shared" si="92"/>
        <v>125.26645146709907</v>
      </c>
      <c r="J1002" s="94">
        <v>855</v>
      </c>
      <c r="K1002" s="95">
        <f t="shared" si="93"/>
        <v>154.94047446157552</v>
      </c>
      <c r="L1002" s="96">
        <f t="shared" si="94"/>
        <v>29.674022994476445</v>
      </c>
    </row>
    <row r="1003" spans="9:12" x14ac:dyDescent="0.2">
      <c r="I1003" s="173">
        <f t="shared" si="92"/>
        <v>125.42126867000633</v>
      </c>
      <c r="J1003" s="94">
        <v>856</v>
      </c>
      <c r="K1003" s="95">
        <f t="shared" si="93"/>
        <v>155.12169139077034</v>
      </c>
      <c r="L1003" s="96">
        <f t="shared" si="94"/>
        <v>29.700422720764017</v>
      </c>
    </row>
    <row r="1004" spans="9:12" x14ac:dyDescent="0.2">
      <c r="I1004" s="173">
        <f t="shared" ref="I1004:I1067" si="95">ABS(K1004-L1004)</f>
        <v>125.57608587291358</v>
      </c>
      <c r="J1004" s="94">
        <v>857</v>
      </c>
      <c r="K1004" s="95">
        <f t="shared" si="93"/>
        <v>155.30290831996516</v>
      </c>
      <c r="L1004" s="96">
        <f t="shared" si="94"/>
        <v>29.726822447051582</v>
      </c>
    </row>
    <row r="1005" spans="9:12" x14ac:dyDescent="0.2">
      <c r="I1005" s="173">
        <f t="shared" si="95"/>
        <v>125.73090307582082</v>
      </c>
      <c r="J1005" s="94">
        <v>858</v>
      </c>
      <c r="K1005" s="95">
        <f t="shared" si="93"/>
        <v>155.48412524915997</v>
      </c>
      <c r="L1005" s="96">
        <f t="shared" si="94"/>
        <v>29.753222173339154</v>
      </c>
    </row>
    <row r="1006" spans="9:12" x14ac:dyDescent="0.2">
      <c r="I1006" s="173">
        <f t="shared" si="95"/>
        <v>125.8857202787281</v>
      </c>
      <c r="J1006" s="94">
        <v>859</v>
      </c>
      <c r="K1006" s="95">
        <f t="shared" si="93"/>
        <v>155.66534217835482</v>
      </c>
      <c r="L1006" s="96">
        <f t="shared" si="94"/>
        <v>29.779621899626719</v>
      </c>
    </row>
    <row r="1007" spans="9:12" x14ac:dyDescent="0.2">
      <c r="I1007" s="173">
        <f t="shared" si="95"/>
        <v>126.04053748163534</v>
      </c>
      <c r="J1007" s="94">
        <v>860</v>
      </c>
      <c r="K1007" s="95">
        <f t="shared" si="93"/>
        <v>155.84655910754964</v>
      </c>
      <c r="L1007" s="96">
        <f t="shared" si="94"/>
        <v>29.80602162591429</v>
      </c>
    </row>
    <row r="1008" spans="9:12" x14ac:dyDescent="0.2">
      <c r="I1008" s="173">
        <f t="shared" si="95"/>
        <v>126.19535468454259</v>
      </c>
      <c r="J1008" s="94">
        <v>861</v>
      </c>
      <c r="K1008" s="95">
        <f t="shared" si="93"/>
        <v>156.02777603674446</v>
      </c>
      <c r="L1008" s="96">
        <f t="shared" si="94"/>
        <v>29.832421352201855</v>
      </c>
    </row>
    <row r="1009" spans="9:12" x14ac:dyDescent="0.2">
      <c r="I1009" s="173">
        <f t="shared" si="95"/>
        <v>126.35017188744985</v>
      </c>
      <c r="J1009" s="94">
        <v>862</v>
      </c>
      <c r="K1009" s="95">
        <f t="shared" si="93"/>
        <v>156.20899296593927</v>
      </c>
      <c r="L1009" s="96">
        <f t="shared" si="94"/>
        <v>29.85882107848942</v>
      </c>
    </row>
    <row r="1010" spans="9:12" x14ac:dyDescent="0.2">
      <c r="I1010" s="173">
        <f t="shared" si="95"/>
        <v>126.50498909035713</v>
      </c>
      <c r="J1010" s="94">
        <v>863</v>
      </c>
      <c r="K1010" s="95">
        <f t="shared" si="93"/>
        <v>156.39020989513412</v>
      </c>
      <c r="L1010" s="96">
        <f t="shared" si="94"/>
        <v>29.885220804776992</v>
      </c>
    </row>
    <row r="1011" spans="9:12" x14ac:dyDescent="0.2">
      <c r="I1011" s="173">
        <f t="shared" si="95"/>
        <v>126.65980629326438</v>
      </c>
      <c r="J1011" s="94">
        <v>864</v>
      </c>
      <c r="K1011" s="95">
        <f t="shared" si="93"/>
        <v>156.57142682432894</v>
      </c>
      <c r="L1011" s="96">
        <f t="shared" si="94"/>
        <v>29.911620531064557</v>
      </c>
    </row>
    <row r="1012" spans="9:12" x14ac:dyDescent="0.2">
      <c r="I1012" s="173">
        <f t="shared" si="95"/>
        <v>126.81462349617163</v>
      </c>
      <c r="J1012" s="94">
        <v>865</v>
      </c>
      <c r="K1012" s="95">
        <f t="shared" si="93"/>
        <v>156.75264375352376</v>
      </c>
      <c r="L1012" s="96">
        <f t="shared" si="94"/>
        <v>29.938020257352129</v>
      </c>
    </row>
    <row r="1013" spans="9:12" x14ac:dyDescent="0.2">
      <c r="I1013" s="173">
        <f t="shared" si="95"/>
        <v>126.96944069907889</v>
      </c>
      <c r="J1013" s="94">
        <v>866</v>
      </c>
      <c r="K1013" s="95">
        <f t="shared" ref="K1013:K1076" si="96">VLOOKUP($L$297,$C$138:$D$141,2,FALSE)*J1013</f>
        <v>156.93386068271857</v>
      </c>
      <c r="L1013" s="96">
        <f t="shared" ref="L1013:L1076" si="97">VLOOKUP($L$297,$C$281:$E$284,2,FALSE)*J1013+(VLOOKUP($L$297,$C$281:$E$284,3,FALSE)+$D$292)</f>
        <v>29.964419983639694</v>
      </c>
    </row>
    <row r="1014" spans="9:12" x14ac:dyDescent="0.2">
      <c r="I1014" s="173">
        <f t="shared" si="95"/>
        <v>127.12425790198617</v>
      </c>
      <c r="J1014" s="94">
        <v>867</v>
      </c>
      <c r="K1014" s="95">
        <f t="shared" si="96"/>
        <v>157.11507761191342</v>
      </c>
      <c r="L1014" s="96">
        <f t="shared" si="97"/>
        <v>29.990819709927258</v>
      </c>
    </row>
    <row r="1015" spans="9:12" x14ac:dyDescent="0.2">
      <c r="I1015" s="173">
        <f t="shared" si="95"/>
        <v>127.27907510489341</v>
      </c>
      <c r="J1015" s="94">
        <v>868</v>
      </c>
      <c r="K1015" s="95">
        <f t="shared" si="96"/>
        <v>157.29629454110824</v>
      </c>
      <c r="L1015" s="96">
        <f t="shared" si="97"/>
        <v>30.01721943621483</v>
      </c>
    </row>
    <row r="1016" spans="9:12" x14ac:dyDescent="0.2">
      <c r="I1016" s="173">
        <f t="shared" si="95"/>
        <v>127.43389230780066</v>
      </c>
      <c r="J1016" s="94">
        <v>869</v>
      </c>
      <c r="K1016" s="95">
        <f t="shared" si="96"/>
        <v>157.47751147030306</v>
      </c>
      <c r="L1016" s="96">
        <f t="shared" si="97"/>
        <v>30.043619162502395</v>
      </c>
    </row>
    <row r="1017" spans="9:12" x14ac:dyDescent="0.2">
      <c r="I1017" s="173">
        <f t="shared" si="95"/>
        <v>127.5887095107079</v>
      </c>
      <c r="J1017" s="94">
        <v>870</v>
      </c>
      <c r="K1017" s="95">
        <f t="shared" si="96"/>
        <v>157.65872839949787</v>
      </c>
      <c r="L1017" s="96">
        <f t="shared" si="97"/>
        <v>30.070018888789967</v>
      </c>
    </row>
    <row r="1018" spans="9:12" x14ac:dyDescent="0.2">
      <c r="I1018" s="173">
        <f t="shared" si="95"/>
        <v>127.74352671361518</v>
      </c>
      <c r="J1018" s="94">
        <v>871</v>
      </c>
      <c r="K1018" s="95">
        <f t="shared" si="96"/>
        <v>157.83994532869272</v>
      </c>
      <c r="L1018" s="96">
        <f t="shared" si="97"/>
        <v>30.096418615077532</v>
      </c>
    </row>
    <row r="1019" spans="9:12" x14ac:dyDescent="0.2">
      <c r="I1019" s="173">
        <f t="shared" si="95"/>
        <v>127.89834391652244</v>
      </c>
      <c r="J1019" s="94">
        <v>872</v>
      </c>
      <c r="K1019" s="95">
        <f t="shared" si="96"/>
        <v>158.02116225788754</v>
      </c>
      <c r="L1019" s="96">
        <f t="shared" si="97"/>
        <v>30.122818341365104</v>
      </c>
    </row>
    <row r="1020" spans="9:12" x14ac:dyDescent="0.2">
      <c r="I1020" s="173">
        <f t="shared" si="95"/>
        <v>128.05316111942969</v>
      </c>
      <c r="J1020" s="94">
        <v>873</v>
      </c>
      <c r="K1020" s="95">
        <f t="shared" si="96"/>
        <v>158.20237918708236</v>
      </c>
      <c r="L1020" s="96">
        <f t="shared" si="97"/>
        <v>30.149218067652669</v>
      </c>
    </row>
    <row r="1021" spans="9:12" x14ac:dyDescent="0.2">
      <c r="I1021" s="173">
        <f t="shared" si="95"/>
        <v>128.20797832233694</v>
      </c>
      <c r="J1021" s="94">
        <v>874</v>
      </c>
      <c r="K1021" s="95">
        <f t="shared" si="96"/>
        <v>158.38359611627718</v>
      </c>
      <c r="L1021" s="96">
        <f t="shared" si="97"/>
        <v>30.175617793940233</v>
      </c>
    </row>
    <row r="1022" spans="9:12" x14ac:dyDescent="0.2">
      <c r="I1022" s="173">
        <f t="shared" si="95"/>
        <v>128.36279552524422</v>
      </c>
      <c r="J1022" s="94">
        <v>875</v>
      </c>
      <c r="K1022" s="95">
        <f t="shared" si="96"/>
        <v>158.56481304547202</v>
      </c>
      <c r="L1022" s="96">
        <f t="shared" si="97"/>
        <v>30.202017520227805</v>
      </c>
    </row>
    <row r="1023" spans="9:12" x14ac:dyDescent="0.2">
      <c r="I1023" s="173">
        <f t="shared" si="95"/>
        <v>128.51761272815148</v>
      </c>
      <c r="J1023" s="94">
        <v>876</v>
      </c>
      <c r="K1023" s="95">
        <f t="shared" si="96"/>
        <v>158.74602997466684</v>
      </c>
      <c r="L1023" s="96">
        <f t="shared" si="97"/>
        <v>30.22841724651537</v>
      </c>
    </row>
    <row r="1024" spans="9:12" x14ac:dyDescent="0.2">
      <c r="I1024" s="173">
        <f t="shared" si="95"/>
        <v>128.67242993105873</v>
      </c>
      <c r="J1024" s="94">
        <v>877</v>
      </c>
      <c r="K1024" s="95">
        <f t="shared" si="96"/>
        <v>158.92724690386166</v>
      </c>
      <c r="L1024" s="96">
        <f t="shared" si="97"/>
        <v>30.254816972802942</v>
      </c>
    </row>
    <row r="1025" spans="9:12" x14ac:dyDescent="0.2">
      <c r="I1025" s="173">
        <f t="shared" si="95"/>
        <v>128.82724713396595</v>
      </c>
      <c r="J1025" s="94">
        <v>878</v>
      </c>
      <c r="K1025" s="95">
        <f t="shared" si="96"/>
        <v>159.10846383305648</v>
      </c>
      <c r="L1025" s="96">
        <f t="shared" si="97"/>
        <v>30.281216699090507</v>
      </c>
    </row>
    <row r="1026" spans="9:12" x14ac:dyDescent="0.2">
      <c r="I1026" s="173">
        <f t="shared" si="95"/>
        <v>128.98206433687324</v>
      </c>
      <c r="J1026" s="94">
        <v>879</v>
      </c>
      <c r="K1026" s="95">
        <f t="shared" si="96"/>
        <v>159.28968076225132</v>
      </c>
      <c r="L1026" s="96">
        <f t="shared" si="97"/>
        <v>30.307616425378079</v>
      </c>
    </row>
    <row r="1027" spans="9:12" x14ac:dyDescent="0.2">
      <c r="I1027" s="173">
        <f t="shared" si="95"/>
        <v>129.13688153978049</v>
      </c>
      <c r="J1027" s="94">
        <v>880</v>
      </c>
      <c r="K1027" s="95">
        <f t="shared" si="96"/>
        <v>159.47089769144614</v>
      </c>
      <c r="L1027" s="96">
        <f t="shared" si="97"/>
        <v>30.334016151665644</v>
      </c>
    </row>
    <row r="1028" spans="9:12" x14ac:dyDescent="0.2">
      <c r="I1028" s="173">
        <f t="shared" si="95"/>
        <v>129.29169874268774</v>
      </c>
      <c r="J1028" s="94">
        <v>881</v>
      </c>
      <c r="K1028" s="95">
        <f t="shared" si="96"/>
        <v>159.65211462064096</v>
      </c>
      <c r="L1028" s="96">
        <f t="shared" si="97"/>
        <v>30.360415877953209</v>
      </c>
    </row>
    <row r="1029" spans="9:12" x14ac:dyDescent="0.2">
      <c r="I1029" s="173">
        <f t="shared" si="95"/>
        <v>129.446515945595</v>
      </c>
      <c r="J1029" s="94">
        <v>882</v>
      </c>
      <c r="K1029" s="95">
        <f t="shared" si="96"/>
        <v>159.83333154983578</v>
      </c>
      <c r="L1029" s="96">
        <f t="shared" si="97"/>
        <v>30.38681560424078</v>
      </c>
    </row>
    <row r="1030" spans="9:12" x14ac:dyDescent="0.2">
      <c r="I1030" s="173">
        <f t="shared" si="95"/>
        <v>129.60133314850228</v>
      </c>
      <c r="J1030" s="94">
        <v>883</v>
      </c>
      <c r="K1030" s="95">
        <f t="shared" si="96"/>
        <v>160.01454847903062</v>
      </c>
      <c r="L1030" s="96">
        <f t="shared" si="97"/>
        <v>30.413215330528345</v>
      </c>
    </row>
    <row r="1031" spans="9:12" x14ac:dyDescent="0.2">
      <c r="I1031" s="173">
        <f t="shared" si="95"/>
        <v>129.75615035140953</v>
      </c>
      <c r="J1031" s="94">
        <v>884</v>
      </c>
      <c r="K1031" s="95">
        <f t="shared" si="96"/>
        <v>160.19576540822544</v>
      </c>
      <c r="L1031" s="96">
        <f t="shared" si="97"/>
        <v>30.439615056815917</v>
      </c>
    </row>
    <row r="1032" spans="9:12" x14ac:dyDescent="0.2">
      <c r="I1032" s="173">
        <f t="shared" si="95"/>
        <v>129.91096755431678</v>
      </c>
      <c r="J1032" s="94">
        <v>885</v>
      </c>
      <c r="K1032" s="95">
        <f t="shared" si="96"/>
        <v>160.37698233742026</v>
      </c>
      <c r="L1032" s="96">
        <f t="shared" si="97"/>
        <v>30.466014783103482</v>
      </c>
    </row>
    <row r="1033" spans="9:12" x14ac:dyDescent="0.2">
      <c r="I1033" s="173">
        <f t="shared" si="95"/>
        <v>130.06578475722404</v>
      </c>
      <c r="J1033" s="94">
        <v>886</v>
      </c>
      <c r="K1033" s="95">
        <f t="shared" si="96"/>
        <v>160.55819926661508</v>
      </c>
      <c r="L1033" s="96">
        <f t="shared" si="97"/>
        <v>30.492414509391047</v>
      </c>
    </row>
    <row r="1034" spans="9:12" x14ac:dyDescent="0.2">
      <c r="I1034" s="173">
        <f t="shared" si="95"/>
        <v>130.22060196013132</v>
      </c>
      <c r="J1034" s="94">
        <v>887</v>
      </c>
      <c r="K1034" s="95">
        <f t="shared" si="96"/>
        <v>160.73941619580992</v>
      </c>
      <c r="L1034" s="96">
        <f t="shared" si="97"/>
        <v>30.518814235678619</v>
      </c>
    </row>
    <row r="1035" spans="9:12" x14ac:dyDescent="0.2">
      <c r="I1035" s="173">
        <f t="shared" si="95"/>
        <v>130.37541916303854</v>
      </c>
      <c r="J1035" s="94">
        <v>888</v>
      </c>
      <c r="K1035" s="95">
        <f t="shared" si="96"/>
        <v>160.92063312500474</v>
      </c>
      <c r="L1035" s="96">
        <f t="shared" si="97"/>
        <v>30.545213961966184</v>
      </c>
    </row>
    <row r="1036" spans="9:12" x14ac:dyDescent="0.2">
      <c r="I1036" s="173">
        <f t="shared" si="95"/>
        <v>130.5302363659458</v>
      </c>
      <c r="J1036" s="94">
        <v>889</v>
      </c>
      <c r="K1036" s="95">
        <f t="shared" si="96"/>
        <v>161.10185005419956</v>
      </c>
      <c r="L1036" s="96">
        <f t="shared" si="97"/>
        <v>30.571613688253755</v>
      </c>
    </row>
    <row r="1037" spans="9:12" x14ac:dyDescent="0.2">
      <c r="I1037" s="173">
        <f t="shared" si="95"/>
        <v>130.68505356885305</v>
      </c>
      <c r="J1037" s="94">
        <v>890</v>
      </c>
      <c r="K1037" s="95">
        <f t="shared" si="96"/>
        <v>161.28306698339438</v>
      </c>
      <c r="L1037" s="96">
        <f t="shared" si="97"/>
        <v>30.59801341454132</v>
      </c>
    </row>
    <row r="1038" spans="9:12" x14ac:dyDescent="0.2">
      <c r="I1038" s="173">
        <f t="shared" si="95"/>
        <v>130.83987077176033</v>
      </c>
      <c r="J1038" s="94">
        <v>891</v>
      </c>
      <c r="K1038" s="95">
        <f t="shared" si="96"/>
        <v>161.46428391258922</v>
      </c>
      <c r="L1038" s="96">
        <f t="shared" si="97"/>
        <v>30.624413140828892</v>
      </c>
    </row>
    <row r="1039" spans="9:12" x14ac:dyDescent="0.2">
      <c r="I1039" s="173">
        <f t="shared" si="95"/>
        <v>130.99468797466758</v>
      </c>
      <c r="J1039" s="94">
        <v>892</v>
      </c>
      <c r="K1039" s="95">
        <f t="shared" si="96"/>
        <v>161.64550084178404</v>
      </c>
      <c r="L1039" s="96">
        <f t="shared" si="97"/>
        <v>30.650812867116457</v>
      </c>
    </row>
    <row r="1040" spans="9:12" x14ac:dyDescent="0.2">
      <c r="I1040" s="173">
        <f t="shared" si="95"/>
        <v>131.14950517757484</v>
      </c>
      <c r="J1040" s="94">
        <v>893</v>
      </c>
      <c r="K1040" s="95">
        <f t="shared" si="96"/>
        <v>161.82671777097886</v>
      </c>
      <c r="L1040" s="96">
        <f t="shared" si="97"/>
        <v>30.677212593404022</v>
      </c>
    </row>
    <row r="1041" spans="9:12" x14ac:dyDescent="0.2">
      <c r="I1041" s="173">
        <f t="shared" si="95"/>
        <v>131.30432238048209</v>
      </c>
      <c r="J1041" s="94">
        <v>894</v>
      </c>
      <c r="K1041" s="95">
        <f t="shared" si="96"/>
        <v>162.00793470017368</v>
      </c>
      <c r="L1041" s="96">
        <f t="shared" si="97"/>
        <v>30.703612319691594</v>
      </c>
    </row>
    <row r="1042" spans="9:12" x14ac:dyDescent="0.2">
      <c r="I1042" s="173">
        <f t="shared" si="95"/>
        <v>131.45913958338937</v>
      </c>
      <c r="J1042" s="94">
        <v>895</v>
      </c>
      <c r="K1042" s="95">
        <f t="shared" si="96"/>
        <v>162.18915162936852</v>
      </c>
      <c r="L1042" s="96">
        <f t="shared" si="97"/>
        <v>30.730012045979159</v>
      </c>
    </row>
    <row r="1043" spans="9:12" x14ac:dyDescent="0.2">
      <c r="I1043" s="173">
        <f t="shared" si="95"/>
        <v>131.61395678629663</v>
      </c>
      <c r="J1043" s="94">
        <v>896</v>
      </c>
      <c r="K1043" s="95">
        <f t="shared" si="96"/>
        <v>162.37036855856334</v>
      </c>
      <c r="L1043" s="96">
        <f t="shared" si="97"/>
        <v>30.756411772266731</v>
      </c>
    </row>
    <row r="1044" spans="9:12" x14ac:dyDescent="0.2">
      <c r="I1044" s="173">
        <f t="shared" si="95"/>
        <v>131.76877398920385</v>
      </c>
      <c r="J1044" s="94">
        <v>897</v>
      </c>
      <c r="K1044" s="95">
        <f t="shared" si="96"/>
        <v>162.55158548775816</v>
      </c>
      <c r="L1044" s="96">
        <f t="shared" si="97"/>
        <v>30.782811498554295</v>
      </c>
    </row>
    <row r="1045" spans="9:12" x14ac:dyDescent="0.2">
      <c r="I1045" s="173">
        <f t="shared" si="95"/>
        <v>131.92359119211113</v>
      </c>
      <c r="J1045" s="94">
        <v>898</v>
      </c>
      <c r="K1045" s="95">
        <f t="shared" si="96"/>
        <v>162.73280241695298</v>
      </c>
      <c r="L1045" s="96">
        <f t="shared" si="97"/>
        <v>30.80921122484186</v>
      </c>
    </row>
    <row r="1046" spans="9:12" x14ac:dyDescent="0.2">
      <c r="I1046" s="173">
        <f t="shared" si="95"/>
        <v>132.07840839501839</v>
      </c>
      <c r="J1046" s="94">
        <v>899</v>
      </c>
      <c r="K1046" s="95">
        <f t="shared" si="96"/>
        <v>162.91401934614782</v>
      </c>
      <c r="L1046" s="96">
        <f t="shared" si="97"/>
        <v>30.835610951129432</v>
      </c>
    </row>
    <row r="1047" spans="9:12" x14ac:dyDescent="0.2">
      <c r="I1047" s="173">
        <f t="shared" si="95"/>
        <v>132.23322559792564</v>
      </c>
      <c r="J1047" s="94">
        <v>900</v>
      </c>
      <c r="K1047" s="95">
        <f t="shared" si="96"/>
        <v>163.09523627534264</v>
      </c>
      <c r="L1047" s="96">
        <f t="shared" si="97"/>
        <v>30.862010677416997</v>
      </c>
    </row>
    <row r="1048" spans="9:12" x14ac:dyDescent="0.2">
      <c r="I1048" s="173">
        <f t="shared" si="95"/>
        <v>132.38804280083289</v>
      </c>
      <c r="J1048" s="94">
        <v>901</v>
      </c>
      <c r="K1048" s="95">
        <f t="shared" si="96"/>
        <v>163.27645320453746</v>
      </c>
      <c r="L1048" s="96">
        <f t="shared" si="97"/>
        <v>30.888410403704569</v>
      </c>
    </row>
    <row r="1049" spans="9:12" x14ac:dyDescent="0.2">
      <c r="I1049" s="173">
        <f t="shared" si="95"/>
        <v>132.54286000374015</v>
      </c>
      <c r="J1049" s="94">
        <v>902</v>
      </c>
      <c r="K1049" s="95">
        <f t="shared" si="96"/>
        <v>163.45767013373228</v>
      </c>
      <c r="L1049" s="96">
        <f t="shared" si="97"/>
        <v>30.914810129992134</v>
      </c>
    </row>
    <row r="1050" spans="9:12" x14ac:dyDescent="0.2">
      <c r="I1050" s="173">
        <f t="shared" si="95"/>
        <v>132.69767720664743</v>
      </c>
      <c r="J1050" s="94">
        <v>903</v>
      </c>
      <c r="K1050" s="95">
        <f t="shared" si="96"/>
        <v>163.63888706292713</v>
      </c>
      <c r="L1050" s="96">
        <f t="shared" si="97"/>
        <v>30.941209856279706</v>
      </c>
    </row>
    <row r="1051" spans="9:12" x14ac:dyDescent="0.2">
      <c r="I1051" s="173">
        <f t="shared" si="95"/>
        <v>132.85249440955468</v>
      </c>
      <c r="J1051" s="94">
        <v>904</v>
      </c>
      <c r="K1051" s="95">
        <f t="shared" si="96"/>
        <v>163.82010399212194</v>
      </c>
      <c r="L1051" s="96">
        <f t="shared" si="97"/>
        <v>30.96760958256727</v>
      </c>
    </row>
    <row r="1052" spans="9:12" x14ac:dyDescent="0.2">
      <c r="I1052" s="173">
        <f t="shared" si="95"/>
        <v>133.00731161246193</v>
      </c>
      <c r="J1052" s="94">
        <v>905</v>
      </c>
      <c r="K1052" s="95">
        <f t="shared" si="96"/>
        <v>164.00132092131676</v>
      </c>
      <c r="L1052" s="96">
        <f t="shared" si="97"/>
        <v>30.994009308854835</v>
      </c>
    </row>
    <row r="1053" spans="9:12" x14ac:dyDescent="0.2">
      <c r="I1053" s="173">
        <f t="shared" si="95"/>
        <v>133.16212881536916</v>
      </c>
      <c r="J1053" s="94">
        <v>906</v>
      </c>
      <c r="K1053" s="95">
        <f t="shared" si="96"/>
        <v>164.18253785051158</v>
      </c>
      <c r="L1053" s="96">
        <f t="shared" si="97"/>
        <v>31.020409035142407</v>
      </c>
    </row>
    <row r="1054" spans="9:12" x14ac:dyDescent="0.2">
      <c r="I1054" s="173">
        <f t="shared" si="95"/>
        <v>133.31694601827644</v>
      </c>
      <c r="J1054" s="94">
        <v>907</v>
      </c>
      <c r="K1054" s="95">
        <f t="shared" si="96"/>
        <v>164.36375477970643</v>
      </c>
      <c r="L1054" s="96">
        <f t="shared" si="97"/>
        <v>31.046808761429972</v>
      </c>
    </row>
    <row r="1055" spans="9:12" x14ac:dyDescent="0.2">
      <c r="I1055" s="173">
        <f t="shared" si="95"/>
        <v>133.47176322118369</v>
      </c>
      <c r="J1055" s="94">
        <v>908</v>
      </c>
      <c r="K1055" s="95">
        <f t="shared" si="96"/>
        <v>164.54497170890124</v>
      </c>
      <c r="L1055" s="96">
        <f t="shared" si="97"/>
        <v>31.073208487717544</v>
      </c>
    </row>
    <row r="1056" spans="9:12" x14ac:dyDescent="0.2">
      <c r="I1056" s="173">
        <f t="shared" si="95"/>
        <v>133.62658042409095</v>
      </c>
      <c r="J1056" s="94">
        <v>909</v>
      </c>
      <c r="K1056" s="95">
        <f t="shared" si="96"/>
        <v>164.72618863809606</v>
      </c>
      <c r="L1056" s="96">
        <f t="shared" si="97"/>
        <v>31.099608214005109</v>
      </c>
    </row>
    <row r="1057" spans="9:12" x14ac:dyDescent="0.2">
      <c r="I1057" s="173">
        <f t="shared" si="95"/>
        <v>133.7813976269982</v>
      </c>
      <c r="J1057" s="94">
        <v>910</v>
      </c>
      <c r="K1057" s="95">
        <f t="shared" si="96"/>
        <v>164.90740556729088</v>
      </c>
      <c r="L1057" s="96">
        <f t="shared" si="97"/>
        <v>31.126007940292673</v>
      </c>
    </row>
    <row r="1058" spans="9:12" x14ac:dyDescent="0.2">
      <c r="I1058" s="173">
        <f t="shared" si="95"/>
        <v>133.93621482990548</v>
      </c>
      <c r="J1058" s="94">
        <v>911</v>
      </c>
      <c r="K1058" s="95">
        <f t="shared" si="96"/>
        <v>165.08862249648573</v>
      </c>
      <c r="L1058" s="96">
        <f t="shared" si="97"/>
        <v>31.152407666580245</v>
      </c>
    </row>
    <row r="1059" spans="9:12" x14ac:dyDescent="0.2">
      <c r="I1059" s="173">
        <f t="shared" si="95"/>
        <v>134.09103203281273</v>
      </c>
      <c r="J1059" s="94">
        <v>912</v>
      </c>
      <c r="K1059" s="95">
        <f t="shared" si="96"/>
        <v>165.26983942568054</v>
      </c>
      <c r="L1059" s="96">
        <f t="shared" si="97"/>
        <v>31.17880739286781</v>
      </c>
    </row>
    <row r="1060" spans="9:12" x14ac:dyDescent="0.2">
      <c r="I1060" s="173">
        <f t="shared" si="95"/>
        <v>134.24584923571999</v>
      </c>
      <c r="J1060" s="94">
        <v>913</v>
      </c>
      <c r="K1060" s="95">
        <f t="shared" si="96"/>
        <v>165.45105635487536</v>
      </c>
      <c r="L1060" s="96">
        <f t="shared" si="97"/>
        <v>31.205207119155382</v>
      </c>
    </row>
    <row r="1061" spans="9:12" x14ac:dyDescent="0.2">
      <c r="I1061" s="173">
        <f t="shared" si="95"/>
        <v>134.40066643862724</v>
      </c>
      <c r="J1061" s="94">
        <v>914</v>
      </c>
      <c r="K1061" s="95">
        <f t="shared" si="96"/>
        <v>165.63227328407018</v>
      </c>
      <c r="L1061" s="96">
        <f t="shared" si="97"/>
        <v>31.231606845442947</v>
      </c>
    </row>
    <row r="1062" spans="9:12" x14ac:dyDescent="0.2">
      <c r="I1062" s="173">
        <f t="shared" si="95"/>
        <v>134.55548364153452</v>
      </c>
      <c r="J1062" s="94">
        <v>915</v>
      </c>
      <c r="K1062" s="95">
        <f t="shared" si="96"/>
        <v>165.81349021326503</v>
      </c>
      <c r="L1062" s="96">
        <f t="shared" si="97"/>
        <v>31.258006571730519</v>
      </c>
    </row>
    <row r="1063" spans="9:12" x14ac:dyDescent="0.2">
      <c r="I1063" s="173">
        <f t="shared" si="95"/>
        <v>134.71030084444175</v>
      </c>
      <c r="J1063" s="94">
        <v>916</v>
      </c>
      <c r="K1063" s="95">
        <f t="shared" si="96"/>
        <v>165.99470714245984</v>
      </c>
      <c r="L1063" s="96">
        <f t="shared" si="97"/>
        <v>31.284406298018084</v>
      </c>
    </row>
    <row r="1064" spans="9:12" x14ac:dyDescent="0.2">
      <c r="I1064" s="173">
        <f t="shared" si="95"/>
        <v>134.86511804734903</v>
      </c>
      <c r="J1064" s="94">
        <v>917</v>
      </c>
      <c r="K1064" s="95">
        <f t="shared" si="96"/>
        <v>166.17592407165466</v>
      </c>
      <c r="L1064" s="96">
        <f t="shared" si="97"/>
        <v>31.310806024305649</v>
      </c>
    </row>
    <row r="1065" spans="9:12" x14ac:dyDescent="0.2">
      <c r="I1065" s="173">
        <f t="shared" si="95"/>
        <v>135.01993525025625</v>
      </c>
      <c r="J1065" s="94">
        <v>918</v>
      </c>
      <c r="K1065" s="95">
        <f t="shared" si="96"/>
        <v>166.35714100084948</v>
      </c>
      <c r="L1065" s="96">
        <f t="shared" si="97"/>
        <v>31.33720575059322</v>
      </c>
    </row>
    <row r="1066" spans="9:12" x14ac:dyDescent="0.2">
      <c r="I1066" s="173">
        <f t="shared" si="95"/>
        <v>135.17475245316353</v>
      </c>
      <c r="J1066" s="94">
        <v>919</v>
      </c>
      <c r="K1066" s="95">
        <f t="shared" si="96"/>
        <v>166.53835793004433</v>
      </c>
      <c r="L1066" s="96">
        <f t="shared" si="97"/>
        <v>31.363605476880785</v>
      </c>
    </row>
    <row r="1067" spans="9:12" x14ac:dyDescent="0.2">
      <c r="I1067" s="173">
        <f t="shared" si="95"/>
        <v>135.32956965607079</v>
      </c>
      <c r="J1067" s="94">
        <v>920</v>
      </c>
      <c r="K1067" s="95">
        <f t="shared" si="96"/>
        <v>166.71957485923915</v>
      </c>
      <c r="L1067" s="96">
        <f t="shared" si="97"/>
        <v>31.390005203168357</v>
      </c>
    </row>
    <row r="1068" spans="9:12" x14ac:dyDescent="0.2">
      <c r="I1068" s="173">
        <f t="shared" ref="I1068:I1131" si="98">ABS(K1068-L1068)</f>
        <v>135.48438685897804</v>
      </c>
      <c r="J1068" s="94">
        <v>921</v>
      </c>
      <c r="K1068" s="95">
        <f t="shared" si="96"/>
        <v>166.90079178843396</v>
      </c>
      <c r="L1068" s="96">
        <f t="shared" si="97"/>
        <v>31.416404929455922</v>
      </c>
    </row>
    <row r="1069" spans="9:12" x14ac:dyDescent="0.2">
      <c r="I1069" s="173">
        <f t="shared" si="98"/>
        <v>135.63920406188529</v>
      </c>
      <c r="J1069" s="94">
        <v>922</v>
      </c>
      <c r="K1069" s="95">
        <f t="shared" si="96"/>
        <v>167.08200871762878</v>
      </c>
      <c r="L1069" s="96">
        <f t="shared" si="97"/>
        <v>31.442804655743494</v>
      </c>
    </row>
    <row r="1070" spans="9:12" x14ac:dyDescent="0.2">
      <c r="I1070" s="173">
        <f t="shared" si="98"/>
        <v>135.79402126479258</v>
      </c>
      <c r="J1070" s="94">
        <v>923</v>
      </c>
      <c r="K1070" s="95">
        <f t="shared" si="96"/>
        <v>167.26322564682363</v>
      </c>
      <c r="L1070" s="96">
        <f t="shared" si="97"/>
        <v>31.469204382031059</v>
      </c>
    </row>
    <row r="1071" spans="9:12" x14ac:dyDescent="0.2">
      <c r="I1071" s="173">
        <f t="shared" si="98"/>
        <v>135.94883846769983</v>
      </c>
      <c r="J1071" s="94">
        <v>924</v>
      </c>
      <c r="K1071" s="95">
        <f t="shared" si="96"/>
        <v>167.44444257601845</v>
      </c>
      <c r="L1071" s="96">
        <f t="shared" si="97"/>
        <v>31.495604108318624</v>
      </c>
    </row>
    <row r="1072" spans="9:12" x14ac:dyDescent="0.2">
      <c r="I1072" s="173">
        <f t="shared" si="98"/>
        <v>136.10365567060705</v>
      </c>
      <c r="J1072" s="94">
        <v>925</v>
      </c>
      <c r="K1072" s="95">
        <f t="shared" si="96"/>
        <v>167.62565950521326</v>
      </c>
      <c r="L1072" s="96">
        <f t="shared" si="97"/>
        <v>31.522003834606195</v>
      </c>
    </row>
    <row r="1073" spans="9:12" x14ac:dyDescent="0.2">
      <c r="I1073" s="173">
        <f t="shared" si="98"/>
        <v>136.25847287351434</v>
      </c>
      <c r="J1073" s="94">
        <v>926</v>
      </c>
      <c r="K1073" s="95">
        <f t="shared" si="96"/>
        <v>167.80687643440808</v>
      </c>
      <c r="L1073" s="96">
        <f t="shared" si="97"/>
        <v>31.54840356089376</v>
      </c>
    </row>
    <row r="1074" spans="9:12" x14ac:dyDescent="0.2">
      <c r="I1074" s="173">
        <f t="shared" si="98"/>
        <v>136.41329007642159</v>
      </c>
      <c r="J1074" s="94">
        <v>927</v>
      </c>
      <c r="K1074" s="95">
        <f t="shared" si="96"/>
        <v>167.98809336360293</v>
      </c>
      <c r="L1074" s="96">
        <f t="shared" si="97"/>
        <v>31.574803287181332</v>
      </c>
    </row>
    <row r="1075" spans="9:12" x14ac:dyDescent="0.2">
      <c r="I1075" s="173">
        <f t="shared" si="98"/>
        <v>136.56810727932884</v>
      </c>
      <c r="J1075" s="94">
        <v>928</v>
      </c>
      <c r="K1075" s="95">
        <f t="shared" si="96"/>
        <v>168.16931029279775</v>
      </c>
      <c r="L1075" s="96">
        <f t="shared" si="97"/>
        <v>31.601203013468897</v>
      </c>
    </row>
    <row r="1076" spans="9:12" x14ac:dyDescent="0.2">
      <c r="I1076" s="173">
        <f t="shared" si="98"/>
        <v>136.7229244822361</v>
      </c>
      <c r="J1076" s="94">
        <v>929</v>
      </c>
      <c r="K1076" s="95">
        <f t="shared" si="96"/>
        <v>168.35052722199256</v>
      </c>
      <c r="L1076" s="96">
        <f t="shared" si="97"/>
        <v>31.627602739756462</v>
      </c>
    </row>
    <row r="1077" spans="9:12" x14ac:dyDescent="0.2">
      <c r="I1077" s="173">
        <f t="shared" si="98"/>
        <v>136.87774168514335</v>
      </c>
      <c r="J1077" s="94">
        <v>930</v>
      </c>
      <c r="K1077" s="95">
        <f t="shared" ref="K1077:K1140" si="99">VLOOKUP($L$297,$C$138:$D$141,2,FALSE)*J1077</f>
        <v>168.53174415118738</v>
      </c>
      <c r="L1077" s="96">
        <f t="shared" ref="L1077:L1140" si="100">VLOOKUP($L$297,$C$281:$E$284,2,FALSE)*J1077+(VLOOKUP($L$297,$C$281:$E$284,3,FALSE)+$D$292)</f>
        <v>31.654002466044034</v>
      </c>
    </row>
    <row r="1078" spans="9:12" x14ac:dyDescent="0.2">
      <c r="I1078" s="173">
        <f t="shared" si="98"/>
        <v>137.03255888805063</v>
      </c>
      <c r="J1078" s="94">
        <v>931</v>
      </c>
      <c r="K1078" s="95">
        <f t="shared" si="99"/>
        <v>168.71296108038223</v>
      </c>
      <c r="L1078" s="96">
        <f t="shared" si="100"/>
        <v>31.680402192331599</v>
      </c>
    </row>
    <row r="1079" spans="9:12" x14ac:dyDescent="0.2">
      <c r="I1079" s="173">
        <f t="shared" si="98"/>
        <v>137.18737609095788</v>
      </c>
      <c r="J1079" s="94">
        <v>932</v>
      </c>
      <c r="K1079" s="95">
        <f t="shared" si="99"/>
        <v>168.89417800957705</v>
      </c>
      <c r="L1079" s="96">
        <f t="shared" si="100"/>
        <v>31.706801918619171</v>
      </c>
    </row>
    <row r="1080" spans="9:12" x14ac:dyDescent="0.2">
      <c r="I1080" s="173">
        <f t="shared" si="98"/>
        <v>137.34219329386514</v>
      </c>
      <c r="J1080" s="94">
        <v>933</v>
      </c>
      <c r="K1080" s="95">
        <f t="shared" si="99"/>
        <v>169.07539493877186</v>
      </c>
      <c r="L1080" s="96">
        <f t="shared" si="100"/>
        <v>31.733201644906735</v>
      </c>
    </row>
    <row r="1081" spans="9:12" x14ac:dyDescent="0.2">
      <c r="I1081" s="173">
        <f t="shared" si="98"/>
        <v>137.49701049677236</v>
      </c>
      <c r="J1081" s="94">
        <v>934</v>
      </c>
      <c r="K1081" s="95">
        <f t="shared" si="99"/>
        <v>169.25661186796668</v>
      </c>
      <c r="L1081" s="96">
        <f t="shared" si="100"/>
        <v>31.759601371194307</v>
      </c>
    </row>
    <row r="1082" spans="9:12" x14ac:dyDescent="0.2">
      <c r="I1082" s="173">
        <f t="shared" si="98"/>
        <v>137.65182769967964</v>
      </c>
      <c r="J1082" s="94">
        <v>935</v>
      </c>
      <c r="K1082" s="95">
        <f t="shared" si="99"/>
        <v>169.43782879716153</v>
      </c>
      <c r="L1082" s="96">
        <f t="shared" si="100"/>
        <v>31.786001097481872</v>
      </c>
    </row>
    <row r="1083" spans="9:12" x14ac:dyDescent="0.2">
      <c r="I1083" s="173">
        <f t="shared" si="98"/>
        <v>137.80664490258692</v>
      </c>
      <c r="J1083" s="94">
        <v>936</v>
      </c>
      <c r="K1083" s="95">
        <f t="shared" si="99"/>
        <v>169.61904572635635</v>
      </c>
      <c r="L1083" s="96">
        <f t="shared" si="100"/>
        <v>31.812400823769437</v>
      </c>
    </row>
    <row r="1084" spans="9:12" x14ac:dyDescent="0.2">
      <c r="I1084" s="173">
        <f t="shared" si="98"/>
        <v>137.96146210549415</v>
      </c>
      <c r="J1084" s="94">
        <v>937</v>
      </c>
      <c r="K1084" s="95">
        <f t="shared" si="99"/>
        <v>169.80026265555117</v>
      </c>
      <c r="L1084" s="96">
        <f t="shared" si="100"/>
        <v>31.838800550057009</v>
      </c>
    </row>
    <row r="1085" spans="9:12" x14ac:dyDescent="0.2">
      <c r="I1085" s="173">
        <f t="shared" si="98"/>
        <v>138.1162793084014</v>
      </c>
      <c r="J1085" s="94">
        <v>938</v>
      </c>
      <c r="K1085" s="95">
        <f t="shared" si="99"/>
        <v>169.98147958474598</v>
      </c>
      <c r="L1085" s="96">
        <f t="shared" si="100"/>
        <v>31.865200276344574</v>
      </c>
    </row>
    <row r="1086" spans="9:12" x14ac:dyDescent="0.2">
      <c r="I1086" s="173">
        <f t="shared" si="98"/>
        <v>138.27109651130868</v>
      </c>
      <c r="J1086" s="94">
        <v>939</v>
      </c>
      <c r="K1086" s="95">
        <f t="shared" si="99"/>
        <v>170.16269651394083</v>
      </c>
      <c r="L1086" s="96">
        <f t="shared" si="100"/>
        <v>31.891600002632146</v>
      </c>
    </row>
    <row r="1087" spans="9:12" x14ac:dyDescent="0.2">
      <c r="I1087" s="173">
        <f t="shared" si="98"/>
        <v>138.42591371421594</v>
      </c>
      <c r="J1087" s="94">
        <v>940</v>
      </c>
      <c r="K1087" s="95">
        <f t="shared" si="99"/>
        <v>170.34391344313565</v>
      </c>
      <c r="L1087" s="96">
        <f t="shared" si="100"/>
        <v>31.91799972891971</v>
      </c>
    </row>
    <row r="1088" spans="9:12" x14ac:dyDescent="0.2">
      <c r="I1088" s="173">
        <f t="shared" si="98"/>
        <v>138.58073091712319</v>
      </c>
      <c r="J1088" s="94">
        <v>941</v>
      </c>
      <c r="K1088" s="95">
        <f t="shared" si="99"/>
        <v>170.52513037233047</v>
      </c>
      <c r="L1088" s="96">
        <f t="shared" si="100"/>
        <v>31.944399455207275</v>
      </c>
    </row>
    <row r="1089" spans="9:12" x14ac:dyDescent="0.2">
      <c r="I1089" s="173">
        <f t="shared" si="98"/>
        <v>138.73554812003044</v>
      </c>
      <c r="J1089" s="94">
        <v>942</v>
      </c>
      <c r="K1089" s="95">
        <f t="shared" si="99"/>
        <v>170.70634730152528</v>
      </c>
      <c r="L1089" s="96">
        <f t="shared" si="100"/>
        <v>31.970799181494847</v>
      </c>
    </row>
    <row r="1090" spans="9:12" x14ac:dyDescent="0.2">
      <c r="I1090" s="173">
        <f t="shared" si="98"/>
        <v>138.89036532293773</v>
      </c>
      <c r="J1090" s="94">
        <v>943</v>
      </c>
      <c r="K1090" s="95">
        <f t="shared" si="99"/>
        <v>170.88756423072013</v>
      </c>
      <c r="L1090" s="96">
        <f t="shared" si="100"/>
        <v>31.997198907782412</v>
      </c>
    </row>
    <row r="1091" spans="9:12" x14ac:dyDescent="0.2">
      <c r="I1091" s="173">
        <f t="shared" si="98"/>
        <v>139.04518252584495</v>
      </c>
      <c r="J1091" s="94">
        <v>944</v>
      </c>
      <c r="K1091" s="95">
        <f t="shared" si="99"/>
        <v>171.06878115991495</v>
      </c>
      <c r="L1091" s="96">
        <f t="shared" si="100"/>
        <v>32.023598634069984</v>
      </c>
    </row>
    <row r="1092" spans="9:12" x14ac:dyDescent="0.2">
      <c r="I1092" s="173">
        <f t="shared" si="98"/>
        <v>139.19999972875223</v>
      </c>
      <c r="J1092" s="94">
        <v>945</v>
      </c>
      <c r="K1092" s="95">
        <f t="shared" si="99"/>
        <v>171.24999808910977</v>
      </c>
      <c r="L1092" s="96">
        <f t="shared" si="100"/>
        <v>32.049998360357549</v>
      </c>
    </row>
    <row r="1093" spans="9:12" x14ac:dyDescent="0.2">
      <c r="I1093" s="173">
        <f t="shared" si="98"/>
        <v>139.35481693165946</v>
      </c>
      <c r="J1093" s="94">
        <v>946</v>
      </c>
      <c r="K1093" s="95">
        <f t="shared" si="99"/>
        <v>171.43121501830458</v>
      </c>
      <c r="L1093" s="96">
        <f t="shared" si="100"/>
        <v>32.076398086645121</v>
      </c>
    </row>
    <row r="1094" spans="9:12" x14ac:dyDescent="0.2">
      <c r="I1094" s="173">
        <f t="shared" si="98"/>
        <v>139.50963413456674</v>
      </c>
      <c r="J1094" s="94">
        <v>947</v>
      </c>
      <c r="K1094" s="95">
        <f t="shared" si="99"/>
        <v>171.61243194749943</v>
      </c>
      <c r="L1094" s="96">
        <f t="shared" si="100"/>
        <v>32.102797812932685</v>
      </c>
    </row>
    <row r="1095" spans="9:12" x14ac:dyDescent="0.2">
      <c r="I1095" s="173">
        <f t="shared" si="98"/>
        <v>139.66445133747399</v>
      </c>
      <c r="J1095" s="94">
        <v>948</v>
      </c>
      <c r="K1095" s="95">
        <f t="shared" si="99"/>
        <v>171.79364887669425</v>
      </c>
      <c r="L1095" s="96">
        <f t="shared" si="100"/>
        <v>32.12919753922025</v>
      </c>
    </row>
    <row r="1096" spans="9:12" x14ac:dyDescent="0.2">
      <c r="I1096" s="173">
        <f t="shared" si="98"/>
        <v>139.81926854038124</v>
      </c>
      <c r="J1096" s="94">
        <v>949</v>
      </c>
      <c r="K1096" s="95">
        <f t="shared" si="99"/>
        <v>171.97486580588907</v>
      </c>
      <c r="L1096" s="96">
        <f t="shared" si="100"/>
        <v>32.155597265507822</v>
      </c>
    </row>
    <row r="1097" spans="9:12" x14ac:dyDescent="0.2">
      <c r="I1097" s="173">
        <f t="shared" si="98"/>
        <v>139.9740857432885</v>
      </c>
      <c r="J1097" s="94">
        <v>950</v>
      </c>
      <c r="K1097" s="95">
        <f t="shared" si="99"/>
        <v>172.15608273508388</v>
      </c>
      <c r="L1097" s="96">
        <f t="shared" si="100"/>
        <v>32.181996991795387</v>
      </c>
    </row>
    <row r="1098" spans="9:12" x14ac:dyDescent="0.2">
      <c r="I1098" s="173">
        <f t="shared" si="98"/>
        <v>140.12890294619578</v>
      </c>
      <c r="J1098" s="94">
        <v>951</v>
      </c>
      <c r="K1098" s="95">
        <f t="shared" si="99"/>
        <v>172.33729966427873</v>
      </c>
      <c r="L1098" s="96">
        <f t="shared" si="100"/>
        <v>32.208396718082959</v>
      </c>
    </row>
    <row r="1099" spans="9:12" x14ac:dyDescent="0.2">
      <c r="I1099" s="173">
        <f t="shared" si="98"/>
        <v>140.28372014910303</v>
      </c>
      <c r="J1099" s="94">
        <v>952</v>
      </c>
      <c r="K1099" s="95">
        <f t="shared" si="99"/>
        <v>172.51851659347355</v>
      </c>
      <c r="L1099" s="96">
        <f t="shared" si="100"/>
        <v>32.234796444370524</v>
      </c>
    </row>
    <row r="1100" spans="9:12" x14ac:dyDescent="0.2">
      <c r="I1100" s="173">
        <f t="shared" si="98"/>
        <v>140.43853735201026</v>
      </c>
      <c r="J1100" s="94">
        <v>953</v>
      </c>
      <c r="K1100" s="95">
        <f t="shared" si="99"/>
        <v>172.69973352266837</v>
      </c>
      <c r="L1100" s="96">
        <f t="shared" si="100"/>
        <v>32.261196170658096</v>
      </c>
    </row>
    <row r="1101" spans="9:12" x14ac:dyDescent="0.2">
      <c r="I1101" s="173">
        <f t="shared" si="98"/>
        <v>140.59335455491754</v>
      </c>
      <c r="J1101" s="94">
        <v>954</v>
      </c>
      <c r="K1101" s="95">
        <f t="shared" si="99"/>
        <v>172.88095045186319</v>
      </c>
      <c r="L1101" s="96">
        <f t="shared" si="100"/>
        <v>32.28759589694566</v>
      </c>
    </row>
    <row r="1102" spans="9:12" x14ac:dyDescent="0.2">
      <c r="I1102" s="173">
        <f t="shared" si="98"/>
        <v>140.74817175782482</v>
      </c>
      <c r="J1102" s="94">
        <v>955</v>
      </c>
      <c r="K1102" s="95">
        <f t="shared" si="99"/>
        <v>173.06216738105803</v>
      </c>
      <c r="L1102" s="96">
        <f t="shared" si="100"/>
        <v>32.313995623233225</v>
      </c>
    </row>
    <row r="1103" spans="9:12" x14ac:dyDescent="0.2">
      <c r="I1103" s="173">
        <f t="shared" si="98"/>
        <v>140.90298896073205</v>
      </c>
      <c r="J1103" s="94">
        <v>956</v>
      </c>
      <c r="K1103" s="95">
        <f t="shared" si="99"/>
        <v>173.24338431025285</v>
      </c>
      <c r="L1103" s="96">
        <f t="shared" si="100"/>
        <v>32.340395349520797</v>
      </c>
    </row>
    <row r="1104" spans="9:12" x14ac:dyDescent="0.2">
      <c r="I1104" s="173">
        <f t="shared" si="98"/>
        <v>141.0578061636393</v>
      </c>
      <c r="J1104" s="94">
        <v>957</v>
      </c>
      <c r="K1104" s="95">
        <f t="shared" si="99"/>
        <v>173.42460123944767</v>
      </c>
      <c r="L1104" s="96">
        <f t="shared" si="100"/>
        <v>32.366795075808362</v>
      </c>
    </row>
    <row r="1105" spans="9:12" x14ac:dyDescent="0.2">
      <c r="I1105" s="173">
        <f t="shared" si="98"/>
        <v>141.21262336654655</v>
      </c>
      <c r="J1105" s="94">
        <v>958</v>
      </c>
      <c r="K1105" s="95">
        <f t="shared" si="99"/>
        <v>173.60581816864249</v>
      </c>
      <c r="L1105" s="96">
        <f t="shared" si="100"/>
        <v>32.393194802095934</v>
      </c>
    </row>
    <row r="1106" spans="9:12" x14ac:dyDescent="0.2">
      <c r="I1106" s="173">
        <f t="shared" si="98"/>
        <v>141.36744056945383</v>
      </c>
      <c r="J1106" s="94">
        <v>959</v>
      </c>
      <c r="K1106" s="95">
        <f t="shared" si="99"/>
        <v>173.78703509783733</v>
      </c>
      <c r="L1106" s="96">
        <f t="shared" si="100"/>
        <v>32.419594528383499</v>
      </c>
    </row>
    <row r="1107" spans="9:12" x14ac:dyDescent="0.2">
      <c r="I1107" s="173">
        <f t="shared" si="98"/>
        <v>141.52225777236109</v>
      </c>
      <c r="J1107" s="94">
        <v>960</v>
      </c>
      <c r="K1107" s="95">
        <f t="shared" si="99"/>
        <v>173.96825202703215</v>
      </c>
      <c r="L1107" s="96">
        <f t="shared" si="100"/>
        <v>32.445994254671064</v>
      </c>
    </row>
    <row r="1108" spans="9:12" x14ac:dyDescent="0.2">
      <c r="I1108" s="173">
        <f t="shared" si="98"/>
        <v>141.67707497526834</v>
      </c>
      <c r="J1108" s="94">
        <v>961</v>
      </c>
      <c r="K1108" s="95">
        <f t="shared" si="99"/>
        <v>174.14946895622697</v>
      </c>
      <c r="L1108" s="96">
        <f t="shared" si="100"/>
        <v>32.472393980958635</v>
      </c>
    </row>
    <row r="1109" spans="9:12" x14ac:dyDescent="0.2">
      <c r="I1109" s="173">
        <f t="shared" si="98"/>
        <v>141.83189217817559</v>
      </c>
      <c r="J1109" s="94">
        <v>962</v>
      </c>
      <c r="K1109" s="95">
        <f t="shared" si="99"/>
        <v>174.33068588542179</v>
      </c>
      <c r="L1109" s="96">
        <f t="shared" si="100"/>
        <v>32.4987937072462</v>
      </c>
    </row>
    <row r="1110" spans="9:12" x14ac:dyDescent="0.2">
      <c r="I1110" s="173">
        <f t="shared" si="98"/>
        <v>141.98670938108285</v>
      </c>
      <c r="J1110" s="94">
        <v>963</v>
      </c>
      <c r="K1110" s="95">
        <f t="shared" si="99"/>
        <v>174.51190281461663</v>
      </c>
      <c r="L1110" s="96">
        <f t="shared" si="100"/>
        <v>32.525193433533772</v>
      </c>
    </row>
    <row r="1111" spans="9:12" x14ac:dyDescent="0.2">
      <c r="I1111" s="173">
        <f t="shared" si="98"/>
        <v>142.14152658399013</v>
      </c>
      <c r="J1111" s="94">
        <v>964</v>
      </c>
      <c r="K1111" s="95">
        <f t="shared" si="99"/>
        <v>174.69311974381145</v>
      </c>
      <c r="L1111" s="96">
        <f t="shared" si="100"/>
        <v>32.551593159821337</v>
      </c>
    </row>
    <row r="1112" spans="9:12" x14ac:dyDescent="0.2">
      <c r="I1112" s="173">
        <f t="shared" si="98"/>
        <v>142.29634378689735</v>
      </c>
      <c r="J1112" s="94">
        <v>965</v>
      </c>
      <c r="K1112" s="95">
        <f t="shared" si="99"/>
        <v>174.87433667300627</v>
      </c>
      <c r="L1112" s="96">
        <f t="shared" si="100"/>
        <v>32.577992886108909</v>
      </c>
    </row>
    <row r="1113" spans="9:12" x14ac:dyDescent="0.2">
      <c r="I1113" s="173">
        <f t="shared" si="98"/>
        <v>142.45116098980461</v>
      </c>
      <c r="J1113" s="94">
        <v>966</v>
      </c>
      <c r="K1113" s="95">
        <f t="shared" si="99"/>
        <v>175.05555360220109</v>
      </c>
      <c r="L1113" s="96">
        <f t="shared" si="100"/>
        <v>32.604392612396474</v>
      </c>
    </row>
    <row r="1114" spans="9:12" x14ac:dyDescent="0.2">
      <c r="I1114" s="173">
        <f t="shared" si="98"/>
        <v>142.60597819271189</v>
      </c>
      <c r="J1114" s="94">
        <v>967</v>
      </c>
      <c r="K1114" s="95">
        <f t="shared" si="99"/>
        <v>175.23677053139593</v>
      </c>
      <c r="L1114" s="96">
        <f t="shared" si="100"/>
        <v>32.630792338684039</v>
      </c>
    </row>
    <row r="1115" spans="9:12" x14ac:dyDescent="0.2">
      <c r="I1115" s="173">
        <f t="shared" si="98"/>
        <v>142.76079539561914</v>
      </c>
      <c r="J1115" s="94">
        <v>968</v>
      </c>
      <c r="K1115" s="95">
        <f t="shared" si="99"/>
        <v>175.41798746059075</v>
      </c>
      <c r="L1115" s="96">
        <f t="shared" si="100"/>
        <v>32.657192064971611</v>
      </c>
    </row>
    <row r="1116" spans="9:12" x14ac:dyDescent="0.2">
      <c r="I1116" s="173">
        <f t="shared" si="98"/>
        <v>142.91561259852639</v>
      </c>
      <c r="J1116" s="94">
        <v>969</v>
      </c>
      <c r="K1116" s="95">
        <f t="shared" si="99"/>
        <v>175.59920438978557</v>
      </c>
      <c r="L1116" s="96">
        <f t="shared" si="100"/>
        <v>32.683591791259175</v>
      </c>
    </row>
    <row r="1117" spans="9:12" x14ac:dyDescent="0.2">
      <c r="I1117" s="173">
        <f t="shared" si="98"/>
        <v>143.07042980143365</v>
      </c>
      <c r="J1117" s="94">
        <v>970</v>
      </c>
      <c r="K1117" s="95">
        <f t="shared" si="99"/>
        <v>175.78042131898039</v>
      </c>
      <c r="L1117" s="96">
        <f t="shared" si="100"/>
        <v>32.709991517546747</v>
      </c>
    </row>
    <row r="1118" spans="9:12" x14ac:dyDescent="0.2">
      <c r="I1118" s="173">
        <f t="shared" si="98"/>
        <v>143.22524700434093</v>
      </c>
      <c r="J1118" s="94">
        <v>971</v>
      </c>
      <c r="K1118" s="95">
        <f t="shared" si="99"/>
        <v>175.96163824817523</v>
      </c>
      <c r="L1118" s="96">
        <f t="shared" si="100"/>
        <v>32.736391243834312</v>
      </c>
    </row>
    <row r="1119" spans="9:12" x14ac:dyDescent="0.2">
      <c r="I1119" s="173">
        <f t="shared" si="98"/>
        <v>143.38006420724818</v>
      </c>
      <c r="J1119" s="94">
        <v>972</v>
      </c>
      <c r="K1119" s="95">
        <f t="shared" si="99"/>
        <v>176.14285517737005</v>
      </c>
      <c r="L1119" s="96">
        <f t="shared" si="100"/>
        <v>32.762790970121877</v>
      </c>
    </row>
    <row r="1120" spans="9:12" x14ac:dyDescent="0.2">
      <c r="I1120" s="173">
        <f t="shared" si="98"/>
        <v>143.53488141015544</v>
      </c>
      <c r="J1120" s="94">
        <v>973</v>
      </c>
      <c r="K1120" s="95">
        <f t="shared" si="99"/>
        <v>176.32407210656487</v>
      </c>
      <c r="L1120" s="96">
        <f t="shared" si="100"/>
        <v>32.789190696409449</v>
      </c>
    </row>
    <row r="1121" spans="9:12" x14ac:dyDescent="0.2">
      <c r="I1121" s="173">
        <f t="shared" si="98"/>
        <v>143.68969861306266</v>
      </c>
      <c r="J1121" s="94">
        <v>974</v>
      </c>
      <c r="K1121" s="95">
        <f t="shared" si="99"/>
        <v>176.50528903575969</v>
      </c>
      <c r="L1121" s="96">
        <f t="shared" si="100"/>
        <v>32.815590422697014</v>
      </c>
    </row>
    <row r="1122" spans="9:12" x14ac:dyDescent="0.2">
      <c r="I1122" s="173">
        <f t="shared" si="98"/>
        <v>143.84451581596994</v>
      </c>
      <c r="J1122" s="94">
        <v>975</v>
      </c>
      <c r="K1122" s="95">
        <f t="shared" si="99"/>
        <v>176.68650596495453</v>
      </c>
      <c r="L1122" s="96">
        <f t="shared" si="100"/>
        <v>32.841990148984586</v>
      </c>
    </row>
    <row r="1123" spans="9:12" x14ac:dyDescent="0.2">
      <c r="I1123" s="173">
        <f t="shared" si="98"/>
        <v>143.99933301887719</v>
      </c>
      <c r="J1123" s="94">
        <v>976</v>
      </c>
      <c r="K1123" s="95">
        <f t="shared" si="99"/>
        <v>176.86772289414935</v>
      </c>
      <c r="L1123" s="96">
        <f t="shared" si="100"/>
        <v>32.86838987527215</v>
      </c>
    </row>
    <row r="1124" spans="9:12" x14ac:dyDescent="0.2">
      <c r="I1124" s="173">
        <f t="shared" si="98"/>
        <v>144.15415022178445</v>
      </c>
      <c r="J1124" s="94">
        <v>977</v>
      </c>
      <c r="K1124" s="95">
        <f t="shared" si="99"/>
        <v>177.04893982334417</v>
      </c>
      <c r="L1124" s="96">
        <f t="shared" si="100"/>
        <v>32.894789601559722</v>
      </c>
    </row>
    <row r="1125" spans="9:12" x14ac:dyDescent="0.2">
      <c r="I1125" s="173">
        <f t="shared" si="98"/>
        <v>144.3089674246917</v>
      </c>
      <c r="J1125" s="94">
        <v>978</v>
      </c>
      <c r="K1125" s="95">
        <f t="shared" si="99"/>
        <v>177.23015675253899</v>
      </c>
      <c r="L1125" s="96">
        <f t="shared" si="100"/>
        <v>32.921189327847287</v>
      </c>
    </row>
    <row r="1126" spans="9:12" x14ac:dyDescent="0.2">
      <c r="I1126" s="173">
        <f t="shared" si="98"/>
        <v>144.46378462759898</v>
      </c>
      <c r="J1126" s="94">
        <v>979</v>
      </c>
      <c r="K1126" s="95">
        <f t="shared" si="99"/>
        <v>177.41137368173383</v>
      </c>
      <c r="L1126" s="96">
        <f t="shared" si="100"/>
        <v>32.947589054134852</v>
      </c>
    </row>
    <row r="1127" spans="9:12" x14ac:dyDescent="0.2">
      <c r="I1127" s="173">
        <f t="shared" si="98"/>
        <v>144.61860183050624</v>
      </c>
      <c r="J1127" s="94">
        <v>980</v>
      </c>
      <c r="K1127" s="95">
        <f t="shared" si="99"/>
        <v>177.59259061092865</v>
      </c>
      <c r="L1127" s="96">
        <f t="shared" si="100"/>
        <v>32.973988780422424</v>
      </c>
    </row>
    <row r="1128" spans="9:12" x14ac:dyDescent="0.2">
      <c r="I1128" s="173">
        <f t="shared" si="98"/>
        <v>144.77341903341349</v>
      </c>
      <c r="J1128" s="94">
        <v>981</v>
      </c>
      <c r="K1128" s="95">
        <f t="shared" si="99"/>
        <v>177.77380754012347</v>
      </c>
      <c r="L1128" s="96">
        <f t="shared" si="100"/>
        <v>33.000388506709989</v>
      </c>
    </row>
    <row r="1129" spans="9:12" x14ac:dyDescent="0.2">
      <c r="I1129" s="173">
        <f t="shared" si="98"/>
        <v>144.92823623632074</v>
      </c>
      <c r="J1129" s="94">
        <v>982</v>
      </c>
      <c r="K1129" s="95">
        <f t="shared" si="99"/>
        <v>177.95502446931829</v>
      </c>
      <c r="L1129" s="96">
        <f t="shared" si="100"/>
        <v>33.026788232997561</v>
      </c>
    </row>
    <row r="1130" spans="9:12" x14ac:dyDescent="0.2">
      <c r="I1130" s="173">
        <f t="shared" si="98"/>
        <v>145.08305343922802</v>
      </c>
      <c r="J1130" s="94">
        <v>983</v>
      </c>
      <c r="K1130" s="95">
        <f t="shared" si="99"/>
        <v>178.13624139851314</v>
      </c>
      <c r="L1130" s="96">
        <f t="shared" si="100"/>
        <v>33.053187959285125</v>
      </c>
    </row>
    <row r="1131" spans="9:12" x14ac:dyDescent="0.2">
      <c r="I1131" s="173">
        <f t="shared" si="98"/>
        <v>145.23787064213525</v>
      </c>
      <c r="J1131" s="94">
        <v>984</v>
      </c>
      <c r="K1131" s="95">
        <f t="shared" si="99"/>
        <v>178.31745832770795</v>
      </c>
      <c r="L1131" s="96">
        <f t="shared" si="100"/>
        <v>33.07958768557269</v>
      </c>
    </row>
    <row r="1132" spans="9:12" x14ac:dyDescent="0.2">
      <c r="I1132" s="173">
        <f t="shared" ref="I1132:I1156" si="101">ABS(K1132-L1132)</f>
        <v>145.3926878450425</v>
      </c>
      <c r="J1132" s="94">
        <v>985</v>
      </c>
      <c r="K1132" s="95">
        <f t="shared" si="99"/>
        <v>178.49867525690277</v>
      </c>
      <c r="L1132" s="96">
        <f t="shared" si="100"/>
        <v>33.105987411860262</v>
      </c>
    </row>
    <row r="1133" spans="9:12" x14ac:dyDescent="0.2">
      <c r="I1133" s="173">
        <f t="shared" si="101"/>
        <v>145.54750504794976</v>
      </c>
      <c r="J1133" s="94">
        <v>986</v>
      </c>
      <c r="K1133" s="95">
        <f t="shared" si="99"/>
        <v>178.67989218609759</v>
      </c>
      <c r="L1133" s="96">
        <f t="shared" si="100"/>
        <v>33.132387138147827</v>
      </c>
    </row>
    <row r="1134" spans="9:12" x14ac:dyDescent="0.2">
      <c r="I1134" s="173">
        <f t="shared" si="101"/>
        <v>145.70232225085704</v>
      </c>
      <c r="J1134" s="94">
        <v>987</v>
      </c>
      <c r="K1134" s="95">
        <f t="shared" si="99"/>
        <v>178.86110911529244</v>
      </c>
      <c r="L1134" s="96">
        <f t="shared" si="100"/>
        <v>33.158786864435399</v>
      </c>
    </row>
    <row r="1135" spans="9:12" x14ac:dyDescent="0.2">
      <c r="I1135" s="173">
        <f t="shared" si="101"/>
        <v>145.85713945376429</v>
      </c>
      <c r="J1135" s="94">
        <v>988</v>
      </c>
      <c r="K1135" s="95">
        <f t="shared" si="99"/>
        <v>179.04232604448725</v>
      </c>
      <c r="L1135" s="96">
        <f t="shared" si="100"/>
        <v>33.185186590722964</v>
      </c>
    </row>
    <row r="1136" spans="9:12" x14ac:dyDescent="0.2">
      <c r="I1136" s="173">
        <f t="shared" si="101"/>
        <v>146.01195665667154</v>
      </c>
      <c r="J1136" s="94">
        <v>989</v>
      </c>
      <c r="K1136" s="95">
        <f t="shared" si="99"/>
        <v>179.22354297368207</v>
      </c>
      <c r="L1136" s="96">
        <f t="shared" si="100"/>
        <v>33.211586317010536</v>
      </c>
    </row>
    <row r="1137" spans="9:12" x14ac:dyDescent="0.2">
      <c r="I1137" s="173">
        <f t="shared" si="101"/>
        <v>146.1667738595788</v>
      </c>
      <c r="J1137" s="94">
        <v>990</v>
      </c>
      <c r="K1137" s="95">
        <f t="shared" si="99"/>
        <v>179.40475990287689</v>
      </c>
      <c r="L1137" s="96">
        <f t="shared" si="100"/>
        <v>33.2379860432981</v>
      </c>
    </row>
    <row r="1138" spans="9:12" x14ac:dyDescent="0.2">
      <c r="I1138" s="173">
        <f t="shared" si="101"/>
        <v>146.32159106248608</v>
      </c>
      <c r="J1138" s="94">
        <v>991</v>
      </c>
      <c r="K1138" s="95">
        <f t="shared" si="99"/>
        <v>179.58597683207174</v>
      </c>
      <c r="L1138" s="96">
        <f t="shared" si="100"/>
        <v>33.264385769585665</v>
      </c>
    </row>
    <row r="1139" spans="9:12" x14ac:dyDescent="0.2">
      <c r="I1139" s="173">
        <f t="shared" si="101"/>
        <v>146.47640826539333</v>
      </c>
      <c r="J1139" s="94">
        <v>992</v>
      </c>
      <c r="K1139" s="95">
        <f t="shared" si="99"/>
        <v>179.76719376126655</v>
      </c>
      <c r="L1139" s="96">
        <f t="shared" si="100"/>
        <v>33.290785495873237</v>
      </c>
    </row>
    <row r="1140" spans="9:12" x14ac:dyDescent="0.2">
      <c r="I1140" s="173">
        <f t="shared" si="101"/>
        <v>146.63122546830056</v>
      </c>
      <c r="J1140" s="94">
        <v>993</v>
      </c>
      <c r="K1140" s="95">
        <f t="shared" si="99"/>
        <v>179.94841069046137</v>
      </c>
      <c r="L1140" s="96">
        <f t="shared" si="100"/>
        <v>33.317185222160802</v>
      </c>
    </row>
    <row r="1141" spans="9:12" x14ac:dyDescent="0.2">
      <c r="I1141" s="173">
        <f t="shared" si="101"/>
        <v>146.78604267120781</v>
      </c>
      <c r="J1141" s="94">
        <v>994</v>
      </c>
      <c r="K1141" s="95">
        <f t="shared" ref="K1141:K1156" si="102">VLOOKUP($L$297,$C$138:$D$141,2,FALSE)*J1141</f>
        <v>180.12962761965619</v>
      </c>
      <c r="L1141" s="96">
        <f t="shared" ref="L1141:L1156" si="103">VLOOKUP($L$297,$C$281:$E$284,2,FALSE)*J1141+(VLOOKUP($L$297,$C$281:$E$284,3,FALSE)+$D$292)</f>
        <v>33.343584948448374</v>
      </c>
    </row>
    <row r="1142" spans="9:12" x14ac:dyDescent="0.2">
      <c r="I1142" s="173">
        <f t="shared" si="101"/>
        <v>146.94085987411509</v>
      </c>
      <c r="J1142" s="94">
        <v>995</v>
      </c>
      <c r="K1142" s="95">
        <f t="shared" si="102"/>
        <v>180.31084454885104</v>
      </c>
      <c r="L1142" s="96">
        <f t="shared" si="103"/>
        <v>33.369984674735939</v>
      </c>
    </row>
    <row r="1143" spans="9:12" x14ac:dyDescent="0.2">
      <c r="I1143" s="173">
        <f t="shared" si="101"/>
        <v>147.09567707702234</v>
      </c>
      <c r="J1143" s="94">
        <v>996</v>
      </c>
      <c r="K1143" s="95">
        <f t="shared" si="102"/>
        <v>180.49206147804585</v>
      </c>
      <c r="L1143" s="96">
        <f t="shared" si="103"/>
        <v>33.396384401023511</v>
      </c>
    </row>
    <row r="1144" spans="9:12" x14ac:dyDescent="0.2">
      <c r="I1144" s="173">
        <f t="shared" si="101"/>
        <v>147.2504942799296</v>
      </c>
      <c r="J1144" s="94">
        <v>997</v>
      </c>
      <c r="K1144" s="95">
        <f t="shared" si="102"/>
        <v>180.67327840724067</v>
      </c>
      <c r="L1144" s="96">
        <f t="shared" si="103"/>
        <v>33.422784127311076</v>
      </c>
    </row>
    <row r="1145" spans="9:12" x14ac:dyDescent="0.2">
      <c r="I1145" s="173">
        <f t="shared" si="101"/>
        <v>147.40531148283685</v>
      </c>
      <c r="J1145" s="94">
        <v>998</v>
      </c>
      <c r="K1145" s="95">
        <f t="shared" si="102"/>
        <v>180.85449533643549</v>
      </c>
      <c r="L1145" s="96">
        <f t="shared" si="103"/>
        <v>33.44918385359864</v>
      </c>
    </row>
    <row r="1146" spans="9:12" x14ac:dyDescent="0.2">
      <c r="I1146" s="173">
        <f t="shared" si="101"/>
        <v>147.56012868574413</v>
      </c>
      <c r="J1146" s="94">
        <v>999</v>
      </c>
      <c r="K1146" s="95">
        <f t="shared" si="102"/>
        <v>181.03571226563034</v>
      </c>
      <c r="L1146" s="96">
        <f t="shared" si="103"/>
        <v>33.475583579886212</v>
      </c>
    </row>
    <row r="1147" spans="9:12" x14ac:dyDescent="0.2">
      <c r="I1147" s="173">
        <f t="shared" si="101"/>
        <v>147.71494588865139</v>
      </c>
      <c r="J1147" s="94">
        <v>1000</v>
      </c>
      <c r="K1147" s="95">
        <f t="shared" si="102"/>
        <v>181.21692919482516</v>
      </c>
      <c r="L1147" s="96">
        <f t="shared" si="103"/>
        <v>33.501983306173777</v>
      </c>
    </row>
    <row r="1148" spans="9:12" x14ac:dyDescent="0.2">
      <c r="I1148" s="173">
        <f t="shared" si="101"/>
        <v>147.86976309155864</v>
      </c>
      <c r="J1148" s="94">
        <v>1001</v>
      </c>
      <c r="K1148" s="95">
        <f t="shared" si="102"/>
        <v>181.39814612401997</v>
      </c>
      <c r="L1148" s="96">
        <f t="shared" si="103"/>
        <v>33.528383032461349</v>
      </c>
    </row>
    <row r="1149" spans="9:12" x14ac:dyDescent="0.2">
      <c r="I1149" s="173">
        <f t="shared" si="101"/>
        <v>148.02458029446586</v>
      </c>
      <c r="J1149" s="94">
        <v>1002</v>
      </c>
      <c r="K1149" s="95">
        <f t="shared" si="102"/>
        <v>181.57936305321479</v>
      </c>
      <c r="L1149" s="96">
        <f t="shared" si="103"/>
        <v>33.554782758748914</v>
      </c>
    </row>
    <row r="1150" spans="9:12" x14ac:dyDescent="0.2">
      <c r="I1150" s="173">
        <f t="shared" si="101"/>
        <v>148.17939749737315</v>
      </c>
      <c r="J1150" s="94">
        <v>1003</v>
      </c>
      <c r="K1150" s="95">
        <f t="shared" si="102"/>
        <v>181.76057998240964</v>
      </c>
      <c r="L1150" s="96">
        <f t="shared" si="103"/>
        <v>33.581182485036479</v>
      </c>
    </row>
    <row r="1151" spans="9:12" x14ac:dyDescent="0.2">
      <c r="I1151" s="173">
        <f t="shared" si="101"/>
        <v>148.3342147002804</v>
      </c>
      <c r="J1151" s="94">
        <v>1004</v>
      </c>
      <c r="K1151" s="95">
        <f t="shared" si="102"/>
        <v>181.94179691160446</v>
      </c>
      <c r="L1151" s="96">
        <f t="shared" si="103"/>
        <v>33.607582211324051</v>
      </c>
    </row>
    <row r="1152" spans="9:12" x14ac:dyDescent="0.2">
      <c r="I1152" s="173">
        <f t="shared" si="101"/>
        <v>148.48903190318765</v>
      </c>
      <c r="J1152" s="94">
        <v>1005</v>
      </c>
      <c r="K1152" s="95">
        <f t="shared" si="102"/>
        <v>182.12301384079927</v>
      </c>
      <c r="L1152" s="96">
        <f t="shared" si="103"/>
        <v>33.633981937611615</v>
      </c>
    </row>
    <row r="1153" spans="9:12" x14ac:dyDescent="0.2">
      <c r="I1153" s="173">
        <f t="shared" si="101"/>
        <v>148.6438491060949</v>
      </c>
      <c r="J1153" s="94">
        <v>1006</v>
      </c>
      <c r="K1153" s="95">
        <f t="shared" si="102"/>
        <v>182.30423076999409</v>
      </c>
      <c r="L1153" s="96">
        <f t="shared" si="103"/>
        <v>33.660381663899187</v>
      </c>
    </row>
    <row r="1154" spans="9:12" x14ac:dyDescent="0.2">
      <c r="I1154" s="173">
        <f t="shared" si="101"/>
        <v>148.79866630900219</v>
      </c>
      <c r="J1154" s="94">
        <v>1007</v>
      </c>
      <c r="K1154" s="95">
        <f t="shared" si="102"/>
        <v>182.48544769918894</v>
      </c>
      <c r="L1154" s="96">
        <f t="shared" si="103"/>
        <v>33.686781390186752</v>
      </c>
    </row>
    <row r="1155" spans="9:12" x14ac:dyDescent="0.2">
      <c r="I1155" s="173">
        <f t="shared" si="101"/>
        <v>148.95348351190944</v>
      </c>
      <c r="J1155" s="94">
        <v>1008</v>
      </c>
      <c r="K1155" s="95">
        <f t="shared" si="102"/>
        <v>182.66666462838376</v>
      </c>
      <c r="L1155" s="96">
        <f t="shared" si="103"/>
        <v>33.713181116474324</v>
      </c>
    </row>
    <row r="1156" spans="9:12" x14ac:dyDescent="0.2">
      <c r="I1156" s="173">
        <f t="shared" si="101"/>
        <v>149.10830071481669</v>
      </c>
      <c r="J1156" s="94">
        <v>1009</v>
      </c>
      <c r="K1156" s="95">
        <f t="shared" si="102"/>
        <v>182.84788155757857</v>
      </c>
      <c r="L1156" s="96">
        <f t="shared" si="103"/>
        <v>33.739580842761889</v>
      </c>
    </row>
  </sheetData>
  <mergeCells count="6">
    <mergeCell ref="B138:B141"/>
    <mergeCell ref="B281:B284"/>
    <mergeCell ref="E289:E290"/>
    <mergeCell ref="J297:K297"/>
    <mergeCell ref="E338:G338"/>
    <mergeCell ref="E295:E296"/>
  </mergeCells>
  <pageMargins left="0.7" right="0.7" top="0.75" bottom="0.75" header="0.3" footer="0.3"/>
  <ignoredErrors>
    <ignoredError sqref="D11:Y30 D279:Y279 E278:Y278 E277:Y277 D276:Y276 X275:Y275 D34:Y65 I33:Y33 D32:Y32 E31:Y31 D174:Y206 I173:Y173 D208:Y240 N207:Y207 D242:Y274 S241:Y241 D67:Y98 N66:Y66 D100:Y131 S99:Y99 D133:Y172 X132:Y132 F280:Y280 D283 F283:Y283 D282 F282:Y282 F281:Y281" formula="1"/>
  </ignoredErrors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2F48B-181A-416D-BCE4-B4BDE74E672A}">
  <sheetPr codeName="Hoja8">
    <tabColor rgb="FFFF0000"/>
  </sheetPr>
  <dimension ref="A3:I25"/>
  <sheetViews>
    <sheetView zoomScale="85" zoomScaleNormal="85" workbookViewId="0">
      <selection activeCell="M8" sqref="M8"/>
    </sheetView>
  </sheetViews>
  <sheetFormatPr baseColWidth="10" defaultRowHeight="14.25" x14ac:dyDescent="0.2"/>
  <cols>
    <col min="1" max="16384" width="11.42578125" style="23"/>
  </cols>
  <sheetData>
    <row r="3" spans="2:9" ht="60" x14ac:dyDescent="0.2">
      <c r="B3" s="42" t="s">
        <v>100</v>
      </c>
      <c r="C3" s="42" t="s">
        <v>101</v>
      </c>
      <c r="D3" s="42" t="s">
        <v>102</v>
      </c>
      <c r="E3" s="42" t="s">
        <v>103</v>
      </c>
      <c r="F3" s="42" t="s">
        <v>104</v>
      </c>
      <c r="G3" s="42" t="s">
        <v>105</v>
      </c>
      <c r="H3" s="42"/>
    </row>
    <row r="4" spans="2:9" x14ac:dyDescent="0.2">
      <c r="B4" s="43">
        <v>1</v>
      </c>
      <c r="C4" s="23" t="s">
        <v>106</v>
      </c>
      <c r="D4" s="23">
        <v>10</v>
      </c>
      <c r="E4" s="23">
        <v>15</v>
      </c>
      <c r="I4" s="23" t="s">
        <v>107</v>
      </c>
    </row>
    <row r="5" spans="2:9" x14ac:dyDescent="0.2">
      <c r="B5" s="43">
        <v>2</v>
      </c>
      <c r="C5" s="23" t="s">
        <v>108</v>
      </c>
      <c r="D5" s="23">
        <v>200</v>
      </c>
      <c r="E5" s="23">
        <v>216</v>
      </c>
    </row>
    <row r="6" spans="2:9" x14ac:dyDescent="0.2">
      <c r="B6" s="43">
        <v>3</v>
      </c>
      <c r="C6" s="23" t="s">
        <v>109</v>
      </c>
      <c r="D6" s="23">
        <v>220</v>
      </c>
      <c r="E6" s="23">
        <v>269</v>
      </c>
    </row>
    <row r="7" spans="2:9" x14ac:dyDescent="0.2">
      <c r="B7" s="43">
        <v>4</v>
      </c>
    </row>
    <row r="8" spans="2:9" x14ac:dyDescent="0.2">
      <c r="B8" s="43">
        <v>5</v>
      </c>
    </row>
    <row r="9" spans="2:9" x14ac:dyDescent="0.2">
      <c r="B9" s="43">
        <v>6</v>
      </c>
    </row>
    <row r="10" spans="2:9" x14ac:dyDescent="0.2">
      <c r="B10" s="43">
        <v>7</v>
      </c>
    </row>
    <row r="11" spans="2:9" x14ac:dyDescent="0.2">
      <c r="B11" s="43">
        <v>8</v>
      </c>
    </row>
    <row r="12" spans="2:9" x14ac:dyDescent="0.2">
      <c r="B12" s="43">
        <v>9</v>
      </c>
    </row>
    <row r="13" spans="2:9" x14ac:dyDescent="0.2">
      <c r="B13" s="43">
        <v>10</v>
      </c>
    </row>
    <row r="14" spans="2:9" x14ac:dyDescent="0.2">
      <c r="B14" s="43">
        <v>11</v>
      </c>
    </row>
    <row r="15" spans="2:9" x14ac:dyDescent="0.2">
      <c r="B15" s="43">
        <v>12</v>
      </c>
    </row>
    <row r="16" spans="2:9" x14ac:dyDescent="0.2">
      <c r="B16" s="43">
        <v>13</v>
      </c>
    </row>
    <row r="17" spans="1:5" x14ac:dyDescent="0.2">
      <c r="B17" s="43">
        <v>14</v>
      </c>
    </row>
    <row r="18" spans="1:5" x14ac:dyDescent="0.2">
      <c r="B18" s="43">
        <v>15</v>
      </c>
    </row>
    <row r="19" spans="1:5" x14ac:dyDescent="0.2">
      <c r="B19" s="43">
        <v>16</v>
      </c>
    </row>
    <row r="20" spans="1:5" x14ac:dyDescent="0.2">
      <c r="B20" s="43">
        <v>17</v>
      </c>
    </row>
    <row r="21" spans="1:5" x14ac:dyDescent="0.2">
      <c r="B21" s="43">
        <v>18</v>
      </c>
    </row>
    <row r="22" spans="1:5" x14ac:dyDescent="0.2">
      <c r="B22" s="43">
        <v>19</v>
      </c>
    </row>
    <row r="23" spans="1:5" x14ac:dyDescent="0.2">
      <c r="B23" s="43">
        <v>20</v>
      </c>
    </row>
    <row r="25" spans="1:5" ht="15" x14ac:dyDescent="0.25">
      <c r="A25" s="26" t="s">
        <v>110</v>
      </c>
      <c r="B25" s="26"/>
      <c r="C25" s="26"/>
      <c r="D25" s="26">
        <f>SUM(D4:D23)</f>
        <v>430</v>
      </c>
      <c r="E25" s="26">
        <f>SUM(E4:E23)</f>
        <v>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A65F0-EAE2-49FF-A6DD-415AE6D25A8A}">
  <sheetPr codeName="Hoja9">
    <tabColor theme="9" tint="-0.249977111117893"/>
  </sheetPr>
  <dimension ref="A1:P238"/>
  <sheetViews>
    <sheetView zoomScale="93" zoomScaleNormal="93" workbookViewId="0">
      <pane ySplit="6" topLeftCell="A13" activePane="bottomLeft" state="frozen"/>
      <selection pane="bottomLeft" activeCell="G14" sqref="G14"/>
    </sheetView>
  </sheetViews>
  <sheetFormatPr baseColWidth="10" defaultRowHeight="15" x14ac:dyDescent="0.25"/>
  <cols>
    <col min="2" max="2" width="41.42578125" customWidth="1"/>
    <col min="3" max="3" width="14.7109375" bestFit="1" customWidth="1"/>
    <col min="4" max="4" width="19.28515625" hidden="1" customWidth="1"/>
    <col min="5" max="5" width="28.85546875" bestFit="1" customWidth="1"/>
    <col min="6" max="6" width="28.85546875" hidden="1" customWidth="1"/>
    <col min="7" max="7" width="31.42578125" bestFit="1" customWidth="1"/>
    <col min="8" max="9" width="31.42578125" hidden="1" customWidth="1"/>
    <col min="10" max="10" width="14.5703125" customWidth="1"/>
    <col min="12" max="12" width="14.28515625" bestFit="1" customWidth="1"/>
    <col min="13" max="13" width="27" customWidth="1"/>
    <col min="14" max="14" width="40" bestFit="1" customWidth="1"/>
  </cols>
  <sheetData>
    <row r="1" spans="1:16" ht="39" customHeight="1" x14ac:dyDescent="0.25">
      <c r="A1" s="132" t="s">
        <v>211</v>
      </c>
      <c r="B1" s="133"/>
      <c r="C1" s="134"/>
      <c r="D1" s="134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</row>
    <row r="2" spans="1:16" x14ac:dyDescent="0.25">
      <c r="A2" s="133"/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</row>
    <row r="3" spans="1:16" x14ac:dyDescent="0.25">
      <c r="A3" s="133"/>
      <c r="B3" s="133"/>
      <c r="C3" s="134"/>
      <c r="D3" s="135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</row>
    <row r="4" spans="1:16" x14ac:dyDescent="0.25">
      <c r="A4" s="133"/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6" t="s">
        <v>212</v>
      </c>
      <c r="N4" s="136" t="s">
        <v>425</v>
      </c>
      <c r="O4" s="133"/>
      <c r="P4" s="133"/>
    </row>
    <row r="5" spans="1:16" ht="29.25" customHeight="1" x14ac:dyDescent="0.25">
      <c r="A5" s="133"/>
      <c r="B5" s="133"/>
      <c r="C5" s="133"/>
      <c r="D5" s="133"/>
      <c r="E5" s="133"/>
      <c r="F5" s="133"/>
      <c r="G5" s="133"/>
      <c r="H5" s="133"/>
      <c r="I5" s="133"/>
      <c r="J5" s="133"/>
      <c r="K5" s="133"/>
      <c r="M5" s="137">
        <v>0.1</v>
      </c>
      <c r="N5" s="137">
        <v>0.8</v>
      </c>
      <c r="O5" s="133"/>
      <c r="P5" s="133"/>
    </row>
    <row r="6" spans="1:16" ht="60" x14ac:dyDescent="0.25">
      <c r="A6" s="138" t="s">
        <v>213</v>
      </c>
      <c r="B6" s="138" t="s">
        <v>214</v>
      </c>
      <c r="C6" s="138" t="s">
        <v>215</v>
      </c>
      <c r="D6" s="138" t="s">
        <v>216</v>
      </c>
      <c r="E6" s="138" t="s">
        <v>217</v>
      </c>
      <c r="F6" s="139" t="s">
        <v>433</v>
      </c>
      <c r="G6" s="138" t="s">
        <v>101</v>
      </c>
      <c r="H6" s="139" t="s">
        <v>426</v>
      </c>
      <c r="I6" s="139" t="s">
        <v>427</v>
      </c>
      <c r="J6" s="138" t="s">
        <v>218</v>
      </c>
      <c r="K6" s="138" t="s">
        <v>219</v>
      </c>
      <c r="L6" s="138" t="s">
        <v>220</v>
      </c>
      <c r="M6" s="138" t="s">
        <v>221</v>
      </c>
      <c r="N6" s="133"/>
      <c r="O6" s="133"/>
      <c r="P6" s="133"/>
    </row>
    <row r="7" spans="1:16" x14ac:dyDescent="0.25">
      <c r="A7" s="139">
        <v>1</v>
      </c>
      <c r="B7" s="138" t="s">
        <v>222</v>
      </c>
      <c r="C7" s="133">
        <v>33</v>
      </c>
      <c r="D7" s="133">
        <v>33</v>
      </c>
      <c r="E7" s="133" t="s">
        <v>223</v>
      </c>
      <c r="F7" s="1" t="str">
        <f t="shared" ref="F7:F38" si="0">CONCATENATE(H7," - ",I7)</f>
        <v>1 - 1</v>
      </c>
      <c r="G7" s="133" t="s">
        <v>223</v>
      </c>
      <c r="H7" s="1">
        <f>A7</f>
        <v>1</v>
      </c>
      <c r="I7" s="1">
        <v>1</v>
      </c>
      <c r="J7" s="140">
        <v>376957</v>
      </c>
      <c r="K7" s="141">
        <v>531.50936999999999</v>
      </c>
      <c r="L7" s="142">
        <v>70.997794434300786</v>
      </c>
      <c r="M7" s="142">
        <f>SUM(K7:K10)*$M$5*L7</f>
        <v>4330.4802974575423</v>
      </c>
      <c r="N7" s="133"/>
      <c r="O7" s="133"/>
      <c r="P7" s="133"/>
    </row>
    <row r="8" spans="1:16" x14ac:dyDescent="0.25">
      <c r="A8" s="133"/>
      <c r="B8" s="133"/>
      <c r="C8" s="133">
        <v>134</v>
      </c>
      <c r="D8" s="133">
        <v>134</v>
      </c>
      <c r="E8" s="133" t="s">
        <v>224</v>
      </c>
      <c r="F8" s="1" t="str">
        <f t="shared" si="0"/>
        <v>1 - 2</v>
      </c>
      <c r="G8" s="133" t="s">
        <v>225</v>
      </c>
      <c r="H8" s="1">
        <f t="shared" ref="H8:H39" si="1">IF(A8="",H7,A8)</f>
        <v>1</v>
      </c>
      <c r="I8" s="1">
        <f>IF(H8=H7,I7+1,1)</f>
        <v>2</v>
      </c>
      <c r="J8" s="140">
        <v>6062</v>
      </c>
      <c r="K8" s="141">
        <v>5.5770400000000002</v>
      </c>
      <c r="L8" s="133"/>
      <c r="M8" s="142"/>
      <c r="N8" s="133"/>
      <c r="O8" s="133"/>
      <c r="P8" s="133"/>
    </row>
    <row r="9" spans="1:16" x14ac:dyDescent="0.25">
      <c r="A9" s="133"/>
      <c r="B9" s="133"/>
      <c r="C9" s="133">
        <v>52</v>
      </c>
      <c r="D9" s="133">
        <v>52</v>
      </c>
      <c r="E9" s="133" t="s">
        <v>226</v>
      </c>
      <c r="F9" s="1" t="str">
        <f t="shared" si="0"/>
        <v>1 - 3</v>
      </c>
      <c r="G9" s="133" t="s">
        <v>227</v>
      </c>
      <c r="H9" s="1">
        <f t="shared" si="1"/>
        <v>1</v>
      </c>
      <c r="I9" s="1">
        <f t="shared" ref="I9:I72" si="2">IF(H9=H8,I8+1,1)</f>
        <v>3</v>
      </c>
      <c r="J9" s="140">
        <v>63599</v>
      </c>
      <c r="K9" s="141">
        <v>64.870980000000003</v>
      </c>
      <c r="L9" s="133"/>
      <c r="M9" s="142"/>
      <c r="N9" s="133"/>
      <c r="O9" s="133"/>
      <c r="P9" s="133"/>
    </row>
    <row r="10" spans="1:16" x14ac:dyDescent="0.25">
      <c r="A10" s="133"/>
      <c r="B10" s="133"/>
      <c r="C10" s="133">
        <v>129</v>
      </c>
      <c r="D10" s="133">
        <v>129</v>
      </c>
      <c r="E10" s="133" t="s">
        <v>228</v>
      </c>
      <c r="F10" s="1" t="str">
        <f t="shared" si="0"/>
        <v>1 - 4</v>
      </c>
      <c r="G10" s="133" t="s">
        <v>228</v>
      </c>
      <c r="H10" s="1">
        <f t="shared" si="1"/>
        <v>1</v>
      </c>
      <c r="I10" s="1">
        <f t="shared" si="2"/>
        <v>4</v>
      </c>
      <c r="J10" s="140">
        <v>8683</v>
      </c>
      <c r="K10" s="141">
        <v>7.988360000000001</v>
      </c>
      <c r="L10" s="133"/>
      <c r="M10" s="142"/>
      <c r="N10" s="133"/>
      <c r="O10" s="133"/>
      <c r="P10" s="133"/>
    </row>
    <row r="11" spans="1:16" x14ac:dyDescent="0.25">
      <c r="A11" s="139">
        <v>2</v>
      </c>
      <c r="B11" s="138" t="s">
        <v>391</v>
      </c>
      <c r="C11" s="133">
        <v>120</v>
      </c>
      <c r="D11" s="133">
        <v>120</v>
      </c>
      <c r="E11" s="133" t="s">
        <v>229</v>
      </c>
      <c r="F11" s="1" t="str">
        <f t="shared" si="0"/>
        <v>2 - 1</v>
      </c>
      <c r="G11" s="133" t="s">
        <v>229</v>
      </c>
      <c r="H11" s="1">
        <f t="shared" si="1"/>
        <v>2</v>
      </c>
      <c r="I11" s="1">
        <f t="shared" si="2"/>
        <v>1</v>
      </c>
      <c r="J11" s="140">
        <v>25547</v>
      </c>
      <c r="K11" s="141">
        <v>27.079819999999998</v>
      </c>
      <c r="L11" s="142">
        <v>77.556964815056688</v>
      </c>
      <c r="M11" s="142">
        <f>SUM(K11:K14)*$M$5*L11</f>
        <v>682.87232289217422</v>
      </c>
      <c r="N11" s="133"/>
      <c r="O11" s="133"/>
      <c r="P11" s="133"/>
    </row>
    <row r="12" spans="1:16" x14ac:dyDescent="0.25">
      <c r="A12" s="133"/>
      <c r="B12" s="133"/>
      <c r="C12" s="133">
        <v>119</v>
      </c>
      <c r="D12" s="133">
        <v>119</v>
      </c>
      <c r="E12" s="133" t="s">
        <v>230</v>
      </c>
      <c r="F12" s="1" t="str">
        <f t="shared" si="0"/>
        <v>2 - 2</v>
      </c>
      <c r="G12" s="133" t="s">
        <v>230</v>
      </c>
      <c r="H12" s="1">
        <f t="shared" si="1"/>
        <v>2</v>
      </c>
      <c r="I12" s="1">
        <f t="shared" si="2"/>
        <v>2</v>
      </c>
      <c r="J12" s="140">
        <v>22695</v>
      </c>
      <c r="K12" s="141">
        <v>24.056699999999999</v>
      </c>
      <c r="L12" s="133"/>
      <c r="M12" s="142"/>
      <c r="N12" s="133"/>
      <c r="O12" s="133"/>
      <c r="P12" s="133"/>
    </row>
    <row r="13" spans="1:16" x14ac:dyDescent="0.25">
      <c r="A13" s="133"/>
      <c r="B13" s="133"/>
      <c r="C13" s="133">
        <v>43</v>
      </c>
      <c r="D13" s="133">
        <v>43</v>
      </c>
      <c r="E13" s="133" t="s">
        <v>231</v>
      </c>
      <c r="F13" s="1" t="str">
        <f t="shared" si="0"/>
        <v>2 - 3</v>
      </c>
      <c r="G13" s="133" t="s">
        <v>231</v>
      </c>
      <c r="H13" s="1">
        <f t="shared" si="1"/>
        <v>2</v>
      </c>
      <c r="I13" s="1">
        <f t="shared" si="2"/>
        <v>3</v>
      </c>
      <c r="J13" s="140">
        <v>17567</v>
      </c>
      <c r="K13" s="141">
        <v>18.621020000000001</v>
      </c>
      <c r="L13" s="133"/>
      <c r="M13" s="142"/>
      <c r="N13" s="133"/>
      <c r="O13" s="133"/>
      <c r="P13" s="133"/>
    </row>
    <row r="14" spans="1:16" x14ac:dyDescent="0.25">
      <c r="A14" s="133"/>
      <c r="B14" s="133"/>
      <c r="C14" s="133">
        <v>46</v>
      </c>
      <c r="D14" s="133">
        <v>46</v>
      </c>
      <c r="E14" s="133" t="s">
        <v>232</v>
      </c>
      <c r="F14" s="1" t="str">
        <f t="shared" si="0"/>
        <v>2 - 4</v>
      </c>
      <c r="G14" s="133" t="s">
        <v>232</v>
      </c>
      <c r="H14" s="1">
        <f t="shared" si="1"/>
        <v>2</v>
      </c>
      <c r="I14" s="1">
        <f t="shared" si="2"/>
        <v>4</v>
      </c>
      <c r="J14" s="140">
        <v>17255</v>
      </c>
      <c r="K14" s="141">
        <v>18.290299999999998</v>
      </c>
      <c r="L14" s="133"/>
      <c r="M14" s="142"/>
      <c r="N14" s="133"/>
      <c r="O14" s="133"/>
      <c r="P14" s="133"/>
    </row>
    <row r="15" spans="1:16" x14ac:dyDescent="0.25">
      <c r="A15" s="139">
        <v>3</v>
      </c>
      <c r="B15" s="138" t="s">
        <v>392</v>
      </c>
      <c r="C15" s="133">
        <v>50</v>
      </c>
      <c r="D15" s="133">
        <v>50</v>
      </c>
      <c r="E15" s="133" t="s">
        <v>233</v>
      </c>
      <c r="F15" s="1" t="str">
        <f t="shared" si="0"/>
        <v>3 - 1</v>
      </c>
      <c r="G15" s="133" t="s">
        <v>233</v>
      </c>
      <c r="H15" s="1">
        <f t="shared" si="1"/>
        <v>3</v>
      </c>
      <c r="I15" s="1">
        <f t="shared" si="2"/>
        <v>1</v>
      </c>
      <c r="J15" s="140">
        <v>71844</v>
      </c>
      <c r="K15" s="141">
        <v>73.28088000000001</v>
      </c>
      <c r="L15" s="142">
        <v>74.138241330972747</v>
      </c>
      <c r="M15" s="142">
        <f>SUM(K15:K17)*$M$5*L15</f>
        <v>907.14321397772176</v>
      </c>
      <c r="N15" s="133"/>
      <c r="O15" s="133"/>
      <c r="P15" s="133"/>
    </row>
    <row r="16" spans="1:16" x14ac:dyDescent="0.25">
      <c r="A16" s="133"/>
      <c r="B16" s="133"/>
      <c r="C16" s="133">
        <v>39</v>
      </c>
      <c r="D16" s="133">
        <v>39</v>
      </c>
      <c r="E16" s="133" t="s">
        <v>234</v>
      </c>
      <c r="F16" s="1" t="str">
        <f t="shared" si="0"/>
        <v>3 - 2</v>
      </c>
      <c r="G16" s="133" t="s">
        <v>234</v>
      </c>
      <c r="H16" s="1">
        <f t="shared" si="1"/>
        <v>3</v>
      </c>
      <c r="I16" s="1">
        <f t="shared" si="2"/>
        <v>2</v>
      </c>
      <c r="J16" s="140">
        <v>36071</v>
      </c>
      <c r="K16" s="141">
        <v>38.235260000000004</v>
      </c>
      <c r="L16" s="133"/>
      <c r="M16" s="142"/>
      <c r="N16" s="133"/>
      <c r="O16" s="133"/>
      <c r="P16" s="133"/>
    </row>
    <row r="17" spans="1:16" x14ac:dyDescent="0.25">
      <c r="A17" s="133"/>
      <c r="B17" s="133"/>
      <c r="C17" s="133">
        <v>29</v>
      </c>
      <c r="D17" s="133">
        <v>29</v>
      </c>
      <c r="E17" s="133" t="s">
        <v>235</v>
      </c>
      <c r="F17" s="1" t="str">
        <f t="shared" si="0"/>
        <v>3 - 3</v>
      </c>
      <c r="G17" s="133" t="s">
        <v>235</v>
      </c>
      <c r="H17" s="1">
        <f t="shared" si="1"/>
        <v>3</v>
      </c>
      <c r="I17" s="1">
        <f t="shared" si="2"/>
        <v>3</v>
      </c>
      <c r="J17" s="140">
        <v>11785</v>
      </c>
      <c r="K17" s="141">
        <v>10.8422</v>
      </c>
      <c r="L17" s="133"/>
      <c r="M17" s="142"/>
      <c r="N17" s="133"/>
      <c r="O17" s="133"/>
      <c r="P17" s="133"/>
    </row>
    <row r="18" spans="1:16" x14ac:dyDescent="0.25">
      <c r="A18" s="139">
        <v>4</v>
      </c>
      <c r="B18" s="138" t="s">
        <v>393</v>
      </c>
      <c r="C18" s="133">
        <v>31</v>
      </c>
      <c r="D18" s="133">
        <v>31</v>
      </c>
      <c r="E18" s="133" t="s">
        <v>236</v>
      </c>
      <c r="F18" s="1" t="str">
        <f t="shared" si="0"/>
        <v>4 - 1</v>
      </c>
      <c r="G18" s="133" t="s">
        <v>236</v>
      </c>
      <c r="H18" s="1">
        <f t="shared" si="1"/>
        <v>4</v>
      </c>
      <c r="I18" s="1">
        <f t="shared" si="2"/>
        <v>1</v>
      </c>
      <c r="J18" s="140">
        <v>20199</v>
      </c>
      <c r="K18" s="141">
        <v>21.410940000000004</v>
      </c>
      <c r="L18" s="142">
        <v>72.378998434800678</v>
      </c>
      <c r="M18" s="142">
        <f>SUM(K18:K20)*$M$5*L18</f>
        <v>227.51860456589927</v>
      </c>
      <c r="N18" s="133"/>
      <c r="O18" s="133"/>
      <c r="P18" s="133"/>
    </row>
    <row r="19" spans="1:16" x14ac:dyDescent="0.25">
      <c r="A19" s="133"/>
      <c r="B19" s="133"/>
      <c r="C19" s="133">
        <v>91</v>
      </c>
      <c r="D19" s="133">
        <v>91</v>
      </c>
      <c r="E19" s="133" t="s">
        <v>237</v>
      </c>
      <c r="F19" s="1" t="str">
        <f t="shared" si="0"/>
        <v>4 - 2</v>
      </c>
      <c r="G19" s="133" t="s">
        <v>237</v>
      </c>
      <c r="H19" s="1">
        <f t="shared" si="1"/>
        <v>4</v>
      </c>
      <c r="I19" s="1">
        <f t="shared" si="2"/>
        <v>2</v>
      </c>
      <c r="J19" s="140">
        <v>10149</v>
      </c>
      <c r="K19" s="141">
        <v>9.3370800000000003</v>
      </c>
      <c r="L19" s="133"/>
      <c r="M19" s="142"/>
      <c r="N19" s="133"/>
      <c r="O19" s="133"/>
      <c r="P19" s="133"/>
    </row>
    <row r="20" spans="1:16" x14ac:dyDescent="0.25">
      <c r="A20" s="133"/>
      <c r="B20" s="133"/>
      <c r="C20" s="133">
        <v>144</v>
      </c>
      <c r="D20" s="133">
        <v>144</v>
      </c>
      <c r="E20" s="133" t="s">
        <v>238</v>
      </c>
      <c r="F20" s="1" t="str">
        <f t="shared" si="0"/>
        <v>4 - 3</v>
      </c>
      <c r="G20" s="133" t="s">
        <v>239</v>
      </c>
      <c r="H20" s="1">
        <f t="shared" si="1"/>
        <v>4</v>
      </c>
      <c r="I20" s="1">
        <f t="shared" si="2"/>
        <v>3</v>
      </c>
      <c r="J20" s="140">
        <v>746</v>
      </c>
      <c r="K20" s="141">
        <v>0.68632000000000004</v>
      </c>
      <c r="L20" s="133"/>
      <c r="M20" s="142"/>
      <c r="N20" s="133"/>
      <c r="O20" s="133"/>
      <c r="P20" s="133"/>
    </row>
    <row r="21" spans="1:16" x14ac:dyDescent="0.25">
      <c r="A21" s="139">
        <v>5</v>
      </c>
      <c r="B21" s="138" t="s">
        <v>394</v>
      </c>
      <c r="C21" s="133">
        <v>32</v>
      </c>
      <c r="D21" s="133">
        <v>32</v>
      </c>
      <c r="E21" s="133" t="s">
        <v>240</v>
      </c>
      <c r="F21" s="1" t="str">
        <f t="shared" si="0"/>
        <v>5 - 1</v>
      </c>
      <c r="G21" s="133" t="s">
        <v>240</v>
      </c>
      <c r="H21" s="1">
        <f t="shared" si="1"/>
        <v>5</v>
      </c>
      <c r="I21" s="1">
        <f t="shared" si="2"/>
        <v>1</v>
      </c>
      <c r="J21" s="140">
        <v>73140</v>
      </c>
      <c r="K21" s="141">
        <v>74.602800000000002</v>
      </c>
      <c r="L21" s="142">
        <v>72.783986356054385</v>
      </c>
      <c r="M21" s="142">
        <f>SUM(K21:K22)*$M$5*L21</f>
        <v>612.47462496268895</v>
      </c>
      <c r="N21" s="133"/>
      <c r="O21" s="133"/>
      <c r="P21" s="133"/>
    </row>
    <row r="22" spans="1:16" x14ac:dyDescent="0.25">
      <c r="A22" s="133"/>
      <c r="B22" s="133"/>
      <c r="C22" s="133">
        <v>127</v>
      </c>
      <c r="D22" s="133">
        <v>127</v>
      </c>
      <c r="E22" s="133" t="s">
        <v>241</v>
      </c>
      <c r="F22" s="1" t="str">
        <f t="shared" si="0"/>
        <v>5 - 2</v>
      </c>
      <c r="G22" s="133" t="s">
        <v>241</v>
      </c>
      <c r="H22" s="1">
        <f t="shared" si="1"/>
        <v>5</v>
      </c>
      <c r="I22" s="1">
        <f t="shared" si="2"/>
        <v>2</v>
      </c>
      <c r="J22" s="140">
        <v>10377</v>
      </c>
      <c r="K22" s="141">
        <v>9.5468399999999995</v>
      </c>
      <c r="L22" s="133"/>
      <c r="M22" s="142"/>
      <c r="N22" s="133"/>
      <c r="O22" s="133"/>
      <c r="P22" s="133"/>
    </row>
    <row r="23" spans="1:16" x14ac:dyDescent="0.25">
      <c r="A23" s="139">
        <v>6</v>
      </c>
      <c r="B23" s="138" t="s">
        <v>395</v>
      </c>
      <c r="C23" s="133">
        <v>56</v>
      </c>
      <c r="D23" s="133">
        <v>56</v>
      </c>
      <c r="E23" s="133" t="s">
        <v>242</v>
      </c>
      <c r="F23" s="1" t="str">
        <f t="shared" si="0"/>
        <v>6 - 1</v>
      </c>
      <c r="G23" s="133" t="s">
        <v>242</v>
      </c>
      <c r="H23" s="1">
        <f t="shared" si="1"/>
        <v>6</v>
      </c>
      <c r="I23" s="1">
        <f t="shared" si="2"/>
        <v>1</v>
      </c>
      <c r="J23" s="140">
        <v>15096</v>
      </c>
      <c r="K23" s="141">
        <v>13.88832</v>
      </c>
      <c r="L23" s="142">
        <v>74.896826685358462</v>
      </c>
      <c r="M23" s="142">
        <f>SUM(K23:K25)*$M$5*L23</f>
        <v>419.91040695434259</v>
      </c>
      <c r="N23" s="133"/>
      <c r="O23" s="133"/>
      <c r="P23" s="133"/>
    </row>
    <row r="24" spans="1:16" x14ac:dyDescent="0.25">
      <c r="A24" s="133"/>
      <c r="B24" s="133"/>
      <c r="C24" s="133">
        <v>78</v>
      </c>
      <c r="D24" s="133">
        <v>78</v>
      </c>
      <c r="E24" s="133" t="s">
        <v>243</v>
      </c>
      <c r="F24" s="1" t="str">
        <f t="shared" si="0"/>
        <v>6 - 2</v>
      </c>
      <c r="G24" s="133" t="s">
        <v>244</v>
      </c>
      <c r="H24" s="1">
        <f t="shared" si="1"/>
        <v>6</v>
      </c>
      <c r="I24" s="1">
        <f t="shared" si="2"/>
        <v>2</v>
      </c>
      <c r="J24" s="140">
        <v>9983</v>
      </c>
      <c r="K24" s="141">
        <v>9.1843599999999999</v>
      </c>
      <c r="L24" s="133"/>
      <c r="M24" s="142"/>
      <c r="N24" s="133"/>
      <c r="O24" s="133"/>
      <c r="P24" s="133"/>
    </row>
    <row r="25" spans="1:16" x14ac:dyDescent="0.25">
      <c r="A25" s="133"/>
      <c r="B25" s="133"/>
      <c r="C25" s="133">
        <v>38</v>
      </c>
      <c r="D25" s="133">
        <v>38</v>
      </c>
      <c r="E25" s="133" t="s">
        <v>245</v>
      </c>
      <c r="F25" s="1" t="str">
        <f t="shared" si="0"/>
        <v>6 - 3</v>
      </c>
      <c r="G25" s="133" t="s">
        <v>246</v>
      </c>
      <c r="H25" s="1">
        <f t="shared" si="1"/>
        <v>6</v>
      </c>
      <c r="I25" s="1">
        <f t="shared" si="2"/>
        <v>3</v>
      </c>
      <c r="J25" s="140">
        <v>31125</v>
      </c>
      <c r="K25" s="141">
        <v>32.9925</v>
      </c>
      <c r="L25" s="133"/>
      <c r="M25" s="142"/>
      <c r="N25" s="133"/>
      <c r="O25" s="133"/>
      <c r="P25" s="133"/>
    </row>
    <row r="26" spans="1:16" x14ac:dyDescent="0.25">
      <c r="A26" s="139">
        <v>7</v>
      </c>
      <c r="B26" s="138" t="s">
        <v>396</v>
      </c>
      <c r="C26" s="133">
        <v>139</v>
      </c>
      <c r="D26" s="133">
        <v>139</v>
      </c>
      <c r="E26" s="133" t="s">
        <v>247</v>
      </c>
      <c r="F26" s="1" t="str">
        <f t="shared" si="0"/>
        <v>7 - 1</v>
      </c>
      <c r="G26" s="133" t="s">
        <v>248</v>
      </c>
      <c r="H26" s="1">
        <f t="shared" si="1"/>
        <v>7</v>
      </c>
      <c r="I26" s="1">
        <f t="shared" si="2"/>
        <v>1</v>
      </c>
      <c r="J26" s="140">
        <v>16675</v>
      </c>
      <c r="K26" s="141">
        <v>15.340999999999999</v>
      </c>
      <c r="L26" s="142">
        <v>77.556964815056702</v>
      </c>
      <c r="M26" s="142">
        <f>SUM(K26:K28)*$M$5*L26</f>
        <v>433.60904650840058</v>
      </c>
      <c r="N26" s="133"/>
      <c r="O26" s="133"/>
      <c r="P26" s="133"/>
    </row>
    <row r="27" spans="1:16" x14ac:dyDescent="0.25">
      <c r="A27" s="133"/>
      <c r="B27" s="133"/>
      <c r="C27" s="133">
        <v>140</v>
      </c>
      <c r="D27" s="133">
        <v>140</v>
      </c>
      <c r="E27" s="133" t="s">
        <v>247</v>
      </c>
      <c r="F27" s="1" t="str">
        <f t="shared" si="0"/>
        <v>7 - 2</v>
      </c>
      <c r="G27" s="133" t="s">
        <v>249</v>
      </c>
      <c r="H27" s="1">
        <f t="shared" si="1"/>
        <v>7</v>
      </c>
      <c r="I27" s="1">
        <f t="shared" si="2"/>
        <v>2</v>
      </c>
      <c r="J27" s="140">
        <v>24847</v>
      </c>
      <c r="K27" s="141">
        <v>26.337820000000001</v>
      </c>
      <c r="L27" s="133"/>
      <c r="M27" s="142"/>
      <c r="N27" s="133"/>
      <c r="O27" s="133"/>
      <c r="P27" s="133"/>
    </row>
    <row r="28" spans="1:16" x14ac:dyDescent="0.25">
      <c r="A28" s="133"/>
      <c r="B28" s="133"/>
      <c r="C28" s="133">
        <v>60</v>
      </c>
      <c r="D28" s="133">
        <v>60</v>
      </c>
      <c r="E28" s="133" t="s">
        <v>247</v>
      </c>
      <c r="F28" s="1" t="str">
        <f t="shared" si="0"/>
        <v>7 - 3</v>
      </c>
      <c r="G28" s="133" t="s">
        <v>250</v>
      </c>
      <c r="H28" s="1">
        <f t="shared" si="1"/>
        <v>7</v>
      </c>
      <c r="I28" s="1">
        <f t="shared" si="2"/>
        <v>3</v>
      </c>
      <c r="J28" s="140">
        <v>15467</v>
      </c>
      <c r="K28" s="141">
        <v>14.229640000000002</v>
      </c>
      <c r="L28" s="133"/>
      <c r="M28" s="142"/>
      <c r="N28" s="133"/>
      <c r="O28" s="133"/>
      <c r="P28" s="133"/>
    </row>
    <row r="29" spans="1:16" x14ac:dyDescent="0.25">
      <c r="A29" s="139">
        <v>8</v>
      </c>
      <c r="B29" s="138" t="s">
        <v>397</v>
      </c>
      <c r="C29" s="133">
        <v>146</v>
      </c>
      <c r="D29" s="133">
        <v>146</v>
      </c>
      <c r="E29" s="133" t="s">
        <v>251</v>
      </c>
      <c r="F29" s="1" t="str">
        <f t="shared" si="0"/>
        <v>8 - 1</v>
      </c>
      <c r="G29" s="133" t="s">
        <v>252</v>
      </c>
      <c r="H29" s="1">
        <f t="shared" si="1"/>
        <v>8</v>
      </c>
      <c r="I29" s="1">
        <f t="shared" si="2"/>
        <v>1</v>
      </c>
      <c r="J29" s="140">
        <v>5102</v>
      </c>
      <c r="K29" s="141">
        <v>4.6938399999999998</v>
      </c>
      <c r="L29" s="142">
        <v>61.318367562074975</v>
      </c>
      <c r="M29" s="142">
        <f>SUM(K29:K33)*$M$5*L29</f>
        <v>174.18046434988972</v>
      </c>
      <c r="N29" s="133"/>
      <c r="O29" s="133"/>
      <c r="P29" s="133"/>
    </row>
    <row r="30" spans="1:16" x14ac:dyDescent="0.25">
      <c r="A30" s="133"/>
      <c r="B30" s="133"/>
      <c r="C30" s="133">
        <v>137</v>
      </c>
      <c r="D30" s="133">
        <v>137</v>
      </c>
      <c r="E30" s="133" t="s">
        <v>253</v>
      </c>
      <c r="F30" s="1" t="str">
        <f t="shared" si="0"/>
        <v>8 - 2</v>
      </c>
      <c r="G30" s="133" t="s">
        <v>254</v>
      </c>
      <c r="H30" s="1">
        <f t="shared" si="1"/>
        <v>8</v>
      </c>
      <c r="I30" s="1">
        <f t="shared" si="2"/>
        <v>2</v>
      </c>
      <c r="J30" s="140">
        <v>3409</v>
      </c>
      <c r="K30" s="141">
        <v>3.1362800000000002</v>
      </c>
      <c r="L30" s="133"/>
      <c r="M30" s="142"/>
      <c r="N30" s="133"/>
      <c r="O30" s="133"/>
      <c r="P30" s="133"/>
    </row>
    <row r="31" spans="1:16" x14ac:dyDescent="0.25">
      <c r="A31" s="133"/>
      <c r="B31" s="133"/>
      <c r="C31" s="133">
        <v>117</v>
      </c>
      <c r="D31" s="133">
        <v>117</v>
      </c>
      <c r="E31" s="133" t="s">
        <v>255</v>
      </c>
      <c r="F31" s="1" t="str">
        <f t="shared" si="0"/>
        <v>8 - 3</v>
      </c>
      <c r="G31" s="133" t="s">
        <v>255</v>
      </c>
      <c r="H31" s="1">
        <f t="shared" si="1"/>
        <v>8</v>
      </c>
      <c r="I31" s="1">
        <f t="shared" si="2"/>
        <v>3</v>
      </c>
      <c r="J31" s="140">
        <v>8498</v>
      </c>
      <c r="K31" s="141">
        <v>7.8181600000000007</v>
      </c>
      <c r="L31" s="133"/>
      <c r="M31" s="142"/>
      <c r="N31" s="133"/>
      <c r="O31" s="133"/>
      <c r="P31" s="133"/>
    </row>
    <row r="32" spans="1:16" x14ac:dyDescent="0.25">
      <c r="A32" s="133"/>
      <c r="B32" s="133"/>
      <c r="C32" s="133">
        <v>77</v>
      </c>
      <c r="D32" s="133">
        <v>77</v>
      </c>
      <c r="E32" s="133" t="s">
        <v>251</v>
      </c>
      <c r="F32" s="1" t="str">
        <f t="shared" si="0"/>
        <v>8 - 4</v>
      </c>
      <c r="G32" s="133" t="s">
        <v>251</v>
      </c>
      <c r="H32" s="1">
        <f t="shared" si="1"/>
        <v>8</v>
      </c>
      <c r="I32" s="1">
        <f t="shared" si="2"/>
        <v>4</v>
      </c>
      <c r="J32" s="140">
        <v>2957</v>
      </c>
      <c r="K32" s="141">
        <v>2.72044</v>
      </c>
      <c r="L32" s="133"/>
      <c r="M32" s="142"/>
      <c r="N32" s="133"/>
      <c r="O32" s="133"/>
      <c r="P32" s="133"/>
    </row>
    <row r="33" spans="1:16" x14ac:dyDescent="0.25">
      <c r="A33" s="133"/>
      <c r="B33" s="133"/>
      <c r="C33" s="133">
        <v>27</v>
      </c>
      <c r="D33" s="133">
        <v>27</v>
      </c>
      <c r="E33" s="133" t="s">
        <v>253</v>
      </c>
      <c r="F33" s="1" t="str">
        <f t="shared" si="0"/>
        <v>8 - 5</v>
      </c>
      <c r="G33" s="133" t="s">
        <v>256</v>
      </c>
      <c r="H33" s="1">
        <f t="shared" si="1"/>
        <v>8</v>
      </c>
      <c r="I33" s="1">
        <f t="shared" si="2"/>
        <v>5</v>
      </c>
      <c r="J33" s="140">
        <v>10910</v>
      </c>
      <c r="K33" s="141">
        <v>10.0372</v>
      </c>
      <c r="L33" s="133"/>
      <c r="M33" s="142"/>
      <c r="N33" s="133"/>
      <c r="O33" s="133"/>
      <c r="P33" s="133"/>
    </row>
    <row r="34" spans="1:16" x14ac:dyDescent="0.25">
      <c r="A34" s="139">
        <v>9</v>
      </c>
      <c r="B34" s="138" t="s">
        <v>398</v>
      </c>
      <c r="C34" s="133">
        <v>26</v>
      </c>
      <c r="D34" s="133">
        <v>26</v>
      </c>
      <c r="E34" s="133" t="s">
        <v>257</v>
      </c>
      <c r="F34" s="1" t="str">
        <f t="shared" si="0"/>
        <v>9 - 1</v>
      </c>
      <c r="G34" s="133" t="s">
        <v>257</v>
      </c>
      <c r="H34" s="1">
        <f t="shared" si="1"/>
        <v>9</v>
      </c>
      <c r="I34" s="1">
        <f t="shared" si="2"/>
        <v>1</v>
      </c>
      <c r="J34" s="140">
        <v>44873</v>
      </c>
      <c r="K34" s="141">
        <v>47.565380000000005</v>
      </c>
      <c r="L34" s="142">
        <v>77.556964815056716</v>
      </c>
      <c r="M34" s="142">
        <f>SUM(K34:K36)*$M$5*L34</f>
        <v>851.30495497604784</v>
      </c>
      <c r="N34" s="133"/>
      <c r="O34" s="133"/>
      <c r="P34" s="133"/>
    </row>
    <row r="35" spans="1:16" x14ac:dyDescent="0.25">
      <c r="A35" s="133"/>
      <c r="B35" s="133"/>
      <c r="C35" s="133">
        <v>101</v>
      </c>
      <c r="D35" s="133">
        <v>101</v>
      </c>
      <c r="E35" s="133" t="s">
        <v>258</v>
      </c>
      <c r="F35" s="1" t="str">
        <f t="shared" si="0"/>
        <v>9 - 2</v>
      </c>
      <c r="G35" s="133" t="s">
        <v>258</v>
      </c>
      <c r="H35" s="1">
        <f t="shared" si="1"/>
        <v>9</v>
      </c>
      <c r="I35" s="1">
        <f t="shared" si="2"/>
        <v>2</v>
      </c>
      <c r="J35" s="140">
        <v>36568</v>
      </c>
      <c r="K35" s="141">
        <v>38.762080000000005</v>
      </c>
      <c r="L35" s="133"/>
      <c r="M35" s="142"/>
      <c r="N35" s="133"/>
      <c r="O35" s="133"/>
      <c r="P35" s="133"/>
    </row>
    <row r="36" spans="1:16" x14ac:dyDescent="0.25">
      <c r="A36" s="133"/>
      <c r="B36" s="133"/>
      <c r="C36" s="133">
        <v>44</v>
      </c>
      <c r="D36" s="133">
        <v>44</v>
      </c>
      <c r="E36" s="133" t="s">
        <v>259</v>
      </c>
      <c r="F36" s="1" t="str">
        <f t="shared" si="0"/>
        <v>9 - 3</v>
      </c>
      <c r="G36" s="133" t="s">
        <v>259</v>
      </c>
      <c r="H36" s="1">
        <f t="shared" si="1"/>
        <v>9</v>
      </c>
      <c r="I36" s="1">
        <f t="shared" si="2"/>
        <v>3</v>
      </c>
      <c r="J36" s="140">
        <v>22111</v>
      </c>
      <c r="K36" s="141">
        <v>23.437660000000001</v>
      </c>
      <c r="L36" s="133"/>
      <c r="M36" s="142"/>
      <c r="N36" s="133"/>
      <c r="O36" s="133"/>
      <c r="P36" s="133"/>
    </row>
    <row r="37" spans="1:16" x14ac:dyDescent="0.25">
      <c r="A37" s="139">
        <v>10</v>
      </c>
      <c r="B37" s="138" t="s">
        <v>399</v>
      </c>
      <c r="C37" s="133">
        <v>83</v>
      </c>
      <c r="D37" s="133">
        <v>83</v>
      </c>
      <c r="E37" s="133" t="s">
        <v>260</v>
      </c>
      <c r="F37" s="1" t="str">
        <f t="shared" si="0"/>
        <v>10 - 1</v>
      </c>
      <c r="G37" s="133" t="s">
        <v>260</v>
      </c>
      <c r="H37" s="1">
        <f t="shared" si="1"/>
        <v>10</v>
      </c>
      <c r="I37" s="1">
        <f t="shared" si="2"/>
        <v>1</v>
      </c>
      <c r="J37" s="140">
        <v>10974</v>
      </c>
      <c r="K37" s="141">
        <v>10.096080000000001</v>
      </c>
      <c r="L37" s="142">
        <v>71.426983299318522</v>
      </c>
      <c r="M37" s="142">
        <f>SUM(K37:K39)*$M$5*L37</f>
        <v>292.81363234985696</v>
      </c>
      <c r="N37" s="133"/>
      <c r="O37" s="133"/>
      <c r="P37" s="133"/>
    </row>
    <row r="38" spans="1:16" x14ac:dyDescent="0.25">
      <c r="A38" s="133"/>
      <c r="B38" s="133"/>
      <c r="C38" s="133">
        <v>152</v>
      </c>
      <c r="D38" s="133">
        <v>152</v>
      </c>
      <c r="E38" s="133" t="s">
        <v>228</v>
      </c>
      <c r="F38" s="1" t="str">
        <f t="shared" si="0"/>
        <v>10 - 2</v>
      </c>
      <c r="G38" s="133" t="s">
        <v>261</v>
      </c>
      <c r="H38" s="1">
        <f t="shared" si="1"/>
        <v>10</v>
      </c>
      <c r="I38" s="1">
        <f t="shared" si="2"/>
        <v>2</v>
      </c>
      <c r="J38" s="140">
        <v>5847</v>
      </c>
      <c r="K38" s="141">
        <v>5.3792399999999994</v>
      </c>
      <c r="L38" s="133"/>
      <c r="M38" s="142"/>
      <c r="N38" s="133"/>
      <c r="O38" s="133"/>
      <c r="P38" s="133"/>
    </row>
    <row r="39" spans="1:16" x14ac:dyDescent="0.25">
      <c r="A39" s="133"/>
      <c r="B39" s="133"/>
      <c r="C39" s="133">
        <v>54</v>
      </c>
      <c r="D39" s="133">
        <v>54</v>
      </c>
      <c r="E39" s="133" t="s">
        <v>262</v>
      </c>
      <c r="F39" s="1" t="str">
        <f t="shared" ref="F39:F70" si="3">CONCATENATE(H39," - ",I39)</f>
        <v>10 - 3</v>
      </c>
      <c r="G39" s="133" t="s">
        <v>262</v>
      </c>
      <c r="H39" s="1">
        <f t="shared" si="1"/>
        <v>10</v>
      </c>
      <c r="I39" s="1">
        <f t="shared" si="2"/>
        <v>3</v>
      </c>
      <c r="J39" s="140">
        <v>24075</v>
      </c>
      <c r="K39" s="141">
        <v>25.519500000000001</v>
      </c>
      <c r="L39" s="133"/>
      <c r="M39" s="142"/>
      <c r="N39" s="133"/>
      <c r="O39" s="133"/>
      <c r="P39" s="133"/>
    </row>
    <row r="40" spans="1:16" x14ac:dyDescent="0.25">
      <c r="A40" s="139">
        <v>11</v>
      </c>
      <c r="B40" s="138" t="s">
        <v>400</v>
      </c>
      <c r="C40" s="133">
        <v>150</v>
      </c>
      <c r="D40" s="133">
        <v>150</v>
      </c>
      <c r="E40" s="133" t="s">
        <v>263</v>
      </c>
      <c r="F40" s="1" t="str">
        <f t="shared" si="3"/>
        <v>11 - 1</v>
      </c>
      <c r="G40" s="133" t="s">
        <v>264</v>
      </c>
      <c r="H40" s="1">
        <f t="shared" ref="H40:H71" si="4">IF(A40="",H39,A40)</f>
        <v>11</v>
      </c>
      <c r="I40" s="1">
        <f t="shared" si="2"/>
        <v>1</v>
      </c>
      <c r="J40" s="140">
        <v>5776</v>
      </c>
      <c r="K40" s="141">
        <v>5.3139200000000004</v>
      </c>
      <c r="L40" s="142">
        <v>72.870209390661017</v>
      </c>
      <c r="M40" s="142">
        <f>SUM(K40:K44)*$M$5*L40</f>
        <v>508.27772622289365</v>
      </c>
      <c r="N40" s="133"/>
      <c r="O40" s="133"/>
      <c r="P40" s="133"/>
    </row>
    <row r="41" spans="1:16" x14ac:dyDescent="0.25">
      <c r="A41" s="133"/>
      <c r="B41" s="133"/>
      <c r="C41" s="133">
        <v>108</v>
      </c>
      <c r="D41" s="133">
        <v>108</v>
      </c>
      <c r="E41" s="133" t="s">
        <v>263</v>
      </c>
      <c r="F41" s="1" t="str">
        <f t="shared" si="3"/>
        <v>11 - 2</v>
      </c>
      <c r="G41" s="133" t="s">
        <v>263</v>
      </c>
      <c r="H41" s="1">
        <f t="shared" si="4"/>
        <v>11</v>
      </c>
      <c r="I41" s="1">
        <f t="shared" si="2"/>
        <v>2</v>
      </c>
      <c r="J41" s="140">
        <v>5580</v>
      </c>
      <c r="K41" s="141">
        <v>5.1336000000000004</v>
      </c>
      <c r="L41" s="133"/>
      <c r="M41" s="142"/>
      <c r="N41" s="133"/>
      <c r="O41" s="133"/>
      <c r="P41" s="133"/>
    </row>
    <row r="42" spans="1:16" x14ac:dyDescent="0.25">
      <c r="A42" s="133"/>
      <c r="B42" s="133"/>
      <c r="C42" s="133">
        <v>68</v>
      </c>
      <c r="D42" s="133">
        <v>68</v>
      </c>
      <c r="E42" s="133" t="s">
        <v>265</v>
      </c>
      <c r="F42" s="1" t="str">
        <f t="shared" si="3"/>
        <v>11 - 3</v>
      </c>
      <c r="G42" s="133" t="s">
        <v>265</v>
      </c>
      <c r="H42" s="1">
        <f t="shared" si="4"/>
        <v>11</v>
      </c>
      <c r="I42" s="1">
        <f t="shared" si="2"/>
        <v>3</v>
      </c>
      <c r="J42" s="140">
        <v>10526</v>
      </c>
      <c r="K42" s="141">
        <v>9.6839200000000005</v>
      </c>
      <c r="L42" s="133"/>
      <c r="M42" s="142"/>
      <c r="N42" s="133"/>
      <c r="O42" s="133"/>
      <c r="P42" s="133"/>
    </row>
    <row r="43" spans="1:16" x14ac:dyDescent="0.25">
      <c r="A43" s="133"/>
      <c r="B43" s="133"/>
      <c r="C43" s="133">
        <v>115</v>
      </c>
      <c r="D43" s="133">
        <v>115</v>
      </c>
      <c r="E43" s="133" t="s">
        <v>266</v>
      </c>
      <c r="F43" s="1" t="str">
        <f t="shared" si="3"/>
        <v>11 - 4</v>
      </c>
      <c r="G43" s="133" t="s">
        <v>267</v>
      </c>
      <c r="H43" s="1">
        <f t="shared" si="4"/>
        <v>11</v>
      </c>
      <c r="I43" s="1">
        <f t="shared" si="2"/>
        <v>4</v>
      </c>
      <c r="J43" s="140">
        <v>16064</v>
      </c>
      <c r="K43" s="141">
        <v>17.027840000000001</v>
      </c>
      <c r="L43" s="133"/>
      <c r="M43" s="142"/>
      <c r="N43" s="133"/>
      <c r="O43" s="133"/>
      <c r="P43" s="133"/>
    </row>
    <row r="44" spans="1:16" x14ac:dyDescent="0.25">
      <c r="A44" s="133"/>
      <c r="B44" s="133"/>
      <c r="C44" s="133">
        <v>55</v>
      </c>
      <c r="D44" s="133">
        <v>55</v>
      </c>
      <c r="E44" s="133" t="s">
        <v>268</v>
      </c>
      <c r="F44" s="1" t="str">
        <f t="shared" si="3"/>
        <v>11 - 5</v>
      </c>
      <c r="G44" s="133" t="s">
        <v>268</v>
      </c>
      <c r="H44" s="1">
        <f t="shared" si="4"/>
        <v>11</v>
      </c>
      <c r="I44" s="1">
        <f t="shared" si="2"/>
        <v>5</v>
      </c>
      <c r="J44" s="140">
        <v>30747</v>
      </c>
      <c r="K44" s="141">
        <v>32.591820000000006</v>
      </c>
      <c r="L44" s="133"/>
      <c r="M44" s="142"/>
      <c r="N44" s="133"/>
      <c r="O44" s="133"/>
      <c r="P44" s="133"/>
    </row>
    <row r="45" spans="1:16" x14ac:dyDescent="0.25">
      <c r="A45" s="139">
        <v>12</v>
      </c>
      <c r="B45" s="138" t="s">
        <v>401</v>
      </c>
      <c r="C45" s="133">
        <v>104</v>
      </c>
      <c r="D45" s="133">
        <v>104</v>
      </c>
      <c r="E45" s="133" t="s">
        <v>269</v>
      </c>
      <c r="F45" s="1" t="str">
        <f t="shared" si="3"/>
        <v>12 - 1</v>
      </c>
      <c r="G45" s="133" t="s">
        <v>269</v>
      </c>
      <c r="H45" s="1">
        <f t="shared" si="4"/>
        <v>12</v>
      </c>
      <c r="I45" s="1">
        <f t="shared" si="2"/>
        <v>1</v>
      </c>
      <c r="J45" s="140">
        <v>4152</v>
      </c>
      <c r="K45" s="141">
        <v>3.8198400000000001</v>
      </c>
      <c r="L45" s="142">
        <v>72.349153293379587</v>
      </c>
      <c r="M45" s="142">
        <f>SUM(K45:K49)*$M$5*L45</f>
        <v>407.18465219280506</v>
      </c>
      <c r="N45" s="133"/>
      <c r="O45" s="133"/>
      <c r="P45" s="133"/>
    </row>
    <row r="46" spans="1:16" x14ac:dyDescent="0.25">
      <c r="A46" s="133"/>
      <c r="B46" s="133"/>
      <c r="C46" s="133">
        <v>128</v>
      </c>
      <c r="D46" s="133">
        <v>128</v>
      </c>
      <c r="E46" s="133" t="s">
        <v>270</v>
      </c>
      <c r="F46" s="1" t="str">
        <f t="shared" si="3"/>
        <v>12 - 2</v>
      </c>
      <c r="G46" s="133" t="s">
        <v>271</v>
      </c>
      <c r="H46" s="1">
        <f t="shared" si="4"/>
        <v>12</v>
      </c>
      <c r="I46" s="1">
        <f t="shared" si="2"/>
        <v>2</v>
      </c>
      <c r="J46" s="140">
        <v>2761</v>
      </c>
      <c r="K46" s="141">
        <v>2.5401199999999999</v>
      </c>
      <c r="L46" s="133"/>
      <c r="M46" s="142"/>
      <c r="N46" s="133"/>
      <c r="O46" s="133"/>
      <c r="P46" s="133"/>
    </row>
    <row r="47" spans="1:16" x14ac:dyDescent="0.25">
      <c r="A47" s="133"/>
      <c r="B47" s="133"/>
      <c r="C47" s="133">
        <v>66</v>
      </c>
      <c r="D47" s="133">
        <v>66</v>
      </c>
      <c r="E47" s="133" t="s">
        <v>238</v>
      </c>
      <c r="F47" s="1" t="str">
        <f t="shared" si="3"/>
        <v>12 - 3</v>
      </c>
      <c r="G47" s="133" t="s">
        <v>238</v>
      </c>
      <c r="H47" s="1">
        <f t="shared" si="4"/>
        <v>12</v>
      </c>
      <c r="I47" s="1">
        <f t="shared" si="2"/>
        <v>3</v>
      </c>
      <c r="J47" s="140">
        <v>1711</v>
      </c>
      <c r="K47" s="141">
        <v>1.5741200000000002</v>
      </c>
      <c r="L47" s="133"/>
      <c r="M47" s="142"/>
      <c r="N47" s="133"/>
      <c r="O47" s="133"/>
      <c r="P47" s="133"/>
    </row>
    <row r="48" spans="1:16" x14ac:dyDescent="0.25">
      <c r="A48" s="133"/>
      <c r="B48" s="133"/>
      <c r="C48" s="133">
        <v>47</v>
      </c>
      <c r="D48" s="133">
        <v>47</v>
      </c>
      <c r="E48" s="133" t="s">
        <v>272</v>
      </c>
      <c r="F48" s="1" t="str">
        <f t="shared" si="3"/>
        <v>12 - 4</v>
      </c>
      <c r="G48" s="133" t="s">
        <v>272</v>
      </c>
      <c r="H48" s="1">
        <f t="shared" si="4"/>
        <v>12</v>
      </c>
      <c r="I48" s="1">
        <f t="shared" si="2"/>
        <v>4</v>
      </c>
      <c r="J48" s="140">
        <v>10995</v>
      </c>
      <c r="K48" s="141">
        <v>10.115399999999999</v>
      </c>
      <c r="L48" s="133"/>
      <c r="M48" s="142"/>
      <c r="N48" s="133"/>
      <c r="O48" s="133"/>
      <c r="P48" s="133"/>
    </row>
    <row r="49" spans="1:16" x14ac:dyDescent="0.25">
      <c r="A49" s="133"/>
      <c r="B49" s="133"/>
      <c r="C49" s="133">
        <v>57</v>
      </c>
      <c r="D49" s="133">
        <v>57</v>
      </c>
      <c r="E49" s="133" t="s">
        <v>273</v>
      </c>
      <c r="F49" s="1" t="str">
        <f t="shared" si="3"/>
        <v>12 - 5</v>
      </c>
      <c r="G49" s="133" t="s">
        <v>273</v>
      </c>
      <c r="H49" s="1">
        <f t="shared" si="4"/>
        <v>12</v>
      </c>
      <c r="I49" s="1">
        <f t="shared" si="2"/>
        <v>5</v>
      </c>
      <c r="J49" s="140">
        <v>36067</v>
      </c>
      <c r="K49" s="141">
        <v>38.231020000000001</v>
      </c>
      <c r="L49" s="133"/>
      <c r="M49" s="142"/>
      <c r="N49" s="133"/>
      <c r="O49" s="133"/>
      <c r="P49" s="133"/>
    </row>
    <row r="50" spans="1:16" x14ac:dyDescent="0.25">
      <c r="A50" s="139">
        <v>13</v>
      </c>
      <c r="B50" s="138" t="s">
        <v>402</v>
      </c>
      <c r="C50" s="133">
        <v>95</v>
      </c>
      <c r="D50" s="133">
        <v>95</v>
      </c>
      <c r="E50" s="133" t="s">
        <v>274</v>
      </c>
      <c r="F50" s="1" t="str">
        <f t="shared" si="3"/>
        <v>13 - 1</v>
      </c>
      <c r="G50" s="133" t="s">
        <v>275</v>
      </c>
      <c r="H50" s="1">
        <f t="shared" si="4"/>
        <v>13</v>
      </c>
      <c r="I50" s="1">
        <f t="shared" si="2"/>
        <v>1</v>
      </c>
      <c r="J50" s="140">
        <v>24934</v>
      </c>
      <c r="K50" s="141">
        <v>26.430040000000002</v>
      </c>
      <c r="L50" s="142">
        <v>75.633937316587023</v>
      </c>
      <c r="M50" s="142">
        <f>SUM(K50:K53)*$M$5*L50</f>
        <v>719.37510151688411</v>
      </c>
      <c r="N50" s="133"/>
      <c r="O50" s="133"/>
      <c r="P50" s="133"/>
    </row>
    <row r="51" spans="1:16" x14ac:dyDescent="0.25">
      <c r="A51" s="133"/>
      <c r="B51" s="133"/>
      <c r="C51" s="133">
        <v>40</v>
      </c>
      <c r="D51" s="133">
        <v>40</v>
      </c>
      <c r="E51" s="133" t="s">
        <v>276</v>
      </c>
      <c r="F51" s="1" t="str">
        <f t="shared" si="3"/>
        <v>13 - 2</v>
      </c>
      <c r="G51" s="133" t="s">
        <v>277</v>
      </c>
      <c r="H51" s="1">
        <f t="shared" si="4"/>
        <v>13</v>
      </c>
      <c r="I51" s="1">
        <f t="shared" si="2"/>
        <v>2</v>
      </c>
      <c r="J51" s="140">
        <v>32073</v>
      </c>
      <c r="K51" s="141">
        <v>33.997380000000007</v>
      </c>
      <c r="L51" s="133"/>
      <c r="M51" s="142"/>
      <c r="N51" s="133"/>
      <c r="O51" s="133"/>
      <c r="P51" s="133"/>
    </row>
    <row r="52" spans="1:16" x14ac:dyDescent="0.25">
      <c r="A52" s="133"/>
      <c r="B52" s="133"/>
      <c r="C52" s="133">
        <v>65</v>
      </c>
      <c r="D52" s="133">
        <v>65</v>
      </c>
      <c r="E52" s="133" t="s">
        <v>278</v>
      </c>
      <c r="F52" s="1" t="str">
        <f t="shared" si="3"/>
        <v>13 - 3</v>
      </c>
      <c r="G52" s="133" t="s">
        <v>278</v>
      </c>
      <c r="H52" s="1">
        <f t="shared" si="4"/>
        <v>13</v>
      </c>
      <c r="I52" s="1">
        <f t="shared" si="2"/>
        <v>3</v>
      </c>
      <c r="J52" s="140">
        <v>22096</v>
      </c>
      <c r="K52" s="141">
        <v>23.421760000000003</v>
      </c>
      <c r="L52" s="133"/>
      <c r="M52" s="142"/>
      <c r="N52" s="133"/>
      <c r="O52" s="133"/>
      <c r="P52" s="133"/>
    </row>
    <row r="53" spans="1:16" x14ac:dyDescent="0.25">
      <c r="A53" s="133"/>
      <c r="B53" s="133"/>
      <c r="C53" s="133">
        <v>71</v>
      </c>
      <c r="D53" s="133">
        <v>71</v>
      </c>
      <c r="E53" s="133" t="s">
        <v>279</v>
      </c>
      <c r="F53" s="1" t="str">
        <f t="shared" si="3"/>
        <v>13 - 4</v>
      </c>
      <c r="G53" s="133" t="s">
        <v>280</v>
      </c>
      <c r="H53" s="1">
        <f t="shared" si="4"/>
        <v>13</v>
      </c>
      <c r="I53" s="1">
        <f t="shared" si="2"/>
        <v>4</v>
      </c>
      <c r="J53" s="140">
        <v>12243</v>
      </c>
      <c r="K53" s="141">
        <v>11.263560000000002</v>
      </c>
      <c r="L53" s="133"/>
      <c r="M53" s="142"/>
      <c r="N53" s="133"/>
      <c r="O53" s="133"/>
      <c r="P53" s="133"/>
    </row>
    <row r="54" spans="1:16" x14ac:dyDescent="0.25">
      <c r="A54" s="139">
        <v>14</v>
      </c>
      <c r="B54" s="138" t="s">
        <v>403</v>
      </c>
      <c r="C54" s="133">
        <v>45</v>
      </c>
      <c r="D54" s="133">
        <v>45</v>
      </c>
      <c r="E54" s="133" t="s">
        <v>281</v>
      </c>
      <c r="F54" s="1" t="str">
        <f t="shared" si="3"/>
        <v>14 - 1</v>
      </c>
      <c r="G54" s="133" t="s">
        <v>281</v>
      </c>
      <c r="H54" s="1">
        <f t="shared" si="4"/>
        <v>14</v>
      </c>
      <c r="I54" s="1">
        <f t="shared" si="2"/>
        <v>1</v>
      </c>
      <c r="J54" s="140">
        <v>5729</v>
      </c>
      <c r="K54" s="141">
        <v>5.2706800000000005</v>
      </c>
      <c r="L54" s="142">
        <v>72.625161606497628</v>
      </c>
      <c r="M54" s="142">
        <f>SUM(K54:K58)*$M$5*L54</f>
        <v>424.50714211906785</v>
      </c>
      <c r="N54" s="133"/>
      <c r="O54" s="133"/>
      <c r="P54" s="133"/>
    </row>
    <row r="55" spans="1:16" x14ac:dyDescent="0.25">
      <c r="A55" s="133"/>
      <c r="B55" s="133"/>
      <c r="C55" s="133">
        <v>61</v>
      </c>
      <c r="D55" s="133">
        <v>61</v>
      </c>
      <c r="E55" s="133" t="s">
        <v>282</v>
      </c>
      <c r="F55" s="1" t="str">
        <f t="shared" si="3"/>
        <v>14 - 2</v>
      </c>
      <c r="G55" s="133" t="s">
        <v>282</v>
      </c>
      <c r="H55" s="1">
        <f t="shared" si="4"/>
        <v>14</v>
      </c>
      <c r="I55" s="1">
        <f t="shared" si="2"/>
        <v>2</v>
      </c>
      <c r="J55" s="140">
        <v>9875</v>
      </c>
      <c r="K55" s="141">
        <v>9.0850000000000009</v>
      </c>
      <c r="L55" s="133"/>
      <c r="M55" s="142"/>
      <c r="N55" s="133"/>
      <c r="O55" s="133"/>
      <c r="P55" s="133"/>
    </row>
    <row r="56" spans="1:16" x14ac:dyDescent="0.25">
      <c r="A56" s="133"/>
      <c r="B56" s="133"/>
      <c r="C56" s="133">
        <v>112</v>
      </c>
      <c r="D56" s="133">
        <v>112</v>
      </c>
      <c r="E56" s="133" t="s">
        <v>283</v>
      </c>
      <c r="F56" s="1" t="str">
        <f t="shared" si="3"/>
        <v>14 - 3</v>
      </c>
      <c r="G56" s="133" t="s">
        <v>284</v>
      </c>
      <c r="H56" s="1">
        <f t="shared" si="4"/>
        <v>14</v>
      </c>
      <c r="I56" s="1">
        <f t="shared" si="2"/>
        <v>3</v>
      </c>
      <c r="J56" s="140">
        <v>15160</v>
      </c>
      <c r="K56" s="141">
        <v>13.9472</v>
      </c>
      <c r="L56" s="133"/>
      <c r="M56" s="142"/>
      <c r="N56" s="133"/>
      <c r="O56" s="133"/>
      <c r="P56" s="133"/>
    </row>
    <row r="57" spans="1:16" x14ac:dyDescent="0.25">
      <c r="A57" s="133"/>
      <c r="B57" s="133"/>
      <c r="C57" s="133">
        <v>138</v>
      </c>
      <c r="D57" s="133">
        <v>138</v>
      </c>
      <c r="E57" s="133" t="s">
        <v>281</v>
      </c>
      <c r="F57" s="1" t="str">
        <f t="shared" si="3"/>
        <v>14 - 4</v>
      </c>
      <c r="G57" s="133" t="s">
        <v>285</v>
      </c>
      <c r="H57" s="1">
        <f t="shared" si="4"/>
        <v>14</v>
      </c>
      <c r="I57" s="1">
        <f t="shared" si="2"/>
        <v>4</v>
      </c>
      <c r="J57" s="140">
        <v>3692</v>
      </c>
      <c r="K57" s="141">
        <v>3.3966400000000005</v>
      </c>
      <c r="L57" s="133"/>
      <c r="M57" s="142"/>
      <c r="N57" s="133"/>
      <c r="O57" s="133"/>
      <c r="P57" s="133"/>
    </row>
    <row r="58" spans="1:16" x14ac:dyDescent="0.25">
      <c r="A58" s="133"/>
      <c r="B58" s="133"/>
      <c r="C58" s="133">
        <v>76</v>
      </c>
      <c r="D58" s="133">
        <v>76</v>
      </c>
      <c r="E58" s="133" t="s">
        <v>286</v>
      </c>
      <c r="F58" s="1" t="str">
        <f t="shared" si="3"/>
        <v>14 - 5</v>
      </c>
      <c r="G58" s="133" t="s">
        <v>286</v>
      </c>
      <c r="H58" s="1">
        <f t="shared" si="4"/>
        <v>14</v>
      </c>
      <c r="I58" s="1">
        <f t="shared" si="2"/>
        <v>5</v>
      </c>
      <c r="J58" s="140">
        <v>25238</v>
      </c>
      <c r="K58" s="141">
        <v>26.752280000000003</v>
      </c>
      <c r="L58" s="133"/>
      <c r="M58" s="142"/>
      <c r="N58" s="133"/>
      <c r="O58" s="133"/>
      <c r="P58" s="133"/>
    </row>
    <row r="59" spans="1:16" x14ac:dyDescent="0.25">
      <c r="A59" s="139">
        <v>15</v>
      </c>
      <c r="B59" s="138" t="s">
        <v>404</v>
      </c>
      <c r="C59" s="133">
        <v>143</v>
      </c>
      <c r="D59" s="133">
        <v>143</v>
      </c>
      <c r="E59" s="133" t="s">
        <v>287</v>
      </c>
      <c r="F59" s="1" t="str">
        <f t="shared" si="3"/>
        <v>15 - 1</v>
      </c>
      <c r="G59" s="133" t="s">
        <v>288</v>
      </c>
      <c r="H59" s="1">
        <f t="shared" si="4"/>
        <v>15</v>
      </c>
      <c r="I59" s="1">
        <f t="shared" si="2"/>
        <v>1</v>
      </c>
      <c r="J59" s="140">
        <v>4515</v>
      </c>
      <c r="K59" s="141">
        <v>4.1538000000000004</v>
      </c>
      <c r="L59" s="142">
        <v>61.318367562074961</v>
      </c>
      <c r="M59" s="142">
        <f>SUM(K59:K61)*$M$5*L59</f>
        <v>72.924953447694776</v>
      </c>
      <c r="N59" s="133"/>
      <c r="O59" s="133"/>
      <c r="P59" s="133"/>
    </row>
    <row r="60" spans="1:16" x14ac:dyDescent="0.25">
      <c r="A60" s="133"/>
      <c r="B60" s="133"/>
      <c r="C60" s="133">
        <v>142</v>
      </c>
      <c r="D60" s="133">
        <v>142</v>
      </c>
      <c r="E60" s="133" t="s">
        <v>287</v>
      </c>
      <c r="F60" s="1" t="str">
        <f t="shared" si="3"/>
        <v>15 - 2</v>
      </c>
      <c r="G60" s="133" t="s">
        <v>289</v>
      </c>
      <c r="H60" s="1">
        <f t="shared" si="4"/>
        <v>15</v>
      </c>
      <c r="I60" s="1">
        <f t="shared" si="2"/>
        <v>2</v>
      </c>
      <c r="J60" s="140">
        <v>3053</v>
      </c>
      <c r="K60" s="141">
        <v>2.8087600000000004</v>
      </c>
      <c r="L60" s="133"/>
      <c r="M60" s="142"/>
      <c r="N60" s="133"/>
      <c r="O60" s="133"/>
      <c r="P60" s="133"/>
    </row>
    <row r="61" spans="1:16" x14ac:dyDescent="0.25">
      <c r="A61" s="133"/>
      <c r="B61" s="133"/>
      <c r="C61" s="133">
        <v>64</v>
      </c>
      <c r="D61" s="133">
        <v>64</v>
      </c>
      <c r="E61" s="133" t="s">
        <v>287</v>
      </c>
      <c r="F61" s="1" t="str">
        <f t="shared" si="3"/>
        <v>15 - 3</v>
      </c>
      <c r="G61" s="133" t="s">
        <v>287</v>
      </c>
      <c r="H61" s="1">
        <f t="shared" si="4"/>
        <v>15</v>
      </c>
      <c r="I61" s="1">
        <f t="shared" si="2"/>
        <v>3</v>
      </c>
      <c r="J61" s="140">
        <v>5359</v>
      </c>
      <c r="K61" s="141">
        <v>4.9302800000000007</v>
      </c>
      <c r="L61" s="133"/>
      <c r="M61" s="142"/>
      <c r="N61" s="133"/>
      <c r="O61" s="133"/>
      <c r="P61" s="133"/>
    </row>
    <row r="62" spans="1:16" x14ac:dyDescent="0.25">
      <c r="A62" s="139">
        <v>16</v>
      </c>
      <c r="B62" s="138" t="s">
        <v>405</v>
      </c>
      <c r="C62" s="133">
        <v>148</v>
      </c>
      <c r="D62" s="133">
        <v>148</v>
      </c>
      <c r="E62" s="133" t="s">
        <v>290</v>
      </c>
      <c r="F62" s="1" t="str">
        <f t="shared" si="3"/>
        <v>16 - 1</v>
      </c>
      <c r="G62" s="133" t="s">
        <v>291</v>
      </c>
      <c r="H62" s="1">
        <f t="shared" si="4"/>
        <v>16</v>
      </c>
      <c r="I62" s="1">
        <f t="shared" si="2"/>
        <v>1</v>
      </c>
      <c r="J62" s="140">
        <v>3401</v>
      </c>
      <c r="K62" s="141">
        <v>3.1289199999999999</v>
      </c>
      <c r="L62" s="142">
        <v>74.580056967443639</v>
      </c>
      <c r="M62" s="142">
        <f>SUM(K62:K66)*$M$5*L62</f>
        <v>1417.0559858480899</v>
      </c>
      <c r="N62" s="133"/>
      <c r="O62" s="133"/>
      <c r="P62" s="133"/>
    </row>
    <row r="63" spans="1:16" x14ac:dyDescent="0.25">
      <c r="A63" s="133"/>
      <c r="B63" s="133"/>
      <c r="C63" s="133">
        <v>48</v>
      </c>
      <c r="D63" s="133">
        <v>48</v>
      </c>
      <c r="E63" s="133" t="s">
        <v>292</v>
      </c>
      <c r="F63" s="1" t="str">
        <f t="shared" si="3"/>
        <v>16 - 2</v>
      </c>
      <c r="G63" s="133" t="s">
        <v>292</v>
      </c>
      <c r="H63" s="1">
        <f t="shared" si="4"/>
        <v>16</v>
      </c>
      <c r="I63" s="1">
        <f t="shared" si="2"/>
        <v>2</v>
      </c>
      <c r="J63" s="140">
        <v>48899</v>
      </c>
      <c r="K63" s="141">
        <v>51.832940000000001</v>
      </c>
      <c r="L63" s="133"/>
      <c r="M63" s="142"/>
      <c r="N63" s="133"/>
      <c r="O63" s="133"/>
      <c r="P63" s="133"/>
    </row>
    <row r="64" spans="1:16" x14ac:dyDescent="0.25">
      <c r="A64" s="133"/>
      <c r="B64" s="133"/>
      <c r="C64" s="133">
        <v>85</v>
      </c>
      <c r="D64" s="133">
        <v>85</v>
      </c>
      <c r="E64" s="133" t="s">
        <v>290</v>
      </c>
      <c r="F64" s="1" t="str">
        <f t="shared" si="3"/>
        <v>16 - 3</v>
      </c>
      <c r="G64" s="133" t="s">
        <v>293</v>
      </c>
      <c r="H64" s="1">
        <f t="shared" si="4"/>
        <v>16</v>
      </c>
      <c r="I64" s="1">
        <f t="shared" si="2"/>
        <v>3</v>
      </c>
      <c r="J64" s="140">
        <v>10918</v>
      </c>
      <c r="K64" s="141">
        <v>10.044560000000001</v>
      </c>
      <c r="L64" s="133"/>
      <c r="M64" s="142"/>
      <c r="N64" s="133"/>
      <c r="O64" s="133"/>
      <c r="P64" s="133"/>
    </row>
    <row r="65" spans="1:16" x14ac:dyDescent="0.25">
      <c r="A65" s="133"/>
      <c r="B65" s="133"/>
      <c r="C65" s="133">
        <v>75</v>
      </c>
      <c r="D65" s="133">
        <v>75</v>
      </c>
      <c r="E65" s="133" t="s">
        <v>294</v>
      </c>
      <c r="F65" s="1" t="str">
        <f t="shared" si="3"/>
        <v>16 - 4</v>
      </c>
      <c r="G65" s="133" t="s">
        <v>295</v>
      </c>
      <c r="H65" s="1">
        <f t="shared" si="4"/>
        <v>16</v>
      </c>
      <c r="I65" s="1">
        <f t="shared" si="2"/>
        <v>4</v>
      </c>
      <c r="J65" s="140">
        <v>17552</v>
      </c>
      <c r="K65" s="141">
        <v>18.605120000000003</v>
      </c>
      <c r="L65" s="133"/>
      <c r="M65" s="142"/>
      <c r="N65" s="133"/>
      <c r="O65" s="133"/>
      <c r="P65" s="133"/>
    </row>
    <row r="66" spans="1:16" x14ac:dyDescent="0.25">
      <c r="A66" s="133"/>
      <c r="B66" s="133"/>
      <c r="C66" s="133">
        <v>79</v>
      </c>
      <c r="D66" s="133">
        <v>79</v>
      </c>
      <c r="E66" s="133" t="s">
        <v>296</v>
      </c>
      <c r="F66" s="1" t="str">
        <f t="shared" si="3"/>
        <v>16 - 5</v>
      </c>
      <c r="G66" s="133" t="s">
        <v>296</v>
      </c>
      <c r="H66" s="1">
        <f t="shared" si="4"/>
        <v>16</v>
      </c>
      <c r="I66" s="1">
        <f t="shared" si="2"/>
        <v>5</v>
      </c>
      <c r="J66" s="140">
        <v>104307</v>
      </c>
      <c r="K66" s="141">
        <v>106.39314</v>
      </c>
      <c r="L66" s="133"/>
      <c r="M66" s="142"/>
      <c r="N66" s="133"/>
      <c r="O66" s="133"/>
      <c r="P66" s="133"/>
    </row>
    <row r="67" spans="1:16" x14ac:dyDescent="0.25">
      <c r="A67" s="139">
        <v>17</v>
      </c>
      <c r="B67" s="138" t="s">
        <v>406</v>
      </c>
      <c r="C67" s="133">
        <v>72</v>
      </c>
      <c r="D67" s="133">
        <v>72</v>
      </c>
      <c r="E67" s="133" t="s">
        <v>297</v>
      </c>
      <c r="F67" s="1" t="str">
        <f t="shared" si="3"/>
        <v>17 - 1</v>
      </c>
      <c r="G67" s="133" t="s">
        <v>297</v>
      </c>
      <c r="H67" s="1">
        <f t="shared" si="4"/>
        <v>17</v>
      </c>
      <c r="I67" s="1">
        <f t="shared" si="2"/>
        <v>1</v>
      </c>
      <c r="J67" s="140">
        <v>7666</v>
      </c>
      <c r="K67" s="141">
        <v>7.0527199999999999</v>
      </c>
      <c r="L67" s="142">
        <v>74.721508812027054</v>
      </c>
      <c r="M67" s="142">
        <f>SUM(K67:K68)*$M$5*L67</f>
        <v>301.80600236946469</v>
      </c>
      <c r="N67" s="133"/>
      <c r="O67" s="133"/>
      <c r="P67" s="133"/>
    </row>
    <row r="68" spans="1:16" x14ac:dyDescent="0.25">
      <c r="A68" s="133"/>
      <c r="B68" s="133"/>
      <c r="C68" s="133">
        <v>86</v>
      </c>
      <c r="D68" s="133">
        <v>86</v>
      </c>
      <c r="E68" s="133" t="s">
        <v>298</v>
      </c>
      <c r="F68" s="1" t="str">
        <f t="shared" si="3"/>
        <v>17 - 2</v>
      </c>
      <c r="G68" s="133" t="s">
        <v>298</v>
      </c>
      <c r="H68" s="1">
        <f t="shared" si="4"/>
        <v>17</v>
      </c>
      <c r="I68" s="1">
        <f t="shared" si="2"/>
        <v>2</v>
      </c>
      <c r="J68" s="140">
        <v>31451</v>
      </c>
      <c r="K68" s="141">
        <v>33.338060000000006</v>
      </c>
      <c r="L68" s="133"/>
      <c r="M68" s="142"/>
      <c r="N68" s="133"/>
      <c r="O68" s="133"/>
      <c r="P68" s="133"/>
    </row>
    <row r="69" spans="1:16" x14ac:dyDescent="0.25">
      <c r="A69" s="139">
        <v>18</v>
      </c>
      <c r="B69" s="138" t="s">
        <v>407</v>
      </c>
      <c r="C69" s="133">
        <v>53</v>
      </c>
      <c r="D69" s="133">
        <v>53</v>
      </c>
      <c r="E69" s="133" t="s">
        <v>299</v>
      </c>
      <c r="F69" s="1" t="str">
        <f t="shared" si="3"/>
        <v>18 - 1</v>
      </c>
      <c r="G69" s="133" t="s">
        <v>299</v>
      </c>
      <c r="H69" s="1">
        <f t="shared" si="4"/>
        <v>18</v>
      </c>
      <c r="I69" s="1">
        <f t="shared" si="2"/>
        <v>1</v>
      </c>
      <c r="J69" s="140">
        <v>11701</v>
      </c>
      <c r="K69" s="141">
        <v>10.76492</v>
      </c>
      <c r="L69" s="142">
        <v>72.979570754830107</v>
      </c>
      <c r="M69" s="142">
        <f>SUM(K69:K70)*$M$5*L69</f>
        <v>278.70343426531883</v>
      </c>
      <c r="N69" s="133"/>
      <c r="O69" s="133"/>
      <c r="P69" s="133"/>
    </row>
    <row r="70" spans="1:16" x14ac:dyDescent="0.25">
      <c r="A70" s="133"/>
      <c r="B70" s="133"/>
      <c r="C70" s="133">
        <v>96</v>
      </c>
      <c r="D70" s="133">
        <v>96</v>
      </c>
      <c r="E70" s="133" t="s">
        <v>300</v>
      </c>
      <c r="F70" s="1" t="str">
        <f t="shared" si="3"/>
        <v>18 - 2</v>
      </c>
      <c r="G70" s="133" t="s">
        <v>300</v>
      </c>
      <c r="H70" s="1">
        <f t="shared" si="4"/>
        <v>18</v>
      </c>
      <c r="I70" s="1">
        <f t="shared" si="2"/>
        <v>2</v>
      </c>
      <c r="J70" s="140">
        <v>25872</v>
      </c>
      <c r="K70" s="141">
        <v>27.424319999999998</v>
      </c>
      <c r="L70" s="133"/>
      <c r="M70" s="142"/>
      <c r="N70" s="133"/>
      <c r="O70" s="133"/>
      <c r="P70" s="133"/>
    </row>
    <row r="71" spans="1:16" x14ac:dyDescent="0.25">
      <c r="A71" s="139">
        <v>19</v>
      </c>
      <c r="B71" s="138" t="s">
        <v>408</v>
      </c>
      <c r="C71" s="133">
        <v>125</v>
      </c>
      <c r="D71" s="133">
        <v>125</v>
      </c>
      <c r="E71" s="133" t="s">
        <v>301</v>
      </c>
      <c r="F71" s="1" t="str">
        <f t="shared" ref="F71:F102" si="5">CONCATENATE(H71," - ",I71)</f>
        <v>19 - 1</v>
      </c>
      <c r="G71" s="133" t="s">
        <v>301</v>
      </c>
      <c r="H71" s="1">
        <f t="shared" si="4"/>
        <v>19</v>
      </c>
      <c r="I71" s="1">
        <f t="shared" si="2"/>
        <v>1</v>
      </c>
      <c r="J71" s="140">
        <v>11656</v>
      </c>
      <c r="K71" s="141">
        <v>10.723520000000001</v>
      </c>
      <c r="L71" s="142">
        <v>74.986441045886181</v>
      </c>
      <c r="M71" s="142">
        <f>SUM(K71:K75)*$M$5*L71</f>
        <v>1189.779865498658</v>
      </c>
      <c r="N71" s="133"/>
      <c r="O71" s="133"/>
      <c r="P71" s="133"/>
    </row>
    <row r="72" spans="1:16" x14ac:dyDescent="0.25">
      <c r="A72" s="133"/>
      <c r="B72" s="133"/>
      <c r="C72" s="133">
        <v>94</v>
      </c>
      <c r="D72" s="133">
        <v>94</v>
      </c>
      <c r="E72" s="133" t="s">
        <v>302</v>
      </c>
      <c r="F72" s="1" t="str">
        <f t="shared" si="5"/>
        <v>19 - 2</v>
      </c>
      <c r="G72" s="133" t="s">
        <v>302</v>
      </c>
      <c r="H72" s="1">
        <f t="shared" ref="H72:H103" si="6">IF(A72="",H71,A72)</f>
        <v>19</v>
      </c>
      <c r="I72" s="1">
        <f t="shared" si="2"/>
        <v>2</v>
      </c>
      <c r="J72" s="140">
        <v>69315</v>
      </c>
      <c r="K72" s="141">
        <v>70.701300000000003</v>
      </c>
      <c r="L72" s="133"/>
      <c r="M72" s="142"/>
      <c r="N72" s="133"/>
      <c r="O72" s="133"/>
      <c r="P72" s="133"/>
    </row>
    <row r="73" spans="1:16" x14ac:dyDescent="0.25">
      <c r="A73" s="133"/>
      <c r="B73" s="133"/>
      <c r="C73" s="133">
        <v>88</v>
      </c>
      <c r="D73" s="133">
        <v>88</v>
      </c>
      <c r="E73" s="133" t="s">
        <v>303</v>
      </c>
      <c r="F73" s="1" t="str">
        <f t="shared" si="5"/>
        <v>19 - 3</v>
      </c>
      <c r="G73" s="133" t="s">
        <v>303</v>
      </c>
      <c r="H73" s="1">
        <f t="shared" si="6"/>
        <v>19</v>
      </c>
      <c r="I73" s="1">
        <f t="shared" ref="I73:I136" si="7">IF(H73=H72,I72+1,1)</f>
        <v>3</v>
      </c>
      <c r="J73" s="140">
        <v>39793</v>
      </c>
      <c r="K73" s="141">
        <v>42.180579999999999</v>
      </c>
      <c r="L73" s="133"/>
      <c r="M73" s="142"/>
      <c r="N73" s="133"/>
      <c r="O73" s="133"/>
      <c r="P73" s="133"/>
    </row>
    <row r="74" spans="1:16" x14ac:dyDescent="0.25">
      <c r="A74" s="133"/>
      <c r="B74" s="133"/>
      <c r="C74" s="133">
        <v>69</v>
      </c>
      <c r="D74" s="133">
        <v>69</v>
      </c>
      <c r="E74" s="133" t="s">
        <v>304</v>
      </c>
      <c r="F74" s="1" t="str">
        <f t="shared" si="5"/>
        <v>19 - 4</v>
      </c>
      <c r="G74" s="133" t="s">
        <v>304</v>
      </c>
      <c r="H74" s="1">
        <f t="shared" si="6"/>
        <v>19</v>
      </c>
      <c r="I74" s="1">
        <f t="shared" si="7"/>
        <v>4</v>
      </c>
      <c r="J74" s="140">
        <v>15983</v>
      </c>
      <c r="K74" s="141">
        <v>14.704360000000001</v>
      </c>
      <c r="L74" s="133"/>
      <c r="M74" s="142"/>
      <c r="N74" s="133"/>
      <c r="O74" s="133"/>
      <c r="P74" s="133"/>
    </row>
    <row r="75" spans="1:16" x14ac:dyDescent="0.25">
      <c r="A75" s="133"/>
      <c r="B75" s="133"/>
      <c r="C75" s="133">
        <v>97</v>
      </c>
      <c r="D75" s="133">
        <v>97</v>
      </c>
      <c r="E75" s="133" t="s">
        <v>305</v>
      </c>
      <c r="F75" s="1" t="str">
        <f t="shared" si="5"/>
        <v>19 - 5</v>
      </c>
      <c r="G75" s="133" t="s">
        <v>305</v>
      </c>
      <c r="H75" s="1">
        <f t="shared" si="6"/>
        <v>19</v>
      </c>
      <c r="I75" s="1">
        <f t="shared" si="7"/>
        <v>5</v>
      </c>
      <c r="J75" s="140">
        <v>19204</v>
      </c>
      <c r="K75" s="141">
        <v>20.356240000000003</v>
      </c>
      <c r="L75" s="133"/>
      <c r="M75" s="142"/>
      <c r="N75" s="133"/>
      <c r="O75" s="133"/>
      <c r="P75" s="133"/>
    </row>
    <row r="76" spans="1:16" x14ac:dyDescent="0.25">
      <c r="A76" s="139">
        <v>20</v>
      </c>
      <c r="B76" s="138" t="s">
        <v>409</v>
      </c>
      <c r="C76" s="133">
        <v>98</v>
      </c>
      <c r="D76" s="133">
        <v>98</v>
      </c>
      <c r="E76" s="133" t="s">
        <v>306</v>
      </c>
      <c r="F76" s="1" t="str">
        <f t="shared" si="5"/>
        <v>20 - 1</v>
      </c>
      <c r="G76" s="133" t="s">
        <v>307</v>
      </c>
      <c r="H76" s="1">
        <f t="shared" si="6"/>
        <v>20</v>
      </c>
      <c r="I76" s="1">
        <f t="shared" si="7"/>
        <v>1</v>
      </c>
      <c r="J76" s="140">
        <v>119665</v>
      </c>
      <c r="K76" s="141">
        <v>122.0583</v>
      </c>
      <c r="L76" s="142">
        <v>74.597715044078441</v>
      </c>
      <c r="M76" s="142">
        <f>SUM(K76:K77)*$M$5*L76</f>
        <v>1017.1367115219778</v>
      </c>
      <c r="N76" s="133"/>
      <c r="O76" s="133"/>
      <c r="P76" s="133"/>
    </row>
    <row r="77" spans="1:16" x14ac:dyDescent="0.25">
      <c r="A77" s="133"/>
      <c r="B77" s="133"/>
      <c r="C77" s="133">
        <v>87</v>
      </c>
      <c r="D77" s="133">
        <v>87</v>
      </c>
      <c r="E77" s="133" t="s">
        <v>308</v>
      </c>
      <c r="F77" s="1" t="str">
        <f t="shared" si="5"/>
        <v>20 - 2</v>
      </c>
      <c r="G77" s="133" t="s">
        <v>308</v>
      </c>
      <c r="H77" s="1">
        <f t="shared" si="6"/>
        <v>20</v>
      </c>
      <c r="I77" s="1">
        <f t="shared" si="7"/>
        <v>2</v>
      </c>
      <c r="J77" s="140">
        <v>15534</v>
      </c>
      <c r="K77" s="141">
        <v>14.29128</v>
      </c>
      <c r="L77" s="133"/>
      <c r="M77" s="142"/>
      <c r="N77" s="133"/>
      <c r="O77" s="133"/>
      <c r="P77" s="133"/>
    </row>
    <row r="78" spans="1:16" x14ac:dyDescent="0.25">
      <c r="A78" s="139">
        <v>21</v>
      </c>
      <c r="B78" s="138" t="s">
        <v>410</v>
      </c>
      <c r="C78" s="133">
        <v>118</v>
      </c>
      <c r="D78" s="133">
        <v>118</v>
      </c>
      <c r="E78" s="133" t="s">
        <v>309</v>
      </c>
      <c r="F78" s="1" t="str">
        <f t="shared" si="5"/>
        <v>21 - 1</v>
      </c>
      <c r="G78" s="133" t="s">
        <v>309</v>
      </c>
      <c r="H78" s="1">
        <f t="shared" si="6"/>
        <v>21</v>
      </c>
      <c r="I78" s="1">
        <f t="shared" si="7"/>
        <v>1</v>
      </c>
      <c r="J78" s="140">
        <v>39305</v>
      </c>
      <c r="K78" s="141">
        <v>41.6633</v>
      </c>
      <c r="L78" s="142">
        <v>76.058098753194102</v>
      </c>
      <c r="M78" s="142">
        <f>SUM(K78:K82)*$M$5*L78</f>
        <v>1836.5399238679515</v>
      </c>
      <c r="N78" s="133"/>
      <c r="O78" s="133"/>
      <c r="P78" s="133"/>
    </row>
    <row r="79" spans="1:16" x14ac:dyDescent="0.25">
      <c r="A79" s="133"/>
      <c r="B79" s="133"/>
      <c r="C79" s="133">
        <v>51</v>
      </c>
      <c r="D79" s="133">
        <v>51</v>
      </c>
      <c r="E79" s="133" t="s">
        <v>310</v>
      </c>
      <c r="F79" s="1" t="str">
        <f t="shared" si="5"/>
        <v>21 - 2</v>
      </c>
      <c r="G79" s="133" t="s">
        <v>310</v>
      </c>
      <c r="H79" s="1">
        <f t="shared" si="6"/>
        <v>21</v>
      </c>
      <c r="I79" s="1">
        <f t="shared" si="7"/>
        <v>2</v>
      </c>
      <c r="J79" s="140">
        <v>29078</v>
      </c>
      <c r="K79" s="141">
        <v>30.822680000000002</v>
      </c>
      <c r="L79" s="133"/>
      <c r="M79" s="142"/>
      <c r="N79" s="133"/>
      <c r="O79" s="133"/>
      <c r="P79" s="133"/>
    </row>
    <row r="80" spans="1:16" x14ac:dyDescent="0.25">
      <c r="A80" s="133"/>
      <c r="B80" s="133"/>
      <c r="C80" s="133">
        <v>30</v>
      </c>
      <c r="D80" s="133">
        <v>30</v>
      </c>
      <c r="E80" s="133" t="s">
        <v>311</v>
      </c>
      <c r="F80" s="1" t="str">
        <f t="shared" si="5"/>
        <v>21 - 3</v>
      </c>
      <c r="G80" s="133" t="s">
        <v>311</v>
      </c>
      <c r="H80" s="1">
        <f t="shared" si="6"/>
        <v>21</v>
      </c>
      <c r="I80" s="1">
        <f t="shared" si="7"/>
        <v>3</v>
      </c>
      <c r="J80" s="140">
        <v>33099</v>
      </c>
      <c r="K80" s="141">
        <v>35.084940000000003</v>
      </c>
      <c r="L80" s="133"/>
      <c r="M80" s="142"/>
      <c r="N80" s="133"/>
      <c r="O80" s="133"/>
      <c r="P80" s="133"/>
    </row>
    <row r="81" spans="1:16" x14ac:dyDescent="0.25">
      <c r="A81" s="133"/>
      <c r="B81" s="133"/>
      <c r="C81" s="133">
        <v>113</v>
      </c>
      <c r="D81" s="133">
        <v>113</v>
      </c>
      <c r="E81" s="133" t="s">
        <v>312</v>
      </c>
      <c r="F81" s="1" t="str">
        <f t="shared" si="5"/>
        <v>21 - 4</v>
      </c>
      <c r="G81" s="133" t="s">
        <v>312</v>
      </c>
      <c r="H81" s="1">
        <f t="shared" si="6"/>
        <v>21</v>
      </c>
      <c r="I81" s="1">
        <f t="shared" si="7"/>
        <v>4</v>
      </c>
      <c r="J81" s="140">
        <v>23029</v>
      </c>
      <c r="K81" s="141">
        <v>24.410740000000001</v>
      </c>
      <c r="L81" s="133"/>
      <c r="M81" s="142"/>
      <c r="N81" s="133"/>
      <c r="O81" s="133"/>
      <c r="P81" s="133"/>
    </row>
    <row r="82" spans="1:16" x14ac:dyDescent="0.25">
      <c r="A82" s="133"/>
      <c r="B82" s="133"/>
      <c r="C82" s="133">
        <v>103</v>
      </c>
      <c r="D82" s="133">
        <v>103</v>
      </c>
      <c r="E82" s="133" t="s">
        <v>313</v>
      </c>
      <c r="F82" s="1" t="str">
        <f t="shared" si="5"/>
        <v>21 - 5</v>
      </c>
      <c r="G82" s="133" t="s">
        <v>313</v>
      </c>
      <c r="H82" s="1">
        <f t="shared" si="6"/>
        <v>21</v>
      </c>
      <c r="I82" s="1">
        <f t="shared" si="7"/>
        <v>5</v>
      </c>
      <c r="J82" s="140">
        <v>107337</v>
      </c>
      <c r="K82" s="141">
        <v>109.48374000000001</v>
      </c>
      <c r="L82" s="133"/>
      <c r="M82" s="142"/>
      <c r="N82" s="133"/>
      <c r="O82" s="133"/>
      <c r="P82" s="133"/>
    </row>
    <row r="83" spans="1:16" x14ac:dyDescent="0.25">
      <c r="A83" s="139">
        <v>22</v>
      </c>
      <c r="B83" s="138" t="s">
        <v>411</v>
      </c>
      <c r="C83" s="133">
        <v>110</v>
      </c>
      <c r="D83" s="133">
        <v>110</v>
      </c>
      <c r="E83" s="133" t="s">
        <v>314</v>
      </c>
      <c r="F83" s="1" t="str">
        <f t="shared" si="5"/>
        <v>22 - 1</v>
      </c>
      <c r="G83" s="133" t="s">
        <v>314</v>
      </c>
      <c r="H83" s="1">
        <f t="shared" si="6"/>
        <v>22</v>
      </c>
      <c r="I83" s="1">
        <f t="shared" si="7"/>
        <v>1</v>
      </c>
      <c r="J83" s="140">
        <v>18866</v>
      </c>
      <c r="K83" s="141">
        <v>19.997960000000003</v>
      </c>
      <c r="L83" s="142">
        <v>73.799994452221483</v>
      </c>
      <c r="M83" s="142">
        <f>SUM(K83:K85)*$M$5*L83</f>
        <v>1565.5104263156402</v>
      </c>
      <c r="N83" s="133"/>
      <c r="O83" s="133"/>
      <c r="P83" s="133"/>
    </row>
    <row r="84" spans="1:16" x14ac:dyDescent="0.25">
      <c r="A84" s="133"/>
      <c r="B84" s="133"/>
      <c r="C84" s="133">
        <v>151</v>
      </c>
      <c r="D84" s="133">
        <v>151</v>
      </c>
      <c r="E84" s="133" t="s">
        <v>314</v>
      </c>
      <c r="F84" s="1" t="str">
        <f t="shared" si="5"/>
        <v>22 - 2</v>
      </c>
      <c r="G84" s="133" t="s">
        <v>315</v>
      </c>
      <c r="H84" s="1">
        <f t="shared" si="6"/>
        <v>22</v>
      </c>
      <c r="I84" s="1">
        <f t="shared" si="7"/>
        <v>2</v>
      </c>
      <c r="J84" s="140">
        <v>13601</v>
      </c>
      <c r="K84" s="141">
        <v>12.512919999999999</v>
      </c>
      <c r="L84" s="133"/>
      <c r="M84" s="142"/>
      <c r="N84" s="133"/>
      <c r="O84" s="133"/>
      <c r="P84" s="133"/>
    </row>
    <row r="85" spans="1:16" x14ac:dyDescent="0.25">
      <c r="A85" s="133"/>
      <c r="B85" s="133"/>
      <c r="C85" s="133">
        <v>122</v>
      </c>
      <c r="D85" s="133">
        <v>122</v>
      </c>
      <c r="E85" s="133" t="s">
        <v>316</v>
      </c>
      <c r="F85" s="1" t="str">
        <f t="shared" si="5"/>
        <v>22 - 3</v>
      </c>
      <c r="G85" s="133" t="s">
        <v>317</v>
      </c>
      <c r="H85" s="1">
        <f t="shared" si="6"/>
        <v>22</v>
      </c>
      <c r="I85" s="1">
        <f t="shared" si="7"/>
        <v>3</v>
      </c>
      <c r="J85" s="140">
        <v>176096</v>
      </c>
      <c r="K85" s="141">
        <v>179.61792000000003</v>
      </c>
      <c r="L85" s="133"/>
      <c r="M85" s="142"/>
      <c r="N85" s="133"/>
      <c r="O85" s="133"/>
      <c r="P85" s="133"/>
    </row>
    <row r="86" spans="1:16" x14ac:dyDescent="0.25">
      <c r="A86" s="139">
        <v>23</v>
      </c>
      <c r="B86" s="138" t="s">
        <v>412</v>
      </c>
      <c r="C86" s="133">
        <v>84</v>
      </c>
      <c r="D86" s="133">
        <v>84</v>
      </c>
      <c r="E86" s="133" t="s">
        <v>318</v>
      </c>
      <c r="F86" s="1" t="str">
        <f t="shared" si="5"/>
        <v>23 - 1</v>
      </c>
      <c r="G86" s="133" t="s">
        <v>318</v>
      </c>
      <c r="H86" s="1">
        <f t="shared" si="6"/>
        <v>23</v>
      </c>
      <c r="I86" s="1">
        <f t="shared" si="7"/>
        <v>1</v>
      </c>
      <c r="J86" s="140">
        <v>27909</v>
      </c>
      <c r="K86" s="141">
        <v>29.583539999999999</v>
      </c>
      <c r="L86" s="142">
        <v>76.246592085405808</v>
      </c>
      <c r="M86" s="142">
        <f>SUM(K86:K90)*$M$5*L86</f>
        <v>920.05069995114889</v>
      </c>
      <c r="N86" s="133"/>
      <c r="O86" s="133"/>
      <c r="P86" s="133"/>
    </row>
    <row r="87" spans="1:16" x14ac:dyDescent="0.25">
      <c r="A87" s="133"/>
      <c r="B87" s="133"/>
      <c r="C87" s="133">
        <v>114</v>
      </c>
      <c r="D87" s="133">
        <v>114</v>
      </c>
      <c r="E87" s="133" t="s">
        <v>319</v>
      </c>
      <c r="F87" s="1" t="str">
        <f t="shared" si="5"/>
        <v>23 - 2</v>
      </c>
      <c r="G87" s="133" t="s">
        <v>319</v>
      </c>
      <c r="H87" s="1">
        <f t="shared" si="6"/>
        <v>23</v>
      </c>
      <c r="I87" s="1">
        <f t="shared" si="7"/>
        <v>2</v>
      </c>
      <c r="J87" s="140">
        <v>16071</v>
      </c>
      <c r="K87" s="141">
        <v>14.785320000000002</v>
      </c>
      <c r="L87" s="133"/>
      <c r="M87" s="142"/>
      <c r="N87" s="133"/>
      <c r="O87" s="133"/>
      <c r="P87" s="133"/>
    </row>
    <row r="88" spans="1:16" x14ac:dyDescent="0.25">
      <c r="A88" s="133"/>
      <c r="B88" s="133"/>
      <c r="C88" s="133">
        <v>63</v>
      </c>
      <c r="D88" s="133">
        <v>63</v>
      </c>
      <c r="E88" s="133" t="s">
        <v>320</v>
      </c>
      <c r="F88" s="1" t="str">
        <f t="shared" si="5"/>
        <v>23 - 3</v>
      </c>
      <c r="G88" s="133" t="s">
        <v>320</v>
      </c>
      <c r="H88" s="1">
        <f t="shared" si="6"/>
        <v>23</v>
      </c>
      <c r="I88" s="1">
        <f t="shared" si="7"/>
        <v>3</v>
      </c>
      <c r="J88" s="140">
        <v>10584</v>
      </c>
      <c r="K88" s="141">
        <v>9.7372800000000002</v>
      </c>
      <c r="L88" s="133"/>
      <c r="M88" s="142"/>
      <c r="N88" s="133"/>
      <c r="O88" s="133"/>
      <c r="P88" s="133"/>
    </row>
    <row r="89" spans="1:16" x14ac:dyDescent="0.25">
      <c r="A89" s="133"/>
      <c r="B89" s="133"/>
      <c r="C89" s="133">
        <v>25</v>
      </c>
      <c r="D89" s="133">
        <v>25</v>
      </c>
      <c r="E89" s="133" t="s">
        <v>321</v>
      </c>
      <c r="F89" s="1" t="str">
        <f t="shared" si="5"/>
        <v>23 - 4</v>
      </c>
      <c r="G89" s="133" t="s">
        <v>321</v>
      </c>
      <c r="H89" s="1">
        <f t="shared" si="6"/>
        <v>23</v>
      </c>
      <c r="I89" s="1">
        <f t="shared" si="7"/>
        <v>4</v>
      </c>
      <c r="J89" s="140">
        <v>25868</v>
      </c>
      <c r="K89" s="141">
        <v>27.420080000000002</v>
      </c>
      <c r="L89" s="133"/>
      <c r="M89" s="142"/>
      <c r="N89" s="133"/>
      <c r="O89" s="133"/>
      <c r="P89" s="133"/>
    </row>
    <row r="90" spans="1:16" x14ac:dyDescent="0.25">
      <c r="A90" s="133"/>
      <c r="B90" s="133"/>
      <c r="C90" s="133">
        <v>116</v>
      </c>
      <c r="D90" s="133">
        <v>116</v>
      </c>
      <c r="E90" s="133" t="s">
        <v>322</v>
      </c>
      <c r="F90" s="1" t="str">
        <f t="shared" si="5"/>
        <v>23 - 5</v>
      </c>
      <c r="G90" s="133" t="s">
        <v>322</v>
      </c>
      <c r="H90" s="1">
        <f t="shared" si="6"/>
        <v>23</v>
      </c>
      <c r="I90" s="1">
        <f t="shared" si="7"/>
        <v>5</v>
      </c>
      <c r="J90" s="140">
        <v>36926</v>
      </c>
      <c r="K90" s="141">
        <v>39.141560000000005</v>
      </c>
      <c r="L90" s="133"/>
      <c r="M90" s="142"/>
      <c r="N90" s="133"/>
      <c r="O90" s="133"/>
      <c r="P90" s="133"/>
    </row>
    <row r="91" spans="1:16" x14ac:dyDescent="0.25">
      <c r="A91" s="139">
        <v>24</v>
      </c>
      <c r="B91" s="138" t="s">
        <v>413</v>
      </c>
      <c r="C91" s="133">
        <v>111</v>
      </c>
      <c r="D91" s="133">
        <v>111</v>
      </c>
      <c r="E91" s="133" t="s">
        <v>323</v>
      </c>
      <c r="F91" s="1" t="str">
        <f t="shared" si="5"/>
        <v>24 - 1</v>
      </c>
      <c r="G91" s="133" t="s">
        <v>323</v>
      </c>
      <c r="H91" s="1">
        <f t="shared" si="6"/>
        <v>24</v>
      </c>
      <c r="I91" s="1">
        <f t="shared" si="7"/>
        <v>1</v>
      </c>
      <c r="J91" s="140">
        <v>15868</v>
      </c>
      <c r="K91" s="141">
        <v>14.598560000000001</v>
      </c>
      <c r="L91" s="142">
        <v>74.518066470314054</v>
      </c>
      <c r="M91" s="142">
        <f>SUM(K91:K92)*$M$5*L91</f>
        <v>1347.7002170521885</v>
      </c>
      <c r="N91" s="133"/>
      <c r="O91" s="133"/>
      <c r="P91" s="133"/>
    </row>
    <row r="92" spans="1:16" x14ac:dyDescent="0.25">
      <c r="A92" s="133"/>
      <c r="B92" s="133"/>
      <c r="C92" s="133">
        <v>126</v>
      </c>
      <c r="D92" s="133">
        <v>126</v>
      </c>
      <c r="E92" s="133" t="s">
        <v>324</v>
      </c>
      <c r="F92" s="1" t="str">
        <f t="shared" si="5"/>
        <v>24 - 2</v>
      </c>
      <c r="G92" s="133" t="s">
        <v>324</v>
      </c>
      <c r="H92" s="1">
        <f t="shared" si="6"/>
        <v>24</v>
      </c>
      <c r="I92" s="1">
        <f t="shared" si="7"/>
        <v>2</v>
      </c>
      <c r="J92" s="140">
        <v>162997</v>
      </c>
      <c r="K92" s="141">
        <v>166.25694000000001</v>
      </c>
      <c r="L92" s="133"/>
      <c r="M92" s="142"/>
      <c r="N92" s="133"/>
      <c r="O92" s="133"/>
      <c r="P92" s="133"/>
    </row>
    <row r="93" spans="1:16" x14ac:dyDescent="0.25">
      <c r="A93" s="139">
        <v>25</v>
      </c>
      <c r="B93" s="138" t="s">
        <v>414</v>
      </c>
      <c r="C93" s="133">
        <v>132</v>
      </c>
      <c r="D93" s="133">
        <v>132</v>
      </c>
      <c r="E93" s="133" t="s">
        <v>325</v>
      </c>
      <c r="F93" s="1" t="str">
        <f t="shared" si="5"/>
        <v>25 - 1</v>
      </c>
      <c r="G93" s="133" t="s">
        <v>325</v>
      </c>
      <c r="H93" s="1">
        <f t="shared" si="6"/>
        <v>25</v>
      </c>
      <c r="I93" s="1">
        <f t="shared" si="7"/>
        <v>1</v>
      </c>
      <c r="J93" s="140">
        <v>9989</v>
      </c>
      <c r="K93" s="141">
        <v>9.1898800000000005</v>
      </c>
      <c r="L93" s="142">
        <v>73.555489500351342</v>
      </c>
      <c r="M93" s="142">
        <f>SUM(K93:K95)*$M$5*L93</f>
        <v>436.28791308825799</v>
      </c>
      <c r="N93" s="133"/>
      <c r="O93" s="133"/>
      <c r="P93" s="133"/>
    </row>
    <row r="94" spans="1:16" x14ac:dyDescent="0.25">
      <c r="A94" s="133"/>
      <c r="B94" s="133"/>
      <c r="C94" s="133">
        <v>102</v>
      </c>
      <c r="D94" s="133">
        <v>102</v>
      </c>
      <c r="E94" s="133" t="s">
        <v>326</v>
      </c>
      <c r="F94" s="1" t="str">
        <f t="shared" si="5"/>
        <v>25 - 2</v>
      </c>
      <c r="G94" s="133" t="s">
        <v>326</v>
      </c>
      <c r="H94" s="1">
        <f t="shared" si="6"/>
        <v>25</v>
      </c>
      <c r="I94" s="1">
        <f t="shared" si="7"/>
        <v>2</v>
      </c>
      <c r="J94" s="140">
        <v>5898</v>
      </c>
      <c r="K94" s="141">
        <v>5.4261599999999994</v>
      </c>
      <c r="L94" s="133"/>
      <c r="M94" s="142"/>
      <c r="N94" s="133"/>
      <c r="O94" s="133"/>
      <c r="P94" s="133"/>
    </row>
    <row r="95" spans="1:16" x14ac:dyDescent="0.25">
      <c r="A95" s="133"/>
      <c r="B95" s="133"/>
      <c r="C95" s="133">
        <v>130</v>
      </c>
      <c r="D95" s="133">
        <v>130</v>
      </c>
      <c r="E95" s="133" t="s">
        <v>327</v>
      </c>
      <c r="F95" s="1" t="str">
        <f t="shared" si="5"/>
        <v>25 - 3</v>
      </c>
      <c r="G95" s="133" t="s">
        <v>327</v>
      </c>
      <c r="H95" s="1">
        <f t="shared" si="6"/>
        <v>25</v>
      </c>
      <c r="I95" s="1">
        <f t="shared" si="7"/>
        <v>3</v>
      </c>
      <c r="J95" s="140">
        <v>42168</v>
      </c>
      <c r="K95" s="141">
        <v>44.698080000000004</v>
      </c>
      <c r="L95" s="133"/>
      <c r="M95" s="142"/>
      <c r="N95" s="133"/>
      <c r="O95" s="133"/>
      <c r="P95" s="133"/>
    </row>
    <row r="96" spans="1:16" x14ac:dyDescent="0.25">
      <c r="A96" s="139">
        <v>26</v>
      </c>
      <c r="B96" s="138" t="s">
        <v>415</v>
      </c>
      <c r="C96" s="133">
        <v>36</v>
      </c>
      <c r="D96" s="133">
        <v>36</v>
      </c>
      <c r="E96" s="133" t="s">
        <v>328</v>
      </c>
      <c r="F96" s="1" t="str">
        <f t="shared" si="5"/>
        <v>26 - 1</v>
      </c>
      <c r="G96" s="133" t="s">
        <v>328</v>
      </c>
      <c r="H96" s="1">
        <f t="shared" si="6"/>
        <v>26</v>
      </c>
      <c r="I96" s="1">
        <f t="shared" si="7"/>
        <v>1</v>
      </c>
      <c r="J96" s="140">
        <v>16410</v>
      </c>
      <c r="K96" s="141">
        <v>17.394600000000001</v>
      </c>
      <c r="L96" s="142">
        <v>72.265163390301339</v>
      </c>
      <c r="M96" s="142">
        <f>SUM(K96:K99)*$M$5*L96</f>
        <v>651.95751516481721</v>
      </c>
      <c r="N96" s="133"/>
      <c r="O96" s="133"/>
      <c r="P96" s="133"/>
    </row>
    <row r="97" spans="1:16" x14ac:dyDescent="0.25">
      <c r="A97" s="133"/>
      <c r="B97" s="133"/>
      <c r="C97" s="133">
        <v>121</v>
      </c>
      <c r="D97" s="133">
        <v>121</v>
      </c>
      <c r="E97" s="133" t="s">
        <v>329</v>
      </c>
      <c r="F97" s="1" t="str">
        <f t="shared" si="5"/>
        <v>26 - 2</v>
      </c>
      <c r="G97" s="133" t="s">
        <v>329</v>
      </c>
      <c r="H97" s="1">
        <f t="shared" si="6"/>
        <v>26</v>
      </c>
      <c r="I97" s="1">
        <f t="shared" si="7"/>
        <v>2</v>
      </c>
      <c r="J97" s="140">
        <v>9304</v>
      </c>
      <c r="K97" s="141">
        <v>8.5596800000000002</v>
      </c>
      <c r="L97" s="133"/>
      <c r="M97" s="142"/>
      <c r="N97" s="133"/>
      <c r="O97" s="133"/>
      <c r="P97" s="133"/>
    </row>
    <row r="98" spans="1:16" x14ac:dyDescent="0.25">
      <c r="A98" s="133"/>
      <c r="B98" s="133"/>
      <c r="C98" s="133">
        <v>28</v>
      </c>
      <c r="D98" s="133">
        <v>28</v>
      </c>
      <c r="E98" s="133" t="s">
        <v>330</v>
      </c>
      <c r="F98" s="1" t="str">
        <f t="shared" si="5"/>
        <v>26 - 3</v>
      </c>
      <c r="G98" s="133" t="s">
        <v>330</v>
      </c>
      <c r="H98" s="1">
        <f t="shared" si="6"/>
        <v>26</v>
      </c>
      <c r="I98" s="1">
        <f t="shared" si="7"/>
        <v>3</v>
      </c>
      <c r="J98" s="140">
        <v>10588</v>
      </c>
      <c r="K98" s="141">
        <v>9.7409600000000012</v>
      </c>
      <c r="L98" s="133"/>
      <c r="M98" s="142"/>
      <c r="N98" s="133"/>
      <c r="O98" s="133"/>
      <c r="P98" s="133"/>
    </row>
    <row r="99" spans="1:16" x14ac:dyDescent="0.25">
      <c r="A99" s="133"/>
      <c r="B99" s="133"/>
      <c r="C99" s="133">
        <v>131</v>
      </c>
      <c r="D99" s="133">
        <v>131</v>
      </c>
      <c r="E99" s="133" t="s">
        <v>331</v>
      </c>
      <c r="F99" s="1" t="str">
        <f t="shared" si="5"/>
        <v>26 - 4</v>
      </c>
      <c r="G99" s="133" t="s">
        <v>331</v>
      </c>
      <c r="H99" s="1">
        <f t="shared" si="6"/>
        <v>26</v>
      </c>
      <c r="I99" s="1">
        <f t="shared" si="7"/>
        <v>4</v>
      </c>
      <c r="J99" s="140">
        <v>51436</v>
      </c>
      <c r="K99" s="141">
        <v>54.522160000000007</v>
      </c>
      <c r="L99" s="133"/>
      <c r="M99" s="142"/>
    </row>
    <row r="100" spans="1:16" x14ac:dyDescent="0.25">
      <c r="A100" s="139">
        <v>27</v>
      </c>
      <c r="B100" s="138" t="s">
        <v>416</v>
      </c>
      <c r="C100" s="133">
        <v>153</v>
      </c>
      <c r="D100" s="133">
        <v>153</v>
      </c>
      <c r="E100" s="133" t="s">
        <v>224</v>
      </c>
      <c r="F100" s="1" t="str">
        <f t="shared" si="5"/>
        <v>27 - 1</v>
      </c>
      <c r="G100" s="133" t="s">
        <v>332</v>
      </c>
      <c r="H100" s="1">
        <f t="shared" si="6"/>
        <v>27</v>
      </c>
      <c r="I100" s="1">
        <f t="shared" si="7"/>
        <v>1</v>
      </c>
      <c r="J100" s="140">
        <v>8954</v>
      </c>
      <c r="K100" s="141">
        <v>8.237680000000001</v>
      </c>
      <c r="L100" s="142">
        <v>73.796009840258165</v>
      </c>
      <c r="M100" s="142">
        <f>SUM(K100:K101)*$M$5*L100</f>
        <v>262.4751387354957</v>
      </c>
    </row>
    <row r="101" spans="1:16" x14ac:dyDescent="0.25">
      <c r="A101" s="133"/>
      <c r="B101" s="133"/>
      <c r="C101" s="133">
        <v>154</v>
      </c>
      <c r="D101" s="133">
        <v>154</v>
      </c>
      <c r="E101" s="133" t="s">
        <v>224</v>
      </c>
      <c r="F101" s="1" t="str">
        <f t="shared" si="5"/>
        <v>27 - 2</v>
      </c>
      <c r="G101" s="133" t="s">
        <v>333</v>
      </c>
      <c r="H101" s="1">
        <f t="shared" si="6"/>
        <v>27</v>
      </c>
      <c r="I101" s="1">
        <f t="shared" si="7"/>
        <v>2</v>
      </c>
      <c r="J101" s="140">
        <v>25783</v>
      </c>
      <c r="K101" s="141">
        <v>27.329979999999999</v>
      </c>
      <c r="L101" s="133"/>
      <c r="M101" s="142"/>
    </row>
    <row r="102" spans="1:16" x14ac:dyDescent="0.25">
      <c r="A102" s="139">
        <v>28</v>
      </c>
      <c r="B102" s="138" t="s">
        <v>417</v>
      </c>
      <c r="C102" s="133">
        <v>135</v>
      </c>
      <c r="D102" s="133">
        <v>135</v>
      </c>
      <c r="E102" s="133" t="s">
        <v>334</v>
      </c>
      <c r="F102" s="1" t="str">
        <f t="shared" si="5"/>
        <v>28 - 1</v>
      </c>
      <c r="G102" s="133" t="s">
        <v>334</v>
      </c>
      <c r="H102" s="1">
        <f t="shared" si="6"/>
        <v>28</v>
      </c>
      <c r="I102" s="1">
        <f t="shared" si="7"/>
        <v>1</v>
      </c>
      <c r="J102" s="140">
        <v>132135</v>
      </c>
      <c r="K102" s="141">
        <v>134.77770000000001</v>
      </c>
      <c r="L102" s="142">
        <v>74.251229249445998</v>
      </c>
      <c r="M102" s="142">
        <f>SUM(K102:K103)*$M$5*L102</f>
        <v>1848.7371033493232</v>
      </c>
    </row>
    <row r="103" spans="1:16" x14ac:dyDescent="0.25">
      <c r="A103" s="133"/>
      <c r="B103" s="133"/>
      <c r="C103" s="133">
        <v>41</v>
      </c>
      <c r="D103" s="133">
        <v>41</v>
      </c>
      <c r="E103" s="133" t="s">
        <v>335</v>
      </c>
      <c r="F103" s="1" t="str">
        <f t="shared" ref="F103:F134" si="8">CONCATENATE(H103," - ",I103)</f>
        <v>28 - 2</v>
      </c>
      <c r="G103" s="133" t="s">
        <v>335</v>
      </c>
      <c r="H103" s="1">
        <f t="shared" si="6"/>
        <v>28</v>
      </c>
      <c r="I103" s="1">
        <f t="shared" si="7"/>
        <v>2</v>
      </c>
      <c r="J103" s="140">
        <v>111967</v>
      </c>
      <c r="K103" s="141">
        <v>114.20634</v>
      </c>
      <c r="L103" s="133"/>
      <c r="M103" s="142"/>
    </row>
    <row r="104" spans="1:16" x14ac:dyDescent="0.25">
      <c r="A104" s="139">
        <v>29</v>
      </c>
      <c r="B104" s="138" t="s">
        <v>418</v>
      </c>
      <c r="C104" s="133">
        <v>62</v>
      </c>
      <c r="D104" s="133">
        <v>62</v>
      </c>
      <c r="E104" s="133" t="s">
        <v>336</v>
      </c>
      <c r="F104" s="1" t="str">
        <f t="shared" si="8"/>
        <v>29 - 1</v>
      </c>
      <c r="G104" s="133" t="s">
        <v>337</v>
      </c>
      <c r="H104" s="1">
        <f t="shared" ref="H104:H135" si="9">IF(A104="",H103,A104)</f>
        <v>29</v>
      </c>
      <c r="I104" s="1">
        <f t="shared" si="7"/>
        <v>1</v>
      </c>
      <c r="J104" s="140">
        <v>58060</v>
      </c>
      <c r="K104" s="141">
        <v>61.543600000000005</v>
      </c>
      <c r="L104" s="142">
        <v>70.72099252732356</v>
      </c>
      <c r="M104" s="142">
        <f>SUM(K104:K106)*$M$5*L104</f>
        <v>8627.9105228238186</v>
      </c>
    </row>
    <row r="105" spans="1:16" x14ac:dyDescent="0.25">
      <c r="A105" s="133"/>
      <c r="B105" s="133"/>
      <c r="C105" s="133">
        <v>141</v>
      </c>
      <c r="D105" s="133">
        <v>141</v>
      </c>
      <c r="E105" s="133" t="s">
        <v>336</v>
      </c>
      <c r="F105" s="1" t="str">
        <f t="shared" si="8"/>
        <v>29 - 2</v>
      </c>
      <c r="G105" s="133" t="s">
        <v>338</v>
      </c>
      <c r="H105" s="1">
        <f t="shared" si="9"/>
        <v>29</v>
      </c>
      <c r="I105" s="1">
        <f t="shared" si="7"/>
        <v>2</v>
      </c>
      <c r="J105" s="140">
        <v>7881</v>
      </c>
      <c r="K105" s="141">
        <v>7.2505200000000007</v>
      </c>
      <c r="L105" s="133"/>
      <c r="M105" s="142"/>
    </row>
    <row r="106" spans="1:16" x14ac:dyDescent="0.25">
      <c r="A106" s="133"/>
      <c r="B106" s="133"/>
      <c r="C106" s="133">
        <v>73</v>
      </c>
      <c r="D106" s="133">
        <v>73</v>
      </c>
      <c r="E106" s="133" t="s">
        <v>339</v>
      </c>
      <c r="F106" s="1" t="str">
        <f t="shared" si="8"/>
        <v>29 - 3</v>
      </c>
      <c r="G106" s="133" t="s">
        <v>340</v>
      </c>
      <c r="H106" s="1">
        <f t="shared" si="9"/>
        <v>29</v>
      </c>
      <c r="I106" s="1">
        <f t="shared" si="7"/>
        <v>3</v>
      </c>
      <c r="J106" s="140">
        <v>816453</v>
      </c>
      <c r="K106" s="141">
        <v>1151.1987300000001</v>
      </c>
      <c r="L106" s="133"/>
      <c r="M106" s="142"/>
    </row>
    <row r="107" spans="1:16" x14ac:dyDescent="0.25">
      <c r="A107" s="139">
        <v>30</v>
      </c>
      <c r="B107" s="138" t="s">
        <v>419</v>
      </c>
      <c r="C107" s="133">
        <v>90</v>
      </c>
      <c r="D107" s="133">
        <v>90</v>
      </c>
      <c r="E107" s="133" t="s">
        <v>341</v>
      </c>
      <c r="F107" s="1" t="str">
        <f t="shared" si="8"/>
        <v>30 - 1</v>
      </c>
      <c r="G107" s="133" t="s">
        <v>341</v>
      </c>
      <c r="H107" s="1">
        <f t="shared" si="9"/>
        <v>30</v>
      </c>
      <c r="I107" s="1">
        <f t="shared" si="7"/>
        <v>1</v>
      </c>
      <c r="J107" s="140">
        <v>15558</v>
      </c>
      <c r="K107" s="141">
        <v>14.313360000000001</v>
      </c>
      <c r="L107" s="142">
        <v>71.148337627341562</v>
      </c>
      <c r="M107" s="142">
        <f>SUM(K107:K110)*$M$5*L107</f>
        <v>9951.1830175627128</v>
      </c>
    </row>
    <row r="108" spans="1:16" x14ac:dyDescent="0.25">
      <c r="A108" s="133"/>
      <c r="B108" s="133"/>
      <c r="C108" s="133">
        <v>37</v>
      </c>
      <c r="D108" s="133">
        <v>37</v>
      </c>
      <c r="E108" s="133" t="s">
        <v>342</v>
      </c>
      <c r="F108" s="1" t="str">
        <f t="shared" si="8"/>
        <v>30 - 2</v>
      </c>
      <c r="G108" s="133" t="s">
        <v>342</v>
      </c>
      <c r="H108" s="1">
        <f t="shared" si="9"/>
        <v>30</v>
      </c>
      <c r="I108" s="1">
        <f t="shared" si="7"/>
        <v>2</v>
      </c>
      <c r="J108" s="140">
        <v>111855</v>
      </c>
      <c r="K108" s="141">
        <v>114.0921</v>
      </c>
      <c r="L108" s="133"/>
      <c r="M108" s="142"/>
    </row>
    <row r="109" spans="1:16" x14ac:dyDescent="0.25">
      <c r="A109" s="133"/>
      <c r="B109" s="133"/>
      <c r="C109" s="133">
        <v>58</v>
      </c>
      <c r="D109" s="133">
        <v>58</v>
      </c>
      <c r="E109" s="133" t="s">
        <v>343</v>
      </c>
      <c r="F109" s="1" t="str">
        <f t="shared" si="8"/>
        <v>30 - 3</v>
      </c>
      <c r="G109" s="133" t="s">
        <v>343</v>
      </c>
      <c r="H109" s="1">
        <f t="shared" si="9"/>
        <v>30</v>
      </c>
      <c r="I109" s="1">
        <f t="shared" si="7"/>
        <v>3</v>
      </c>
      <c r="J109" s="140">
        <v>70078</v>
      </c>
      <c r="K109" s="141">
        <v>71.479559999999992</v>
      </c>
      <c r="L109" s="133"/>
      <c r="M109" s="142"/>
    </row>
    <row r="110" spans="1:16" x14ac:dyDescent="0.25">
      <c r="A110" s="133"/>
      <c r="B110" s="133"/>
      <c r="C110" s="133">
        <v>82</v>
      </c>
      <c r="D110" s="133">
        <v>82</v>
      </c>
      <c r="E110" s="133" t="s">
        <v>344</v>
      </c>
      <c r="F110" s="1" t="str">
        <f t="shared" si="8"/>
        <v>30 - 4</v>
      </c>
      <c r="G110" s="133" t="s">
        <v>344</v>
      </c>
      <c r="H110" s="1">
        <f t="shared" si="9"/>
        <v>30</v>
      </c>
      <c r="I110" s="1">
        <f t="shared" si="7"/>
        <v>4</v>
      </c>
      <c r="J110" s="140">
        <v>850190</v>
      </c>
      <c r="K110" s="141">
        <v>1198.7678999999998</v>
      </c>
      <c r="L110" s="133"/>
      <c r="M110" s="142"/>
    </row>
    <row r="111" spans="1:16" x14ac:dyDescent="0.25">
      <c r="A111" s="139">
        <v>31</v>
      </c>
      <c r="B111" s="138" t="s">
        <v>420</v>
      </c>
      <c r="C111" s="133">
        <v>93</v>
      </c>
      <c r="D111" s="133">
        <v>93</v>
      </c>
      <c r="E111" s="133" t="s">
        <v>345</v>
      </c>
      <c r="F111" s="1" t="str">
        <f t="shared" si="8"/>
        <v>31 - 1</v>
      </c>
      <c r="G111" s="133" t="s">
        <v>345</v>
      </c>
      <c r="H111" s="1">
        <f t="shared" si="9"/>
        <v>31</v>
      </c>
      <c r="I111" s="1">
        <f t="shared" si="7"/>
        <v>1</v>
      </c>
      <c r="J111" s="140">
        <v>84038</v>
      </c>
      <c r="K111" s="141">
        <v>85.718759999999989</v>
      </c>
      <c r="L111" s="142">
        <v>68.064384498710666</v>
      </c>
      <c r="M111" s="142">
        <f>SUM(K111:K114)*$M$5*L111</f>
        <v>3977.04336940544</v>
      </c>
    </row>
    <row r="112" spans="1:16" x14ac:dyDescent="0.25">
      <c r="A112" s="133"/>
      <c r="B112" s="133"/>
      <c r="C112" s="133">
        <v>124</v>
      </c>
      <c r="D112" s="133">
        <v>124</v>
      </c>
      <c r="E112" s="133" t="s">
        <v>346</v>
      </c>
      <c r="F112" s="1" t="str">
        <f t="shared" si="8"/>
        <v>31 - 2</v>
      </c>
      <c r="G112" s="133" t="s">
        <v>346</v>
      </c>
      <c r="H112" s="1">
        <f t="shared" si="9"/>
        <v>31</v>
      </c>
      <c r="I112" s="1">
        <f t="shared" si="7"/>
        <v>2</v>
      </c>
      <c r="J112" s="140">
        <v>147203</v>
      </c>
      <c r="K112" s="141">
        <v>150.14706000000001</v>
      </c>
      <c r="L112" s="133"/>
      <c r="M112" s="142"/>
    </row>
    <row r="113" spans="1:13" x14ac:dyDescent="0.25">
      <c r="A113" s="133"/>
      <c r="B113" s="133"/>
      <c r="C113" s="133">
        <v>42</v>
      </c>
      <c r="D113" s="133">
        <v>42</v>
      </c>
      <c r="E113" s="133" t="s">
        <v>347</v>
      </c>
      <c r="F113" s="1" t="str">
        <f t="shared" si="8"/>
        <v>31 - 3</v>
      </c>
      <c r="G113" s="133" t="s">
        <v>347</v>
      </c>
      <c r="H113" s="1">
        <f t="shared" si="9"/>
        <v>31</v>
      </c>
      <c r="I113" s="1">
        <f t="shared" si="7"/>
        <v>3</v>
      </c>
      <c r="J113" s="140">
        <v>58984</v>
      </c>
      <c r="K113" s="141">
        <v>62.523040000000002</v>
      </c>
      <c r="L113" s="133"/>
      <c r="M113" s="142"/>
    </row>
    <row r="114" spans="1:13" x14ac:dyDescent="0.25">
      <c r="A114" s="133"/>
      <c r="B114" s="133"/>
      <c r="C114" s="133">
        <v>5</v>
      </c>
      <c r="D114" s="133">
        <v>5</v>
      </c>
      <c r="E114" s="133" t="s">
        <v>348</v>
      </c>
      <c r="F114" s="1" t="str">
        <f t="shared" si="8"/>
        <v>31 - 4</v>
      </c>
      <c r="G114" s="133" t="s">
        <v>348</v>
      </c>
      <c r="H114" s="1">
        <f t="shared" si="9"/>
        <v>31</v>
      </c>
      <c r="I114" s="1">
        <f t="shared" si="7"/>
        <v>4</v>
      </c>
      <c r="J114" s="140">
        <v>280311</v>
      </c>
      <c r="K114" s="141">
        <v>285.91722000000004</v>
      </c>
      <c r="L114" s="133"/>
      <c r="M114" s="142"/>
    </row>
    <row r="115" spans="1:13" x14ac:dyDescent="0.25">
      <c r="A115" s="139">
        <v>32</v>
      </c>
      <c r="B115" s="138" t="s">
        <v>421</v>
      </c>
      <c r="C115" s="133">
        <v>11</v>
      </c>
      <c r="D115" s="133">
        <v>11</v>
      </c>
      <c r="E115" s="133" t="s">
        <v>349</v>
      </c>
      <c r="F115" s="1" t="str">
        <f t="shared" si="8"/>
        <v>32 - 1</v>
      </c>
      <c r="G115" s="133" t="s">
        <v>349</v>
      </c>
      <c r="H115" s="1">
        <f t="shared" si="9"/>
        <v>32</v>
      </c>
      <c r="I115" s="1">
        <f t="shared" si="7"/>
        <v>1</v>
      </c>
      <c r="J115" s="140">
        <v>2554803</v>
      </c>
      <c r="K115" s="141">
        <v>3602.27223</v>
      </c>
      <c r="L115" s="142">
        <v>61.607671075962301</v>
      </c>
      <c r="M115" s="142">
        <f>SUM(K115:K115)*$M$5*L115</f>
        <v>22192.760267191323</v>
      </c>
    </row>
    <row r="116" spans="1:13" x14ac:dyDescent="0.25">
      <c r="A116" s="139">
        <v>33</v>
      </c>
      <c r="B116" s="138" t="s">
        <v>422</v>
      </c>
      <c r="C116" s="133">
        <v>1</v>
      </c>
      <c r="D116" s="133">
        <v>1</v>
      </c>
      <c r="E116" s="133" t="s">
        <v>350</v>
      </c>
      <c r="F116" s="1" t="str">
        <f t="shared" si="8"/>
        <v>33 - 1</v>
      </c>
      <c r="G116" s="133" t="s">
        <v>350</v>
      </c>
      <c r="H116" s="1">
        <f t="shared" si="9"/>
        <v>33</v>
      </c>
      <c r="I116" s="1">
        <f t="shared" si="7"/>
        <v>1</v>
      </c>
      <c r="J116" s="140">
        <v>675321</v>
      </c>
      <c r="K116" s="141">
        <v>952.20260999999994</v>
      </c>
      <c r="L116" s="142">
        <v>65.442246559886883</v>
      </c>
      <c r="M116" s="142">
        <f>SUM(K116:K142)*$M$5*L116</f>
        <v>154821.48897642584</v>
      </c>
    </row>
    <row r="117" spans="1:13" x14ac:dyDescent="0.25">
      <c r="A117" s="133"/>
      <c r="B117" s="133"/>
      <c r="C117" s="133">
        <v>2</v>
      </c>
      <c r="D117" s="133">
        <v>2</v>
      </c>
      <c r="E117" s="133" t="s">
        <v>351</v>
      </c>
      <c r="F117" s="1" t="str">
        <f t="shared" si="8"/>
        <v>33 - 2</v>
      </c>
      <c r="G117" s="133" t="s">
        <v>351</v>
      </c>
      <c r="H117" s="1">
        <f t="shared" si="9"/>
        <v>33</v>
      </c>
      <c r="I117" s="1">
        <f t="shared" si="7"/>
        <v>2</v>
      </c>
      <c r="J117" s="140">
        <v>413709</v>
      </c>
      <c r="K117" s="141">
        <v>583.32968999999991</v>
      </c>
      <c r="L117" s="133"/>
      <c r="M117" s="142"/>
    </row>
    <row r="118" spans="1:13" x14ac:dyDescent="0.25">
      <c r="A118" s="133"/>
      <c r="B118" s="133"/>
      <c r="C118" s="133">
        <v>3</v>
      </c>
      <c r="D118" s="133">
        <v>3</v>
      </c>
      <c r="E118" s="133" t="s">
        <v>352</v>
      </c>
      <c r="F118" s="1" t="str">
        <f t="shared" si="8"/>
        <v>33 - 3</v>
      </c>
      <c r="G118" s="133" t="s">
        <v>352</v>
      </c>
      <c r="H118" s="1">
        <f t="shared" si="9"/>
        <v>33</v>
      </c>
      <c r="I118" s="1">
        <f t="shared" si="7"/>
        <v>3</v>
      </c>
      <c r="J118" s="140">
        <v>429902</v>
      </c>
      <c r="K118" s="141">
        <v>606.16181999999992</v>
      </c>
      <c r="L118" s="133"/>
      <c r="M118" s="142"/>
    </row>
    <row r="119" spans="1:13" x14ac:dyDescent="0.25">
      <c r="A119" s="133"/>
      <c r="B119" s="133"/>
      <c r="C119" s="133">
        <v>59</v>
      </c>
      <c r="D119" s="133">
        <v>59</v>
      </c>
      <c r="E119" s="133" t="s">
        <v>353</v>
      </c>
      <c r="F119" s="1" t="str">
        <f t="shared" si="8"/>
        <v>33 - 4</v>
      </c>
      <c r="G119" s="133" t="s">
        <v>353</v>
      </c>
      <c r="H119" s="1">
        <f t="shared" si="9"/>
        <v>33</v>
      </c>
      <c r="I119" s="1">
        <f t="shared" si="7"/>
        <v>4</v>
      </c>
      <c r="J119" s="140">
        <v>332612</v>
      </c>
      <c r="K119" s="141">
        <v>339.26423999999997</v>
      </c>
      <c r="L119" s="133"/>
      <c r="M119" s="142"/>
    </row>
    <row r="120" spans="1:13" x14ac:dyDescent="0.25">
      <c r="A120" s="133"/>
      <c r="B120" s="133"/>
      <c r="C120" s="133">
        <v>4</v>
      </c>
      <c r="D120" s="133">
        <v>4</v>
      </c>
      <c r="E120" s="133" t="s">
        <v>354</v>
      </c>
      <c r="F120" s="1" t="str">
        <f t="shared" si="8"/>
        <v>33 - 5</v>
      </c>
      <c r="G120" s="133" t="s">
        <v>354</v>
      </c>
      <c r="H120" s="1">
        <f t="shared" si="9"/>
        <v>33</v>
      </c>
      <c r="I120" s="1">
        <f t="shared" si="7"/>
        <v>5</v>
      </c>
      <c r="J120" s="140">
        <v>434101</v>
      </c>
      <c r="K120" s="141">
        <v>612.08240999999987</v>
      </c>
      <c r="L120" s="133"/>
      <c r="M120" s="142"/>
    </row>
    <row r="121" spans="1:13" x14ac:dyDescent="0.25">
      <c r="A121" s="139"/>
      <c r="B121" s="138"/>
      <c r="C121" s="133">
        <v>6</v>
      </c>
      <c r="D121" s="133">
        <v>6</v>
      </c>
      <c r="E121" s="133" t="s">
        <v>355</v>
      </c>
      <c r="F121" s="1" t="str">
        <f t="shared" si="8"/>
        <v>33 - 6</v>
      </c>
      <c r="G121" s="133" t="s">
        <v>355</v>
      </c>
      <c r="H121" s="1">
        <f t="shared" si="9"/>
        <v>33</v>
      </c>
      <c r="I121" s="1">
        <f t="shared" si="7"/>
        <v>6</v>
      </c>
      <c r="J121" s="140">
        <v>657707</v>
      </c>
      <c r="K121" s="141">
        <v>927.36686999999995</v>
      </c>
      <c r="L121" s="142"/>
      <c r="M121" s="142"/>
    </row>
    <row r="122" spans="1:13" x14ac:dyDescent="0.25">
      <c r="A122" s="139"/>
      <c r="B122" s="138"/>
      <c r="C122" s="133">
        <v>74</v>
      </c>
      <c r="D122" s="133">
        <v>74</v>
      </c>
      <c r="E122" s="133" t="s">
        <v>356</v>
      </c>
      <c r="F122" s="1" t="str">
        <f t="shared" si="8"/>
        <v>33 - 7</v>
      </c>
      <c r="G122" s="133" t="s">
        <v>356</v>
      </c>
      <c r="H122" s="1">
        <f t="shared" si="9"/>
        <v>33</v>
      </c>
      <c r="I122" s="1">
        <f t="shared" si="7"/>
        <v>7</v>
      </c>
      <c r="J122" s="140">
        <v>199395</v>
      </c>
      <c r="K122" s="141">
        <v>203.38290000000001</v>
      </c>
      <c r="L122" s="142"/>
      <c r="M122" s="142"/>
    </row>
    <row r="123" spans="1:13" x14ac:dyDescent="0.25">
      <c r="A123" s="139"/>
      <c r="B123" s="138"/>
      <c r="C123" s="133">
        <v>7</v>
      </c>
      <c r="D123" s="133">
        <v>7</v>
      </c>
      <c r="E123" s="133" t="s">
        <v>357</v>
      </c>
      <c r="F123" s="1" t="str">
        <f t="shared" si="8"/>
        <v>33 - 8</v>
      </c>
      <c r="G123" s="133" t="s">
        <v>357</v>
      </c>
      <c r="H123" s="1">
        <f t="shared" si="9"/>
        <v>33</v>
      </c>
      <c r="I123" s="1">
        <f t="shared" si="7"/>
        <v>8</v>
      </c>
      <c r="J123" s="140">
        <v>471703</v>
      </c>
      <c r="K123" s="141">
        <v>665.10122999999999</v>
      </c>
      <c r="L123" s="142"/>
      <c r="M123" s="142"/>
    </row>
    <row r="124" spans="1:13" x14ac:dyDescent="0.25">
      <c r="A124" s="139"/>
      <c r="B124" s="138"/>
      <c r="C124" s="133">
        <v>8</v>
      </c>
      <c r="D124" s="133">
        <v>8</v>
      </c>
      <c r="E124" s="133" t="s">
        <v>358</v>
      </c>
      <c r="F124" s="1" t="str">
        <f t="shared" si="8"/>
        <v>33 - 9</v>
      </c>
      <c r="G124" s="133" t="s">
        <v>358</v>
      </c>
      <c r="H124" s="1">
        <f t="shared" si="9"/>
        <v>33</v>
      </c>
      <c r="I124" s="1">
        <f t="shared" si="7"/>
        <v>9</v>
      </c>
      <c r="J124" s="140">
        <v>199184</v>
      </c>
      <c r="K124" s="141">
        <v>203.16767999999999</v>
      </c>
      <c r="L124" s="142"/>
      <c r="M124" s="142"/>
    </row>
    <row r="125" spans="1:13" x14ac:dyDescent="0.25">
      <c r="A125" s="139"/>
      <c r="B125" s="138"/>
      <c r="C125" s="133">
        <v>9</v>
      </c>
      <c r="D125" s="133">
        <v>9</v>
      </c>
      <c r="E125" s="133" t="s">
        <v>359</v>
      </c>
      <c r="F125" s="1" t="str">
        <f t="shared" si="8"/>
        <v>33 - 10</v>
      </c>
      <c r="G125" s="133" t="s">
        <v>359</v>
      </c>
      <c r="H125" s="1">
        <f t="shared" si="9"/>
        <v>33</v>
      </c>
      <c r="I125" s="1">
        <f t="shared" si="7"/>
        <v>10</v>
      </c>
      <c r="J125" s="140">
        <v>198016</v>
      </c>
      <c r="K125" s="141">
        <v>201.97632000000002</v>
      </c>
      <c r="L125" s="142"/>
      <c r="M125" s="142"/>
    </row>
    <row r="126" spans="1:13" x14ac:dyDescent="0.25">
      <c r="A126" s="139"/>
      <c r="B126" s="138"/>
      <c r="C126" s="133">
        <v>10</v>
      </c>
      <c r="D126" s="133">
        <v>10</v>
      </c>
      <c r="E126" s="133" t="s">
        <v>360</v>
      </c>
      <c r="F126" s="1" t="str">
        <f t="shared" si="8"/>
        <v>33 - 11</v>
      </c>
      <c r="G126" s="133" t="s">
        <v>360</v>
      </c>
      <c r="H126" s="1">
        <f t="shared" si="9"/>
        <v>33</v>
      </c>
      <c r="I126" s="1">
        <f t="shared" si="7"/>
        <v>11</v>
      </c>
      <c r="J126" s="140">
        <v>397284</v>
      </c>
      <c r="K126" s="141">
        <v>560.17043999999999</v>
      </c>
      <c r="L126" s="142"/>
      <c r="M126" s="142"/>
    </row>
    <row r="127" spans="1:13" x14ac:dyDescent="0.25">
      <c r="A127" s="139"/>
      <c r="B127" s="138"/>
      <c r="C127" s="133">
        <v>12</v>
      </c>
      <c r="D127" s="133">
        <v>12</v>
      </c>
      <c r="E127" s="133" t="s">
        <v>361</v>
      </c>
      <c r="F127" s="1" t="str">
        <f t="shared" si="8"/>
        <v>33 - 12</v>
      </c>
      <c r="G127" s="133" t="s">
        <v>361</v>
      </c>
      <c r="H127" s="1">
        <f t="shared" si="9"/>
        <v>33</v>
      </c>
      <c r="I127" s="1">
        <f t="shared" si="7"/>
        <v>12</v>
      </c>
      <c r="J127" s="140">
        <v>448776</v>
      </c>
      <c r="K127" s="141">
        <v>632.77415999999994</v>
      </c>
      <c r="L127" s="142"/>
      <c r="M127" s="142"/>
    </row>
    <row r="128" spans="1:13" x14ac:dyDescent="0.25">
      <c r="A128" s="139"/>
      <c r="B128" s="138"/>
      <c r="C128" s="133">
        <v>13</v>
      </c>
      <c r="D128" s="133">
        <v>13</v>
      </c>
      <c r="E128" s="133" t="s">
        <v>362</v>
      </c>
      <c r="F128" s="1" t="str">
        <f t="shared" si="8"/>
        <v>33 - 13</v>
      </c>
      <c r="G128" s="133" t="s">
        <v>362</v>
      </c>
      <c r="H128" s="1">
        <f t="shared" si="9"/>
        <v>33</v>
      </c>
      <c r="I128" s="1">
        <f t="shared" si="7"/>
        <v>13</v>
      </c>
      <c r="J128" s="140">
        <v>745585</v>
      </c>
      <c r="K128" s="141">
        <v>1051.2748499999998</v>
      </c>
      <c r="L128" s="142"/>
      <c r="M128" s="142"/>
    </row>
    <row r="129" spans="1:13" x14ac:dyDescent="0.25">
      <c r="A129" s="139"/>
      <c r="B129" s="138"/>
      <c r="C129" s="133">
        <v>14</v>
      </c>
      <c r="D129" s="133">
        <v>14</v>
      </c>
      <c r="E129" s="133" t="s">
        <v>363</v>
      </c>
      <c r="F129" s="1" t="str">
        <f t="shared" si="8"/>
        <v>33 - 14</v>
      </c>
      <c r="G129" s="133" t="s">
        <v>363</v>
      </c>
      <c r="H129" s="1">
        <f t="shared" si="9"/>
        <v>33</v>
      </c>
      <c r="I129" s="1">
        <f t="shared" si="7"/>
        <v>14</v>
      </c>
      <c r="J129" s="140">
        <v>429701</v>
      </c>
      <c r="K129" s="141">
        <v>605.87840999999992</v>
      </c>
      <c r="L129" s="142"/>
      <c r="M129" s="142"/>
    </row>
    <row r="130" spans="1:13" x14ac:dyDescent="0.25">
      <c r="A130" s="139"/>
      <c r="B130" s="138"/>
      <c r="C130" s="133">
        <v>15</v>
      </c>
      <c r="D130" s="133">
        <v>15</v>
      </c>
      <c r="E130" s="133" t="s">
        <v>364</v>
      </c>
      <c r="F130" s="1" t="str">
        <f t="shared" si="8"/>
        <v>33 - 15</v>
      </c>
      <c r="G130" s="133" t="s">
        <v>364</v>
      </c>
      <c r="H130" s="1">
        <f t="shared" si="9"/>
        <v>33</v>
      </c>
      <c r="I130" s="1">
        <f t="shared" si="7"/>
        <v>15</v>
      </c>
      <c r="J130" s="140">
        <v>712982</v>
      </c>
      <c r="K130" s="141">
        <v>1005.30462</v>
      </c>
      <c r="L130" s="142"/>
      <c r="M130" s="142"/>
    </row>
    <row r="131" spans="1:13" x14ac:dyDescent="0.25">
      <c r="A131" s="139"/>
      <c r="B131" s="138"/>
      <c r="C131" s="133">
        <v>16</v>
      </c>
      <c r="D131" s="133">
        <v>16</v>
      </c>
      <c r="E131" s="133" t="s">
        <v>365</v>
      </c>
      <c r="F131" s="1" t="str">
        <f t="shared" si="8"/>
        <v>33 - 16</v>
      </c>
      <c r="G131" s="133" t="s">
        <v>365</v>
      </c>
      <c r="H131" s="1">
        <f t="shared" si="9"/>
        <v>33</v>
      </c>
      <c r="I131" s="1">
        <f t="shared" si="7"/>
        <v>16</v>
      </c>
      <c r="J131" s="140">
        <v>738778</v>
      </c>
      <c r="K131" s="141">
        <v>1041.67698</v>
      </c>
      <c r="L131" s="142"/>
      <c r="M131" s="142"/>
    </row>
    <row r="132" spans="1:13" x14ac:dyDescent="0.25">
      <c r="A132" s="139"/>
      <c r="B132" s="138"/>
      <c r="C132" s="133">
        <v>17</v>
      </c>
      <c r="D132" s="133">
        <v>17</v>
      </c>
      <c r="E132" s="133" t="s">
        <v>366</v>
      </c>
      <c r="F132" s="1" t="str">
        <f t="shared" si="8"/>
        <v>33 - 17</v>
      </c>
      <c r="G132" s="133" t="s">
        <v>366</v>
      </c>
      <c r="H132" s="1">
        <f t="shared" si="9"/>
        <v>33</v>
      </c>
      <c r="I132" s="1">
        <f t="shared" si="7"/>
        <v>17</v>
      </c>
      <c r="J132" s="140">
        <v>381935</v>
      </c>
      <c r="K132" s="141">
        <v>538.52834999999993</v>
      </c>
      <c r="L132" s="142"/>
      <c r="M132" s="142"/>
    </row>
    <row r="133" spans="1:13" x14ac:dyDescent="0.25">
      <c r="A133" s="139"/>
      <c r="B133" s="138"/>
      <c r="C133" s="133">
        <v>105</v>
      </c>
      <c r="D133" s="133">
        <v>105</v>
      </c>
      <c r="E133" s="133" t="s">
        <v>367</v>
      </c>
      <c r="F133" s="1" t="str">
        <f t="shared" si="8"/>
        <v>33 - 18</v>
      </c>
      <c r="G133" s="133" t="s">
        <v>367</v>
      </c>
      <c r="H133" s="1">
        <f t="shared" si="9"/>
        <v>33</v>
      </c>
      <c r="I133" s="1">
        <f t="shared" si="7"/>
        <v>18</v>
      </c>
      <c r="J133" s="140">
        <v>509913</v>
      </c>
      <c r="K133" s="141">
        <v>718.97732999999994</v>
      </c>
      <c r="L133" s="142"/>
      <c r="M133" s="142"/>
    </row>
    <row r="134" spans="1:13" x14ac:dyDescent="0.25">
      <c r="A134" s="139"/>
      <c r="B134" s="138"/>
      <c r="C134" s="133">
        <v>107</v>
      </c>
      <c r="D134" s="133">
        <v>107</v>
      </c>
      <c r="E134" s="133" t="s">
        <v>368</v>
      </c>
      <c r="F134" s="1" t="str">
        <f t="shared" si="8"/>
        <v>33 - 19</v>
      </c>
      <c r="G134" s="133" t="s">
        <v>368</v>
      </c>
      <c r="H134" s="1">
        <f t="shared" si="9"/>
        <v>33</v>
      </c>
      <c r="I134" s="1">
        <f t="shared" si="7"/>
        <v>19</v>
      </c>
      <c r="J134" s="140">
        <v>132995</v>
      </c>
      <c r="K134" s="141">
        <v>135.6549</v>
      </c>
      <c r="L134" s="142"/>
      <c r="M134" s="142"/>
    </row>
    <row r="135" spans="1:13" x14ac:dyDescent="0.25">
      <c r="A135" s="139"/>
      <c r="B135" s="138"/>
      <c r="C135" s="133">
        <v>18</v>
      </c>
      <c r="D135" s="133">
        <v>18</v>
      </c>
      <c r="E135" s="133" t="s">
        <v>369</v>
      </c>
      <c r="F135" s="1" t="str">
        <f t="shared" ref="F135:F154" si="10">CONCATENATE(H135," - ",I135)</f>
        <v>33 - 20</v>
      </c>
      <c r="G135" s="133" t="s">
        <v>369</v>
      </c>
      <c r="H135" s="1">
        <f t="shared" si="9"/>
        <v>33</v>
      </c>
      <c r="I135" s="1">
        <f t="shared" si="7"/>
        <v>20</v>
      </c>
      <c r="J135" s="140">
        <v>698387</v>
      </c>
      <c r="K135" s="141">
        <v>984.72566999999992</v>
      </c>
      <c r="L135" s="142"/>
      <c r="M135" s="142"/>
    </row>
    <row r="136" spans="1:13" x14ac:dyDescent="0.25">
      <c r="A136" s="139"/>
      <c r="B136" s="138"/>
      <c r="C136" s="133">
        <v>19</v>
      </c>
      <c r="D136" s="133">
        <v>19</v>
      </c>
      <c r="E136" s="133" t="s">
        <v>370</v>
      </c>
      <c r="F136" s="1" t="str">
        <f t="shared" si="10"/>
        <v>33 - 21</v>
      </c>
      <c r="G136" s="133" t="s">
        <v>370</v>
      </c>
      <c r="H136" s="1">
        <f t="shared" ref="H136:H154" si="11">IF(A136="",H135,A136)</f>
        <v>33</v>
      </c>
      <c r="I136" s="1">
        <f t="shared" si="7"/>
        <v>21</v>
      </c>
      <c r="J136" s="140">
        <v>184339</v>
      </c>
      <c r="K136" s="141">
        <v>188.02578</v>
      </c>
      <c r="L136" s="142"/>
      <c r="M136" s="142"/>
    </row>
    <row r="137" spans="1:13" x14ac:dyDescent="0.25">
      <c r="A137" s="139"/>
      <c r="B137" s="138"/>
      <c r="C137" s="133">
        <v>20</v>
      </c>
      <c r="D137" s="133">
        <v>20</v>
      </c>
      <c r="E137" s="133" t="s">
        <v>371</v>
      </c>
      <c r="F137" s="1" t="str">
        <f t="shared" si="10"/>
        <v>33 - 22</v>
      </c>
      <c r="G137" s="133" t="s">
        <v>371</v>
      </c>
      <c r="H137" s="1">
        <f t="shared" si="11"/>
        <v>33</v>
      </c>
      <c r="I137" s="1">
        <f t="shared" ref="I137:I154" si="12">IF(H137=H136,I136+1,1)</f>
        <v>22</v>
      </c>
      <c r="J137" s="140">
        <v>299998</v>
      </c>
      <c r="K137" s="141">
        <v>305.99796000000003</v>
      </c>
      <c r="L137" s="142"/>
      <c r="M137" s="142"/>
    </row>
    <row r="138" spans="1:13" x14ac:dyDescent="0.25">
      <c r="A138" s="139"/>
      <c r="B138" s="138"/>
      <c r="C138" s="133">
        <v>21</v>
      </c>
      <c r="D138" s="133">
        <v>21</v>
      </c>
      <c r="E138" s="133" t="s">
        <v>372</v>
      </c>
      <c r="F138" s="1" t="str">
        <f t="shared" si="10"/>
        <v>33 - 23</v>
      </c>
      <c r="G138" s="133" t="s">
        <v>372</v>
      </c>
      <c r="H138" s="1">
        <f t="shared" si="11"/>
        <v>33</v>
      </c>
      <c r="I138" s="1">
        <f t="shared" si="12"/>
        <v>23</v>
      </c>
      <c r="J138" s="140">
        <v>396006</v>
      </c>
      <c r="K138" s="141">
        <v>558.36845999999991</v>
      </c>
      <c r="L138" s="142"/>
      <c r="M138" s="142"/>
    </row>
    <row r="139" spans="1:13" x14ac:dyDescent="0.25">
      <c r="A139" s="139"/>
      <c r="B139" s="138"/>
      <c r="C139" s="133">
        <v>22</v>
      </c>
      <c r="D139" s="133">
        <v>22</v>
      </c>
      <c r="E139" s="133" t="s">
        <v>373</v>
      </c>
      <c r="F139" s="1" t="str">
        <f t="shared" si="10"/>
        <v>33 - 24</v>
      </c>
      <c r="G139" s="133" t="s">
        <v>373</v>
      </c>
      <c r="H139" s="1">
        <f t="shared" si="11"/>
        <v>33</v>
      </c>
      <c r="I139" s="1">
        <f t="shared" si="12"/>
        <v>24</v>
      </c>
      <c r="J139" s="140">
        <v>515985</v>
      </c>
      <c r="K139" s="141">
        <v>727.53885000000002</v>
      </c>
      <c r="L139" s="142"/>
      <c r="M139" s="142"/>
    </row>
    <row r="140" spans="1:13" x14ac:dyDescent="0.25">
      <c r="A140" s="139"/>
      <c r="B140" s="138"/>
      <c r="C140" s="133">
        <v>23</v>
      </c>
      <c r="D140" s="133">
        <v>23</v>
      </c>
      <c r="E140" s="133" t="s">
        <v>374</v>
      </c>
      <c r="F140" s="1" t="str">
        <f t="shared" si="10"/>
        <v>33 - 25</v>
      </c>
      <c r="G140" s="133" t="s">
        <v>374</v>
      </c>
      <c r="H140" s="1">
        <f t="shared" si="11"/>
        <v>33</v>
      </c>
      <c r="I140" s="1">
        <f t="shared" si="12"/>
        <v>25</v>
      </c>
      <c r="J140" s="140">
        <v>358761</v>
      </c>
      <c r="K140" s="141">
        <v>505.85300999999993</v>
      </c>
      <c r="L140" s="142"/>
      <c r="M140" s="142"/>
    </row>
    <row r="141" spans="1:13" x14ac:dyDescent="0.25">
      <c r="A141" s="139"/>
      <c r="B141" s="138"/>
      <c r="C141" s="133">
        <v>24</v>
      </c>
      <c r="D141" s="133">
        <v>24</v>
      </c>
      <c r="E141" s="133" t="s">
        <v>375</v>
      </c>
      <c r="F141" s="1" t="str">
        <f t="shared" si="10"/>
        <v>33 - 26</v>
      </c>
      <c r="G141" s="133" t="s">
        <v>375</v>
      </c>
      <c r="H141" s="1">
        <f t="shared" si="11"/>
        <v>33</v>
      </c>
      <c r="I141" s="1">
        <f t="shared" si="12"/>
        <v>26</v>
      </c>
      <c r="J141" s="140">
        <v>245243</v>
      </c>
      <c r="K141" s="141">
        <v>250.14786000000001</v>
      </c>
      <c r="L141" s="142"/>
      <c r="M141" s="142"/>
    </row>
    <row r="142" spans="1:13" x14ac:dyDescent="0.25">
      <c r="A142" s="139"/>
      <c r="B142" s="138"/>
      <c r="C142" s="133">
        <v>136</v>
      </c>
      <c r="D142" s="133">
        <v>136</v>
      </c>
      <c r="E142" s="133" t="s">
        <v>376</v>
      </c>
      <c r="F142" s="1" t="str">
        <f t="shared" si="10"/>
        <v>33 - 27</v>
      </c>
      <c r="G142" s="133" t="s">
        <v>376</v>
      </c>
      <c r="H142" s="1">
        <f t="shared" si="11"/>
        <v>33</v>
      </c>
      <c r="I142" s="1">
        <f t="shared" si="12"/>
        <v>27</v>
      </c>
      <c r="J142" s="140">
        <v>6065812</v>
      </c>
      <c r="K142" s="141">
        <v>8552.7949200000003</v>
      </c>
      <c r="L142" s="142"/>
      <c r="M142" s="142"/>
    </row>
    <row r="143" spans="1:13" x14ac:dyDescent="0.25">
      <c r="A143" s="139">
        <v>34</v>
      </c>
      <c r="B143" s="138" t="s">
        <v>423</v>
      </c>
      <c r="C143" s="133">
        <v>70</v>
      </c>
      <c r="D143" s="133">
        <v>70</v>
      </c>
      <c r="E143" s="133" t="s">
        <v>377</v>
      </c>
      <c r="F143" s="1" t="str">
        <f t="shared" si="10"/>
        <v>34 - 1</v>
      </c>
      <c r="G143" s="133" t="s">
        <v>377</v>
      </c>
      <c r="H143" s="1">
        <f t="shared" si="11"/>
        <v>34</v>
      </c>
      <c r="I143" s="1">
        <f t="shared" si="12"/>
        <v>1</v>
      </c>
      <c r="J143" s="140">
        <v>3330</v>
      </c>
      <c r="K143" s="141">
        <v>3.0636000000000001</v>
      </c>
      <c r="L143" s="142">
        <v>74.644276078011458</v>
      </c>
      <c r="M143" s="142">
        <f>SUM(K143:K152)*$M$5*L143</f>
        <v>3649.2880439688111</v>
      </c>
    </row>
    <row r="144" spans="1:13" x14ac:dyDescent="0.25">
      <c r="A144" s="133"/>
      <c r="B144" s="133"/>
      <c r="C144" s="133">
        <v>147</v>
      </c>
      <c r="D144" s="133">
        <v>147</v>
      </c>
      <c r="E144" s="133" t="s">
        <v>378</v>
      </c>
      <c r="F144" s="1" t="str">
        <f t="shared" si="10"/>
        <v>34 - 2</v>
      </c>
      <c r="G144" s="133" t="s">
        <v>379</v>
      </c>
      <c r="H144" s="1">
        <f t="shared" si="11"/>
        <v>34</v>
      </c>
      <c r="I144" s="1">
        <f t="shared" si="12"/>
        <v>2</v>
      </c>
      <c r="J144" s="140">
        <v>41333</v>
      </c>
      <c r="K144" s="141">
        <v>43.812980000000003</v>
      </c>
      <c r="L144" s="133"/>
      <c r="M144" s="142"/>
    </row>
    <row r="145" spans="1:13" x14ac:dyDescent="0.25">
      <c r="A145" s="133"/>
      <c r="B145" s="133"/>
      <c r="C145" s="133">
        <v>81</v>
      </c>
      <c r="D145" s="133">
        <v>81</v>
      </c>
      <c r="E145" s="133" t="s">
        <v>378</v>
      </c>
      <c r="F145" s="1" t="str">
        <f t="shared" si="10"/>
        <v>34 - 3</v>
      </c>
      <c r="G145" s="133" t="s">
        <v>380</v>
      </c>
      <c r="H145" s="1">
        <f t="shared" si="11"/>
        <v>34</v>
      </c>
      <c r="I145" s="1">
        <f t="shared" si="12"/>
        <v>3</v>
      </c>
      <c r="J145" s="140">
        <v>73852</v>
      </c>
      <c r="K145" s="141">
        <v>75.329040000000006</v>
      </c>
      <c r="L145" s="133"/>
      <c r="M145" s="142"/>
    </row>
    <row r="146" spans="1:13" x14ac:dyDescent="0.25">
      <c r="A146" s="133"/>
      <c r="B146" s="133"/>
      <c r="C146" s="133">
        <v>80</v>
      </c>
      <c r="D146" s="133">
        <v>80</v>
      </c>
      <c r="E146" s="133" t="s">
        <v>378</v>
      </c>
      <c r="F146" s="1" t="str">
        <f t="shared" si="10"/>
        <v>34 - 4</v>
      </c>
      <c r="G146" s="133" t="s">
        <v>381</v>
      </c>
      <c r="H146" s="1">
        <f t="shared" si="11"/>
        <v>34</v>
      </c>
      <c r="I146" s="1">
        <f t="shared" si="12"/>
        <v>4</v>
      </c>
      <c r="J146" s="140">
        <v>127742</v>
      </c>
      <c r="K146" s="141">
        <v>130.29684</v>
      </c>
      <c r="L146" s="133"/>
      <c r="M146" s="142"/>
    </row>
    <row r="147" spans="1:13" x14ac:dyDescent="0.25">
      <c r="A147" s="133"/>
      <c r="B147" s="133"/>
      <c r="C147" s="133">
        <v>145</v>
      </c>
      <c r="D147" s="133">
        <v>145</v>
      </c>
      <c r="E147" s="133" t="s">
        <v>377</v>
      </c>
      <c r="F147" s="1" t="str">
        <f t="shared" si="10"/>
        <v>34 - 5</v>
      </c>
      <c r="G147" s="133" t="s">
        <v>382</v>
      </c>
      <c r="H147" s="1">
        <f t="shared" si="11"/>
        <v>34</v>
      </c>
      <c r="I147" s="1">
        <f t="shared" si="12"/>
        <v>5</v>
      </c>
      <c r="J147" s="140">
        <v>1698</v>
      </c>
      <c r="K147" s="141">
        <v>1.56216</v>
      </c>
      <c r="L147" s="133"/>
      <c r="M147" s="142"/>
    </row>
    <row r="148" spans="1:13" x14ac:dyDescent="0.25">
      <c r="A148" s="139"/>
      <c r="B148" s="138"/>
      <c r="C148" s="133">
        <v>67</v>
      </c>
      <c r="D148" s="133">
        <v>67</v>
      </c>
      <c r="E148" s="133" t="s">
        <v>383</v>
      </c>
      <c r="F148" s="1" t="str">
        <f t="shared" si="10"/>
        <v>34 - 6</v>
      </c>
      <c r="G148" s="133" t="s">
        <v>383</v>
      </c>
      <c r="H148" s="1">
        <f t="shared" si="11"/>
        <v>34</v>
      </c>
      <c r="I148" s="1">
        <f t="shared" si="12"/>
        <v>6</v>
      </c>
      <c r="J148" s="140">
        <v>24966</v>
      </c>
      <c r="K148" s="141">
        <v>26.463960000000004</v>
      </c>
      <c r="L148" s="142"/>
      <c r="M148" s="142"/>
    </row>
    <row r="149" spans="1:13" x14ac:dyDescent="0.25">
      <c r="A149" s="139"/>
      <c r="B149" s="138"/>
      <c r="C149" s="133">
        <v>106</v>
      </c>
      <c r="D149" s="133">
        <v>106</v>
      </c>
      <c r="E149" s="133" t="s">
        <v>384</v>
      </c>
      <c r="F149" s="1" t="str">
        <f t="shared" si="10"/>
        <v>34 - 7</v>
      </c>
      <c r="G149" s="133" t="s">
        <v>384</v>
      </c>
      <c r="H149" s="1">
        <f t="shared" si="11"/>
        <v>34</v>
      </c>
      <c r="I149" s="1">
        <f t="shared" si="12"/>
        <v>7</v>
      </c>
      <c r="J149" s="140">
        <v>81257</v>
      </c>
      <c r="K149" s="141">
        <v>82.882139999999993</v>
      </c>
      <c r="L149" s="142"/>
      <c r="M149" s="142"/>
    </row>
    <row r="150" spans="1:13" x14ac:dyDescent="0.25">
      <c r="A150" s="139"/>
      <c r="B150" s="138"/>
      <c r="C150" s="133">
        <v>133</v>
      </c>
      <c r="D150" s="133">
        <v>133</v>
      </c>
      <c r="E150" s="133" t="s">
        <v>385</v>
      </c>
      <c r="F150" s="1" t="str">
        <f t="shared" si="10"/>
        <v>34 - 8</v>
      </c>
      <c r="G150" s="133" t="s">
        <v>385</v>
      </c>
      <c r="H150" s="1">
        <f t="shared" si="11"/>
        <v>34</v>
      </c>
      <c r="I150" s="1">
        <f t="shared" si="12"/>
        <v>8</v>
      </c>
      <c r="J150" s="140">
        <v>78663</v>
      </c>
      <c r="K150" s="141">
        <v>80.236260000000001</v>
      </c>
      <c r="L150" s="142"/>
      <c r="M150" s="142"/>
    </row>
    <row r="151" spans="1:13" x14ac:dyDescent="0.25">
      <c r="A151" s="139"/>
      <c r="B151" s="138"/>
      <c r="C151" s="133">
        <v>149</v>
      </c>
      <c r="D151" s="133">
        <v>149</v>
      </c>
      <c r="E151" s="133" t="s">
        <v>386</v>
      </c>
      <c r="F151" s="1" t="str">
        <f t="shared" si="10"/>
        <v>34 - 9</v>
      </c>
      <c r="G151" s="133" t="s">
        <v>387</v>
      </c>
      <c r="H151" s="1">
        <f t="shared" si="11"/>
        <v>34</v>
      </c>
      <c r="I151" s="1">
        <f t="shared" si="12"/>
        <v>9</v>
      </c>
      <c r="J151" s="140">
        <v>35136</v>
      </c>
      <c r="K151" s="141">
        <v>37.244160000000001</v>
      </c>
      <c r="L151" s="142"/>
      <c r="M151" s="142"/>
    </row>
    <row r="152" spans="1:13" x14ac:dyDescent="0.25">
      <c r="A152" s="139"/>
      <c r="B152" s="138"/>
      <c r="C152" s="133">
        <v>92</v>
      </c>
      <c r="D152" s="133">
        <v>92</v>
      </c>
      <c r="E152" s="133" t="s">
        <v>386</v>
      </c>
      <c r="F152" s="1" t="str">
        <f t="shared" si="10"/>
        <v>34 - 10</v>
      </c>
      <c r="G152" s="133" t="s">
        <v>388</v>
      </c>
      <c r="H152" s="1">
        <f t="shared" si="11"/>
        <v>34</v>
      </c>
      <c r="I152" s="1">
        <f t="shared" si="12"/>
        <v>10</v>
      </c>
      <c r="J152" s="140">
        <v>8695</v>
      </c>
      <c r="K152" s="141">
        <v>7.9994000000000005</v>
      </c>
      <c r="L152" s="142"/>
      <c r="M152" s="142"/>
    </row>
    <row r="153" spans="1:13" x14ac:dyDescent="0.25">
      <c r="A153" s="139">
        <v>35</v>
      </c>
      <c r="B153" s="138" t="s">
        <v>424</v>
      </c>
      <c r="C153" s="133">
        <v>35</v>
      </c>
      <c r="D153" s="133">
        <v>35</v>
      </c>
      <c r="E153" s="133" t="s">
        <v>389</v>
      </c>
      <c r="F153" s="1" t="str">
        <f t="shared" si="10"/>
        <v>35 - 1</v>
      </c>
      <c r="G153" s="133" t="s">
        <v>389</v>
      </c>
      <c r="H153" s="1">
        <f t="shared" si="11"/>
        <v>35</v>
      </c>
      <c r="I153" s="1">
        <f t="shared" si="12"/>
        <v>1</v>
      </c>
      <c r="J153" s="140">
        <v>36713</v>
      </c>
      <c r="K153" s="141">
        <v>38.915779999999998</v>
      </c>
      <c r="L153" s="142">
        <v>75.462845121278065</v>
      </c>
      <c r="M153" s="142">
        <f>SUM(K153:K154)*$M$5*L153</f>
        <v>801.23898305607963</v>
      </c>
    </row>
    <row r="154" spans="1:13" x14ac:dyDescent="0.25">
      <c r="A154" s="133"/>
      <c r="B154" s="133"/>
      <c r="C154" s="133">
        <v>123</v>
      </c>
      <c r="D154" s="133">
        <v>123</v>
      </c>
      <c r="E154" s="133" t="s">
        <v>390</v>
      </c>
      <c r="F154" s="1" t="str">
        <f t="shared" si="10"/>
        <v>35 - 2</v>
      </c>
      <c r="G154" s="133" t="s">
        <v>390</v>
      </c>
      <c r="H154" s="1">
        <f t="shared" si="11"/>
        <v>35</v>
      </c>
      <c r="I154" s="1">
        <f t="shared" si="12"/>
        <v>2</v>
      </c>
      <c r="J154" s="140">
        <v>65942</v>
      </c>
      <c r="K154" s="141">
        <v>67.260840000000002</v>
      </c>
      <c r="L154" s="133"/>
      <c r="M154" s="142"/>
    </row>
    <row r="155" spans="1:13" x14ac:dyDescent="0.25">
      <c r="A155" s="133"/>
      <c r="B155" s="133"/>
      <c r="C155" s="133"/>
      <c r="D155" s="133"/>
      <c r="E155" s="133"/>
      <c r="F155" s="133"/>
      <c r="G155" s="133"/>
      <c r="H155" s="133"/>
      <c r="I155" s="133"/>
      <c r="J155" s="140"/>
      <c r="K155" s="141"/>
      <c r="L155" s="133"/>
    </row>
    <row r="156" spans="1:13" x14ac:dyDescent="0.25">
      <c r="A156" s="133"/>
      <c r="B156" s="133"/>
      <c r="C156" s="133"/>
      <c r="D156" s="133"/>
      <c r="E156" s="133"/>
      <c r="F156" s="133"/>
      <c r="G156" s="133"/>
      <c r="H156" s="133"/>
      <c r="I156" s="133"/>
      <c r="J156" s="140"/>
      <c r="K156" s="141"/>
      <c r="L156" s="133"/>
    </row>
    <row r="157" spans="1:13" x14ac:dyDescent="0.25">
      <c r="A157" s="133"/>
      <c r="B157" s="133"/>
      <c r="C157" s="133"/>
      <c r="D157" s="133"/>
      <c r="E157" s="133"/>
      <c r="F157" s="133"/>
      <c r="G157" s="133"/>
      <c r="H157" s="133"/>
      <c r="I157" s="133"/>
      <c r="J157" s="140"/>
      <c r="K157" s="141"/>
      <c r="L157" s="133"/>
    </row>
    <row r="158" spans="1:13" x14ac:dyDescent="0.25">
      <c r="A158" s="133"/>
      <c r="B158" s="133"/>
      <c r="C158" s="133"/>
      <c r="D158" s="133"/>
      <c r="E158" s="133"/>
      <c r="F158" s="133"/>
      <c r="G158" s="133"/>
      <c r="H158" s="133"/>
      <c r="I158" s="133"/>
      <c r="J158" s="140"/>
      <c r="K158" s="141"/>
      <c r="L158" s="133"/>
    </row>
    <row r="159" spans="1:13" x14ac:dyDescent="0.25">
      <c r="A159" s="133"/>
      <c r="B159" s="133"/>
      <c r="C159" s="133"/>
      <c r="D159" s="133"/>
      <c r="E159" s="133"/>
      <c r="F159" s="133"/>
      <c r="G159" s="133"/>
      <c r="H159" s="133"/>
      <c r="I159" s="133"/>
      <c r="J159" s="140"/>
      <c r="K159" s="141"/>
      <c r="L159" s="133"/>
    </row>
    <row r="160" spans="1:13" x14ac:dyDescent="0.25">
      <c r="A160" s="133"/>
      <c r="B160" s="133"/>
      <c r="C160" s="133"/>
      <c r="D160" s="133"/>
      <c r="E160" s="133"/>
      <c r="F160" s="133"/>
      <c r="G160" s="133"/>
      <c r="H160" s="133"/>
      <c r="I160" s="133"/>
      <c r="J160" s="140"/>
      <c r="K160" s="141"/>
      <c r="L160" s="133"/>
    </row>
    <row r="161" spans="1:12" x14ac:dyDescent="0.25">
      <c r="A161" s="133"/>
      <c r="B161" s="133"/>
      <c r="C161" s="133"/>
      <c r="D161" s="133"/>
      <c r="E161" s="133"/>
      <c r="F161" s="133"/>
      <c r="G161" s="133"/>
      <c r="H161" s="133"/>
      <c r="I161" s="133"/>
      <c r="J161" s="140"/>
      <c r="K161" s="141"/>
      <c r="L161" s="133"/>
    </row>
    <row r="162" spans="1:12" x14ac:dyDescent="0.25">
      <c r="A162" s="133"/>
      <c r="B162" s="133"/>
      <c r="C162" s="133"/>
      <c r="D162" s="133"/>
      <c r="E162" s="133"/>
      <c r="F162" s="133"/>
      <c r="G162" s="133"/>
      <c r="H162" s="133"/>
      <c r="I162" s="133"/>
      <c r="J162" s="140"/>
      <c r="K162" s="141"/>
      <c r="L162" s="133"/>
    </row>
    <row r="163" spans="1:12" x14ac:dyDescent="0.25">
      <c r="A163" s="133"/>
      <c r="B163" s="133"/>
      <c r="C163" s="133"/>
      <c r="D163" s="133"/>
      <c r="E163" s="133"/>
      <c r="F163" s="133"/>
      <c r="G163" s="133"/>
      <c r="H163" s="133"/>
      <c r="I163" s="133"/>
      <c r="J163" s="140"/>
      <c r="K163" s="141"/>
      <c r="L163" s="133"/>
    </row>
    <row r="164" spans="1:12" x14ac:dyDescent="0.25">
      <c r="A164" s="133"/>
      <c r="B164" s="133"/>
      <c r="C164" s="133"/>
      <c r="D164" s="133"/>
      <c r="E164" s="133"/>
      <c r="F164" s="133"/>
      <c r="G164" s="133"/>
      <c r="H164" s="133"/>
      <c r="I164" s="133"/>
      <c r="J164" s="140"/>
      <c r="K164" s="141"/>
      <c r="L164" s="133"/>
    </row>
    <row r="165" spans="1:12" x14ac:dyDescent="0.25">
      <c r="A165" s="133"/>
      <c r="B165" s="133"/>
      <c r="C165" s="133"/>
      <c r="D165" s="133"/>
      <c r="E165" s="133"/>
      <c r="F165" s="133"/>
      <c r="G165" s="133"/>
      <c r="H165" s="133"/>
      <c r="I165" s="133"/>
      <c r="J165" s="140"/>
      <c r="K165" s="141"/>
      <c r="L165" s="133"/>
    </row>
    <row r="166" spans="1:12" x14ac:dyDescent="0.25">
      <c r="A166" s="133"/>
      <c r="B166" s="133"/>
      <c r="C166" s="133"/>
      <c r="D166" s="133"/>
      <c r="E166" s="133"/>
      <c r="F166" s="133"/>
      <c r="G166" s="133"/>
      <c r="H166" s="133"/>
      <c r="I166" s="133"/>
      <c r="J166" s="140"/>
      <c r="K166" s="141"/>
      <c r="L166" s="133"/>
    </row>
    <row r="167" spans="1:12" x14ac:dyDescent="0.25">
      <c r="A167" s="133"/>
      <c r="B167" s="133"/>
      <c r="C167" s="133"/>
      <c r="D167" s="133"/>
      <c r="E167" s="133"/>
      <c r="F167" s="133"/>
      <c r="G167" s="133"/>
      <c r="H167" s="133"/>
      <c r="I167" s="133"/>
      <c r="J167" s="140"/>
      <c r="K167" s="141"/>
      <c r="L167" s="133"/>
    </row>
    <row r="168" spans="1:12" x14ac:dyDescent="0.25">
      <c r="A168" s="133"/>
      <c r="B168" s="133"/>
      <c r="C168" s="133"/>
      <c r="D168" s="133"/>
      <c r="E168" s="133"/>
      <c r="F168" s="133"/>
      <c r="G168" s="133"/>
      <c r="H168" s="133"/>
      <c r="I168" s="133"/>
      <c r="J168" s="140"/>
      <c r="K168" s="141"/>
      <c r="L168" s="133"/>
    </row>
    <row r="169" spans="1:12" x14ac:dyDescent="0.25">
      <c r="A169" s="133"/>
      <c r="B169" s="133"/>
      <c r="C169" s="133"/>
      <c r="D169" s="133"/>
      <c r="E169" s="133"/>
      <c r="F169" s="133"/>
      <c r="G169" s="133"/>
      <c r="H169" s="133"/>
      <c r="I169" s="133"/>
      <c r="J169" s="140"/>
      <c r="K169" s="141"/>
      <c r="L169" s="133"/>
    </row>
    <row r="170" spans="1:12" x14ac:dyDescent="0.25">
      <c r="A170" s="133"/>
      <c r="B170" s="133"/>
      <c r="C170" s="133"/>
      <c r="D170" s="133"/>
      <c r="E170" s="133"/>
      <c r="F170" s="133"/>
      <c r="G170" s="133"/>
      <c r="H170" s="133"/>
      <c r="I170" s="133"/>
      <c r="J170" s="140"/>
      <c r="K170" s="141"/>
      <c r="L170" s="133"/>
    </row>
    <row r="171" spans="1:12" x14ac:dyDescent="0.25">
      <c r="A171" s="133"/>
      <c r="B171" s="133"/>
      <c r="C171" s="133"/>
      <c r="D171" s="133"/>
      <c r="E171" s="133"/>
      <c r="F171" s="133"/>
      <c r="G171" s="133"/>
      <c r="H171" s="133"/>
      <c r="I171" s="133"/>
      <c r="J171" s="140"/>
      <c r="K171" s="141"/>
      <c r="L171" s="133"/>
    </row>
    <row r="172" spans="1:12" x14ac:dyDescent="0.25">
      <c r="A172" s="133"/>
      <c r="B172" s="133"/>
      <c r="C172" s="133"/>
      <c r="D172" s="133"/>
      <c r="E172" s="133"/>
      <c r="F172" s="133"/>
      <c r="G172" s="133"/>
      <c r="H172" s="133"/>
      <c r="I172" s="133"/>
      <c r="J172" s="140"/>
      <c r="K172" s="141"/>
      <c r="L172" s="133"/>
    </row>
    <row r="173" spans="1:12" x14ac:dyDescent="0.25">
      <c r="A173" s="133"/>
      <c r="B173" s="133"/>
      <c r="C173" s="133"/>
      <c r="D173" s="133"/>
      <c r="E173" s="133"/>
      <c r="F173" s="133"/>
      <c r="G173" s="133"/>
      <c r="H173" s="133"/>
      <c r="I173" s="133"/>
      <c r="J173" s="140"/>
      <c r="K173" s="141"/>
      <c r="L173" s="133"/>
    </row>
    <row r="174" spans="1:12" x14ac:dyDescent="0.25">
      <c r="A174" s="133"/>
      <c r="B174" s="133"/>
      <c r="C174" s="133"/>
      <c r="D174" s="133"/>
      <c r="E174" s="133"/>
      <c r="F174" s="133"/>
      <c r="G174" s="133"/>
      <c r="H174" s="133"/>
      <c r="I174" s="133"/>
      <c r="J174" s="140"/>
      <c r="K174" s="141"/>
      <c r="L174" s="133"/>
    </row>
    <row r="175" spans="1:12" x14ac:dyDescent="0.25">
      <c r="A175" s="133"/>
      <c r="B175" s="133"/>
      <c r="C175" s="133"/>
      <c r="D175" s="133"/>
      <c r="E175" s="133"/>
      <c r="F175" s="133"/>
      <c r="G175" s="133"/>
      <c r="H175" s="133"/>
      <c r="I175" s="133"/>
      <c r="J175" s="140"/>
      <c r="K175" s="141"/>
      <c r="L175" s="133"/>
    </row>
    <row r="176" spans="1:12" x14ac:dyDescent="0.25">
      <c r="A176" s="133"/>
      <c r="B176" s="133"/>
      <c r="C176" s="133"/>
      <c r="D176" s="133"/>
      <c r="E176" s="133"/>
      <c r="F176" s="133"/>
      <c r="G176" s="133"/>
      <c r="H176" s="133"/>
      <c r="I176" s="133"/>
      <c r="J176" s="140"/>
      <c r="K176" s="141"/>
      <c r="L176" s="133"/>
    </row>
    <row r="177" spans="1:12" x14ac:dyDescent="0.25">
      <c r="A177" s="133"/>
      <c r="B177" s="133"/>
      <c r="C177" s="133"/>
      <c r="D177" s="133"/>
      <c r="E177" s="133"/>
      <c r="F177" s="133"/>
      <c r="G177" s="133"/>
      <c r="H177" s="133"/>
      <c r="I177" s="133"/>
      <c r="J177" s="140"/>
      <c r="K177" s="141"/>
      <c r="L177" s="133"/>
    </row>
    <row r="178" spans="1:12" x14ac:dyDescent="0.25">
      <c r="A178" s="133"/>
      <c r="B178" s="133"/>
      <c r="C178" s="133"/>
      <c r="D178" s="133"/>
      <c r="E178" s="133"/>
      <c r="F178" s="133"/>
      <c r="G178" s="133"/>
      <c r="H178" s="133"/>
      <c r="I178" s="133"/>
      <c r="J178" s="140"/>
      <c r="K178" s="141"/>
      <c r="L178" s="133"/>
    </row>
    <row r="179" spans="1:12" x14ac:dyDescent="0.25">
      <c r="A179" s="133"/>
      <c r="B179" s="133"/>
      <c r="C179" s="133"/>
      <c r="D179" s="133"/>
      <c r="E179" s="133"/>
      <c r="F179" s="133"/>
      <c r="G179" s="133"/>
      <c r="H179" s="133"/>
      <c r="I179" s="133"/>
      <c r="J179" s="140"/>
      <c r="K179" s="141"/>
      <c r="L179" s="133"/>
    </row>
    <row r="180" spans="1:12" x14ac:dyDescent="0.25">
      <c r="A180" s="133"/>
      <c r="B180" s="133"/>
      <c r="C180" s="133"/>
      <c r="D180" s="133"/>
      <c r="E180" s="133"/>
      <c r="F180" s="133"/>
      <c r="G180" s="133"/>
      <c r="H180" s="133"/>
      <c r="I180" s="133"/>
      <c r="J180" s="140"/>
      <c r="K180" s="141"/>
      <c r="L180" s="133"/>
    </row>
    <row r="181" spans="1:12" x14ac:dyDescent="0.25">
      <c r="A181" s="133"/>
      <c r="B181" s="133"/>
      <c r="C181" s="133"/>
      <c r="D181" s="133"/>
      <c r="E181" s="133"/>
      <c r="F181" s="133"/>
      <c r="G181" s="133"/>
      <c r="H181" s="133"/>
      <c r="I181" s="133"/>
      <c r="J181" s="140"/>
      <c r="K181" s="141"/>
      <c r="L181" s="133"/>
    </row>
    <row r="182" spans="1:12" x14ac:dyDescent="0.25">
      <c r="A182" s="133"/>
      <c r="B182" s="133"/>
      <c r="C182" s="133"/>
      <c r="D182" s="133"/>
      <c r="E182" s="133"/>
      <c r="F182" s="133"/>
      <c r="G182" s="133"/>
      <c r="H182" s="133"/>
      <c r="I182" s="133"/>
      <c r="J182" s="140"/>
      <c r="K182" s="141"/>
      <c r="L182" s="133"/>
    </row>
    <row r="183" spans="1:12" x14ac:dyDescent="0.25">
      <c r="A183" s="133"/>
      <c r="B183" s="133"/>
      <c r="C183" s="133"/>
      <c r="D183" s="133"/>
      <c r="E183" s="133"/>
      <c r="F183" s="133"/>
      <c r="G183" s="133"/>
      <c r="H183" s="133"/>
      <c r="I183" s="133"/>
      <c r="J183" s="140"/>
      <c r="K183" s="141"/>
      <c r="L183" s="133"/>
    </row>
    <row r="184" spans="1:12" x14ac:dyDescent="0.25">
      <c r="A184" s="133"/>
      <c r="B184" s="133"/>
      <c r="C184" s="133"/>
      <c r="D184" s="133"/>
      <c r="E184" s="133"/>
      <c r="F184" s="133"/>
      <c r="G184" s="133"/>
      <c r="H184" s="133"/>
      <c r="I184" s="133"/>
      <c r="J184" s="140"/>
      <c r="K184" s="141"/>
      <c r="L184" s="133"/>
    </row>
    <row r="185" spans="1:12" x14ac:dyDescent="0.25">
      <c r="A185" s="133"/>
      <c r="B185" s="133"/>
      <c r="C185" s="133"/>
      <c r="D185" s="133"/>
      <c r="E185" s="133"/>
      <c r="F185" s="133"/>
      <c r="G185" s="133"/>
      <c r="H185" s="133"/>
      <c r="I185" s="133"/>
      <c r="J185" s="140"/>
      <c r="K185" s="141"/>
      <c r="L185" s="133"/>
    </row>
    <row r="186" spans="1:12" x14ac:dyDescent="0.25">
      <c r="A186" s="133"/>
      <c r="B186" s="133"/>
      <c r="C186" s="133"/>
      <c r="D186" s="133"/>
      <c r="E186" s="133"/>
      <c r="F186" s="133"/>
      <c r="G186" s="133"/>
      <c r="H186" s="133"/>
      <c r="I186" s="133"/>
      <c r="J186" s="140"/>
      <c r="K186" s="141"/>
      <c r="L186" s="133"/>
    </row>
    <row r="187" spans="1:12" x14ac:dyDescent="0.25">
      <c r="A187" s="133"/>
      <c r="B187" s="133"/>
      <c r="C187" s="133"/>
      <c r="D187" s="133"/>
      <c r="E187" s="133"/>
      <c r="F187" s="133"/>
      <c r="G187" s="133"/>
      <c r="H187" s="133"/>
      <c r="I187" s="133"/>
      <c r="J187" s="140"/>
      <c r="K187" s="141"/>
      <c r="L187" s="133"/>
    </row>
    <row r="188" spans="1:12" x14ac:dyDescent="0.25">
      <c r="A188" s="133"/>
      <c r="B188" s="133"/>
      <c r="C188" s="133"/>
      <c r="D188" s="133"/>
      <c r="E188" s="133"/>
      <c r="F188" s="133"/>
      <c r="G188" s="133"/>
      <c r="H188" s="133"/>
      <c r="I188" s="133"/>
      <c r="J188" s="140"/>
      <c r="K188" s="141"/>
      <c r="L188" s="133"/>
    </row>
    <row r="189" spans="1:12" x14ac:dyDescent="0.25">
      <c r="A189" s="133"/>
      <c r="B189" s="133"/>
      <c r="C189" s="133"/>
      <c r="D189" s="133"/>
      <c r="E189" s="133"/>
      <c r="F189" s="133"/>
      <c r="G189" s="133"/>
      <c r="H189" s="133"/>
      <c r="I189" s="133"/>
      <c r="J189" s="140"/>
      <c r="K189" s="141"/>
      <c r="L189" s="133"/>
    </row>
    <row r="190" spans="1:12" x14ac:dyDescent="0.25">
      <c r="A190" s="133"/>
      <c r="B190" s="133"/>
      <c r="C190" s="133"/>
      <c r="D190" s="133"/>
      <c r="E190" s="133"/>
      <c r="F190" s="133"/>
      <c r="G190" s="133"/>
      <c r="H190" s="133"/>
      <c r="I190" s="133"/>
      <c r="J190" s="140"/>
      <c r="K190" s="141"/>
      <c r="L190" s="133"/>
    </row>
    <row r="191" spans="1:12" x14ac:dyDescent="0.25">
      <c r="A191" s="133"/>
      <c r="B191" s="133"/>
      <c r="C191" s="133"/>
      <c r="D191" s="133"/>
      <c r="E191" s="133"/>
      <c r="F191" s="133"/>
      <c r="G191" s="133"/>
      <c r="H191" s="133"/>
      <c r="I191" s="133"/>
      <c r="J191" s="140"/>
      <c r="K191" s="141"/>
      <c r="L191" s="133"/>
    </row>
    <row r="192" spans="1:12" x14ac:dyDescent="0.25">
      <c r="A192" s="133"/>
      <c r="B192" s="133"/>
      <c r="C192" s="133"/>
      <c r="D192" s="133"/>
      <c r="E192" s="133"/>
      <c r="F192" s="133"/>
      <c r="G192" s="133"/>
      <c r="H192" s="133"/>
      <c r="I192" s="133"/>
      <c r="J192" s="140"/>
      <c r="K192" s="141"/>
      <c r="L192" s="133"/>
    </row>
    <row r="193" spans="1:12" x14ac:dyDescent="0.25">
      <c r="A193" s="133"/>
      <c r="B193" s="133"/>
      <c r="C193" s="133"/>
      <c r="D193" s="133"/>
      <c r="E193" s="133"/>
      <c r="F193" s="133"/>
      <c r="G193" s="133"/>
      <c r="H193" s="133"/>
      <c r="I193" s="133"/>
      <c r="J193" s="140"/>
      <c r="K193" s="141"/>
      <c r="L193" s="133"/>
    </row>
    <row r="194" spans="1:12" x14ac:dyDescent="0.25">
      <c r="A194" s="133"/>
      <c r="B194" s="133"/>
      <c r="C194" s="133"/>
      <c r="D194" s="133"/>
      <c r="E194" s="133"/>
      <c r="F194" s="133"/>
      <c r="G194" s="133"/>
      <c r="H194" s="133"/>
      <c r="I194" s="133"/>
      <c r="J194" s="140"/>
      <c r="K194" s="141"/>
      <c r="L194" s="133"/>
    </row>
    <row r="195" spans="1:12" x14ac:dyDescent="0.25">
      <c r="A195" s="133"/>
      <c r="B195" s="133"/>
      <c r="C195" s="133"/>
      <c r="D195" s="133"/>
      <c r="E195" s="133"/>
      <c r="F195" s="133"/>
      <c r="G195" s="133"/>
      <c r="H195" s="133"/>
      <c r="I195" s="133"/>
      <c r="J195" s="140"/>
      <c r="K195" s="141"/>
      <c r="L195" s="133"/>
    </row>
    <row r="196" spans="1:12" x14ac:dyDescent="0.25">
      <c r="A196" s="133"/>
      <c r="B196" s="133"/>
      <c r="C196" s="133"/>
      <c r="D196" s="133"/>
      <c r="E196" s="133"/>
      <c r="F196" s="133"/>
      <c r="G196" s="133"/>
      <c r="H196" s="133"/>
      <c r="I196" s="133"/>
      <c r="J196" s="140"/>
      <c r="K196" s="141"/>
      <c r="L196" s="133"/>
    </row>
    <row r="197" spans="1:12" x14ac:dyDescent="0.25">
      <c r="A197" s="133"/>
      <c r="B197" s="133"/>
      <c r="C197" s="133"/>
      <c r="D197" s="133"/>
      <c r="E197" s="133"/>
      <c r="F197" s="133"/>
      <c r="G197" s="133"/>
      <c r="H197" s="133"/>
      <c r="I197" s="133"/>
      <c r="J197" s="140"/>
      <c r="K197" s="141"/>
      <c r="L197" s="133"/>
    </row>
    <row r="198" spans="1:12" x14ac:dyDescent="0.25">
      <c r="A198" s="133"/>
      <c r="B198" s="133"/>
      <c r="C198" s="133"/>
      <c r="D198" s="133"/>
      <c r="E198" s="133"/>
      <c r="F198" s="133"/>
      <c r="G198" s="133"/>
      <c r="H198" s="133"/>
      <c r="I198" s="133"/>
      <c r="J198" s="140"/>
      <c r="K198" s="141"/>
      <c r="L198" s="133"/>
    </row>
    <row r="199" spans="1:12" x14ac:dyDescent="0.25">
      <c r="A199" s="133"/>
      <c r="B199" s="133"/>
      <c r="C199" s="133"/>
      <c r="D199" s="133"/>
      <c r="E199" s="133"/>
      <c r="F199" s="133"/>
      <c r="G199" s="133"/>
      <c r="H199" s="133"/>
      <c r="I199" s="133"/>
      <c r="J199" s="140"/>
      <c r="K199" s="141"/>
      <c r="L199" s="133"/>
    </row>
    <row r="200" spans="1:12" x14ac:dyDescent="0.25">
      <c r="A200" s="133"/>
      <c r="B200" s="133"/>
      <c r="C200" s="133"/>
      <c r="D200" s="133"/>
      <c r="E200" s="133"/>
      <c r="F200" s="133"/>
      <c r="G200" s="133"/>
      <c r="H200" s="133"/>
      <c r="I200" s="133"/>
      <c r="J200" s="140"/>
      <c r="K200" s="141"/>
      <c r="L200" s="133"/>
    </row>
    <row r="201" spans="1:12" x14ac:dyDescent="0.25">
      <c r="A201" s="133"/>
      <c r="B201" s="133"/>
      <c r="C201" s="133"/>
      <c r="D201" s="133"/>
      <c r="E201" s="133"/>
      <c r="F201" s="133"/>
      <c r="G201" s="133"/>
      <c r="H201" s="133"/>
      <c r="I201" s="133"/>
      <c r="J201" s="140"/>
      <c r="K201" s="141"/>
      <c r="L201" s="133"/>
    </row>
    <row r="202" spans="1:12" x14ac:dyDescent="0.25">
      <c r="A202" s="133"/>
      <c r="B202" s="133"/>
      <c r="C202" s="133"/>
      <c r="D202" s="133"/>
      <c r="E202" s="133"/>
      <c r="F202" s="133"/>
      <c r="G202" s="133"/>
      <c r="H202" s="133"/>
      <c r="I202" s="133"/>
      <c r="J202" s="140"/>
      <c r="K202" s="141"/>
      <c r="L202" s="133"/>
    </row>
    <row r="203" spans="1:12" x14ac:dyDescent="0.25">
      <c r="A203" s="133"/>
      <c r="B203" s="133"/>
      <c r="C203" s="133"/>
      <c r="D203" s="133"/>
      <c r="E203" s="133"/>
      <c r="F203" s="133"/>
      <c r="G203" s="133"/>
      <c r="H203" s="133"/>
      <c r="I203" s="133"/>
      <c r="J203" s="140"/>
      <c r="K203" s="141"/>
      <c r="L203" s="133"/>
    </row>
    <row r="204" spans="1:12" x14ac:dyDescent="0.25">
      <c r="A204" s="133"/>
      <c r="B204" s="133"/>
      <c r="C204" s="133"/>
      <c r="D204" s="133"/>
      <c r="E204" s="133"/>
      <c r="F204" s="133"/>
      <c r="G204" s="133"/>
      <c r="H204" s="133"/>
      <c r="I204" s="133"/>
      <c r="J204" s="140"/>
      <c r="K204" s="141"/>
      <c r="L204" s="133"/>
    </row>
    <row r="205" spans="1:12" x14ac:dyDescent="0.25">
      <c r="A205" s="133"/>
      <c r="B205" s="133"/>
      <c r="C205" s="133"/>
      <c r="D205" s="133"/>
      <c r="E205" s="133"/>
      <c r="F205" s="133"/>
      <c r="G205" s="133"/>
      <c r="H205" s="133"/>
      <c r="I205" s="133"/>
      <c r="J205" s="140"/>
      <c r="K205" s="141"/>
      <c r="L205" s="133"/>
    </row>
    <row r="206" spans="1:12" x14ac:dyDescent="0.25">
      <c r="A206" s="133"/>
      <c r="B206" s="133"/>
      <c r="C206" s="133"/>
      <c r="D206" s="133"/>
      <c r="E206" s="133"/>
      <c r="F206" s="133"/>
      <c r="G206" s="133"/>
      <c r="H206" s="133"/>
      <c r="I206" s="133"/>
      <c r="J206" s="140"/>
      <c r="K206" s="141"/>
      <c r="L206" s="133"/>
    </row>
    <row r="207" spans="1:12" x14ac:dyDescent="0.25">
      <c r="A207" s="133"/>
      <c r="B207" s="133"/>
      <c r="C207" s="133"/>
      <c r="D207" s="133"/>
      <c r="E207" s="133"/>
      <c r="F207" s="133"/>
      <c r="G207" s="133"/>
      <c r="H207" s="133"/>
      <c r="I207" s="133"/>
      <c r="J207" s="140"/>
      <c r="K207" s="141"/>
      <c r="L207" s="133"/>
    </row>
    <row r="208" spans="1:12" x14ac:dyDescent="0.25">
      <c r="A208" s="133"/>
      <c r="B208" s="133"/>
      <c r="C208" s="133"/>
      <c r="D208" s="133"/>
      <c r="E208" s="133"/>
      <c r="F208" s="133"/>
      <c r="G208" s="133"/>
      <c r="H208" s="133"/>
      <c r="I208" s="133"/>
      <c r="J208" s="140"/>
      <c r="K208" s="141"/>
      <c r="L208" s="133"/>
    </row>
    <row r="209" spans="1:12" x14ac:dyDescent="0.25">
      <c r="A209" s="133"/>
      <c r="B209" s="133"/>
      <c r="C209" s="133"/>
      <c r="D209" s="133"/>
      <c r="E209" s="133"/>
      <c r="F209" s="133"/>
      <c r="G209" s="133"/>
      <c r="H209" s="133"/>
      <c r="I209" s="133"/>
      <c r="J209" s="140"/>
      <c r="K209" s="141"/>
      <c r="L209" s="133"/>
    </row>
    <row r="210" spans="1:12" x14ac:dyDescent="0.25">
      <c r="A210" s="133"/>
      <c r="B210" s="133"/>
      <c r="C210" s="133"/>
      <c r="D210" s="133"/>
      <c r="E210" s="133"/>
      <c r="F210" s="133"/>
      <c r="G210" s="133"/>
      <c r="H210" s="133"/>
      <c r="I210" s="133"/>
      <c r="J210" s="140"/>
      <c r="K210" s="141"/>
      <c r="L210" s="133"/>
    </row>
    <row r="211" spans="1:12" x14ac:dyDescent="0.25">
      <c r="A211" s="133"/>
      <c r="B211" s="133"/>
      <c r="C211" s="133"/>
      <c r="D211" s="133"/>
      <c r="E211" s="133"/>
      <c r="F211" s="133"/>
      <c r="G211" s="133"/>
      <c r="H211" s="133"/>
      <c r="I211" s="133"/>
      <c r="J211" s="140"/>
      <c r="K211" s="141"/>
      <c r="L211" s="133"/>
    </row>
    <row r="212" spans="1:12" x14ac:dyDescent="0.25">
      <c r="A212" s="133"/>
      <c r="B212" s="133"/>
      <c r="C212" s="133"/>
      <c r="D212" s="133"/>
      <c r="E212" s="133"/>
      <c r="F212" s="133"/>
      <c r="G212" s="133"/>
      <c r="H212" s="133"/>
      <c r="I212" s="133"/>
      <c r="J212" s="140"/>
      <c r="K212" s="141"/>
      <c r="L212" s="133"/>
    </row>
    <row r="213" spans="1:12" x14ac:dyDescent="0.25">
      <c r="A213" s="133"/>
      <c r="B213" s="133"/>
      <c r="C213" s="133"/>
      <c r="D213" s="133"/>
      <c r="E213" s="133"/>
      <c r="F213" s="133"/>
      <c r="G213" s="133"/>
      <c r="H213" s="133"/>
      <c r="I213" s="133"/>
      <c r="J213" s="140"/>
      <c r="K213" s="141"/>
      <c r="L213" s="133"/>
    </row>
    <row r="214" spans="1:12" x14ac:dyDescent="0.25">
      <c r="A214" s="133"/>
      <c r="B214" s="133"/>
      <c r="C214" s="133"/>
      <c r="D214" s="133"/>
      <c r="E214" s="133"/>
      <c r="F214" s="133"/>
      <c r="G214" s="133"/>
      <c r="H214" s="133"/>
      <c r="I214" s="133"/>
      <c r="J214" s="140"/>
      <c r="K214" s="141"/>
      <c r="L214" s="133"/>
    </row>
    <row r="215" spans="1:12" x14ac:dyDescent="0.25">
      <c r="A215" s="133"/>
      <c r="B215" s="133"/>
      <c r="C215" s="133"/>
      <c r="D215" s="133"/>
      <c r="E215" s="133"/>
      <c r="F215" s="133"/>
      <c r="G215" s="133"/>
      <c r="H215" s="133"/>
      <c r="I215" s="133"/>
      <c r="J215" s="140"/>
      <c r="K215" s="141"/>
      <c r="L215" s="133"/>
    </row>
    <row r="216" spans="1:12" x14ac:dyDescent="0.25">
      <c r="A216" s="133"/>
      <c r="B216" s="133"/>
      <c r="C216" s="133"/>
      <c r="D216" s="133"/>
      <c r="E216" s="133"/>
      <c r="F216" s="133"/>
      <c r="G216" s="133"/>
      <c r="H216" s="133"/>
      <c r="I216" s="133"/>
      <c r="J216" s="140"/>
      <c r="K216" s="141"/>
      <c r="L216" s="133"/>
    </row>
    <row r="217" spans="1:12" x14ac:dyDescent="0.25">
      <c r="C217" s="133"/>
      <c r="D217" s="133"/>
      <c r="E217" s="133"/>
      <c r="F217" s="133"/>
      <c r="G217" s="133"/>
      <c r="H217" s="133"/>
      <c r="I217" s="133"/>
      <c r="J217" s="140"/>
      <c r="K217" s="133"/>
    </row>
    <row r="218" spans="1:12" x14ac:dyDescent="0.25">
      <c r="C218" s="133"/>
      <c r="D218" s="133"/>
      <c r="E218" s="133"/>
      <c r="F218" s="133"/>
      <c r="G218" s="133"/>
      <c r="H218" s="133"/>
      <c r="I218" s="133"/>
      <c r="J218" s="140"/>
      <c r="K218" s="133"/>
    </row>
    <row r="219" spans="1:12" x14ac:dyDescent="0.25">
      <c r="C219" s="133"/>
      <c r="D219" s="133"/>
      <c r="E219" s="133"/>
      <c r="F219" s="133"/>
      <c r="G219" s="133"/>
      <c r="H219" s="133"/>
      <c r="I219" s="133"/>
      <c r="J219" s="140"/>
      <c r="K219" s="133"/>
    </row>
    <row r="220" spans="1:12" x14ac:dyDescent="0.25">
      <c r="C220" s="133"/>
      <c r="D220" s="133"/>
      <c r="E220" s="133"/>
      <c r="F220" s="133"/>
      <c r="G220" s="133"/>
      <c r="H220" s="133"/>
      <c r="I220" s="133"/>
      <c r="J220" s="140"/>
      <c r="K220" s="133"/>
    </row>
    <row r="221" spans="1:12" x14ac:dyDescent="0.25">
      <c r="C221" s="134"/>
      <c r="D221" s="133"/>
      <c r="E221" s="133"/>
      <c r="F221" s="133"/>
      <c r="G221" s="133"/>
      <c r="H221" s="133"/>
      <c r="I221" s="133"/>
      <c r="J221" s="143"/>
      <c r="K221" s="144">
        <f>SUM(K7:K220)</f>
        <v>34329.384930000022</v>
      </c>
      <c r="L221" s="144">
        <f>SUM(L7:L220)</f>
        <v>2538.8556115715228</v>
      </c>
    </row>
    <row r="222" spans="1:12" x14ac:dyDescent="0.25">
      <c r="C222" s="133"/>
      <c r="D222" s="133"/>
      <c r="E222" s="133"/>
      <c r="F222" s="133"/>
      <c r="G222" s="133"/>
      <c r="H222" s="133"/>
      <c r="I222" s="133"/>
      <c r="J222" s="133"/>
      <c r="K222" s="133"/>
    </row>
    <row r="223" spans="1:12" x14ac:dyDescent="0.25">
      <c r="C223" s="145"/>
      <c r="D223" s="145"/>
      <c r="E223" s="145"/>
      <c r="F223" s="145"/>
      <c r="G223" s="145"/>
      <c r="H223" s="145"/>
      <c r="I223" s="145"/>
      <c r="J223" s="145"/>
      <c r="K223" s="146"/>
    </row>
    <row r="225" spans="3:3" x14ac:dyDescent="0.25">
      <c r="C225" s="145"/>
    </row>
    <row r="227" spans="3:3" x14ac:dyDescent="0.25">
      <c r="C227" s="145"/>
    </row>
    <row r="230" spans="3:3" x14ac:dyDescent="0.25">
      <c r="C230" s="145"/>
    </row>
    <row r="231" spans="3:3" x14ac:dyDescent="0.25">
      <c r="C231" s="145"/>
    </row>
    <row r="232" spans="3:3" x14ac:dyDescent="0.25">
      <c r="C232" s="145"/>
    </row>
    <row r="234" spans="3:3" x14ac:dyDescent="0.25">
      <c r="C234" s="145"/>
    </row>
    <row r="238" spans="3:3" x14ac:dyDescent="0.25">
      <c r="C238" s="145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INPUTS_Generales</vt:lpstr>
      <vt:lpstr>Gen-Cap</vt:lpstr>
      <vt:lpstr>Datos_Loc_ETs</vt:lpstr>
      <vt:lpstr>Datos_ETs_CAs</vt:lpstr>
      <vt:lpstr>Datos_Loc_CAs</vt:lpstr>
      <vt:lpstr>Analisis_Inputs_Grales</vt:lpstr>
      <vt:lpstr>Analisis 20Años</vt:lpstr>
      <vt:lpstr>Análisis Generación</vt:lpstr>
      <vt:lpstr>Generación-venta_año 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Federico Ariel Andrada Frau</cp:lastModifiedBy>
  <dcterms:created xsi:type="dcterms:W3CDTF">2015-06-05T18:19:34Z</dcterms:created>
  <dcterms:modified xsi:type="dcterms:W3CDTF">2024-02-16T17:44:26Z</dcterms:modified>
</cp:coreProperties>
</file>