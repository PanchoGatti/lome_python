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ython\Github\lome_python\Backup\"/>
    </mc:Choice>
  </mc:AlternateContent>
  <xr:revisionPtr revIDLastSave="0" documentId="13_ncr:1_{CC86AF28-6067-4317-B94D-6753424FE606}" xr6:coauthVersionLast="47" xr6:coauthVersionMax="47" xr10:uidLastSave="{00000000-0000-0000-0000-000000000000}"/>
  <bookViews>
    <workbookView xWindow="-120" yWindow="-120" windowWidth="20730" windowHeight="11160" tabRatio="754" activeTab="6" xr2:uid="{00000000-000D-0000-FFFF-FFFF00000000}"/>
  </bookViews>
  <sheets>
    <sheet name="INPUTS_Generales" sheetId="5" r:id="rId1"/>
    <sheet name="Gen-Cap" sheetId="23" r:id="rId2"/>
    <sheet name="Datos_Loc_ETs" sheetId="20" r:id="rId3"/>
    <sheet name="Datos_ETs_CAs" sheetId="22" r:id="rId4"/>
    <sheet name="Datos_Loc_CAs" sheetId="21" r:id="rId5"/>
    <sheet name="Analisis Inputs Grales" sheetId="24" r:id="rId6"/>
    <sheet name="Analisis 20Años" sheetId="25" r:id="rId7"/>
    <sheet name="Análisis Generación" sheetId="26" r:id="rId8"/>
  </sheets>
  <definedNames>
    <definedName name="MIN">INPUTS_Generales!#REF!</definedName>
    <definedName name="solver_adj" localSheetId="0" hidden="1">INPUTS_Generales!#REF!,INPUTS_Generales!#REF!,INPUTS_Generales!#REF!</definedName>
    <definedName name="solver_cvg" localSheetId="0" hidden="1">"0.0001"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INPUTS_Generales!#REF!</definedName>
    <definedName name="solver_lhs10" localSheetId="0" hidden="1">INPUTS_Generales!#REF!</definedName>
    <definedName name="solver_lhs100" localSheetId="0" hidden="1">INPUTS_Generales!#REF!</definedName>
    <definedName name="solver_lhs101" localSheetId="0" hidden="1">INPUTS_Generales!#REF!</definedName>
    <definedName name="solver_lhs102" localSheetId="0" hidden="1">INPUTS_Generales!#REF!</definedName>
    <definedName name="solver_lhs103" localSheetId="0" hidden="1">INPUTS_Generales!#REF!</definedName>
    <definedName name="solver_lhs104" localSheetId="0" hidden="1">INPUTS_Generales!#REF!</definedName>
    <definedName name="solver_lhs105" localSheetId="0" hidden="1">INPUTS_Generales!#REF!</definedName>
    <definedName name="solver_lhs106" localSheetId="0" hidden="1">INPUTS_Generales!#REF!</definedName>
    <definedName name="solver_lhs107" localSheetId="0" hidden="1">INPUTS_Generales!#REF!</definedName>
    <definedName name="solver_lhs108" localSheetId="0" hidden="1">INPUTS_Generales!#REF!</definedName>
    <definedName name="solver_lhs109" localSheetId="0" hidden="1">INPUTS_Generales!#REF!</definedName>
    <definedName name="solver_lhs11" localSheetId="0" hidden="1">INPUTS_Generales!#REF!</definedName>
    <definedName name="solver_lhs110" localSheetId="0" hidden="1">INPUTS_Generales!#REF!</definedName>
    <definedName name="solver_lhs111" localSheetId="0" hidden="1">INPUTS_Generales!#REF!</definedName>
    <definedName name="solver_lhs112" localSheetId="0" hidden="1">INPUTS_Generales!#REF!</definedName>
    <definedName name="solver_lhs113" localSheetId="0" hidden="1">INPUTS_Generales!#REF!</definedName>
    <definedName name="solver_lhs114" localSheetId="0" hidden="1">INPUTS_Generales!#REF!</definedName>
    <definedName name="solver_lhs115" localSheetId="0" hidden="1">INPUTS_Generales!#REF!</definedName>
    <definedName name="solver_lhs116" localSheetId="0" hidden="1">INPUTS_Generales!#REF!</definedName>
    <definedName name="solver_lhs12" localSheetId="0" hidden="1">INPUTS_Generales!#REF!</definedName>
    <definedName name="solver_lhs13" localSheetId="0" hidden="1">INPUTS_Generales!#REF!</definedName>
    <definedName name="solver_lhs14" localSheetId="0" hidden="1">INPUTS_Generales!#REF!</definedName>
    <definedName name="solver_lhs15" localSheetId="0" hidden="1">INPUTS_Generales!#REF!</definedName>
    <definedName name="solver_lhs16" localSheetId="0" hidden="1">INPUTS_Generales!#REF!</definedName>
    <definedName name="solver_lhs17" localSheetId="0" hidden="1">INPUTS_Generales!#REF!</definedName>
    <definedName name="solver_lhs18" localSheetId="0" hidden="1">INPUTS_Generales!#REF!</definedName>
    <definedName name="solver_lhs19" localSheetId="0" hidden="1">INPUTS_Generales!#REF!</definedName>
    <definedName name="solver_lhs2" localSheetId="0" hidden="1">INPUTS_Generales!#REF!</definedName>
    <definedName name="solver_lhs20" localSheetId="0" hidden="1">INPUTS_Generales!#REF!</definedName>
    <definedName name="solver_lhs21" localSheetId="0" hidden="1">INPUTS_Generales!#REF!</definedName>
    <definedName name="solver_lhs22" localSheetId="0" hidden="1">INPUTS_Generales!#REF!</definedName>
    <definedName name="solver_lhs23" localSheetId="0" hidden="1">INPUTS_Generales!#REF!</definedName>
    <definedName name="solver_lhs24" localSheetId="0" hidden="1">INPUTS_Generales!#REF!</definedName>
    <definedName name="solver_lhs25" localSheetId="0" hidden="1">INPUTS_Generales!#REF!</definedName>
    <definedName name="solver_lhs26" localSheetId="0" hidden="1">INPUTS_Generales!#REF!</definedName>
    <definedName name="solver_lhs27" localSheetId="0" hidden="1">INPUTS_Generales!#REF!</definedName>
    <definedName name="solver_lhs28" localSheetId="0" hidden="1">INPUTS_Generales!#REF!</definedName>
    <definedName name="solver_lhs29" localSheetId="0" hidden="1">INPUTS_Generales!#REF!</definedName>
    <definedName name="solver_lhs3" localSheetId="0" hidden="1">INPUTS_Generales!#REF!</definedName>
    <definedName name="solver_lhs30" localSheetId="0" hidden="1">INPUTS_Generales!#REF!</definedName>
    <definedName name="solver_lhs31" localSheetId="0" hidden="1">INPUTS_Generales!#REF!</definedName>
    <definedName name="solver_lhs32" localSheetId="0" hidden="1">INPUTS_Generales!#REF!</definedName>
    <definedName name="solver_lhs33" localSheetId="0" hidden="1">INPUTS_Generales!#REF!</definedName>
    <definedName name="solver_lhs34" localSheetId="0" hidden="1">INPUTS_Generales!#REF!</definedName>
    <definedName name="solver_lhs35" localSheetId="0" hidden="1">INPUTS_Generales!#REF!</definedName>
    <definedName name="solver_lhs36" localSheetId="0" hidden="1">INPUTS_Generales!#REF!</definedName>
    <definedName name="solver_lhs37" localSheetId="0" hidden="1">INPUTS_Generales!#REF!</definedName>
    <definedName name="solver_lhs38" localSheetId="0" hidden="1">INPUTS_Generales!#REF!</definedName>
    <definedName name="solver_lhs39" localSheetId="0" hidden="1">INPUTS_Generales!#REF!</definedName>
    <definedName name="solver_lhs4" localSheetId="0" hidden="1">INPUTS_Generales!#REF!</definedName>
    <definedName name="solver_lhs40" localSheetId="0" hidden="1">INPUTS_Generales!#REF!</definedName>
    <definedName name="solver_lhs41" localSheetId="0" hidden="1">INPUTS_Generales!#REF!</definedName>
    <definedName name="solver_lhs42" localSheetId="0" hidden="1">INPUTS_Generales!#REF!</definedName>
    <definedName name="solver_lhs43" localSheetId="0" hidden="1">INPUTS_Generales!#REF!</definedName>
    <definedName name="solver_lhs44" localSheetId="0" hidden="1">INPUTS_Generales!#REF!</definedName>
    <definedName name="solver_lhs45" localSheetId="0" hidden="1">INPUTS_Generales!#REF!</definedName>
    <definedName name="solver_lhs46" localSheetId="0" hidden="1">INPUTS_Generales!#REF!</definedName>
    <definedName name="solver_lhs47" localSheetId="0" hidden="1">INPUTS_Generales!#REF!</definedName>
    <definedName name="solver_lhs48" localSheetId="0" hidden="1">INPUTS_Generales!#REF!</definedName>
    <definedName name="solver_lhs49" localSheetId="0" hidden="1">INPUTS_Generales!#REF!</definedName>
    <definedName name="solver_lhs5" localSheetId="0" hidden="1">INPUTS_Generales!#REF!</definedName>
    <definedName name="solver_lhs50" localSheetId="0" hidden="1">INPUTS_Generales!#REF!</definedName>
    <definedName name="solver_lhs51" localSheetId="0" hidden="1">INPUTS_Generales!#REF!</definedName>
    <definedName name="solver_lhs52" localSheetId="0" hidden="1">INPUTS_Generales!#REF!</definedName>
    <definedName name="solver_lhs53" localSheetId="0" hidden="1">INPUTS_Generales!#REF!</definedName>
    <definedName name="solver_lhs54" localSheetId="0" hidden="1">INPUTS_Generales!#REF!</definedName>
    <definedName name="solver_lhs55" localSheetId="0" hidden="1">INPUTS_Generales!#REF!</definedName>
    <definedName name="solver_lhs56" localSheetId="0" hidden="1">INPUTS_Generales!#REF!</definedName>
    <definedName name="solver_lhs57" localSheetId="0" hidden="1">INPUTS_Generales!#REF!</definedName>
    <definedName name="solver_lhs58" localSheetId="0" hidden="1">INPUTS_Generales!#REF!</definedName>
    <definedName name="solver_lhs59" localSheetId="0" hidden="1">INPUTS_Generales!#REF!</definedName>
    <definedName name="solver_lhs6" localSheetId="0" hidden="1">INPUTS_Generales!#REF!</definedName>
    <definedName name="solver_lhs60" localSheetId="0" hidden="1">INPUTS_Generales!#REF!</definedName>
    <definedName name="solver_lhs61" localSheetId="0" hidden="1">INPUTS_Generales!#REF!</definedName>
    <definedName name="solver_lhs62" localSheetId="0" hidden="1">INPUTS_Generales!#REF!</definedName>
    <definedName name="solver_lhs63" localSheetId="0" hidden="1">INPUTS_Generales!#REF!</definedName>
    <definedName name="solver_lhs64" localSheetId="0" hidden="1">INPUTS_Generales!#REF!</definedName>
    <definedName name="solver_lhs65" localSheetId="0" hidden="1">INPUTS_Generales!#REF!</definedName>
    <definedName name="solver_lhs66" localSheetId="0" hidden="1">INPUTS_Generales!#REF!</definedName>
    <definedName name="solver_lhs67" localSheetId="0" hidden="1">INPUTS_Generales!#REF!</definedName>
    <definedName name="solver_lhs68" localSheetId="0" hidden="1">INPUTS_Generales!#REF!</definedName>
    <definedName name="solver_lhs69" localSheetId="0" hidden="1">INPUTS_Generales!#REF!</definedName>
    <definedName name="solver_lhs7" localSheetId="0" hidden="1">INPUTS_Generales!#REF!</definedName>
    <definedName name="solver_lhs70" localSheetId="0" hidden="1">INPUTS_Generales!#REF!</definedName>
    <definedName name="solver_lhs71" localSheetId="0" hidden="1">INPUTS_Generales!#REF!</definedName>
    <definedName name="solver_lhs72" localSheetId="0" hidden="1">INPUTS_Generales!#REF!</definedName>
    <definedName name="solver_lhs73" localSheetId="0" hidden="1">INPUTS_Generales!#REF!</definedName>
    <definedName name="solver_lhs74" localSheetId="0" hidden="1">INPUTS_Generales!#REF!</definedName>
    <definedName name="solver_lhs75" localSheetId="0" hidden="1">INPUTS_Generales!#REF!</definedName>
    <definedName name="solver_lhs76" localSheetId="0" hidden="1">INPUTS_Generales!#REF!</definedName>
    <definedName name="solver_lhs77" localSheetId="0" hidden="1">INPUTS_Generales!#REF!</definedName>
    <definedName name="solver_lhs78" localSheetId="0" hidden="1">INPUTS_Generales!#REF!</definedName>
    <definedName name="solver_lhs79" localSheetId="0" hidden="1">INPUTS_Generales!#REF!</definedName>
    <definedName name="solver_lhs8" localSheetId="0" hidden="1">INPUTS_Generales!#REF!</definedName>
    <definedName name="solver_lhs80" localSheetId="0" hidden="1">INPUTS_Generales!#REF!</definedName>
    <definedName name="solver_lhs81" localSheetId="0" hidden="1">INPUTS_Generales!#REF!</definedName>
    <definedName name="solver_lhs82" localSheetId="0" hidden="1">INPUTS_Generales!#REF!</definedName>
    <definedName name="solver_lhs83" localSheetId="0" hidden="1">INPUTS_Generales!#REF!</definedName>
    <definedName name="solver_lhs84" localSheetId="0" hidden="1">INPUTS_Generales!#REF!</definedName>
    <definedName name="solver_lhs85" localSheetId="0" hidden="1">INPUTS_Generales!#REF!</definedName>
    <definedName name="solver_lhs86" localSheetId="0" hidden="1">INPUTS_Generales!#REF!</definedName>
    <definedName name="solver_lhs87" localSheetId="0" hidden="1">INPUTS_Generales!#REF!</definedName>
    <definedName name="solver_lhs88" localSheetId="0" hidden="1">INPUTS_Generales!#REF!</definedName>
    <definedName name="solver_lhs89" localSheetId="0" hidden="1">INPUTS_Generales!#REF!</definedName>
    <definedName name="solver_lhs9" localSheetId="0" hidden="1">INPUTS_Generales!#REF!</definedName>
    <definedName name="solver_lhs90" localSheetId="0" hidden="1">INPUTS_Generales!#REF!</definedName>
    <definedName name="solver_lhs91" localSheetId="0" hidden="1">INPUTS_Generales!#REF!</definedName>
    <definedName name="solver_lhs92" localSheetId="0" hidden="1">INPUTS_Generales!#REF!</definedName>
    <definedName name="solver_lhs93" localSheetId="0" hidden="1">INPUTS_Generales!#REF!</definedName>
    <definedName name="solver_lhs94" localSheetId="0" hidden="1">INPUTS_Generales!#REF!</definedName>
    <definedName name="solver_lhs95" localSheetId="0" hidden="1">INPUTS_Generales!#REF!</definedName>
    <definedName name="solver_lhs96" localSheetId="0" hidden="1">INPUTS_Generales!#REF!</definedName>
    <definedName name="solver_lhs97" localSheetId="0" hidden="1">INPUTS_Generales!#REF!</definedName>
    <definedName name="solver_lhs98" localSheetId="0" hidden="1">INPUTS_Generales!#REF!</definedName>
    <definedName name="solver_lhs99" localSheetId="0" hidden="1">INPUTS_Generales!#REF!</definedName>
    <definedName name="solver_mip" localSheetId="0" hidden="1">2147483647</definedName>
    <definedName name="solver_mni" localSheetId="0" hidden="1">30</definedName>
    <definedName name="solver_mrt" localSheetId="0" hidden="1">"0.075"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52</definedName>
    <definedName name="solver_nwt" localSheetId="0" hidden="1">1</definedName>
    <definedName name="solver_opt" localSheetId="0" hidden="1">INPUTS_Generales!#REF!</definedName>
    <definedName name="solver_pre" localSheetId="0" hidden="1">"0.000001"</definedName>
    <definedName name="solver_rbv" localSheetId="0" hidden="1">2</definedName>
    <definedName name="solver_rel1" localSheetId="0" hidden="1">5</definedName>
    <definedName name="solver_rel10" localSheetId="0" hidden="1">5</definedName>
    <definedName name="solver_rel100" localSheetId="0" hidden="1">4</definedName>
    <definedName name="solver_rel101" localSheetId="0" hidden="1">4</definedName>
    <definedName name="solver_rel102" localSheetId="0" hidden="1">4</definedName>
    <definedName name="solver_rel103" localSheetId="0" hidden="1">4</definedName>
    <definedName name="solver_rel104" localSheetId="0" hidden="1">4</definedName>
    <definedName name="solver_rel105" localSheetId="0" hidden="1">4</definedName>
    <definedName name="solver_rel106" localSheetId="0" hidden="1">4</definedName>
    <definedName name="solver_rel107" localSheetId="0" hidden="1">4</definedName>
    <definedName name="solver_rel108" localSheetId="0" hidden="1">4</definedName>
    <definedName name="solver_rel109" localSheetId="0" hidden="1">4</definedName>
    <definedName name="solver_rel11" localSheetId="0" hidden="1">5</definedName>
    <definedName name="solver_rel110" localSheetId="0" hidden="1">4</definedName>
    <definedName name="solver_rel111" localSheetId="0" hidden="1">4</definedName>
    <definedName name="solver_rel112" localSheetId="0" hidden="1">4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19" localSheetId="0" hidden="1">5</definedName>
    <definedName name="solver_rel2" localSheetId="0" hidden="1">5</definedName>
    <definedName name="solver_rel20" localSheetId="0" hidden="1">5</definedName>
    <definedName name="solver_rel21" localSheetId="0" hidden="1">5</definedName>
    <definedName name="solver_rel22" localSheetId="0" hidden="1">5</definedName>
    <definedName name="solver_rel23" localSheetId="0" hidden="1">5</definedName>
    <definedName name="solver_rel24" localSheetId="0" hidden="1">5</definedName>
    <definedName name="solver_rel25" localSheetId="0" hidden="1">5</definedName>
    <definedName name="solver_rel26" localSheetId="0" hidden="1">5</definedName>
    <definedName name="solver_rel27" localSheetId="0" hidden="1">5</definedName>
    <definedName name="solver_rel28" localSheetId="0" hidden="1">5</definedName>
    <definedName name="solver_rel29" localSheetId="0" hidden="1">5</definedName>
    <definedName name="solver_rel3" localSheetId="0" hidden="1">5</definedName>
    <definedName name="solver_rel30" localSheetId="0" hidden="1">5</definedName>
    <definedName name="solver_rel31" localSheetId="0" hidden="1">5</definedName>
    <definedName name="solver_rel32" localSheetId="0" hidden="1">5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5</definedName>
    <definedName name="solver_rel40" localSheetId="0" hidden="1">2</definedName>
    <definedName name="solver_rel41" localSheetId="0" hidden="1">3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3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5</definedName>
    <definedName name="solver_rel50" localSheetId="0" hidden="1">1</definedName>
    <definedName name="solver_rel51" localSheetId="0" hidden="1">3</definedName>
    <definedName name="solver_rel52" localSheetId="0" hidden="1">1</definedName>
    <definedName name="solver_rel53" localSheetId="0" hidden="1">3</definedName>
    <definedName name="solver_rel54" localSheetId="0" hidden="1">3</definedName>
    <definedName name="solver_rel55" localSheetId="0" hidden="1">4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4</definedName>
    <definedName name="solver_rel6" localSheetId="0" hidden="1">5</definedName>
    <definedName name="solver_rel60" localSheetId="0" hidden="1">4</definedName>
    <definedName name="solver_rel61" localSheetId="0" hidden="1">1</definedName>
    <definedName name="solver_rel62" localSheetId="0" hidden="1">4</definedName>
    <definedName name="solver_rel63" localSheetId="0" hidden="1">1</definedName>
    <definedName name="solver_rel64" localSheetId="0" hidden="1">4</definedName>
    <definedName name="solver_rel65" localSheetId="0" hidden="1">4</definedName>
    <definedName name="solver_rel66" localSheetId="0" hidden="1">1</definedName>
    <definedName name="solver_rel67" localSheetId="0" hidden="1">4</definedName>
    <definedName name="solver_rel68" localSheetId="0" hidden="1">1</definedName>
    <definedName name="solver_rel69" localSheetId="0" hidden="1">4</definedName>
    <definedName name="solver_rel7" localSheetId="0" hidden="1">5</definedName>
    <definedName name="solver_rel70" localSheetId="0" hidden="1">4</definedName>
    <definedName name="solver_rel71" localSheetId="0" hidden="1">1</definedName>
    <definedName name="solver_rel72" localSheetId="0" hidden="1">1</definedName>
    <definedName name="solver_rel73" localSheetId="0" hidden="1">4</definedName>
    <definedName name="solver_rel74" localSheetId="0" hidden="1">4</definedName>
    <definedName name="solver_rel75" localSheetId="0" hidden="1">1</definedName>
    <definedName name="solver_rel76" localSheetId="0" hidden="1">1</definedName>
    <definedName name="solver_rel77" localSheetId="0" hidden="1">4</definedName>
    <definedName name="solver_rel78" localSheetId="0" hidden="1">4</definedName>
    <definedName name="solver_rel79" localSheetId="0" hidden="1">1</definedName>
    <definedName name="solver_rel8" localSheetId="0" hidden="1">5</definedName>
    <definedName name="solver_rel80" localSheetId="0" hidden="1">1</definedName>
    <definedName name="solver_rel81" localSheetId="0" hidden="1">4</definedName>
    <definedName name="solver_rel82" localSheetId="0" hidden="1">4</definedName>
    <definedName name="solver_rel83" localSheetId="0" hidden="1">4</definedName>
    <definedName name="solver_rel84" localSheetId="0" hidden="1">4</definedName>
    <definedName name="solver_rel85" localSheetId="0" hidden="1">4</definedName>
    <definedName name="solver_rel86" localSheetId="0" hidden="1">4</definedName>
    <definedName name="solver_rel87" localSheetId="0" hidden="1">4</definedName>
    <definedName name="solver_rel88" localSheetId="0" hidden="1">4</definedName>
    <definedName name="solver_rel89" localSheetId="0" hidden="1">4</definedName>
    <definedName name="solver_rel9" localSheetId="0" hidden="1">5</definedName>
    <definedName name="solver_rel90" localSheetId="0" hidden="1">4</definedName>
    <definedName name="solver_rel91" localSheetId="0" hidden="1">4</definedName>
    <definedName name="solver_rel92" localSheetId="0" hidden="1">4</definedName>
    <definedName name="solver_rel93" localSheetId="0" hidden="1">4</definedName>
    <definedName name="solver_rel94" localSheetId="0" hidden="1">4</definedName>
    <definedName name="solver_rel95" localSheetId="0" hidden="1">4</definedName>
    <definedName name="solver_rel96" localSheetId="0" hidden="1">4</definedName>
    <definedName name="solver_rel97" localSheetId="0" hidden="1">4</definedName>
    <definedName name="solver_rel98" localSheetId="0" hidden="1">4</definedName>
    <definedName name="solver_rel99" localSheetId="0" hidden="1">4</definedName>
    <definedName name="solver_rhs1" localSheetId="0" hidden="1">"binario"</definedName>
    <definedName name="solver_rhs10" localSheetId="0" hidden="1">"binario"</definedName>
    <definedName name="solver_rhs100" localSheetId="0" hidden="1">"entero"</definedName>
    <definedName name="solver_rhs101" localSheetId="0" hidden="1">"entero"</definedName>
    <definedName name="solver_rhs102" localSheetId="0" hidden="1">"entero"</definedName>
    <definedName name="solver_rhs103" localSheetId="0" hidden="1">"entero"</definedName>
    <definedName name="solver_rhs104" localSheetId="0" hidden="1">"entero"</definedName>
    <definedName name="solver_rhs105" localSheetId="0" hidden="1">"entero"</definedName>
    <definedName name="solver_rhs106" localSheetId="0" hidden="1">"entero"</definedName>
    <definedName name="solver_rhs107" localSheetId="0" hidden="1">"entero"</definedName>
    <definedName name="solver_rhs108" localSheetId="0" hidden="1">"entero"</definedName>
    <definedName name="solver_rhs109" localSheetId="0" hidden="1">"entero"</definedName>
    <definedName name="solver_rhs11" localSheetId="0" hidden="1">"binario"</definedName>
    <definedName name="solver_rhs110" localSheetId="0" hidden="1">"entero"</definedName>
    <definedName name="solver_rhs111" localSheetId="0" hidden="1">"entero"</definedName>
    <definedName name="solver_rhs112" localSheetId="0" hidden="1">"entero"</definedName>
    <definedName name="solver_rhs113" localSheetId="0" hidden="1">1</definedName>
    <definedName name="solver_rhs114" localSheetId="0" hidden="1">1</definedName>
    <definedName name="solver_rhs115" localSheetId="0" hidden="1">1</definedName>
    <definedName name="solver_rhs116" localSheetId="0" hidden="1">1</definedName>
    <definedName name="solver_rhs12" localSheetId="0" hidden="1">"binario"</definedName>
    <definedName name="solver_rhs13" localSheetId="0" hidden="1">"binario"</definedName>
    <definedName name="solver_rhs14" localSheetId="0" hidden="1">"binario"</definedName>
    <definedName name="solver_rhs15" localSheetId="0" hidden="1">"binario"</definedName>
    <definedName name="solver_rhs16" localSheetId="0" hidden="1">"binario"</definedName>
    <definedName name="solver_rhs17" localSheetId="0" hidden="1">"binario"</definedName>
    <definedName name="solver_rhs18" localSheetId="0" hidden="1">"binario"</definedName>
    <definedName name="solver_rhs19" localSheetId="0" hidden="1">"binario"</definedName>
    <definedName name="solver_rhs2" localSheetId="0" hidden="1">"binario"</definedName>
    <definedName name="solver_rhs20" localSheetId="0" hidden="1">"binario"</definedName>
    <definedName name="solver_rhs21" localSheetId="0" hidden="1">"binario"</definedName>
    <definedName name="solver_rhs22" localSheetId="0" hidden="1">"binario"</definedName>
    <definedName name="solver_rhs23" localSheetId="0" hidden="1">"binario"</definedName>
    <definedName name="solver_rhs24" localSheetId="0" hidden="1">"binario"</definedName>
    <definedName name="solver_rhs25" localSheetId="0" hidden="1">"binario"</definedName>
    <definedName name="solver_rhs26" localSheetId="0" hidden="1">"binario"</definedName>
    <definedName name="solver_rhs27" localSheetId="0" hidden="1">"binario"</definedName>
    <definedName name="solver_rhs28" localSheetId="0" hidden="1">"binario"</definedName>
    <definedName name="solver_rhs29" localSheetId="0" hidden="1">"binario"</definedName>
    <definedName name="solver_rhs3" localSheetId="0" hidden="1">"binario"</definedName>
    <definedName name="solver_rhs30" localSheetId="0" hidden="1">"binario"</definedName>
    <definedName name="solver_rhs31" localSheetId="0" hidden="1">"binario"</definedName>
    <definedName name="solver_rhs32" localSheetId="0" hidden="1">"binario"</definedName>
    <definedName name="solver_rhs33" localSheetId="0" hidden="1">1</definedName>
    <definedName name="solver_rhs34" localSheetId="0" hidden="1">1</definedName>
    <definedName name="solver_rhs35" localSheetId="0" hidden="1">1</definedName>
    <definedName name="solver_rhs36" localSheetId="0" hidden="1">1</definedName>
    <definedName name="solver_rhs37" localSheetId="0" hidden="1">INPUTS_Generales!#REF!</definedName>
    <definedName name="solver_rhs38" localSheetId="0" hidden="1">INPUTS_Generales!#REF!</definedName>
    <definedName name="solver_rhs39" localSheetId="0" hidden="1">INPUTS_Generales!#REF!</definedName>
    <definedName name="solver_rhs4" localSheetId="0" hidden="1">"binario"</definedName>
    <definedName name="solver_rhs40" localSheetId="0" hidden="1">INPUTS_Generales!#REF!</definedName>
    <definedName name="solver_rhs41" localSheetId="0" hidden="1">0</definedName>
    <definedName name="solver_rhs42" localSheetId="0" hidden="1">1</definedName>
    <definedName name="solver_rhs43" localSheetId="0" hidden="1">1</definedName>
    <definedName name="solver_rhs44" localSheetId="0" hidden="1">1</definedName>
    <definedName name="solver_rhs45" localSheetId="0" hidden="1">1</definedName>
    <definedName name="solver_rhs46" localSheetId="0" hidden="1">0</definedName>
    <definedName name="solver_rhs47" localSheetId="0" hidden="1">1</definedName>
    <definedName name="solver_rhs48" localSheetId="0" hidden="1">1</definedName>
    <definedName name="solver_rhs49" localSheetId="0" hidden="1">1</definedName>
    <definedName name="solver_rhs5" localSheetId="0" hidden="1">"binario"</definedName>
    <definedName name="solver_rhs50" localSheetId="0" hidden="1">1</definedName>
    <definedName name="solver_rhs51" localSheetId="0" hidden="1">0</definedName>
    <definedName name="solver_rhs52" localSheetId="0" hidden="1">INPUTS_Generales!#REF!</definedName>
    <definedName name="solver_rhs53" localSheetId="0" hidden="1">0</definedName>
    <definedName name="solver_rhs54" localSheetId="0" hidden="1">0</definedName>
    <definedName name="solver_rhs55" localSheetId="0" hidden="1">"entero"</definedName>
    <definedName name="solver_rhs56" localSheetId="0" hidden="1">1</definedName>
    <definedName name="solver_rhs57" localSheetId="0" hidden="1">1</definedName>
    <definedName name="solver_rhs58" localSheetId="0" hidden="1">1</definedName>
    <definedName name="solver_rhs59" localSheetId="0" hidden="1">"entero"</definedName>
    <definedName name="solver_rhs6" localSheetId="0" hidden="1">"binario"</definedName>
    <definedName name="solver_rhs60" localSheetId="0" hidden="1">"entero"</definedName>
    <definedName name="solver_rhs61" localSheetId="0" hidden="1">1</definedName>
    <definedName name="solver_rhs62" localSheetId="0" hidden="1">"entero"</definedName>
    <definedName name="solver_rhs63" localSheetId="0" hidden="1">1</definedName>
    <definedName name="solver_rhs64" localSheetId="0" hidden="1">"entero"</definedName>
    <definedName name="solver_rhs65" localSheetId="0" hidden="1">"entero"</definedName>
    <definedName name="solver_rhs66" localSheetId="0" hidden="1">1</definedName>
    <definedName name="solver_rhs67" localSheetId="0" hidden="1">"entero"</definedName>
    <definedName name="solver_rhs68" localSheetId="0" hidden="1">1</definedName>
    <definedName name="solver_rhs69" localSheetId="0" hidden="1">"entero"</definedName>
    <definedName name="solver_rhs7" localSheetId="0" hidden="1">"binario"</definedName>
    <definedName name="solver_rhs70" localSheetId="0" hidden="1">"entero"</definedName>
    <definedName name="solver_rhs71" localSheetId="0" hidden="1">1</definedName>
    <definedName name="solver_rhs72" localSheetId="0" hidden="1">1</definedName>
    <definedName name="solver_rhs73" localSheetId="0" hidden="1">"entero"</definedName>
    <definedName name="solver_rhs74" localSheetId="0" hidden="1">"entero"</definedName>
    <definedName name="solver_rhs75" localSheetId="0" hidden="1">1</definedName>
    <definedName name="solver_rhs76" localSheetId="0" hidden="1">1</definedName>
    <definedName name="solver_rhs77" localSheetId="0" hidden="1">"entero"</definedName>
    <definedName name="solver_rhs78" localSheetId="0" hidden="1">"entero"</definedName>
    <definedName name="solver_rhs79" localSheetId="0" hidden="1">1</definedName>
    <definedName name="solver_rhs8" localSheetId="0" hidden="1">"binario"</definedName>
    <definedName name="solver_rhs80" localSheetId="0" hidden="1">1</definedName>
    <definedName name="solver_rhs81" localSheetId="0" hidden="1">"entero"</definedName>
    <definedName name="solver_rhs82" localSheetId="0" hidden="1">"entero"</definedName>
    <definedName name="solver_rhs83" localSheetId="0" hidden="1">"entero"</definedName>
    <definedName name="solver_rhs84" localSheetId="0" hidden="1">"entero"</definedName>
    <definedName name="solver_rhs85" localSheetId="0" hidden="1">"entero"</definedName>
    <definedName name="solver_rhs86" localSheetId="0" hidden="1">"entero"</definedName>
    <definedName name="solver_rhs87" localSheetId="0" hidden="1">"entero"</definedName>
    <definedName name="solver_rhs88" localSheetId="0" hidden="1">"entero"</definedName>
    <definedName name="solver_rhs89" localSheetId="0" hidden="1">"entero"</definedName>
    <definedName name="solver_rhs9" localSheetId="0" hidden="1">"binario"</definedName>
    <definedName name="solver_rhs90" localSheetId="0" hidden="1">"entero"</definedName>
    <definedName name="solver_rhs91" localSheetId="0" hidden="1">"entero"</definedName>
    <definedName name="solver_rhs92" localSheetId="0" hidden="1">"entero"</definedName>
    <definedName name="solver_rhs93" localSheetId="0" hidden="1">"entero"</definedName>
    <definedName name="solver_rhs94" localSheetId="0" hidden="1">"entero"</definedName>
    <definedName name="solver_rhs95" localSheetId="0" hidden="1">"entero"</definedName>
    <definedName name="solver_rhs96" localSheetId="0" hidden="1">"entero"</definedName>
    <definedName name="solver_rhs97" localSheetId="0" hidden="1">"entero"</definedName>
    <definedName name="solver_rhs98" localSheetId="0" hidden="1">"entero"</definedName>
    <definedName name="solver_rhs99" localSheetId="0" hidden="1">"entero"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  <definedName name="WBBINRango0">INPUTS_Generales!#REF!</definedName>
    <definedName name="WBBINRango1">INPUTS_Generales!#REF!</definedName>
    <definedName name="WBBINRango10">INPUTS_Generales!#REF!</definedName>
    <definedName name="WBBINRango11">INPUTS_Generales!#REF!</definedName>
    <definedName name="WBBINRango12">INPUTS_Generales!#REF!</definedName>
    <definedName name="WBBINRango13">INPUTS_Generales!#REF!</definedName>
    <definedName name="WBBINRango14">INPUTS_Generales!#REF!</definedName>
    <definedName name="WBBINRango15">INPUTS_Generales!#REF!</definedName>
    <definedName name="WBBINRango16">INPUTS_Generales!#REF!</definedName>
    <definedName name="WBBINRango17">INPUTS_Generales!#REF!</definedName>
    <definedName name="WBBINRango18">INPUTS_Generales!#REF!</definedName>
    <definedName name="WBBINRango19">INPUTS_Generales!#REF!</definedName>
    <definedName name="WBBINRango2">INPUTS_Generales!#REF!</definedName>
    <definedName name="WBBINRango20">INPUTS_Generales!#REF!</definedName>
    <definedName name="WBBINRango21">INPUTS_Generales!#REF!</definedName>
    <definedName name="WBBINRango22">INPUTS_Generales!#REF!</definedName>
    <definedName name="WBBINRango23">INPUTS_Generales!#REF!</definedName>
    <definedName name="WBBINRango24">INPUTS_Generales!#REF!</definedName>
    <definedName name="WBBINRango25">INPUTS_Generales!#REF!</definedName>
    <definedName name="WBBINRango26">INPUTS_Generales!#REF!</definedName>
    <definedName name="WBBINRango27">INPUTS_Generales!#REF!</definedName>
    <definedName name="WBBINRango28">INPUTS_Generales!#REF!</definedName>
    <definedName name="WBBINRango29">INPUTS_Generales!#REF!</definedName>
    <definedName name="WBBINRango3">INPUTS_Generales!#REF!</definedName>
    <definedName name="WBBINRango4">INPUTS_Generales!#REF!</definedName>
    <definedName name="WBBINRango5">INPUTS_Generales!#REF!</definedName>
    <definedName name="WBBINRango6">INPUTS_Generales!#REF!</definedName>
    <definedName name="WBBINRango7">INPUTS_Generales!#REF!</definedName>
    <definedName name="WBBINRango8">INPUTS_Generales!#REF!</definedName>
    <definedName name="WBBINRango9">INPUTS_Generales!#REF!</definedName>
    <definedName name="WBIPHECUCR">2</definedName>
    <definedName name="WBITERSLW">150</definedName>
    <definedName name="WBMIN">INPUTS_Generales!#REF!</definedName>
    <definedName name="WBNOPTTOL">1</definedName>
    <definedName name="WBRELATIVELIMIT">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6" i="25" l="1"/>
  <c r="E134" i="25"/>
  <c r="F134" i="25"/>
  <c r="G134" i="25"/>
  <c r="H134" i="25"/>
  <c r="H135" i="25" s="1"/>
  <c r="I134" i="25"/>
  <c r="J134" i="25"/>
  <c r="K134" i="25"/>
  <c r="L134" i="25"/>
  <c r="L135" i="25" s="1"/>
  <c r="M134" i="25"/>
  <c r="N134" i="25"/>
  <c r="O134" i="25"/>
  <c r="P134" i="25"/>
  <c r="P135" i="25" s="1"/>
  <c r="Q134" i="25"/>
  <c r="R134" i="25"/>
  <c r="S134" i="25"/>
  <c r="T134" i="25"/>
  <c r="T135" i="25" s="1"/>
  <c r="U134" i="25"/>
  <c r="V134" i="25"/>
  <c r="W134" i="25"/>
  <c r="E135" i="25"/>
  <c r="F135" i="25"/>
  <c r="G135" i="25"/>
  <c r="I135" i="25"/>
  <c r="J135" i="25"/>
  <c r="K135" i="25"/>
  <c r="M135" i="25"/>
  <c r="N135" i="25"/>
  <c r="O135" i="25"/>
  <c r="Q135" i="25"/>
  <c r="R135" i="25"/>
  <c r="S135" i="25"/>
  <c r="U135" i="25"/>
  <c r="V135" i="25"/>
  <c r="W135" i="25"/>
  <c r="D134" i="25"/>
  <c r="D135" i="25" s="1"/>
  <c r="E101" i="25"/>
  <c r="F101" i="25"/>
  <c r="G101" i="25"/>
  <c r="H101" i="25"/>
  <c r="H102" i="25" s="1"/>
  <c r="I101" i="25"/>
  <c r="J101" i="25"/>
  <c r="K101" i="25"/>
  <c r="L101" i="25"/>
  <c r="L102" i="25" s="1"/>
  <c r="M101" i="25"/>
  <c r="N101" i="25"/>
  <c r="O101" i="25"/>
  <c r="P101" i="25"/>
  <c r="P102" i="25" s="1"/>
  <c r="Q101" i="25"/>
  <c r="R101" i="25"/>
  <c r="E102" i="25"/>
  <c r="F102" i="25"/>
  <c r="G102" i="25"/>
  <c r="I102" i="25"/>
  <c r="J102" i="25"/>
  <c r="K102" i="25"/>
  <c r="M102" i="25"/>
  <c r="N102" i="25"/>
  <c r="O102" i="25"/>
  <c r="Q102" i="25"/>
  <c r="R102" i="25"/>
  <c r="D101" i="25"/>
  <c r="D102" i="25" s="1"/>
  <c r="D70" i="25"/>
  <c r="M69" i="25"/>
  <c r="M68" i="25"/>
  <c r="E35" i="25"/>
  <c r="F35" i="25"/>
  <c r="G35" i="25"/>
  <c r="H35" i="25"/>
  <c r="D35" i="25"/>
  <c r="E68" i="25"/>
  <c r="F68" i="25"/>
  <c r="G68" i="25"/>
  <c r="H68" i="25"/>
  <c r="I68" i="25"/>
  <c r="J68" i="25"/>
  <c r="K68" i="25"/>
  <c r="K69" i="25" s="1"/>
  <c r="L68" i="25"/>
  <c r="L69" i="25" s="1"/>
  <c r="D68" i="25"/>
  <c r="H108" i="25"/>
  <c r="I108" i="25"/>
  <c r="J108" i="25"/>
  <c r="K108" i="25"/>
  <c r="L108" i="25"/>
  <c r="M108" i="25"/>
  <c r="N108" i="25"/>
  <c r="O108" i="25"/>
  <c r="P108" i="25"/>
  <c r="Q108" i="25"/>
  <c r="R108" i="25"/>
  <c r="S108" i="25"/>
  <c r="S109" i="25" s="1"/>
  <c r="S115" i="25" s="1"/>
  <c r="T108" i="25"/>
  <c r="U108" i="25"/>
  <c r="V108" i="25"/>
  <c r="W108" i="25"/>
  <c r="H109" i="25"/>
  <c r="I109" i="25"/>
  <c r="J109" i="25"/>
  <c r="K109" i="25"/>
  <c r="L109" i="25"/>
  <c r="M109" i="25"/>
  <c r="N109" i="25"/>
  <c r="O109" i="25"/>
  <c r="P109" i="25"/>
  <c r="Q109" i="25"/>
  <c r="R109" i="25"/>
  <c r="T109" i="25"/>
  <c r="U109" i="25"/>
  <c r="V109" i="25"/>
  <c r="W109" i="25"/>
  <c r="H110" i="25"/>
  <c r="I110" i="25"/>
  <c r="J110" i="25"/>
  <c r="K110" i="25"/>
  <c r="L110" i="25"/>
  <c r="M110" i="25"/>
  <c r="N110" i="25"/>
  <c r="O110" i="25"/>
  <c r="O114" i="25" s="1"/>
  <c r="O127" i="25" s="1"/>
  <c r="P110" i="25"/>
  <c r="Q110" i="25"/>
  <c r="R110" i="25"/>
  <c r="S110" i="25"/>
  <c r="T110" i="25"/>
  <c r="U110" i="25"/>
  <c r="V110" i="25"/>
  <c r="W110" i="25"/>
  <c r="H111" i="25"/>
  <c r="I111" i="25"/>
  <c r="J111" i="25"/>
  <c r="K111" i="25"/>
  <c r="L111" i="25"/>
  <c r="M111" i="25"/>
  <c r="N111" i="25"/>
  <c r="P111" i="25"/>
  <c r="Q111" i="25"/>
  <c r="R111" i="25"/>
  <c r="S111" i="25"/>
  <c r="T111" i="25"/>
  <c r="U111" i="25"/>
  <c r="V111" i="25"/>
  <c r="W111" i="25"/>
  <c r="H112" i="25"/>
  <c r="I112" i="25"/>
  <c r="J112" i="25"/>
  <c r="K112" i="25"/>
  <c r="L112" i="25"/>
  <c r="M112" i="25"/>
  <c r="N112" i="25"/>
  <c r="O112" i="25"/>
  <c r="P112" i="25"/>
  <c r="Q112" i="25"/>
  <c r="R112" i="25"/>
  <c r="S112" i="25"/>
  <c r="T112" i="25"/>
  <c r="U112" i="25"/>
  <c r="V112" i="25"/>
  <c r="W112" i="25"/>
  <c r="H113" i="25"/>
  <c r="I113" i="25"/>
  <c r="J113" i="25"/>
  <c r="K113" i="25"/>
  <c r="L113" i="25"/>
  <c r="M113" i="25"/>
  <c r="N113" i="25"/>
  <c r="O113" i="25"/>
  <c r="P113" i="25"/>
  <c r="Q113" i="25"/>
  <c r="R113" i="25"/>
  <c r="S113" i="25"/>
  <c r="T113" i="25"/>
  <c r="U113" i="25"/>
  <c r="V113" i="25"/>
  <c r="W113" i="25"/>
  <c r="H114" i="25"/>
  <c r="I114" i="25"/>
  <c r="J114" i="25"/>
  <c r="K114" i="25"/>
  <c r="L114" i="25"/>
  <c r="M114" i="25"/>
  <c r="N114" i="25"/>
  <c r="P114" i="25"/>
  <c r="Q114" i="25"/>
  <c r="R114" i="25"/>
  <c r="S114" i="25"/>
  <c r="T114" i="25"/>
  <c r="U114" i="25"/>
  <c r="V114" i="25"/>
  <c r="W114" i="25"/>
  <c r="H115" i="25"/>
  <c r="I115" i="25"/>
  <c r="J115" i="25"/>
  <c r="K115" i="25"/>
  <c r="L115" i="25"/>
  <c r="M115" i="25"/>
  <c r="N115" i="25"/>
  <c r="P115" i="25"/>
  <c r="Q115" i="25"/>
  <c r="R115" i="25"/>
  <c r="T115" i="25"/>
  <c r="U115" i="25"/>
  <c r="V115" i="25"/>
  <c r="W115" i="25"/>
  <c r="H118" i="25"/>
  <c r="I118" i="25"/>
  <c r="J118" i="25"/>
  <c r="K118" i="25"/>
  <c r="L118" i="25"/>
  <c r="M118" i="25"/>
  <c r="N118" i="25"/>
  <c r="O118" i="25"/>
  <c r="P118" i="25"/>
  <c r="Q118" i="25"/>
  <c r="R118" i="25"/>
  <c r="S118" i="25"/>
  <c r="T118" i="25"/>
  <c r="U118" i="25"/>
  <c r="V118" i="25"/>
  <c r="W118" i="25"/>
  <c r="H119" i="25"/>
  <c r="I119" i="25"/>
  <c r="J119" i="25"/>
  <c r="K119" i="25"/>
  <c r="L119" i="25"/>
  <c r="M119" i="25"/>
  <c r="N119" i="25"/>
  <c r="O119" i="25"/>
  <c r="P119" i="25"/>
  <c r="Q119" i="25"/>
  <c r="R119" i="25"/>
  <c r="S119" i="25"/>
  <c r="T119" i="25"/>
  <c r="U119" i="25"/>
  <c r="V119" i="25"/>
  <c r="W119" i="25"/>
  <c r="H120" i="25"/>
  <c r="I120" i="25"/>
  <c r="J120" i="25"/>
  <c r="K120" i="25"/>
  <c r="L120" i="25"/>
  <c r="M120" i="25"/>
  <c r="N120" i="25"/>
  <c r="O120" i="25"/>
  <c r="P120" i="25"/>
  <c r="Q120" i="25"/>
  <c r="R120" i="25"/>
  <c r="S120" i="25"/>
  <c r="T120" i="25"/>
  <c r="U120" i="25"/>
  <c r="V120" i="25"/>
  <c r="W120" i="25"/>
  <c r="H121" i="25"/>
  <c r="I121" i="25"/>
  <c r="J121" i="25"/>
  <c r="K121" i="25"/>
  <c r="L121" i="25"/>
  <c r="M121" i="25"/>
  <c r="N121" i="25"/>
  <c r="O121" i="25"/>
  <c r="P121" i="25"/>
  <c r="Q121" i="25"/>
  <c r="R121" i="25"/>
  <c r="S121" i="25"/>
  <c r="T121" i="25"/>
  <c r="U121" i="25"/>
  <c r="V121" i="25"/>
  <c r="W121" i="25"/>
  <c r="H122" i="25"/>
  <c r="I122" i="25"/>
  <c r="J122" i="25"/>
  <c r="K122" i="25"/>
  <c r="L122" i="25"/>
  <c r="M122" i="25"/>
  <c r="N122" i="25"/>
  <c r="O122" i="25"/>
  <c r="P122" i="25"/>
  <c r="Q122" i="25"/>
  <c r="R122" i="25"/>
  <c r="S122" i="25"/>
  <c r="T122" i="25"/>
  <c r="U122" i="25"/>
  <c r="V122" i="25"/>
  <c r="W122" i="25"/>
  <c r="H123" i="25"/>
  <c r="I123" i="25"/>
  <c r="J123" i="25"/>
  <c r="K123" i="25"/>
  <c r="L123" i="25"/>
  <c r="M123" i="25"/>
  <c r="N123" i="25"/>
  <c r="O123" i="25"/>
  <c r="P123" i="25"/>
  <c r="Q123" i="25"/>
  <c r="R123" i="25"/>
  <c r="S123" i="25"/>
  <c r="T123" i="25"/>
  <c r="U123" i="25"/>
  <c r="V123" i="25"/>
  <c r="W123" i="25"/>
  <c r="H124" i="25"/>
  <c r="I124" i="25"/>
  <c r="J124" i="25"/>
  <c r="K124" i="25"/>
  <c r="L124" i="25"/>
  <c r="M124" i="25"/>
  <c r="N124" i="25"/>
  <c r="O124" i="25"/>
  <c r="P124" i="25"/>
  <c r="Q124" i="25"/>
  <c r="R124" i="25"/>
  <c r="S124" i="25"/>
  <c r="T124" i="25"/>
  <c r="U124" i="25"/>
  <c r="V124" i="25"/>
  <c r="W124" i="25"/>
  <c r="H125" i="25"/>
  <c r="I125" i="25"/>
  <c r="J125" i="25"/>
  <c r="K125" i="25"/>
  <c r="L125" i="25"/>
  <c r="M125" i="25"/>
  <c r="N125" i="25"/>
  <c r="O125" i="25"/>
  <c r="P125" i="25"/>
  <c r="Q125" i="25"/>
  <c r="R125" i="25"/>
  <c r="S125" i="25"/>
  <c r="T125" i="25"/>
  <c r="U125" i="25"/>
  <c r="V125" i="25"/>
  <c r="W125" i="25"/>
  <c r="H127" i="25"/>
  <c r="I127" i="25"/>
  <c r="J127" i="25"/>
  <c r="K127" i="25"/>
  <c r="L127" i="25"/>
  <c r="M127" i="25"/>
  <c r="N127" i="25"/>
  <c r="P127" i="25"/>
  <c r="Q127" i="25"/>
  <c r="R127" i="25"/>
  <c r="S127" i="25"/>
  <c r="T127" i="25"/>
  <c r="U127" i="25"/>
  <c r="V127" i="25"/>
  <c r="W127" i="25"/>
  <c r="H128" i="25"/>
  <c r="I128" i="25"/>
  <c r="J128" i="25"/>
  <c r="K128" i="25"/>
  <c r="L128" i="25"/>
  <c r="M128" i="25"/>
  <c r="N128" i="25"/>
  <c r="P128" i="25"/>
  <c r="Q128" i="25"/>
  <c r="R128" i="25"/>
  <c r="S128" i="25"/>
  <c r="T128" i="25"/>
  <c r="U128" i="25"/>
  <c r="V128" i="25"/>
  <c r="W128" i="25"/>
  <c r="H130" i="25"/>
  <c r="I130" i="25"/>
  <c r="J130" i="25"/>
  <c r="K130" i="25"/>
  <c r="L130" i="25"/>
  <c r="M130" i="25"/>
  <c r="N130" i="25"/>
  <c r="P130" i="25"/>
  <c r="Q130" i="25"/>
  <c r="R130" i="25"/>
  <c r="S130" i="25"/>
  <c r="T130" i="25"/>
  <c r="U130" i="25"/>
  <c r="V130" i="25"/>
  <c r="W130" i="25"/>
  <c r="H131" i="25"/>
  <c r="I131" i="25"/>
  <c r="J131" i="25"/>
  <c r="K131" i="25"/>
  <c r="L131" i="25"/>
  <c r="M131" i="25"/>
  <c r="N131" i="25"/>
  <c r="P131" i="25"/>
  <c r="Q131" i="25"/>
  <c r="R131" i="25"/>
  <c r="S131" i="25"/>
  <c r="T131" i="25"/>
  <c r="U131" i="25"/>
  <c r="V131" i="25"/>
  <c r="W131" i="25"/>
  <c r="H132" i="25"/>
  <c r="I132" i="25"/>
  <c r="J132" i="25"/>
  <c r="K132" i="25"/>
  <c r="L132" i="25"/>
  <c r="M132" i="25"/>
  <c r="N132" i="25"/>
  <c r="P132" i="25"/>
  <c r="Q132" i="25"/>
  <c r="R132" i="25"/>
  <c r="S132" i="25"/>
  <c r="T132" i="25"/>
  <c r="U132" i="25"/>
  <c r="V132" i="25"/>
  <c r="W132" i="25"/>
  <c r="G118" i="25"/>
  <c r="G120" i="25" s="1"/>
  <c r="F118" i="25"/>
  <c r="F120" i="25" s="1"/>
  <c r="E118" i="25"/>
  <c r="E120" i="25" s="1"/>
  <c r="D118" i="25"/>
  <c r="D120" i="25" s="1"/>
  <c r="G112" i="25"/>
  <c r="F112" i="25"/>
  <c r="E112" i="25"/>
  <c r="D112" i="25"/>
  <c r="G110" i="25"/>
  <c r="G111" i="25" s="1"/>
  <c r="F110" i="25"/>
  <c r="F111" i="25" s="1"/>
  <c r="E110" i="25"/>
  <c r="E111" i="25" s="1"/>
  <c r="D110" i="25"/>
  <c r="D111" i="25" s="1"/>
  <c r="G108" i="25"/>
  <c r="G109" i="25" s="1"/>
  <c r="F108" i="25"/>
  <c r="F109" i="25" s="1"/>
  <c r="E108" i="25"/>
  <c r="E109" i="25" s="1"/>
  <c r="D108" i="25"/>
  <c r="D109" i="25" s="1"/>
  <c r="I85" i="25"/>
  <c r="J85" i="25"/>
  <c r="K85" i="25"/>
  <c r="L85" i="25"/>
  <c r="L86" i="25" s="1"/>
  <c r="M85" i="25"/>
  <c r="N85" i="25"/>
  <c r="O85" i="25"/>
  <c r="P85" i="25"/>
  <c r="P86" i="25" s="1"/>
  <c r="Q85" i="25"/>
  <c r="R85" i="25"/>
  <c r="I86" i="25"/>
  <c r="J86" i="25"/>
  <c r="K86" i="25"/>
  <c r="M86" i="25"/>
  <c r="N86" i="25"/>
  <c r="O86" i="25"/>
  <c r="Q86" i="25"/>
  <c r="R86" i="25"/>
  <c r="I87" i="25"/>
  <c r="J87" i="25"/>
  <c r="K87" i="25"/>
  <c r="L87" i="25"/>
  <c r="L88" i="25" s="1"/>
  <c r="M87" i="25"/>
  <c r="N87" i="25"/>
  <c r="O87" i="25"/>
  <c r="P87" i="25"/>
  <c r="P88" i="25" s="1"/>
  <c r="Q87" i="25"/>
  <c r="R87" i="25"/>
  <c r="I88" i="25"/>
  <c r="J88" i="25"/>
  <c r="K88" i="25"/>
  <c r="M88" i="25"/>
  <c r="N88" i="25"/>
  <c r="O88" i="25"/>
  <c r="Q88" i="25"/>
  <c r="R88" i="25"/>
  <c r="I89" i="25"/>
  <c r="J89" i="25"/>
  <c r="K89" i="25"/>
  <c r="L89" i="25"/>
  <c r="L90" i="25" s="1"/>
  <c r="M89" i="25"/>
  <c r="N89" i="25"/>
  <c r="O89" i="25"/>
  <c r="P89" i="25"/>
  <c r="P90" i="25" s="1"/>
  <c r="Q89" i="25"/>
  <c r="R89" i="25"/>
  <c r="I90" i="25"/>
  <c r="J90" i="25"/>
  <c r="K90" i="25"/>
  <c r="M90" i="25"/>
  <c r="N90" i="25"/>
  <c r="O90" i="25"/>
  <c r="Q90" i="25"/>
  <c r="R90" i="25"/>
  <c r="I91" i="25"/>
  <c r="J91" i="25"/>
  <c r="K91" i="25"/>
  <c r="L91" i="25"/>
  <c r="M91" i="25"/>
  <c r="N91" i="25"/>
  <c r="O91" i="25"/>
  <c r="P91" i="25"/>
  <c r="Q91" i="25"/>
  <c r="R91" i="25"/>
  <c r="I92" i="25"/>
  <c r="J92" i="25"/>
  <c r="K92" i="25"/>
  <c r="M92" i="25"/>
  <c r="N92" i="25"/>
  <c r="O92" i="25"/>
  <c r="Q92" i="25"/>
  <c r="R92" i="25"/>
  <c r="I94" i="25"/>
  <c r="I95" i="25" s="1"/>
  <c r="J94" i="25"/>
  <c r="K94" i="25"/>
  <c r="L94" i="25"/>
  <c r="L95" i="25" s="1"/>
  <c r="M94" i="25"/>
  <c r="M95" i="25" s="1"/>
  <c r="N94" i="25"/>
  <c r="O94" i="25"/>
  <c r="P94" i="25"/>
  <c r="P95" i="25" s="1"/>
  <c r="Q94" i="25"/>
  <c r="Q95" i="25" s="1"/>
  <c r="R94" i="25"/>
  <c r="J95" i="25"/>
  <c r="K95" i="25"/>
  <c r="N95" i="25"/>
  <c r="O95" i="25"/>
  <c r="R95" i="25"/>
  <c r="I97" i="25"/>
  <c r="I98" i="25" s="1"/>
  <c r="J97" i="25"/>
  <c r="K97" i="25"/>
  <c r="L97" i="25"/>
  <c r="L98" i="25" s="1"/>
  <c r="M97" i="25"/>
  <c r="M98" i="25" s="1"/>
  <c r="N97" i="25"/>
  <c r="O97" i="25"/>
  <c r="P97" i="25"/>
  <c r="P98" i="25" s="1"/>
  <c r="Q97" i="25"/>
  <c r="Q98" i="25" s="1"/>
  <c r="R97" i="25"/>
  <c r="J98" i="25"/>
  <c r="K98" i="25"/>
  <c r="N98" i="25"/>
  <c r="O98" i="25"/>
  <c r="R98" i="25"/>
  <c r="I99" i="25"/>
  <c r="J99" i="25"/>
  <c r="K99" i="25"/>
  <c r="L99" i="25"/>
  <c r="M99" i="25"/>
  <c r="N99" i="25"/>
  <c r="O99" i="25"/>
  <c r="P99" i="25"/>
  <c r="Q99" i="25"/>
  <c r="R99" i="25"/>
  <c r="I75" i="25"/>
  <c r="J75" i="25"/>
  <c r="K75" i="25"/>
  <c r="L75" i="25"/>
  <c r="L76" i="25" s="1"/>
  <c r="M75" i="25"/>
  <c r="N75" i="25"/>
  <c r="O75" i="25"/>
  <c r="P75" i="25"/>
  <c r="P76" i="25" s="1"/>
  <c r="Q75" i="25"/>
  <c r="R75" i="25"/>
  <c r="I76" i="25"/>
  <c r="J76" i="25"/>
  <c r="K76" i="25"/>
  <c r="M76" i="25"/>
  <c r="N76" i="25"/>
  <c r="O76" i="25"/>
  <c r="Q76" i="25"/>
  <c r="R76" i="25"/>
  <c r="I77" i="25"/>
  <c r="J77" i="25"/>
  <c r="K77" i="25"/>
  <c r="L77" i="25"/>
  <c r="L78" i="25" s="1"/>
  <c r="M77" i="25"/>
  <c r="N77" i="25"/>
  <c r="O77" i="25"/>
  <c r="P77" i="25"/>
  <c r="P78" i="25" s="1"/>
  <c r="Q77" i="25"/>
  <c r="R77" i="25"/>
  <c r="I78" i="25"/>
  <c r="J78" i="25"/>
  <c r="K78" i="25"/>
  <c r="M78" i="25"/>
  <c r="N78" i="25"/>
  <c r="O78" i="25"/>
  <c r="Q78" i="25"/>
  <c r="R78" i="25"/>
  <c r="I79" i="25"/>
  <c r="J79" i="25"/>
  <c r="K79" i="25"/>
  <c r="L79" i="25"/>
  <c r="L80" i="25" s="1"/>
  <c r="L82" i="25" s="1"/>
  <c r="M79" i="25"/>
  <c r="N79" i="25"/>
  <c r="O79" i="25"/>
  <c r="P79" i="25"/>
  <c r="P80" i="25" s="1"/>
  <c r="P82" i="25" s="1"/>
  <c r="Q79" i="25"/>
  <c r="R79" i="25"/>
  <c r="I80" i="25"/>
  <c r="J80" i="25"/>
  <c r="K80" i="25"/>
  <c r="M80" i="25"/>
  <c r="N80" i="25"/>
  <c r="O80" i="25"/>
  <c r="Q80" i="25"/>
  <c r="R80" i="25"/>
  <c r="I81" i="25"/>
  <c r="J81" i="25"/>
  <c r="K81" i="25"/>
  <c r="L81" i="25"/>
  <c r="M81" i="25"/>
  <c r="N81" i="25"/>
  <c r="O81" i="25"/>
  <c r="P81" i="25"/>
  <c r="Q81" i="25"/>
  <c r="R81" i="25"/>
  <c r="I82" i="25"/>
  <c r="J82" i="25"/>
  <c r="K82" i="25"/>
  <c r="M82" i="25"/>
  <c r="N82" i="25"/>
  <c r="O82" i="25"/>
  <c r="Q82" i="25"/>
  <c r="R82" i="25"/>
  <c r="H85" i="25"/>
  <c r="H87" i="25" s="1"/>
  <c r="G85" i="25"/>
  <c r="G87" i="25" s="1"/>
  <c r="F85" i="25"/>
  <c r="F86" i="25" s="1"/>
  <c r="E85" i="25"/>
  <c r="E87" i="25" s="1"/>
  <c r="D85" i="25"/>
  <c r="D87" i="25" s="1"/>
  <c r="H79" i="25"/>
  <c r="G79" i="25"/>
  <c r="G81" i="25" s="1"/>
  <c r="F79" i="25"/>
  <c r="F80" i="25" s="1"/>
  <c r="E79" i="25"/>
  <c r="D79" i="25"/>
  <c r="H77" i="25"/>
  <c r="H78" i="25" s="1"/>
  <c r="G77" i="25"/>
  <c r="G78" i="25" s="1"/>
  <c r="F77" i="25"/>
  <c r="F78" i="25" s="1"/>
  <c r="E77" i="25"/>
  <c r="E78" i="25" s="1"/>
  <c r="D77" i="25"/>
  <c r="D78" i="25" s="1"/>
  <c r="H75" i="25"/>
  <c r="H76" i="25" s="1"/>
  <c r="G75" i="25"/>
  <c r="G76" i="25" s="1"/>
  <c r="F75" i="25"/>
  <c r="F76" i="25" s="1"/>
  <c r="E75" i="25"/>
  <c r="E76" i="25" s="1"/>
  <c r="D75" i="25"/>
  <c r="D76" i="25" s="1"/>
  <c r="I69" i="25"/>
  <c r="J69" i="25"/>
  <c r="I64" i="25"/>
  <c r="J64" i="25"/>
  <c r="K64" i="25"/>
  <c r="K66" i="25" s="1"/>
  <c r="L64" i="25"/>
  <c r="L65" i="25" s="1"/>
  <c r="M64" i="25"/>
  <c r="I65" i="25"/>
  <c r="J65" i="25"/>
  <c r="K65" i="25"/>
  <c r="M65" i="25"/>
  <c r="I66" i="25"/>
  <c r="J66" i="25"/>
  <c r="M66" i="25"/>
  <c r="I61" i="25"/>
  <c r="J61" i="25"/>
  <c r="K61" i="25"/>
  <c r="L61" i="25"/>
  <c r="L62" i="25" s="1"/>
  <c r="M61" i="25"/>
  <c r="I62" i="25"/>
  <c r="J62" i="25"/>
  <c r="K62" i="25"/>
  <c r="M62" i="25"/>
  <c r="I52" i="25"/>
  <c r="I54" i="25" s="1"/>
  <c r="J52" i="25"/>
  <c r="J53" i="25" s="1"/>
  <c r="K52" i="25"/>
  <c r="L52" i="25"/>
  <c r="M52" i="25"/>
  <c r="M54" i="25" s="1"/>
  <c r="I53" i="25"/>
  <c r="K53" i="25"/>
  <c r="L53" i="25"/>
  <c r="M53" i="25"/>
  <c r="K54" i="25"/>
  <c r="K56" i="25" s="1"/>
  <c r="L54" i="25"/>
  <c r="L55" i="25" s="1"/>
  <c r="K55" i="25"/>
  <c r="I42" i="25"/>
  <c r="J42" i="25"/>
  <c r="J43" i="25" s="1"/>
  <c r="K42" i="25"/>
  <c r="L42" i="25"/>
  <c r="M42" i="25"/>
  <c r="I43" i="25"/>
  <c r="K43" i="25"/>
  <c r="L43" i="25"/>
  <c r="M43" i="25"/>
  <c r="I44" i="25"/>
  <c r="J44" i="25"/>
  <c r="K44" i="25"/>
  <c r="L44" i="25"/>
  <c r="L45" i="25" s="1"/>
  <c r="M44" i="25"/>
  <c r="I45" i="25"/>
  <c r="J45" i="25"/>
  <c r="K45" i="25"/>
  <c r="M45" i="25"/>
  <c r="I46" i="25"/>
  <c r="I48" i="25" s="1"/>
  <c r="J46" i="25"/>
  <c r="J47" i="25" s="1"/>
  <c r="J49" i="25" s="1"/>
  <c r="K46" i="25"/>
  <c r="L46" i="25"/>
  <c r="M46" i="25"/>
  <c r="M48" i="25" s="1"/>
  <c r="I47" i="25"/>
  <c r="I49" i="25" s="1"/>
  <c r="K47" i="25"/>
  <c r="L47" i="25"/>
  <c r="L49" i="25" s="1"/>
  <c r="M47" i="25"/>
  <c r="M49" i="25" s="1"/>
  <c r="K48" i="25"/>
  <c r="L48" i="25"/>
  <c r="K49" i="25"/>
  <c r="H44" i="25"/>
  <c r="G44" i="25"/>
  <c r="F44" i="25"/>
  <c r="E44" i="25"/>
  <c r="E45" i="25" s="1"/>
  <c r="D44" i="25"/>
  <c r="D45" i="25" s="1"/>
  <c r="F11" i="25"/>
  <c r="G11" i="25"/>
  <c r="H11" i="25"/>
  <c r="E11" i="25"/>
  <c r="D11" i="25"/>
  <c r="D12" i="25" s="1"/>
  <c r="H52" i="25"/>
  <c r="H53" i="25" s="1"/>
  <c r="G52" i="25"/>
  <c r="G54" i="25" s="1"/>
  <c r="G56" i="25" s="1"/>
  <c r="F52" i="25"/>
  <c r="F53" i="25" s="1"/>
  <c r="E52" i="25"/>
  <c r="E54" i="25" s="1"/>
  <c r="D52" i="25"/>
  <c r="D53" i="25" s="1"/>
  <c r="G47" i="25"/>
  <c r="H46" i="25"/>
  <c r="G46" i="25"/>
  <c r="F46" i="25"/>
  <c r="F47" i="25" s="1"/>
  <c r="E46" i="25"/>
  <c r="D46" i="25"/>
  <c r="H45" i="25"/>
  <c r="G45" i="25"/>
  <c r="G43" i="25"/>
  <c r="H42" i="25"/>
  <c r="H43" i="25" s="1"/>
  <c r="G42" i="25"/>
  <c r="F42" i="25"/>
  <c r="F43" i="25" s="1"/>
  <c r="E42" i="25"/>
  <c r="E43" i="25" s="1"/>
  <c r="D42" i="25"/>
  <c r="D43" i="25" s="1"/>
  <c r="E19" i="25"/>
  <c r="E21" i="25" s="1"/>
  <c r="F19" i="25"/>
  <c r="F20" i="25" s="1"/>
  <c r="G19" i="25"/>
  <c r="G20" i="25" s="1"/>
  <c r="H19" i="25"/>
  <c r="H20" i="25" s="1"/>
  <c r="D19" i="25"/>
  <c r="D21" i="25" s="1"/>
  <c r="E13" i="25"/>
  <c r="F13" i="25"/>
  <c r="F14" i="25" s="1"/>
  <c r="G13" i="25"/>
  <c r="G14" i="25" s="1"/>
  <c r="H13" i="25"/>
  <c r="H14" i="25" s="1"/>
  <c r="D13" i="25"/>
  <c r="E12" i="25"/>
  <c r="F12" i="25"/>
  <c r="E9" i="25"/>
  <c r="E10" i="25" s="1"/>
  <c r="F9" i="25"/>
  <c r="F10" i="25" s="1"/>
  <c r="G9" i="25"/>
  <c r="G10" i="25" s="1"/>
  <c r="H9" i="25"/>
  <c r="H10" i="25" s="1"/>
  <c r="D9" i="25"/>
  <c r="D10" i="25" s="1"/>
  <c r="D23" i="24"/>
  <c r="D54" i="24"/>
  <c r="D68" i="24"/>
  <c r="D67" i="24"/>
  <c r="D61" i="24"/>
  <c r="D60" i="24"/>
  <c r="D58" i="24"/>
  <c r="D57" i="24"/>
  <c r="D51" i="24"/>
  <c r="D48" i="24"/>
  <c r="D49" i="24" s="1"/>
  <c r="D40" i="24"/>
  <c r="D39" i="24"/>
  <c r="D29" i="24"/>
  <c r="D30" i="24"/>
  <c r="D20" i="24"/>
  <c r="D27" i="24"/>
  <c r="D26" i="24"/>
  <c r="D17" i="24"/>
  <c r="D18" i="24" s="1"/>
  <c r="D9" i="24"/>
  <c r="D8" i="24"/>
  <c r="F50" i="24"/>
  <c r="E10" i="24"/>
  <c r="E25" i="26"/>
  <c r="D25" i="26"/>
  <c r="W185" i="25"/>
  <c r="V185" i="25"/>
  <c r="U185" i="25"/>
  <c r="T185" i="25"/>
  <c r="S185" i="25"/>
  <c r="R185" i="25"/>
  <c r="Q185" i="25"/>
  <c r="P185" i="25"/>
  <c r="O185" i="25"/>
  <c r="N185" i="25"/>
  <c r="M185" i="25"/>
  <c r="L185" i="25"/>
  <c r="K185" i="25"/>
  <c r="J185" i="25"/>
  <c r="I185" i="25"/>
  <c r="H185" i="25"/>
  <c r="G185" i="25"/>
  <c r="F185" i="25"/>
  <c r="E185" i="25"/>
  <c r="D185" i="25"/>
  <c r="W184" i="25"/>
  <c r="V184" i="25"/>
  <c r="U184" i="25"/>
  <c r="T184" i="25"/>
  <c r="S184" i="25"/>
  <c r="R184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E4" i="25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D80" i="24"/>
  <c r="D73" i="24"/>
  <c r="F57" i="24"/>
  <c r="E57" i="24"/>
  <c r="E50" i="24"/>
  <c r="F41" i="24"/>
  <c r="E41" i="24"/>
  <c r="F26" i="24"/>
  <c r="E26" i="24"/>
  <c r="F19" i="24"/>
  <c r="E19" i="24"/>
  <c r="F10" i="24"/>
  <c r="G14" i="5"/>
  <c r="F14" i="5"/>
  <c r="O130" i="25" l="1"/>
  <c r="O128" i="25"/>
  <c r="O111" i="25"/>
  <c r="O115" i="25" s="1"/>
  <c r="G114" i="25"/>
  <c r="D114" i="25"/>
  <c r="E114" i="25"/>
  <c r="F114" i="25"/>
  <c r="D122" i="25"/>
  <c r="D121" i="25"/>
  <c r="E122" i="25"/>
  <c r="E121" i="25"/>
  <c r="F122" i="25"/>
  <c r="F121" i="25"/>
  <c r="G122" i="25"/>
  <c r="G121" i="25"/>
  <c r="E113" i="25"/>
  <c r="E115" i="25" s="1"/>
  <c r="E119" i="25"/>
  <c r="F113" i="25"/>
  <c r="F115" i="25" s="1"/>
  <c r="F119" i="25"/>
  <c r="G113" i="25"/>
  <c r="G115" i="25" s="1"/>
  <c r="G119" i="25"/>
  <c r="D113" i="25"/>
  <c r="D115" i="25" s="1"/>
  <c r="D119" i="25"/>
  <c r="P92" i="25"/>
  <c r="L92" i="25"/>
  <c r="D81" i="25"/>
  <c r="H81" i="25"/>
  <c r="E81" i="25"/>
  <c r="G89" i="25"/>
  <c r="G88" i="25"/>
  <c r="D88" i="25"/>
  <c r="D89" i="25"/>
  <c r="H88" i="25"/>
  <c r="H89" i="25"/>
  <c r="F82" i="25"/>
  <c r="E89" i="25"/>
  <c r="E88" i="25"/>
  <c r="G80" i="25"/>
  <c r="G82" i="25" s="1"/>
  <c r="F81" i="25"/>
  <c r="G86" i="25"/>
  <c r="F87" i="25"/>
  <c r="D80" i="25"/>
  <c r="D82" i="25" s="1"/>
  <c r="H80" i="25"/>
  <c r="H82" i="25" s="1"/>
  <c r="D86" i="25"/>
  <c r="H86" i="25"/>
  <c r="E80" i="25"/>
  <c r="E82" i="25" s="1"/>
  <c r="E86" i="25"/>
  <c r="L66" i="25"/>
  <c r="K57" i="25"/>
  <c r="K59" i="25" s="1"/>
  <c r="K58" i="25"/>
  <c r="M55" i="25"/>
  <c r="M56" i="25"/>
  <c r="I55" i="25"/>
  <c r="I56" i="25"/>
  <c r="L56" i="25"/>
  <c r="J54" i="25"/>
  <c r="J48" i="25"/>
  <c r="G53" i="25"/>
  <c r="E48" i="25"/>
  <c r="F48" i="25"/>
  <c r="D48" i="25"/>
  <c r="H48" i="25"/>
  <c r="F54" i="25"/>
  <c r="F56" i="25" s="1"/>
  <c r="F58" i="25" s="1"/>
  <c r="E56" i="25"/>
  <c r="E55" i="25"/>
  <c r="G49" i="25"/>
  <c r="G58" i="25"/>
  <c r="G57" i="25"/>
  <c r="F45" i="25"/>
  <c r="F49" i="25" s="1"/>
  <c r="D47" i="25"/>
  <c r="D49" i="25" s="1"/>
  <c r="H47" i="25"/>
  <c r="H49" i="25" s="1"/>
  <c r="G48" i="25"/>
  <c r="G61" i="25" s="1"/>
  <c r="E47" i="25"/>
  <c r="E49" i="25" s="1"/>
  <c r="E53" i="25"/>
  <c r="D54" i="25"/>
  <c r="H54" i="25"/>
  <c r="G55" i="25"/>
  <c r="G15" i="25"/>
  <c r="H15" i="25"/>
  <c r="H21" i="25"/>
  <c r="H22" i="25" s="1"/>
  <c r="D15" i="25"/>
  <c r="E15" i="25"/>
  <c r="G21" i="25"/>
  <c r="G23" i="25" s="1"/>
  <c r="D23" i="25"/>
  <c r="D22" i="25"/>
  <c r="F16" i="25"/>
  <c r="E23" i="25"/>
  <c r="E22" i="25"/>
  <c r="H12" i="25"/>
  <c r="H16" i="25" s="1"/>
  <c r="E14" i="25"/>
  <c r="E16" i="25" s="1"/>
  <c r="G12" i="25"/>
  <c r="G16" i="25" s="1"/>
  <c r="D14" i="25"/>
  <c r="D16" i="25" s="1"/>
  <c r="F15" i="25"/>
  <c r="D20" i="25"/>
  <c r="E20" i="25"/>
  <c r="F21" i="25"/>
  <c r="E162" i="25"/>
  <c r="E164" i="25" s="1"/>
  <c r="F162" i="25"/>
  <c r="F164" i="25" s="1"/>
  <c r="F166" i="25" s="1"/>
  <c r="F168" i="25" s="1"/>
  <c r="G162" i="25"/>
  <c r="G164" i="25" s="1"/>
  <c r="D162" i="25"/>
  <c r="D164" i="25" s="1"/>
  <c r="D166" i="25" s="1"/>
  <c r="D168" i="25" s="1"/>
  <c r="H162" i="25"/>
  <c r="H164" i="25" s="1"/>
  <c r="H166" i="25" s="1"/>
  <c r="D163" i="25"/>
  <c r="D165" i="25" s="1"/>
  <c r="D167" i="25" s="1"/>
  <c r="E163" i="25"/>
  <c r="E165" i="25" s="1"/>
  <c r="E167" i="25" s="1"/>
  <c r="G163" i="25"/>
  <c r="G165" i="25" s="1"/>
  <c r="G167" i="25" s="1"/>
  <c r="H163" i="25"/>
  <c r="H165" i="25" s="1"/>
  <c r="H167" i="25" s="1"/>
  <c r="D55" i="24"/>
  <c r="E152" i="25" s="1"/>
  <c r="F163" i="25"/>
  <c r="F165" i="25" s="1"/>
  <c r="D10" i="24"/>
  <c r="D41" i="24"/>
  <c r="D24" i="24"/>
  <c r="U186" i="25"/>
  <c r="U187" i="25" s="1"/>
  <c r="Q186" i="25"/>
  <c r="Q187" i="25" s="1"/>
  <c r="M186" i="25"/>
  <c r="M187" i="25" s="1"/>
  <c r="I186" i="25"/>
  <c r="I187" i="25" s="1"/>
  <c r="E186" i="25"/>
  <c r="E187" i="25" s="1"/>
  <c r="T186" i="25"/>
  <c r="T187" i="25" s="1"/>
  <c r="P186" i="25"/>
  <c r="P187" i="25" s="1"/>
  <c r="L186" i="25"/>
  <c r="L187" i="25" s="1"/>
  <c r="H186" i="25"/>
  <c r="H187" i="25" s="1"/>
  <c r="D186" i="25"/>
  <c r="D187" i="25" s="1"/>
  <c r="W186" i="25"/>
  <c r="W187" i="25" s="1"/>
  <c r="S186" i="25"/>
  <c r="S187" i="25" s="1"/>
  <c r="O186" i="25"/>
  <c r="O187" i="25" s="1"/>
  <c r="K186" i="25"/>
  <c r="K187" i="25" s="1"/>
  <c r="G186" i="25"/>
  <c r="G187" i="25" s="1"/>
  <c r="R186" i="25"/>
  <c r="R187" i="25" s="1"/>
  <c r="N186" i="25"/>
  <c r="N187" i="25" s="1"/>
  <c r="J186" i="25"/>
  <c r="J187" i="25" s="1"/>
  <c r="V186" i="25"/>
  <c r="V187" i="25" s="1"/>
  <c r="F186" i="25"/>
  <c r="F187" i="25" s="1"/>
  <c r="E157" i="25"/>
  <c r="E156" i="25"/>
  <c r="H157" i="25"/>
  <c r="D157" i="25"/>
  <c r="H156" i="25"/>
  <c r="G157" i="25"/>
  <c r="G156" i="25"/>
  <c r="F157" i="25"/>
  <c r="F156" i="25"/>
  <c r="D156" i="25"/>
  <c r="H155" i="25"/>
  <c r="D155" i="25"/>
  <c r="E154" i="25"/>
  <c r="E153" i="25"/>
  <c r="G155" i="25"/>
  <c r="H154" i="25"/>
  <c r="D154" i="25"/>
  <c r="H153" i="25"/>
  <c r="D153" i="25"/>
  <c r="F155" i="25"/>
  <c r="G154" i="25"/>
  <c r="G153" i="25"/>
  <c r="G152" i="25"/>
  <c r="E155" i="25"/>
  <c r="F154" i="25"/>
  <c r="F153" i="25"/>
  <c r="O131" i="25" l="1"/>
  <c r="O132" i="25"/>
  <c r="F124" i="25"/>
  <c r="F127" i="25" s="1"/>
  <c r="F123" i="25"/>
  <c r="F125" i="25" s="1"/>
  <c r="G124" i="25"/>
  <c r="G127" i="25" s="1"/>
  <c r="G123" i="25"/>
  <c r="G125" i="25" s="1"/>
  <c r="D124" i="25"/>
  <c r="D127" i="25" s="1"/>
  <c r="D123" i="25"/>
  <c r="D125" i="25" s="1"/>
  <c r="E124" i="25"/>
  <c r="E127" i="25" s="1"/>
  <c r="E123" i="25"/>
  <c r="E125" i="25" s="1"/>
  <c r="E91" i="25"/>
  <c r="E94" i="25" s="1"/>
  <c r="E90" i="25"/>
  <c r="E92" i="25" s="1"/>
  <c r="D91" i="25"/>
  <c r="D94" i="25" s="1"/>
  <c r="D90" i="25"/>
  <c r="D92" i="25" s="1"/>
  <c r="G91" i="25"/>
  <c r="G94" i="25" s="1"/>
  <c r="G90" i="25"/>
  <c r="G92" i="25" s="1"/>
  <c r="H91" i="25"/>
  <c r="H94" i="25" s="1"/>
  <c r="H90" i="25"/>
  <c r="H92" i="25" s="1"/>
  <c r="F89" i="25"/>
  <c r="F88" i="25"/>
  <c r="I58" i="25"/>
  <c r="I57" i="25"/>
  <c r="I59" i="25" s="1"/>
  <c r="J56" i="25"/>
  <c r="J55" i="25"/>
  <c r="M58" i="25"/>
  <c r="M57" i="25"/>
  <c r="M59" i="25" s="1"/>
  <c r="L58" i="25"/>
  <c r="L57" i="25"/>
  <c r="L59" i="25" s="1"/>
  <c r="F61" i="25"/>
  <c r="F62" i="25" s="1"/>
  <c r="F57" i="25"/>
  <c r="F55" i="25"/>
  <c r="F64" i="25"/>
  <c r="D55" i="25"/>
  <c r="D56" i="25"/>
  <c r="G64" i="25"/>
  <c r="G62" i="25"/>
  <c r="G59" i="25"/>
  <c r="H55" i="25"/>
  <c r="H56" i="25"/>
  <c r="E58" i="25"/>
  <c r="E61" i="25" s="1"/>
  <c r="E57" i="25"/>
  <c r="E59" i="25" s="1"/>
  <c r="H23" i="25"/>
  <c r="H24" i="25" s="1"/>
  <c r="H26" i="25" s="1"/>
  <c r="G22" i="25"/>
  <c r="H25" i="25"/>
  <c r="H28" i="25" s="1"/>
  <c r="E25" i="25"/>
  <c r="E28" i="25" s="1"/>
  <c r="E24" i="25"/>
  <c r="E26" i="25" s="1"/>
  <c r="G25" i="25"/>
  <c r="G28" i="25" s="1"/>
  <c r="G24" i="25"/>
  <c r="D25" i="25"/>
  <c r="D28" i="25" s="1"/>
  <c r="D24" i="25"/>
  <c r="D26" i="25" s="1"/>
  <c r="F23" i="25"/>
  <c r="F22" i="25"/>
  <c r="F152" i="25"/>
  <c r="F158" i="25" s="1"/>
  <c r="F177" i="25" s="1"/>
  <c r="D152" i="25"/>
  <c r="D158" i="25" s="1"/>
  <c r="D171" i="25" s="1"/>
  <c r="D174" i="25" s="1"/>
  <c r="H152" i="25"/>
  <c r="H158" i="25" s="1"/>
  <c r="H177" i="25" s="1"/>
  <c r="F167" i="25"/>
  <c r="F169" i="25" s="1"/>
  <c r="F159" i="25"/>
  <c r="G158" i="25"/>
  <c r="G177" i="25" s="1"/>
  <c r="H159" i="25"/>
  <c r="E158" i="25"/>
  <c r="E177" i="25" s="1"/>
  <c r="G166" i="25"/>
  <c r="G168" i="25" s="1"/>
  <c r="D159" i="25"/>
  <c r="H169" i="25"/>
  <c r="E166" i="25"/>
  <c r="E168" i="25" s="1"/>
  <c r="D169" i="25"/>
  <c r="H168" i="25"/>
  <c r="E159" i="25"/>
  <c r="E169" i="25"/>
  <c r="G169" i="25"/>
  <c r="F171" i="25"/>
  <c r="F174" i="25" s="1"/>
  <c r="G159" i="25"/>
  <c r="E130" i="25" l="1"/>
  <c r="E128" i="25"/>
  <c r="G130" i="25"/>
  <c r="G128" i="25"/>
  <c r="D130" i="25"/>
  <c r="D128" i="25"/>
  <c r="F130" i="25"/>
  <c r="F128" i="25"/>
  <c r="H97" i="25"/>
  <c r="H95" i="25"/>
  <c r="D97" i="25"/>
  <c r="D95" i="25"/>
  <c r="F90" i="25"/>
  <c r="F92" i="25" s="1"/>
  <c r="F91" i="25"/>
  <c r="F94" i="25" s="1"/>
  <c r="G97" i="25"/>
  <c r="G95" i="25"/>
  <c r="E97" i="25"/>
  <c r="E95" i="25"/>
  <c r="J57" i="25"/>
  <c r="J59" i="25" s="1"/>
  <c r="J58" i="25"/>
  <c r="G26" i="25"/>
  <c r="F59" i="25"/>
  <c r="E64" i="25"/>
  <c r="E62" i="25"/>
  <c r="F66" i="25"/>
  <c r="F69" i="25" s="1"/>
  <c r="F65" i="25"/>
  <c r="D58" i="25"/>
  <c r="D61" i="25" s="1"/>
  <c r="D57" i="25"/>
  <c r="D59" i="25" s="1"/>
  <c r="H57" i="25"/>
  <c r="H59" i="25" s="1"/>
  <c r="H58" i="25"/>
  <c r="H61" i="25" s="1"/>
  <c r="G66" i="25"/>
  <c r="G69" i="25" s="1"/>
  <c r="G65" i="25"/>
  <c r="E31" i="25"/>
  <c r="E29" i="25"/>
  <c r="G29" i="25"/>
  <c r="G31" i="25"/>
  <c r="F25" i="25"/>
  <c r="F28" i="25" s="1"/>
  <c r="F24" i="25"/>
  <c r="F26" i="25" s="1"/>
  <c r="H31" i="25"/>
  <c r="H29" i="25"/>
  <c r="D31" i="25"/>
  <c r="D29" i="25"/>
  <c r="F172" i="25"/>
  <c r="F175" i="25" s="1"/>
  <c r="G171" i="25"/>
  <c r="G174" i="25" s="1"/>
  <c r="D172" i="25"/>
  <c r="D175" i="25" s="1"/>
  <c r="H172" i="25"/>
  <c r="H175" i="25" s="1"/>
  <c r="H171" i="25"/>
  <c r="H174" i="25" s="1"/>
  <c r="E172" i="25"/>
  <c r="E175" i="25" s="1"/>
  <c r="E171" i="25"/>
  <c r="E174" i="25" s="1"/>
  <c r="D177" i="25"/>
  <c r="G172" i="25"/>
  <c r="G175" i="25" s="1"/>
  <c r="G132" i="25" l="1"/>
  <c r="G131" i="25"/>
  <c r="F132" i="25"/>
  <c r="F131" i="25"/>
  <c r="D132" i="25"/>
  <c r="D131" i="25"/>
  <c r="E132" i="25"/>
  <c r="E131" i="25"/>
  <c r="G99" i="25"/>
  <c r="G98" i="25"/>
  <c r="D98" i="25"/>
  <c r="D99" i="25"/>
  <c r="F95" i="25"/>
  <c r="F97" i="25"/>
  <c r="E99" i="25"/>
  <c r="E98" i="25"/>
  <c r="H98" i="25"/>
  <c r="H99" i="25"/>
  <c r="H64" i="25"/>
  <c r="H62" i="25"/>
  <c r="D62" i="25"/>
  <c r="D64" i="25"/>
  <c r="E66" i="25"/>
  <c r="E69" i="25" s="1"/>
  <c r="E65" i="25"/>
  <c r="G32" i="25"/>
  <c r="G33" i="25"/>
  <c r="G36" i="25" s="1"/>
  <c r="H32" i="25"/>
  <c r="H33" i="25"/>
  <c r="H36" i="25" s="1"/>
  <c r="D32" i="25"/>
  <c r="D33" i="25"/>
  <c r="D36" i="25" s="1"/>
  <c r="E32" i="25"/>
  <c r="E33" i="25"/>
  <c r="E36" i="25" s="1"/>
  <c r="F31" i="25"/>
  <c r="F29" i="25"/>
  <c r="F99" i="25" l="1"/>
  <c r="F98" i="25"/>
  <c r="D65" i="25"/>
  <c r="D66" i="25"/>
  <c r="D69" i="25" s="1"/>
  <c r="H65" i="25"/>
  <c r="H66" i="25"/>
  <c r="H69" i="25" s="1"/>
  <c r="F32" i="25"/>
  <c r="F33" i="25"/>
  <c r="F36" i="25" s="1"/>
  <c r="D103" i="25" l="1"/>
  <c r="D37" i="25"/>
</calcChain>
</file>

<file path=xl/sharedStrings.xml><?xml version="1.0" encoding="utf-8"?>
<sst xmlns="http://schemas.openxmlformats.org/spreadsheetml/2006/main" count="519" uniqueCount="170">
  <si>
    <t>Parámetro</t>
  </si>
  <si>
    <t>Horas de Trabajo</t>
  </si>
  <si>
    <t>Horas de limpieza</t>
  </si>
  <si>
    <t>Horas de preparación</t>
  </si>
  <si>
    <t>Horas de Carga</t>
  </si>
  <si>
    <t>Horas de Descarga</t>
  </si>
  <si>
    <t>Velocidad</t>
  </si>
  <si>
    <t>Capacidad</t>
  </si>
  <si>
    <t>Eficiencia</t>
  </si>
  <si>
    <t>Densidad de RSU</t>
  </si>
  <si>
    <t>Factor de compactación</t>
  </si>
  <si>
    <t>Densidad de RSU en vehículos</t>
  </si>
  <si>
    <t>Tasa de reserva</t>
  </si>
  <si>
    <t>Costo de transporte</t>
  </si>
  <si>
    <t>KPL</t>
  </si>
  <si>
    <t>Tipo de combustible</t>
  </si>
  <si>
    <t>u</t>
  </si>
  <si>
    <t>Nafta</t>
  </si>
  <si>
    <t>h</t>
  </si>
  <si>
    <t>min</t>
  </si>
  <si>
    <t>km/h</t>
  </si>
  <si>
    <t>m³</t>
  </si>
  <si>
    <t>ton/m³</t>
  </si>
  <si>
    <t>-</t>
  </si>
  <si>
    <t>km/l</t>
  </si>
  <si>
    <t>kgCO2eq/l</t>
  </si>
  <si>
    <t>Valor</t>
  </si>
  <si>
    <t>Tasa de material recuperado</t>
  </si>
  <si>
    <t>Costo de venta de material recuperado</t>
  </si>
  <si>
    <t>Costo de inversión de Centro Ambiental</t>
  </si>
  <si>
    <t>Costo operativo de Centro Ambiental</t>
  </si>
  <si>
    <t>Unidad</t>
  </si>
  <si>
    <t>Costos de Inversión y de Operación de CA y ET</t>
  </si>
  <si>
    <t>Costo de Inversión ET</t>
  </si>
  <si>
    <t>Costo Operativo ET</t>
  </si>
  <si>
    <t>K1</t>
  </si>
  <si>
    <t>K2</t>
  </si>
  <si>
    <t>J1</t>
  </si>
  <si>
    <t>J2</t>
  </si>
  <si>
    <t>J3</t>
  </si>
  <si>
    <t>DATOS GENERALES</t>
  </si>
  <si>
    <t>I1</t>
  </si>
  <si>
    <t>I2</t>
  </si>
  <si>
    <t>I3</t>
  </si>
  <si>
    <t>U</t>
  </si>
  <si>
    <t>USD/ton/km</t>
  </si>
  <si>
    <t>USD/ton</t>
  </si>
  <si>
    <t>Localidades a analizar</t>
  </si>
  <si>
    <t>ETs a analizar</t>
  </si>
  <si>
    <t>CAs a analizar</t>
  </si>
  <si>
    <t>Distancia Loc - ETs</t>
  </si>
  <si>
    <t>Distancia ETs - CAs</t>
  </si>
  <si>
    <t>Distancia Loc - CAs</t>
  </si>
  <si>
    <t>Generación de localidades</t>
  </si>
  <si>
    <t>Capacidad de ETs</t>
  </si>
  <si>
    <t>Capacidad de CAs</t>
  </si>
  <si>
    <t>[t/d]</t>
  </si>
  <si>
    <t>J4</t>
  </si>
  <si>
    <t>I4</t>
  </si>
  <si>
    <t>Recolectores</t>
  </si>
  <si>
    <t>De Transferencia</t>
  </si>
  <si>
    <t>Vehículos recolectores</t>
  </si>
  <si>
    <t>Observaciones</t>
  </si>
  <si>
    <t>m3</t>
  </si>
  <si>
    <t>De corridas macrorruteo</t>
  </si>
  <si>
    <t>Compactación</t>
  </si>
  <si>
    <t>t/m3</t>
  </si>
  <si>
    <t>t</t>
  </si>
  <si>
    <t>Cantidad de vehículos</t>
  </si>
  <si>
    <t>Nro.</t>
  </si>
  <si>
    <t>Rec</t>
  </si>
  <si>
    <t>TA</t>
  </si>
  <si>
    <t>$/año</t>
  </si>
  <si>
    <t>De archivo macrorruteo</t>
  </si>
  <si>
    <t>Cantidad de cuadrillas</t>
  </si>
  <si>
    <t>Duración turno</t>
  </si>
  <si>
    <t>hs</t>
  </si>
  <si>
    <t>Días trabajados</t>
  </si>
  <si>
    <t>días/semana</t>
  </si>
  <si>
    <t>días/mes</t>
  </si>
  <si>
    <t>Minutos trabajados por mes</t>
  </si>
  <si>
    <t>minutos</t>
  </si>
  <si>
    <t>Precio recolector</t>
  </si>
  <si>
    <t>$/unidad</t>
  </si>
  <si>
    <t>Costo total flota</t>
  </si>
  <si>
    <t>$</t>
  </si>
  <si>
    <t>Vida útil</t>
  </si>
  <si>
    <t>años</t>
  </si>
  <si>
    <t>Valor residual (% de reventa respecto al precio de compra)</t>
  </si>
  <si>
    <t>%</t>
  </si>
  <si>
    <t>Rendimiento combustible</t>
  </si>
  <si>
    <t>km/L</t>
  </si>
  <si>
    <t>Velocidad desplazamiento</t>
  </si>
  <si>
    <t>Costo combustible</t>
  </si>
  <si>
    <t>$/L</t>
  </si>
  <si>
    <t>% costo lubricante s/ costo combustible</t>
  </si>
  <si>
    <t>Costo mantenimiento (% combustible + lubricantes)</t>
  </si>
  <si>
    <t>Vehículos transferencia</t>
  </si>
  <si>
    <t>Precio vehículo transferencia</t>
  </si>
  <si>
    <t>Tiempo improductivo</t>
  </si>
  <si>
    <t>Tiempo para carga del camión de transfererencia</t>
  </si>
  <si>
    <t>Tiempo para descarga del camión de transfererencia</t>
  </si>
  <si>
    <t>Estación de Transferencia</t>
  </si>
  <si>
    <t>Distancia ET al CDF</t>
  </si>
  <si>
    <t>km</t>
  </si>
  <si>
    <t>t/turno</t>
  </si>
  <si>
    <t>Valor residual</t>
  </si>
  <si>
    <t>Costo de inversión</t>
  </si>
  <si>
    <t>Poner fórmula</t>
  </si>
  <si>
    <t>Costo de operación</t>
  </si>
  <si>
    <t>$/mes</t>
  </si>
  <si>
    <t>Criterios generales</t>
  </si>
  <si>
    <t>Tasa de interés anual</t>
  </si>
  <si>
    <t>Notas</t>
  </si>
  <si>
    <t>Precios sin coef. de pase</t>
  </si>
  <si>
    <t>Concepto</t>
  </si>
  <si>
    <t>Vehículo recolector</t>
  </si>
  <si>
    <t>Costos fijos por minuto/año</t>
  </si>
  <si>
    <t>Costo del capital</t>
  </si>
  <si>
    <t>$/min</t>
  </si>
  <si>
    <t>Amortización</t>
  </si>
  <si>
    <t>Mano de obra</t>
  </si>
  <si>
    <t>Costo fijo total</t>
  </si>
  <si>
    <t>Costos variables por minuto/año</t>
  </si>
  <si>
    <t>Costo de combustible</t>
  </si>
  <si>
    <t>Costo de lubricante</t>
  </si>
  <si>
    <t>Costo de mantenimiento</t>
  </si>
  <si>
    <t>Costo variable total</t>
  </si>
  <si>
    <t>Costo de operación en desplazamiento</t>
  </si>
  <si>
    <t>Costo por tonelada-minuto</t>
  </si>
  <si>
    <t>$/(t-min)</t>
  </si>
  <si>
    <t>Costo por tonelada-año</t>
  </si>
  <si>
    <t>$/(t-año)</t>
  </si>
  <si>
    <t>Vehículo de transferencia</t>
  </si>
  <si>
    <t>Costo del Tiempo improductivo por tonelada</t>
  </si>
  <si>
    <t>$/t</t>
  </si>
  <si>
    <t>Costos fijos por día de trabajo</t>
  </si>
  <si>
    <t>$/día</t>
  </si>
  <si>
    <t>Costo de amortización</t>
  </si>
  <si>
    <t>Costo total por tonelada transferida</t>
  </si>
  <si>
    <t>ID Localidad</t>
  </si>
  <si>
    <t>Localidad</t>
  </si>
  <si>
    <t>Generación neta Año 10
(t/d)</t>
  </si>
  <si>
    <t>Generación neta Año 20
(t/d)</t>
  </si>
  <si>
    <t>Distancia a CDF
(km)</t>
  </si>
  <si>
    <t>Distancia a ET
(km)</t>
  </si>
  <si>
    <t>AAAA</t>
  </si>
  <si>
    <t>Automatizar para que tome de una tabla de datos</t>
  </si>
  <si>
    <t>BBB</t>
  </si>
  <si>
    <t>CCC</t>
  </si>
  <si>
    <t>Totales</t>
  </si>
  <si>
    <t>Definir</t>
  </si>
  <si>
    <t>Título del Escenario:</t>
  </si>
  <si>
    <t>ESCENARIO</t>
  </si>
  <si>
    <t>Sueldo mensual Chofer</t>
  </si>
  <si>
    <t>Sueldo mensual ayudante</t>
  </si>
  <si>
    <t>Número de ayudantes</t>
  </si>
  <si>
    <t>Sueldo Total Mensual</t>
  </si>
  <si>
    <t>Sueldo Total Anual</t>
  </si>
  <si>
    <t>Mano de obra (chofer + ayudantes)</t>
  </si>
  <si>
    <t>Características del camión</t>
  </si>
  <si>
    <t>VIDA UTIL DE CADA CAMIÓN DE TRANSFERENCIA</t>
  </si>
  <si>
    <t>VIDA UTIL DE CADA CAMIÓN RECOLECTOR</t>
  </si>
  <si>
    <t>Semanas trabajadas al mes</t>
  </si>
  <si>
    <t>semanas/mes</t>
  </si>
  <si>
    <t>Costo por tonelada - kilómetro</t>
  </si>
  <si>
    <t>$/(t-km)</t>
  </si>
  <si>
    <t>Coeficiente de descuento</t>
  </si>
  <si>
    <t>Flujo descontado</t>
  </si>
  <si>
    <t>VA - 5 años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</si>
</sst>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"/>
    <numFmt numFmtId="165" formatCode="#,##0.0"/>
    <numFmt numFmtId="166" formatCode="_-* #,##0.000000_-;\-* #,##0.000000_-;_-* &quot;-&quot;??_-;_-@_-"/>
    <numFmt numFmtId="167" formatCode="0.000"/>
    <numFmt numFmtId="169" formatCode="0\ &quot;Años&quot;"/>
    <numFmt numFmtId="171" formatCode="#,##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4"/>
      <color rgb="FF0070C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CC0000"/>
      </top>
      <bottom/>
      <diagonal/>
    </border>
    <border>
      <left/>
      <right style="medium">
        <color rgb="FFCC0000"/>
      </right>
      <top style="medium">
        <color rgb="FFCC0000"/>
      </top>
      <bottom/>
      <diagonal/>
    </border>
    <border>
      <left style="medium">
        <color rgb="FFCC0000"/>
      </left>
      <right/>
      <top/>
      <bottom/>
      <diagonal/>
    </border>
    <border>
      <left/>
      <right style="medium">
        <color rgb="FFCC0000"/>
      </right>
      <top/>
      <bottom/>
      <diagonal/>
    </border>
    <border>
      <left style="medium">
        <color rgb="FFCC0000"/>
      </left>
      <right/>
      <top/>
      <bottom style="medium">
        <color rgb="FFCC0000"/>
      </bottom>
      <diagonal/>
    </border>
    <border>
      <left/>
      <right/>
      <top/>
      <bottom style="medium">
        <color rgb="FFCC0000"/>
      </bottom>
      <diagonal/>
    </border>
    <border>
      <left/>
      <right style="medium">
        <color rgb="FFCC0000"/>
      </right>
      <top/>
      <bottom style="medium">
        <color rgb="FFCC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 applyNumberFormat="0" applyFont="0" applyFill="0" applyBorder="0" applyAlignment="0">
      <protection locked="0"/>
    </xf>
    <xf numFmtId="0" fontId="1" fillId="2" borderId="0" applyNumberFormat="0" applyBorder="0" applyAlignment="0">
      <protection locked="0"/>
    </xf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0" fontId="2" fillId="0" borderId="6" xfId="0" applyFont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/>
    <xf numFmtId="0" fontId="0" fillId="5" borderId="17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8" xfId="0" applyFill="1" applyBorder="1"/>
    <xf numFmtId="0" fontId="0" fillId="5" borderId="19" xfId="0" applyFill="1" applyBorder="1"/>
    <xf numFmtId="164" fontId="0" fillId="5" borderId="15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0" fontId="2" fillId="3" borderId="3" xfId="0" applyFont="1" applyFill="1" applyBorder="1" applyAlignment="1">
      <alignment vertical="center"/>
    </xf>
    <xf numFmtId="0" fontId="2" fillId="3" borderId="4" xfId="0" applyFont="1" applyFill="1" applyBorder="1" applyAlignment="1">
      <alignment vertical="center"/>
    </xf>
    <xf numFmtId="0" fontId="6" fillId="0" borderId="0" xfId="3" applyFont="1"/>
    <xf numFmtId="0" fontId="5" fillId="0" borderId="0" xfId="3"/>
    <xf numFmtId="0" fontId="5" fillId="7" borderId="0" xfId="3" applyFill="1"/>
    <xf numFmtId="0" fontId="5" fillId="8" borderId="0" xfId="3" applyFill="1"/>
    <xf numFmtId="3" fontId="5" fillId="7" borderId="0" xfId="3" applyNumberFormat="1" applyFill="1"/>
    <xf numFmtId="3" fontId="5" fillId="0" borderId="0" xfId="3" applyNumberFormat="1"/>
    <xf numFmtId="0" fontId="5" fillId="0" borderId="0" xfId="3" applyAlignment="1">
      <alignment wrapText="1"/>
    </xf>
    <xf numFmtId="165" fontId="5" fillId="8" borderId="0" xfId="3" applyNumberFormat="1" applyFill="1"/>
    <xf numFmtId="0" fontId="7" fillId="0" borderId="0" xfId="3" applyFont="1" applyAlignment="1">
      <alignment wrapText="1"/>
    </xf>
    <xf numFmtId="0" fontId="5" fillId="0" borderId="0" xfId="3" applyAlignment="1">
      <alignment horizontal="center" vertical="center"/>
    </xf>
    <xf numFmtId="0" fontId="5" fillId="8" borderId="0" xfId="3" applyFill="1" applyAlignment="1">
      <alignment horizontal="center" vertical="center"/>
    </xf>
    <xf numFmtId="166" fontId="0" fillId="0" borderId="0" xfId="5" applyNumberFormat="1" applyFont="1"/>
    <xf numFmtId="0" fontId="8" fillId="8" borderId="0" xfId="3" applyFont="1" applyFill="1"/>
    <xf numFmtId="0" fontId="8" fillId="0" borderId="0" xfId="3" applyFont="1"/>
    <xf numFmtId="0" fontId="8" fillId="0" borderId="0" xfId="3" applyFont="1" applyAlignment="1">
      <alignment horizontal="left" indent="1"/>
    </xf>
    <xf numFmtId="0" fontId="9" fillId="0" borderId="0" xfId="3" applyFont="1" applyAlignment="1">
      <alignment horizontal="left" indent="2"/>
    </xf>
    <xf numFmtId="0" fontId="9" fillId="0" borderId="0" xfId="3" applyFont="1" applyAlignment="1">
      <alignment horizontal="center"/>
    </xf>
    <xf numFmtId="167" fontId="5" fillId="0" borderId="0" xfId="3" applyNumberFormat="1"/>
    <xf numFmtId="0" fontId="5" fillId="0" borderId="0" xfId="3" applyAlignment="1">
      <alignment horizontal="left" indent="2"/>
    </xf>
    <xf numFmtId="0" fontId="5" fillId="0" borderId="0" xfId="3" applyAlignment="1">
      <alignment horizontal="center"/>
    </xf>
    <xf numFmtId="1" fontId="5" fillId="0" borderId="0" xfId="3" applyNumberFormat="1"/>
    <xf numFmtId="0" fontId="10" fillId="0" borderId="0" xfId="3" applyFont="1" applyAlignment="1">
      <alignment horizontal="left" indent="2"/>
    </xf>
    <xf numFmtId="0" fontId="10" fillId="0" borderId="0" xfId="3" applyFont="1" applyAlignment="1">
      <alignment horizontal="center"/>
    </xf>
    <xf numFmtId="0" fontId="5" fillId="0" borderId="0" xfId="3" applyAlignment="1">
      <alignment horizontal="left" indent="1"/>
    </xf>
    <xf numFmtId="0" fontId="9" fillId="0" borderId="0" xfId="3" applyFont="1" applyAlignment="1">
      <alignment horizontal="left" wrapText="1" indent="1"/>
    </xf>
    <xf numFmtId="0" fontId="9" fillId="0" borderId="0" xfId="3" applyFont="1" applyAlignment="1">
      <alignment horizontal="center" vertical="center"/>
    </xf>
    <xf numFmtId="0" fontId="10" fillId="0" borderId="0" xfId="3" applyFont="1" applyAlignment="1">
      <alignment horizontal="left" wrapText="1" indent="1"/>
    </xf>
    <xf numFmtId="0" fontId="10" fillId="0" borderId="0" xfId="3" applyFont="1" applyAlignment="1">
      <alignment horizontal="center" vertical="center"/>
    </xf>
    <xf numFmtId="0" fontId="10" fillId="0" borderId="0" xfId="3" applyFont="1" applyAlignment="1">
      <alignment horizontal="left" indent="1"/>
    </xf>
    <xf numFmtId="0" fontId="10" fillId="0" borderId="0" xfId="3" applyFont="1"/>
    <xf numFmtId="0" fontId="9" fillId="0" borderId="0" xfId="3" applyFont="1" applyAlignment="1">
      <alignment horizontal="left" vertical="center" wrapText="1" indent="1"/>
    </xf>
    <xf numFmtId="0" fontId="5" fillId="0" borderId="0" xfId="3" applyAlignment="1">
      <alignment horizontal="left" wrapText="1" indent="2"/>
    </xf>
    <xf numFmtId="0" fontId="8" fillId="0" borderId="0" xfId="3" applyFont="1" applyAlignment="1">
      <alignment horizontal="center" vertical="center" wrapText="1"/>
    </xf>
    <xf numFmtId="0" fontId="5" fillId="8" borderId="0" xfId="3" applyFill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0" fillId="6" borderId="30" xfId="0" applyFont="1" applyFill="1" applyBorder="1" applyAlignment="1">
      <alignment horizontal="center" vertical="center"/>
    </xf>
    <xf numFmtId="0" fontId="11" fillId="6" borderId="0" xfId="6" applyFill="1" applyAlignment="1">
      <alignment horizontal="center" vertical="center"/>
    </xf>
    <xf numFmtId="0" fontId="8" fillId="0" borderId="31" xfId="3" applyFont="1" applyBorder="1" applyAlignment="1">
      <alignment horizontal="center" vertical="center"/>
    </xf>
    <xf numFmtId="169" fontId="8" fillId="6" borderId="32" xfId="3" applyNumberFormat="1" applyFont="1" applyFill="1" applyBorder="1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3" fontId="5" fillId="0" borderId="0" xfId="3" applyNumberFormat="1" applyAlignment="1">
      <alignment horizontal="center" vertical="center"/>
    </xf>
    <xf numFmtId="3" fontId="5" fillId="8" borderId="0" xfId="3" applyNumberFormat="1" applyFill="1" applyAlignment="1">
      <alignment horizontal="center" vertical="center"/>
    </xf>
    <xf numFmtId="9" fontId="0" fillId="8" borderId="0" xfId="4" applyFont="1" applyFill="1" applyAlignment="1">
      <alignment horizontal="center" vertical="center"/>
    </xf>
    <xf numFmtId="0" fontId="5" fillId="0" borderId="0" xfId="3" applyFill="1"/>
    <xf numFmtId="3" fontId="5" fillId="0" borderId="0" xfId="3" applyNumberFormat="1" applyFill="1" applyAlignment="1">
      <alignment horizontal="center" vertical="center"/>
    </xf>
    <xf numFmtId="3" fontId="5" fillId="0" borderId="0" xfId="3" applyNumberFormat="1" applyFill="1"/>
    <xf numFmtId="0" fontId="5" fillId="0" borderId="0" xfId="3" applyFill="1" applyAlignment="1">
      <alignment horizontal="center"/>
    </xf>
    <xf numFmtId="0" fontId="8" fillId="0" borderId="0" xfId="3" applyFont="1" applyFill="1"/>
    <xf numFmtId="3" fontId="5" fillId="6" borderId="0" xfId="3" applyNumberFormat="1" applyFill="1" applyAlignment="1">
      <alignment horizontal="center" vertical="center"/>
    </xf>
    <xf numFmtId="0" fontId="5" fillId="0" borderId="0" xfId="3" applyFill="1" applyAlignment="1">
      <alignment horizontal="right"/>
    </xf>
    <xf numFmtId="9" fontId="5" fillId="6" borderId="0" xfId="4" applyFont="1" applyFill="1" applyAlignment="1">
      <alignment horizontal="center" vertical="center"/>
    </xf>
    <xf numFmtId="165" fontId="5" fillId="0" borderId="0" xfId="3" applyNumberFormat="1" applyFont="1" applyFill="1" applyAlignment="1">
      <alignment horizontal="center" vertical="center"/>
    </xf>
    <xf numFmtId="4" fontId="5" fillId="6" borderId="0" xfId="3" applyNumberFormat="1" applyFont="1" applyFill="1" applyAlignment="1">
      <alignment horizontal="center" vertical="center"/>
    </xf>
    <xf numFmtId="0" fontId="5" fillId="0" borderId="0" xfId="3" applyFill="1" applyAlignment="1">
      <alignment horizontal="center" vertical="center"/>
    </xf>
    <xf numFmtId="2" fontId="5" fillId="0" borderId="0" xfId="3" applyNumberFormat="1" applyFill="1" applyAlignment="1">
      <alignment horizontal="center" vertical="center"/>
    </xf>
    <xf numFmtId="165" fontId="5" fillId="6" borderId="0" xfId="3" applyNumberFormat="1" applyFill="1" applyAlignment="1">
      <alignment horizontal="center" vertical="center"/>
    </xf>
    <xf numFmtId="0" fontId="12" fillId="0" borderId="0" xfId="3" applyFont="1" applyAlignment="1">
      <alignment horizontal="left" indent="1"/>
    </xf>
    <xf numFmtId="0" fontId="13" fillId="0" borderId="0" xfId="3" applyFont="1"/>
    <xf numFmtId="169" fontId="12" fillId="0" borderId="32" xfId="3" applyNumberFormat="1" applyFont="1" applyFill="1" applyBorder="1" applyAlignment="1">
      <alignment horizontal="center" vertical="center"/>
    </xf>
    <xf numFmtId="171" fontId="5" fillId="0" borderId="0" xfId="3" applyNumberFormat="1"/>
    <xf numFmtId="0" fontId="12" fillId="0" borderId="28" xfId="3" applyFont="1" applyBorder="1" applyAlignment="1">
      <alignment horizontal="right" indent="1"/>
    </xf>
    <xf numFmtId="9" fontId="0" fillId="6" borderId="0" xfId="4" applyFont="1" applyFill="1" applyAlignment="1">
      <alignment horizontal="center" vertical="center"/>
    </xf>
    <xf numFmtId="0" fontId="5" fillId="10" borderId="0" xfId="3" applyFill="1" applyAlignment="1">
      <alignment horizontal="left" indent="1"/>
    </xf>
    <xf numFmtId="0" fontId="5" fillId="10" borderId="0" xfId="3" applyFill="1" applyAlignment="1">
      <alignment horizontal="center"/>
    </xf>
    <xf numFmtId="0" fontId="8" fillId="10" borderId="0" xfId="3" applyFont="1" applyFill="1" applyAlignment="1">
      <alignment horizontal="left" indent="1"/>
    </xf>
  </cellXfs>
  <cellStyles count="7">
    <cellStyle name="Adjustable" xfId="1" xr:uid="{D9BC8439-F949-4E6F-A760-F34F428791D5}"/>
    <cellStyle name="Best" xfId="2" xr:uid="{9A23DE85-5C9C-4015-8DB2-195CA8F22489}"/>
    <cellStyle name="Hipervínculo" xfId="6" builtinId="8"/>
    <cellStyle name="Millares 2" xfId="5" xr:uid="{3CAA6E4D-7121-40AF-92B3-2EC1599F2D2B}"/>
    <cellStyle name="Normal" xfId="0" builtinId="0"/>
    <cellStyle name="Normal 2" xfId="3" xr:uid="{8CC2802C-971C-43DB-A406-0DF685D16083}"/>
    <cellStyle name="Porcentaje 2" xfId="4" xr:uid="{57A8C8F0-9C18-411D-B7BA-20EC5B6D3098}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657243</xdr:colOff>
      <xdr:row>13</xdr:row>
      <xdr:rowOff>32992</xdr:rowOff>
    </xdr:from>
    <xdr:to>
      <xdr:col>2</xdr:col>
      <xdr:colOff>448476</xdr:colOff>
      <xdr:row>22</xdr:row>
      <xdr:rowOff>107180</xdr:rowOff>
    </xdr:to>
    <xdr:sp macro="[0]!Matrices" textlink="">
      <xdr:nvSpPr>
        <xdr:cNvPr id="2" name="Elipse 1">
          <a:extLst>
            <a:ext uri="{FF2B5EF4-FFF2-40B4-BE49-F238E27FC236}">
              <a16:creationId xmlns:a16="http://schemas.microsoft.com/office/drawing/2014/main" id="{AD940153-07D0-3B47-9934-22D14BE82B30}"/>
            </a:ext>
          </a:extLst>
        </xdr:cNvPr>
        <xdr:cNvSpPr/>
      </xdr:nvSpPr>
      <xdr:spPr>
        <a:xfrm>
          <a:off x="657243" y="2523099"/>
          <a:ext cx="2376590" cy="1965581"/>
        </a:xfrm>
        <a:prstGeom prst="ellipse">
          <a:avLst/>
        </a:prstGeom>
        <a:ln w="38100">
          <a:solidFill>
            <a:schemeClr val="tx1"/>
          </a:solidFill>
          <a:prstDash val="dashDot"/>
          <a:extLst>
            <a:ext uri="{C807C97D-BFC1-408E-A445-0C87EB9F89A2}">
              <ask:lineSketchStyleProps xmlns:ask="http://schemas.microsoft.com/office/drawing/2018/sketchyshapes" sd="981765707">
                <a:custGeom>
                  <a:avLst/>
                  <a:gdLst>
                    <a:gd name="connsiteX0" fmla="*/ 0 w 2322534"/>
                    <a:gd name="connsiteY0" fmla="*/ 717637 h 1435274"/>
                    <a:gd name="connsiteX1" fmla="*/ 1161267 w 2322534"/>
                    <a:gd name="connsiteY1" fmla="*/ 0 h 1435274"/>
                    <a:gd name="connsiteX2" fmla="*/ 2322534 w 2322534"/>
                    <a:gd name="connsiteY2" fmla="*/ 717637 h 1435274"/>
                    <a:gd name="connsiteX3" fmla="*/ 1161267 w 2322534"/>
                    <a:gd name="connsiteY3" fmla="*/ 1435274 h 1435274"/>
                    <a:gd name="connsiteX4" fmla="*/ 0 w 2322534"/>
                    <a:gd name="connsiteY4" fmla="*/ 717637 h 143527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2322534" h="1435274" fill="none" extrusionOk="0">
                      <a:moveTo>
                        <a:pt x="0" y="717637"/>
                      </a:moveTo>
                      <a:cubicBezTo>
                        <a:pt x="57462" y="266682"/>
                        <a:pt x="632918" y="7457"/>
                        <a:pt x="1161267" y="0"/>
                      </a:cubicBezTo>
                      <a:cubicBezTo>
                        <a:pt x="1848702" y="78774"/>
                        <a:pt x="2206382" y="318801"/>
                        <a:pt x="2322534" y="717637"/>
                      </a:cubicBezTo>
                      <a:cubicBezTo>
                        <a:pt x="2432958" y="1129990"/>
                        <a:pt x="1782003" y="1425866"/>
                        <a:pt x="1161267" y="1435274"/>
                      </a:cubicBezTo>
                      <a:cubicBezTo>
                        <a:pt x="503666" y="1440124"/>
                        <a:pt x="41425" y="1057822"/>
                        <a:pt x="0" y="717637"/>
                      </a:cubicBezTo>
                      <a:close/>
                    </a:path>
                    <a:path w="2322534" h="1435274" stroke="0" extrusionOk="0">
                      <a:moveTo>
                        <a:pt x="0" y="717637"/>
                      </a:moveTo>
                      <a:cubicBezTo>
                        <a:pt x="-16745" y="350675"/>
                        <a:pt x="387479" y="-54689"/>
                        <a:pt x="1161267" y="0"/>
                      </a:cubicBezTo>
                      <a:cubicBezTo>
                        <a:pt x="1890761" y="-13012"/>
                        <a:pt x="2313240" y="338225"/>
                        <a:pt x="2322534" y="717637"/>
                      </a:cubicBezTo>
                      <a:cubicBezTo>
                        <a:pt x="2242111" y="1140857"/>
                        <a:pt x="1724286" y="1527901"/>
                        <a:pt x="1161267" y="1435274"/>
                      </a:cubicBezTo>
                      <a:cubicBezTo>
                        <a:pt x="603047" y="1381476"/>
                        <a:pt x="-33216" y="1121596"/>
                        <a:pt x="0" y="717637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 b="1">
              <a:solidFill>
                <a:schemeClr val="tx1"/>
              </a:solidFill>
            </a:rPr>
            <a:t>Correr antes</a:t>
          </a:r>
          <a:r>
            <a:rPr lang="es-AR" sz="1800" b="1" baseline="0">
              <a:solidFill>
                <a:schemeClr val="tx1"/>
              </a:solidFill>
            </a:rPr>
            <a:t> de completar datos en solapas</a:t>
          </a:r>
          <a:endParaRPr lang="es-AR" sz="18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96F2-1918-432B-87CB-82779EAE4A28}">
  <sheetPr codeName="Hoja3">
    <tabColor theme="4" tint="-0.249977111117893"/>
  </sheetPr>
  <dimension ref="A1:AT371"/>
  <sheetViews>
    <sheetView showGridLines="0" zoomScale="70" zoomScaleNormal="70" workbookViewId="0">
      <selection activeCell="G9" sqref="G9"/>
    </sheetView>
  </sheetViews>
  <sheetFormatPr baseColWidth="10" defaultRowHeight="15" x14ac:dyDescent="0.25"/>
  <cols>
    <col min="1" max="1" width="26.42578125" style="1" bestFit="1" customWidth="1"/>
    <col min="2" max="5" width="12.28515625" style="1" customWidth="1"/>
    <col min="6" max="6" width="18.42578125" style="1" bestFit="1" customWidth="1"/>
    <col min="7" max="7" width="21.42578125" bestFit="1" customWidth="1"/>
    <col min="8" max="8" width="14.85546875" bestFit="1" customWidth="1"/>
    <col min="9" max="12" width="12.28515625" customWidth="1"/>
    <col min="13" max="13" width="2" style="7" customWidth="1"/>
    <col min="14" max="14" width="11.85546875" style="7" customWidth="1"/>
    <col min="15" max="16" width="7.5703125" style="6" customWidth="1"/>
    <col min="17" max="18" width="11.42578125" style="6"/>
    <col min="19" max="46" width="11.42578125" style="7"/>
  </cols>
  <sheetData>
    <row r="1" spans="1:46" ht="15" customHeight="1" x14ac:dyDescent="0.25">
      <c r="A1" s="87" t="s">
        <v>152</v>
      </c>
      <c r="B1" s="9"/>
      <c r="C1" s="9"/>
      <c r="D1" s="74" t="s">
        <v>40</v>
      </c>
      <c r="E1" s="75"/>
      <c r="F1" s="75"/>
      <c r="G1" s="75"/>
      <c r="H1" s="76"/>
      <c r="I1" s="10"/>
      <c r="J1" s="7"/>
      <c r="K1" s="10"/>
      <c r="L1" s="10"/>
      <c r="M1" s="1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.75" customHeight="1" thickBot="1" x14ac:dyDescent="0.3">
      <c r="A2" s="88" t="s">
        <v>153</v>
      </c>
      <c r="B2" s="6"/>
      <c r="C2" s="6"/>
      <c r="D2" s="77"/>
      <c r="E2" s="78"/>
      <c r="F2" s="78"/>
      <c r="G2" s="78"/>
      <c r="H2" s="79"/>
      <c r="I2" s="7"/>
      <c r="J2" s="7"/>
      <c r="K2" s="7"/>
      <c r="L2" s="7"/>
      <c r="M2" s="13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</row>
    <row r="3" spans="1:46" x14ac:dyDescent="0.25">
      <c r="A3" s="12"/>
      <c r="B3" s="6"/>
      <c r="C3" s="6"/>
      <c r="D3" s="64"/>
      <c r="E3" s="65"/>
      <c r="F3" s="25" t="s">
        <v>59</v>
      </c>
      <c r="G3" s="25" t="s">
        <v>60</v>
      </c>
      <c r="H3" s="26"/>
      <c r="I3" s="7"/>
      <c r="J3" s="7"/>
      <c r="K3" s="7"/>
      <c r="L3" s="7"/>
      <c r="M3" s="1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x14ac:dyDescent="0.25">
      <c r="A4" s="12"/>
      <c r="B4" s="6"/>
      <c r="C4" s="6"/>
      <c r="D4" s="66" t="s">
        <v>1</v>
      </c>
      <c r="E4" s="67"/>
      <c r="F4" s="24">
        <v>8</v>
      </c>
      <c r="G4" s="24">
        <v>8</v>
      </c>
      <c r="H4" s="2" t="s">
        <v>18</v>
      </c>
      <c r="I4" s="7"/>
      <c r="J4" s="7"/>
      <c r="K4" s="7"/>
      <c r="L4" s="7"/>
      <c r="M4" s="13"/>
    </row>
    <row r="5" spans="1:46" x14ac:dyDescent="0.25">
      <c r="A5" s="12"/>
      <c r="B5" s="6"/>
      <c r="C5" s="6"/>
      <c r="D5" s="66" t="s">
        <v>3</v>
      </c>
      <c r="E5" s="67"/>
      <c r="F5" s="24">
        <v>30</v>
      </c>
      <c r="G5" s="24">
        <v>30</v>
      </c>
      <c r="H5" s="2" t="s">
        <v>19</v>
      </c>
      <c r="I5" s="7"/>
      <c r="J5" s="7"/>
      <c r="K5" s="7"/>
      <c r="L5" s="7"/>
      <c r="M5" s="13"/>
    </row>
    <row r="6" spans="1:46" x14ac:dyDescent="0.25">
      <c r="A6" s="12"/>
      <c r="B6" s="6"/>
      <c r="C6" s="6"/>
      <c r="D6" s="66" t="s">
        <v>2</v>
      </c>
      <c r="E6" s="67"/>
      <c r="F6" s="24">
        <v>30</v>
      </c>
      <c r="G6" s="24">
        <v>30</v>
      </c>
      <c r="H6" s="2" t="s">
        <v>19</v>
      </c>
      <c r="I6" s="7"/>
      <c r="J6" s="7"/>
      <c r="K6" s="7"/>
      <c r="L6" s="7"/>
      <c r="M6" s="13"/>
    </row>
    <row r="7" spans="1:46" x14ac:dyDescent="0.25">
      <c r="A7" s="12"/>
      <c r="B7" s="6"/>
      <c r="C7" s="6"/>
      <c r="D7" s="66" t="s">
        <v>4</v>
      </c>
      <c r="E7" s="67"/>
      <c r="F7" s="24">
        <v>1.5</v>
      </c>
      <c r="G7" s="24">
        <v>0.5</v>
      </c>
      <c r="H7" s="2" t="s">
        <v>18</v>
      </c>
      <c r="I7" s="7"/>
      <c r="J7" s="7"/>
      <c r="K7" s="7"/>
      <c r="L7" s="7"/>
      <c r="M7" s="13"/>
    </row>
    <row r="8" spans="1:46" x14ac:dyDescent="0.25">
      <c r="A8" s="12"/>
      <c r="B8" s="6"/>
      <c r="C8" s="6"/>
      <c r="D8" s="66" t="s">
        <v>5</v>
      </c>
      <c r="E8" s="67"/>
      <c r="F8" s="24">
        <v>12</v>
      </c>
      <c r="G8" s="24">
        <v>5</v>
      </c>
      <c r="H8" s="2" t="s">
        <v>19</v>
      </c>
      <c r="I8" s="7"/>
      <c r="J8" s="7"/>
      <c r="K8" s="7"/>
      <c r="L8" s="7"/>
      <c r="M8" s="13"/>
    </row>
    <row r="9" spans="1:46" x14ac:dyDescent="0.25">
      <c r="A9" s="12"/>
      <c r="B9" s="6"/>
      <c r="C9" s="6"/>
      <c r="D9" s="66" t="s">
        <v>6</v>
      </c>
      <c r="E9" s="67"/>
      <c r="F9" s="24">
        <v>60</v>
      </c>
      <c r="G9" s="24">
        <v>60</v>
      </c>
      <c r="H9" s="2" t="s">
        <v>20</v>
      </c>
      <c r="I9" s="7"/>
      <c r="J9" s="7"/>
      <c r="K9" s="7"/>
      <c r="L9" s="7"/>
      <c r="M9" s="13"/>
    </row>
    <row r="10" spans="1:46" x14ac:dyDescent="0.25">
      <c r="A10" s="12"/>
      <c r="B10" s="6"/>
      <c r="C10" s="6"/>
      <c r="D10" s="66" t="s">
        <v>7</v>
      </c>
      <c r="E10" s="67"/>
      <c r="F10" s="24">
        <v>12</v>
      </c>
      <c r="G10" s="24">
        <v>56</v>
      </c>
      <c r="H10" s="2" t="s">
        <v>21</v>
      </c>
      <c r="I10" s="7"/>
      <c r="J10" s="7"/>
      <c r="K10" s="7"/>
      <c r="L10" s="7"/>
      <c r="M10" s="13"/>
    </row>
    <row r="11" spans="1:46" x14ac:dyDescent="0.25">
      <c r="A11" s="12"/>
      <c r="B11" s="6"/>
      <c r="C11" s="6"/>
      <c r="D11" s="66" t="s">
        <v>8</v>
      </c>
      <c r="E11" s="67"/>
      <c r="F11" s="24">
        <v>0.8</v>
      </c>
      <c r="G11" s="24">
        <v>0.8</v>
      </c>
      <c r="H11" s="2" t="s">
        <v>23</v>
      </c>
      <c r="I11" s="7"/>
      <c r="J11" s="7"/>
      <c r="K11" s="7"/>
      <c r="L11" s="7"/>
      <c r="M11" s="13"/>
    </row>
    <row r="12" spans="1:46" ht="15" customHeight="1" x14ac:dyDescent="0.25">
      <c r="A12" s="12"/>
      <c r="B12" s="6"/>
      <c r="C12" s="6"/>
      <c r="D12" s="66" t="s">
        <v>9</v>
      </c>
      <c r="E12" s="67"/>
      <c r="F12" s="24">
        <v>0.2</v>
      </c>
      <c r="G12" s="24">
        <v>0.2</v>
      </c>
      <c r="H12" s="2" t="s">
        <v>22</v>
      </c>
      <c r="I12" s="7"/>
      <c r="J12" s="7"/>
      <c r="K12" s="7"/>
      <c r="L12" s="7"/>
      <c r="M12" s="13"/>
    </row>
    <row r="13" spans="1:46" x14ac:dyDescent="0.25">
      <c r="A13" s="12"/>
      <c r="B13" s="6"/>
      <c r="C13" s="6"/>
      <c r="D13" s="66" t="s">
        <v>10</v>
      </c>
      <c r="E13" s="67"/>
      <c r="F13" s="24">
        <v>0.5</v>
      </c>
      <c r="G13" s="24">
        <v>0.5</v>
      </c>
      <c r="H13" s="2" t="s">
        <v>23</v>
      </c>
      <c r="I13" s="7"/>
      <c r="J13" s="7"/>
      <c r="K13" s="7"/>
      <c r="L13" s="7"/>
      <c r="M13" s="13"/>
    </row>
    <row r="14" spans="1:46" ht="29.25" customHeight="1" x14ac:dyDescent="0.25">
      <c r="A14" s="12"/>
      <c r="B14" s="6"/>
      <c r="C14" s="6"/>
      <c r="D14" s="82" t="s">
        <v>11</v>
      </c>
      <c r="E14" s="83"/>
      <c r="F14" s="24">
        <f>F13*F12</f>
        <v>0.1</v>
      </c>
      <c r="G14" s="24">
        <f>G13*G12</f>
        <v>0.1</v>
      </c>
      <c r="H14" s="2" t="s">
        <v>22</v>
      </c>
      <c r="I14" s="7"/>
      <c r="J14" s="7"/>
      <c r="K14" s="7"/>
      <c r="L14" s="7"/>
      <c r="M14" s="13"/>
    </row>
    <row r="15" spans="1:46" x14ac:dyDescent="0.25">
      <c r="A15" s="12"/>
      <c r="B15" s="6"/>
      <c r="C15" s="6"/>
      <c r="D15" s="66" t="s">
        <v>12</v>
      </c>
      <c r="E15" s="67"/>
      <c r="F15" s="24">
        <v>0.1</v>
      </c>
      <c r="G15" s="24">
        <v>0.1</v>
      </c>
      <c r="H15" s="2" t="s">
        <v>23</v>
      </c>
      <c r="I15" s="7"/>
      <c r="J15" s="7"/>
      <c r="K15" s="7"/>
      <c r="L15" s="7"/>
      <c r="M15" s="13"/>
    </row>
    <row r="16" spans="1:46" x14ac:dyDescent="0.25">
      <c r="A16" s="12"/>
      <c r="B16" s="6"/>
      <c r="C16" s="6"/>
      <c r="D16" s="66" t="s">
        <v>13</v>
      </c>
      <c r="E16" s="67"/>
      <c r="F16" s="63">
        <v>5</v>
      </c>
      <c r="G16" s="63">
        <v>2</v>
      </c>
      <c r="H16" s="2" t="s">
        <v>45</v>
      </c>
      <c r="I16" s="7"/>
      <c r="J16" s="89" t="s">
        <v>151</v>
      </c>
      <c r="K16" s="7"/>
      <c r="L16" s="7"/>
      <c r="M16" s="13"/>
    </row>
    <row r="17" spans="1:13" x14ac:dyDescent="0.25">
      <c r="A17" s="12"/>
      <c r="B17" s="6"/>
      <c r="C17" s="6"/>
      <c r="D17" s="66" t="s">
        <v>14</v>
      </c>
      <c r="E17" s="67"/>
      <c r="F17" s="24">
        <v>2.8</v>
      </c>
      <c r="G17" s="24">
        <v>2.2000000000000002</v>
      </c>
      <c r="H17" s="2" t="s">
        <v>24</v>
      </c>
      <c r="I17" s="7"/>
      <c r="J17" s="7"/>
      <c r="K17" s="7"/>
      <c r="L17" s="7"/>
      <c r="M17" s="13"/>
    </row>
    <row r="18" spans="1:13" x14ac:dyDescent="0.25">
      <c r="A18" s="12"/>
      <c r="B18" s="6"/>
      <c r="C18" s="6"/>
      <c r="D18" s="66" t="s">
        <v>15</v>
      </c>
      <c r="E18" s="67"/>
      <c r="F18" s="24" t="s">
        <v>17</v>
      </c>
      <c r="G18" s="24" t="s">
        <v>17</v>
      </c>
      <c r="H18" s="2" t="s">
        <v>23</v>
      </c>
      <c r="I18" s="7"/>
      <c r="J18" s="7"/>
      <c r="K18" s="7"/>
      <c r="L18" s="7"/>
      <c r="M18" s="13"/>
    </row>
    <row r="19" spans="1:13" x14ac:dyDescent="0.25">
      <c r="A19" s="12"/>
      <c r="B19" s="6"/>
      <c r="C19" s="6"/>
      <c r="D19" s="66" t="s">
        <v>16</v>
      </c>
      <c r="E19" s="67"/>
      <c r="F19" s="24">
        <v>2.35</v>
      </c>
      <c r="G19" s="24">
        <v>2.35</v>
      </c>
      <c r="H19" s="2" t="s">
        <v>25</v>
      </c>
      <c r="I19" s="7"/>
      <c r="J19" s="7"/>
      <c r="K19" s="7"/>
      <c r="L19" s="7"/>
      <c r="M19" s="13"/>
    </row>
    <row r="20" spans="1:13" x14ac:dyDescent="0.25">
      <c r="A20" s="12"/>
      <c r="B20" s="6"/>
      <c r="C20" s="6"/>
      <c r="D20" s="84" t="s">
        <v>32</v>
      </c>
      <c r="E20" s="85"/>
      <c r="F20" s="85"/>
      <c r="G20" s="85"/>
      <c r="H20" s="86"/>
      <c r="I20" s="7"/>
      <c r="J20" s="7"/>
      <c r="K20" s="7"/>
      <c r="L20" s="7"/>
      <c r="M20" s="13"/>
    </row>
    <row r="21" spans="1:13" x14ac:dyDescent="0.25">
      <c r="A21" s="12"/>
      <c r="B21" s="6"/>
      <c r="C21" s="6"/>
      <c r="D21" s="80" t="s">
        <v>0</v>
      </c>
      <c r="E21" s="81"/>
      <c r="F21" s="81"/>
      <c r="G21" s="5" t="s">
        <v>26</v>
      </c>
      <c r="H21" s="8" t="s">
        <v>31</v>
      </c>
      <c r="I21" s="7"/>
      <c r="J21" s="7"/>
      <c r="K21" s="7"/>
      <c r="L21" s="7"/>
      <c r="M21" s="13"/>
    </row>
    <row r="22" spans="1:13" x14ac:dyDescent="0.25">
      <c r="A22" s="12"/>
      <c r="B22" s="6"/>
      <c r="C22" s="6"/>
      <c r="D22" s="68" t="s">
        <v>33</v>
      </c>
      <c r="E22" s="69"/>
      <c r="F22" s="69"/>
      <c r="G22" s="61">
        <v>30</v>
      </c>
      <c r="H22" s="3" t="s">
        <v>46</v>
      </c>
      <c r="I22" s="7"/>
      <c r="J22" s="7"/>
      <c r="K22" s="7"/>
      <c r="L22" s="7"/>
      <c r="M22" s="13"/>
    </row>
    <row r="23" spans="1:13" x14ac:dyDescent="0.25">
      <c r="A23" s="12"/>
      <c r="B23" s="6"/>
      <c r="C23" s="6"/>
      <c r="D23" s="68" t="s">
        <v>34</v>
      </c>
      <c r="E23" s="69"/>
      <c r="F23" s="69"/>
      <c r="G23" s="61">
        <v>10</v>
      </c>
      <c r="H23" s="3" t="s">
        <v>46</v>
      </c>
      <c r="I23" s="7"/>
      <c r="J23" s="7"/>
      <c r="K23" s="7"/>
      <c r="L23" s="7"/>
      <c r="M23" s="13"/>
    </row>
    <row r="24" spans="1:13" x14ac:dyDescent="0.25">
      <c r="A24" s="12"/>
      <c r="B24" s="6"/>
      <c r="C24" s="6"/>
      <c r="D24" s="68" t="s">
        <v>27</v>
      </c>
      <c r="E24" s="69"/>
      <c r="F24" s="69"/>
      <c r="G24" s="61">
        <v>0</v>
      </c>
      <c r="H24" s="3" t="s">
        <v>46</v>
      </c>
      <c r="I24" s="7"/>
      <c r="J24" s="7"/>
      <c r="K24" s="7"/>
      <c r="L24" s="7"/>
      <c r="M24" s="13"/>
    </row>
    <row r="25" spans="1:13" x14ac:dyDescent="0.25">
      <c r="A25" s="12"/>
      <c r="B25" s="6"/>
      <c r="C25" s="6"/>
      <c r="D25" s="68" t="s">
        <v>28</v>
      </c>
      <c r="E25" s="69"/>
      <c r="F25" s="69"/>
      <c r="G25" s="61">
        <v>0</v>
      </c>
      <c r="H25" s="3" t="s">
        <v>46</v>
      </c>
      <c r="I25" s="7"/>
      <c r="J25" s="7"/>
      <c r="K25" s="7"/>
      <c r="L25" s="7"/>
      <c r="M25" s="13"/>
    </row>
    <row r="26" spans="1:13" x14ac:dyDescent="0.25">
      <c r="A26" s="18"/>
      <c r="B26" s="6"/>
      <c r="C26" s="6"/>
      <c r="D26" s="68" t="s">
        <v>29</v>
      </c>
      <c r="E26" s="69"/>
      <c r="F26" s="69"/>
      <c r="G26" s="61">
        <v>90</v>
      </c>
      <c r="H26" s="3" t="s">
        <v>46</v>
      </c>
      <c r="I26" s="7"/>
      <c r="J26" s="7"/>
      <c r="K26" s="7"/>
      <c r="L26" s="7"/>
      <c r="M26" s="13"/>
    </row>
    <row r="27" spans="1:13" ht="15.75" thickBot="1" x14ac:dyDescent="0.3">
      <c r="A27" s="19"/>
      <c r="B27" s="6"/>
      <c r="C27" s="6"/>
      <c r="D27" s="70" t="s">
        <v>30</v>
      </c>
      <c r="E27" s="71"/>
      <c r="F27" s="71"/>
      <c r="G27" s="62">
        <v>135</v>
      </c>
      <c r="H27" s="4" t="s">
        <v>46</v>
      </c>
      <c r="I27" s="7"/>
      <c r="J27" s="7"/>
      <c r="K27" s="7"/>
      <c r="L27" s="7"/>
      <c r="M27" s="13"/>
    </row>
    <row r="28" spans="1:13" ht="15.75" thickBot="1" x14ac:dyDescent="0.3">
      <c r="A28" s="19"/>
      <c r="B28" s="6"/>
      <c r="C28" s="6"/>
      <c r="D28" s="6"/>
      <c r="E28" s="6"/>
      <c r="F28" s="6"/>
      <c r="G28" s="6"/>
      <c r="H28" s="6"/>
      <c r="I28" s="7"/>
      <c r="J28" s="7"/>
      <c r="K28" s="7"/>
      <c r="L28" s="7"/>
      <c r="M28" s="13"/>
    </row>
    <row r="29" spans="1:13" x14ac:dyDescent="0.25">
      <c r="A29" s="19"/>
      <c r="B29" s="6"/>
      <c r="C29" s="6"/>
      <c r="D29" s="72" t="s">
        <v>47</v>
      </c>
      <c r="E29" s="73"/>
      <c r="F29" s="73"/>
      <c r="G29" s="21">
        <v>4</v>
      </c>
      <c r="H29" s="20" t="s">
        <v>44</v>
      </c>
      <c r="I29" s="7"/>
      <c r="J29" s="7"/>
      <c r="K29" s="7"/>
      <c r="L29" s="7"/>
      <c r="M29" s="13"/>
    </row>
    <row r="30" spans="1:13" x14ac:dyDescent="0.25">
      <c r="A30" s="19"/>
      <c r="B30" s="6"/>
      <c r="C30" s="6"/>
      <c r="D30" s="68" t="s">
        <v>48</v>
      </c>
      <c r="E30" s="69"/>
      <c r="F30" s="69"/>
      <c r="G30" s="22">
        <v>4</v>
      </c>
      <c r="H30" s="3" t="s">
        <v>44</v>
      </c>
      <c r="I30" s="7"/>
      <c r="J30" s="7"/>
      <c r="K30" s="7"/>
      <c r="L30" s="7"/>
      <c r="M30" s="13"/>
    </row>
    <row r="31" spans="1:13" ht="15.75" thickBot="1" x14ac:dyDescent="0.3">
      <c r="A31" s="19"/>
      <c r="B31" s="6"/>
      <c r="C31" s="6"/>
      <c r="D31" s="70" t="s">
        <v>49</v>
      </c>
      <c r="E31" s="71"/>
      <c r="F31" s="71"/>
      <c r="G31" s="23">
        <v>2</v>
      </c>
      <c r="H31" s="4" t="s">
        <v>44</v>
      </c>
      <c r="I31" s="7"/>
      <c r="J31" s="7"/>
      <c r="K31" s="7"/>
      <c r="L31" s="7"/>
      <c r="M31" s="13"/>
    </row>
    <row r="32" spans="1:13" ht="15" customHeight="1" thickBot="1" x14ac:dyDescent="0.3">
      <c r="A32" s="14"/>
      <c r="B32" s="15"/>
      <c r="C32" s="15"/>
      <c r="D32" s="15"/>
      <c r="E32" s="15"/>
      <c r="F32" s="15"/>
      <c r="G32" s="16"/>
      <c r="H32" s="16"/>
      <c r="I32" s="16"/>
      <c r="J32" s="16"/>
      <c r="K32" s="16"/>
      <c r="L32" s="16"/>
      <c r="M32" s="17"/>
    </row>
    <row r="33" spans="1:18" s="7" customFormat="1" x14ac:dyDescent="0.25">
      <c r="A33" s="6"/>
      <c r="B33" s="6"/>
      <c r="C33" s="6"/>
      <c r="D33" s="6"/>
      <c r="E33" s="6"/>
      <c r="F33" s="6"/>
      <c r="O33" s="6"/>
      <c r="P33" s="6"/>
      <c r="Q33" s="6"/>
      <c r="R33" s="6"/>
    </row>
    <row r="34" spans="1:18" s="7" customFormat="1" x14ac:dyDescent="0.25">
      <c r="A34" s="6"/>
      <c r="B34" s="6"/>
      <c r="C34" s="6"/>
      <c r="D34" s="6"/>
      <c r="E34" s="6"/>
      <c r="F34" s="6"/>
      <c r="O34" s="6"/>
      <c r="P34" s="6"/>
      <c r="Q34" s="6"/>
      <c r="R34" s="6"/>
    </row>
    <row r="35" spans="1:18" s="7" customFormat="1" x14ac:dyDescent="0.25">
      <c r="A35" s="6"/>
      <c r="B35" s="6"/>
      <c r="C35" s="6"/>
      <c r="D35" s="6"/>
      <c r="E35" s="6"/>
      <c r="F35" s="6"/>
      <c r="O35" s="6"/>
      <c r="P35" s="6"/>
      <c r="Q35" s="6"/>
      <c r="R35" s="6"/>
    </row>
    <row r="36" spans="1:18" s="7" customFormat="1" x14ac:dyDescent="0.25">
      <c r="A36" s="6"/>
      <c r="B36" s="6"/>
      <c r="C36" s="6"/>
      <c r="D36" s="6"/>
      <c r="E36" s="6"/>
      <c r="F36" s="6"/>
      <c r="O36" s="6"/>
      <c r="P36" s="6"/>
      <c r="Q36" s="6"/>
      <c r="R36" s="6"/>
    </row>
    <row r="37" spans="1:18" s="7" customFormat="1" x14ac:dyDescent="0.25">
      <c r="A37" s="6"/>
      <c r="B37" s="6"/>
      <c r="C37" s="6"/>
      <c r="D37" s="6"/>
      <c r="E37" s="6"/>
      <c r="F37" s="6"/>
      <c r="O37" s="6"/>
      <c r="P37" s="6"/>
      <c r="Q37" s="6"/>
      <c r="R37" s="6"/>
    </row>
    <row r="38" spans="1:18" s="7" customFormat="1" x14ac:dyDescent="0.25">
      <c r="A38" s="6"/>
      <c r="B38" s="6"/>
      <c r="C38" s="6"/>
      <c r="D38" s="6"/>
      <c r="E38" s="6"/>
      <c r="F38" s="6"/>
      <c r="O38" s="6"/>
      <c r="P38" s="6"/>
      <c r="Q38" s="6"/>
      <c r="R38" s="6"/>
    </row>
    <row r="39" spans="1:18" s="7" customFormat="1" x14ac:dyDescent="0.25">
      <c r="A39" s="6"/>
      <c r="B39" s="6"/>
      <c r="C39" s="6"/>
      <c r="D39" s="6"/>
      <c r="E39" s="6"/>
      <c r="F39" s="6"/>
      <c r="O39" s="6"/>
      <c r="P39" s="6"/>
      <c r="Q39" s="6"/>
      <c r="R39" s="6"/>
    </row>
    <row r="40" spans="1:18" s="7" customFormat="1" x14ac:dyDescent="0.25">
      <c r="A40" s="6"/>
      <c r="B40" s="6"/>
      <c r="C40" s="6"/>
      <c r="D40" s="6"/>
      <c r="E40" s="6"/>
      <c r="F40" s="6"/>
      <c r="O40" s="6"/>
      <c r="P40" s="6"/>
      <c r="Q40" s="6"/>
      <c r="R40" s="6"/>
    </row>
    <row r="41" spans="1:18" s="7" customFormat="1" x14ac:dyDescent="0.25">
      <c r="A41" s="6"/>
      <c r="B41" s="6"/>
      <c r="C41" s="6"/>
      <c r="D41" s="6"/>
      <c r="E41" s="6"/>
      <c r="F41" s="6"/>
      <c r="O41" s="6"/>
      <c r="P41" s="6"/>
      <c r="Q41" s="6"/>
      <c r="R41" s="6"/>
    </row>
    <row r="42" spans="1:18" s="7" customFormat="1" x14ac:dyDescent="0.25">
      <c r="A42" s="6"/>
      <c r="B42" s="6"/>
      <c r="C42" s="6"/>
      <c r="D42" s="6"/>
      <c r="E42" s="6"/>
      <c r="F42" s="6"/>
      <c r="O42" s="6"/>
      <c r="P42" s="6"/>
      <c r="Q42" s="6"/>
      <c r="R42" s="6"/>
    </row>
    <row r="43" spans="1:18" s="7" customFormat="1" x14ac:dyDescent="0.25">
      <c r="A43" s="6"/>
      <c r="B43" s="6"/>
      <c r="C43" s="6"/>
      <c r="D43" s="6"/>
      <c r="E43" s="6"/>
      <c r="F43" s="6"/>
      <c r="O43" s="6"/>
      <c r="P43" s="6"/>
      <c r="Q43" s="6"/>
      <c r="R43" s="6"/>
    </row>
    <row r="44" spans="1:18" s="7" customFormat="1" x14ac:dyDescent="0.25">
      <c r="A44" s="6"/>
      <c r="B44" s="6"/>
      <c r="C44" s="6"/>
      <c r="D44" s="6"/>
      <c r="E44" s="6"/>
      <c r="F44" s="6"/>
      <c r="O44" s="6"/>
      <c r="P44" s="6"/>
      <c r="Q44" s="6"/>
      <c r="R44" s="6"/>
    </row>
    <row r="45" spans="1:18" s="7" customFormat="1" x14ac:dyDescent="0.25">
      <c r="A45" s="6"/>
      <c r="B45" s="6"/>
      <c r="C45" s="6"/>
      <c r="D45" s="6"/>
      <c r="E45" s="6"/>
      <c r="F45" s="6"/>
      <c r="O45" s="6"/>
      <c r="P45" s="6"/>
      <c r="Q45" s="6"/>
      <c r="R45" s="6"/>
    </row>
    <row r="46" spans="1:18" s="7" customFormat="1" x14ac:dyDescent="0.25">
      <c r="A46" s="6"/>
      <c r="B46" s="6"/>
      <c r="C46" s="6"/>
      <c r="D46" s="6"/>
      <c r="E46" s="6"/>
      <c r="F46" s="6"/>
      <c r="O46" s="6"/>
      <c r="P46" s="6"/>
      <c r="Q46" s="6"/>
      <c r="R46" s="6"/>
    </row>
    <row r="47" spans="1:18" s="7" customFormat="1" x14ac:dyDescent="0.25">
      <c r="A47" s="6"/>
      <c r="B47" s="6"/>
      <c r="C47" s="6"/>
      <c r="D47" s="6"/>
      <c r="E47" s="6"/>
      <c r="F47" s="6"/>
      <c r="O47" s="6"/>
      <c r="P47" s="6"/>
      <c r="Q47" s="6"/>
      <c r="R47" s="6"/>
    </row>
    <row r="48" spans="1:18" s="7" customFormat="1" x14ac:dyDescent="0.25">
      <c r="A48" s="6"/>
      <c r="B48" s="6"/>
      <c r="C48" s="6"/>
      <c r="D48" s="6"/>
      <c r="E48" s="6"/>
      <c r="F48" s="6"/>
      <c r="O48" s="6"/>
      <c r="P48" s="6"/>
      <c r="Q48" s="6"/>
      <c r="R48" s="6"/>
    </row>
    <row r="49" spans="1:18" s="7" customFormat="1" x14ac:dyDescent="0.25">
      <c r="A49" s="6"/>
      <c r="B49" s="6"/>
      <c r="C49" s="6"/>
      <c r="D49" s="6"/>
      <c r="E49" s="6"/>
      <c r="F49" s="6"/>
      <c r="O49" s="6"/>
      <c r="P49" s="6"/>
      <c r="Q49" s="6"/>
      <c r="R49" s="6"/>
    </row>
    <row r="50" spans="1:18" s="7" customFormat="1" x14ac:dyDescent="0.25">
      <c r="A50" s="6"/>
      <c r="B50" s="6"/>
      <c r="C50" s="6"/>
      <c r="D50" s="6"/>
      <c r="E50" s="6"/>
      <c r="F50" s="6"/>
      <c r="O50" s="6"/>
      <c r="P50" s="6"/>
      <c r="Q50" s="6"/>
      <c r="R50" s="6"/>
    </row>
    <row r="51" spans="1:18" s="7" customFormat="1" x14ac:dyDescent="0.25">
      <c r="A51" s="6"/>
      <c r="B51" s="6"/>
      <c r="C51" s="6"/>
      <c r="D51" s="6"/>
      <c r="E51" s="6"/>
      <c r="F51" s="6"/>
      <c r="O51" s="6"/>
      <c r="P51" s="6"/>
      <c r="Q51" s="6"/>
      <c r="R51" s="6"/>
    </row>
    <row r="52" spans="1:18" s="7" customFormat="1" x14ac:dyDescent="0.25">
      <c r="A52" s="6"/>
      <c r="B52" s="6"/>
      <c r="C52" s="6"/>
      <c r="D52" s="6"/>
      <c r="E52" s="6"/>
      <c r="F52" s="6"/>
      <c r="O52" s="6"/>
      <c r="P52" s="6"/>
      <c r="Q52" s="6"/>
      <c r="R52" s="6"/>
    </row>
    <row r="53" spans="1:18" s="7" customFormat="1" x14ac:dyDescent="0.25">
      <c r="A53" s="6"/>
      <c r="B53" s="6"/>
      <c r="C53" s="6"/>
      <c r="D53" s="6"/>
      <c r="E53" s="6"/>
      <c r="F53" s="6"/>
      <c r="O53" s="6"/>
      <c r="P53" s="6"/>
      <c r="Q53" s="6"/>
      <c r="R53" s="6"/>
    </row>
    <row r="54" spans="1:18" s="7" customFormat="1" x14ac:dyDescent="0.25">
      <c r="A54" s="6"/>
      <c r="B54" s="6"/>
      <c r="C54" s="6"/>
      <c r="D54" s="6"/>
      <c r="E54" s="6"/>
      <c r="F54" s="6"/>
      <c r="O54" s="6"/>
      <c r="P54" s="6"/>
      <c r="Q54" s="6"/>
      <c r="R54" s="6"/>
    </row>
    <row r="55" spans="1:18" s="7" customFormat="1" x14ac:dyDescent="0.25">
      <c r="A55" s="6"/>
      <c r="B55" s="6"/>
      <c r="C55" s="6"/>
      <c r="D55" s="6"/>
      <c r="E55" s="6"/>
      <c r="F55" s="6"/>
      <c r="O55" s="6"/>
      <c r="P55" s="6"/>
      <c r="Q55" s="6"/>
      <c r="R55" s="6"/>
    </row>
    <row r="56" spans="1:18" s="7" customFormat="1" x14ac:dyDescent="0.25">
      <c r="A56" s="6"/>
      <c r="B56" s="6"/>
      <c r="C56" s="6"/>
      <c r="D56" s="6"/>
      <c r="E56" s="6"/>
      <c r="F56" s="6"/>
      <c r="O56" s="6"/>
      <c r="P56" s="6"/>
      <c r="Q56" s="6"/>
      <c r="R56" s="6"/>
    </row>
    <row r="57" spans="1:18" s="7" customFormat="1" x14ac:dyDescent="0.25">
      <c r="A57" s="6"/>
      <c r="B57" s="6"/>
      <c r="C57" s="6"/>
      <c r="D57" s="6"/>
      <c r="E57" s="6"/>
      <c r="F57" s="6"/>
      <c r="O57" s="6"/>
      <c r="P57" s="6"/>
      <c r="Q57" s="6"/>
      <c r="R57" s="6"/>
    </row>
    <row r="58" spans="1:18" s="7" customFormat="1" x14ac:dyDescent="0.25">
      <c r="A58" s="6"/>
      <c r="B58" s="6"/>
      <c r="C58" s="6"/>
      <c r="D58" s="6"/>
      <c r="E58" s="6"/>
      <c r="F58" s="6"/>
      <c r="O58" s="6"/>
      <c r="P58" s="6"/>
      <c r="Q58" s="6"/>
      <c r="R58" s="6"/>
    </row>
    <row r="59" spans="1:18" s="7" customFormat="1" x14ac:dyDescent="0.25">
      <c r="A59" s="6"/>
      <c r="B59" s="6"/>
      <c r="C59" s="6"/>
      <c r="D59" s="6"/>
      <c r="E59" s="6"/>
      <c r="F59" s="6"/>
      <c r="O59" s="6"/>
      <c r="P59" s="6"/>
      <c r="Q59" s="6"/>
      <c r="R59" s="6"/>
    </row>
    <row r="60" spans="1:18" s="7" customFormat="1" x14ac:dyDescent="0.25">
      <c r="A60" s="6"/>
      <c r="B60" s="6"/>
      <c r="C60" s="6"/>
      <c r="D60" s="6"/>
      <c r="E60" s="6"/>
      <c r="F60" s="6"/>
      <c r="O60" s="6"/>
      <c r="P60" s="6"/>
      <c r="Q60" s="6"/>
      <c r="R60" s="6"/>
    </row>
    <row r="61" spans="1:18" s="7" customFormat="1" x14ac:dyDescent="0.25">
      <c r="A61" s="6"/>
      <c r="B61" s="6"/>
      <c r="C61" s="6"/>
      <c r="D61" s="6"/>
      <c r="E61" s="6"/>
      <c r="F61" s="6"/>
      <c r="O61" s="6"/>
      <c r="P61" s="6"/>
      <c r="Q61" s="6"/>
      <c r="R61" s="6"/>
    </row>
    <row r="62" spans="1:18" s="7" customFormat="1" x14ac:dyDescent="0.25">
      <c r="A62" s="6"/>
      <c r="B62" s="6"/>
      <c r="C62" s="6"/>
      <c r="D62" s="6"/>
      <c r="E62" s="6"/>
      <c r="F62" s="6"/>
      <c r="O62" s="6"/>
      <c r="P62" s="6"/>
      <c r="Q62" s="6"/>
      <c r="R62" s="6"/>
    </row>
    <row r="63" spans="1:18" s="7" customFormat="1" x14ac:dyDescent="0.25">
      <c r="A63" s="6"/>
      <c r="B63" s="6"/>
      <c r="C63" s="6"/>
      <c r="D63" s="6"/>
      <c r="E63" s="6"/>
      <c r="F63" s="6"/>
      <c r="O63" s="6"/>
      <c r="P63" s="6"/>
      <c r="Q63" s="6"/>
      <c r="R63" s="6"/>
    </row>
    <row r="64" spans="1:18" s="7" customFormat="1" x14ac:dyDescent="0.25">
      <c r="A64" s="6"/>
      <c r="B64" s="6"/>
      <c r="C64" s="6"/>
      <c r="D64" s="6"/>
      <c r="E64" s="6"/>
      <c r="F64" s="6"/>
      <c r="O64" s="6"/>
      <c r="P64" s="6"/>
      <c r="Q64" s="6"/>
      <c r="R64" s="6"/>
    </row>
    <row r="65" spans="1:18" s="7" customFormat="1" x14ac:dyDescent="0.25">
      <c r="A65" s="6"/>
      <c r="B65" s="6"/>
      <c r="C65" s="6"/>
      <c r="D65" s="6"/>
      <c r="E65" s="6"/>
      <c r="F65" s="6"/>
      <c r="O65" s="6"/>
      <c r="P65" s="6"/>
      <c r="Q65" s="6"/>
      <c r="R65" s="6"/>
    </row>
    <row r="66" spans="1:18" s="7" customFormat="1" x14ac:dyDescent="0.25">
      <c r="A66" s="6"/>
      <c r="B66" s="6"/>
      <c r="C66" s="6"/>
      <c r="D66" s="6"/>
      <c r="E66" s="6"/>
      <c r="F66" s="6"/>
      <c r="O66" s="6"/>
      <c r="P66" s="6"/>
      <c r="Q66" s="6"/>
      <c r="R66" s="6"/>
    </row>
    <row r="67" spans="1:18" s="7" customFormat="1" x14ac:dyDescent="0.25">
      <c r="A67" s="6"/>
      <c r="B67" s="6"/>
      <c r="C67" s="6"/>
      <c r="D67" s="6"/>
      <c r="E67" s="6"/>
      <c r="F67" s="6"/>
      <c r="O67" s="6"/>
      <c r="P67" s="6"/>
      <c r="Q67" s="6"/>
      <c r="R67" s="6"/>
    </row>
    <row r="68" spans="1:18" s="7" customFormat="1" x14ac:dyDescent="0.25">
      <c r="A68" s="6"/>
      <c r="B68" s="6"/>
      <c r="C68" s="6"/>
      <c r="D68" s="6"/>
      <c r="E68" s="6"/>
      <c r="F68" s="6"/>
      <c r="O68" s="6"/>
      <c r="P68" s="6"/>
      <c r="Q68" s="6"/>
      <c r="R68" s="6"/>
    </row>
    <row r="69" spans="1:18" s="7" customFormat="1" x14ac:dyDescent="0.25">
      <c r="A69" s="6"/>
      <c r="B69" s="6"/>
      <c r="C69" s="6"/>
      <c r="D69" s="6"/>
      <c r="E69" s="6"/>
      <c r="F69" s="6"/>
      <c r="O69" s="6"/>
      <c r="P69" s="6"/>
      <c r="Q69" s="6"/>
      <c r="R69" s="6"/>
    </row>
    <row r="70" spans="1:18" s="7" customFormat="1" x14ac:dyDescent="0.25">
      <c r="A70" s="6"/>
      <c r="B70" s="6"/>
      <c r="C70" s="6"/>
      <c r="D70" s="6"/>
      <c r="E70" s="6"/>
      <c r="F70" s="6"/>
      <c r="O70" s="6"/>
      <c r="P70" s="6"/>
      <c r="Q70" s="6"/>
      <c r="R70" s="6"/>
    </row>
    <row r="71" spans="1:18" s="7" customFormat="1" x14ac:dyDescent="0.25">
      <c r="A71" s="6"/>
      <c r="B71" s="6"/>
      <c r="C71" s="6"/>
      <c r="D71" s="6"/>
      <c r="E71" s="6"/>
      <c r="F71" s="6"/>
      <c r="O71" s="6"/>
      <c r="P71" s="6"/>
      <c r="Q71" s="6"/>
      <c r="R71" s="6"/>
    </row>
    <row r="72" spans="1:18" s="7" customFormat="1" x14ac:dyDescent="0.25">
      <c r="A72" s="6"/>
      <c r="B72" s="6"/>
      <c r="C72" s="6"/>
      <c r="D72" s="6"/>
      <c r="E72" s="6"/>
      <c r="F72" s="6"/>
      <c r="O72" s="6"/>
      <c r="P72" s="6"/>
      <c r="Q72" s="6"/>
      <c r="R72" s="6"/>
    </row>
    <row r="73" spans="1:18" s="7" customFormat="1" x14ac:dyDescent="0.25">
      <c r="A73" s="6"/>
      <c r="B73" s="6"/>
      <c r="C73" s="6"/>
      <c r="D73" s="6"/>
      <c r="E73" s="6"/>
      <c r="F73" s="6"/>
      <c r="O73" s="6"/>
      <c r="P73" s="6"/>
      <c r="Q73" s="6"/>
      <c r="R73" s="6"/>
    </row>
    <row r="74" spans="1:18" s="7" customFormat="1" x14ac:dyDescent="0.25">
      <c r="A74" s="6"/>
      <c r="B74" s="6"/>
      <c r="C74" s="6"/>
      <c r="D74" s="6"/>
      <c r="E74" s="6"/>
      <c r="F74" s="6"/>
      <c r="O74" s="6"/>
      <c r="P74" s="6"/>
      <c r="Q74" s="6"/>
      <c r="R74" s="6"/>
    </row>
    <row r="75" spans="1:18" s="7" customFormat="1" x14ac:dyDescent="0.25">
      <c r="A75" s="6"/>
      <c r="B75" s="6"/>
      <c r="C75" s="6"/>
      <c r="D75" s="6"/>
      <c r="E75" s="6"/>
      <c r="F75" s="6"/>
      <c r="O75" s="6"/>
      <c r="P75" s="6"/>
      <c r="Q75" s="6"/>
      <c r="R75" s="6"/>
    </row>
    <row r="76" spans="1:18" s="7" customFormat="1" x14ac:dyDescent="0.25">
      <c r="A76" s="6"/>
      <c r="B76" s="6"/>
      <c r="C76" s="6"/>
      <c r="D76" s="6"/>
      <c r="E76" s="6"/>
      <c r="F76" s="6"/>
      <c r="O76" s="6"/>
      <c r="P76" s="6"/>
      <c r="Q76" s="6"/>
      <c r="R76" s="6"/>
    </row>
    <row r="77" spans="1:18" s="7" customFormat="1" x14ac:dyDescent="0.25">
      <c r="A77" s="6"/>
      <c r="B77" s="6"/>
      <c r="C77" s="6"/>
      <c r="D77" s="6"/>
      <c r="E77" s="6"/>
      <c r="F77" s="6"/>
      <c r="O77" s="6"/>
      <c r="P77" s="6"/>
      <c r="Q77" s="6"/>
      <c r="R77" s="6"/>
    </row>
    <row r="78" spans="1:18" s="7" customFormat="1" x14ac:dyDescent="0.25">
      <c r="A78" s="6"/>
      <c r="B78" s="6"/>
      <c r="C78" s="6"/>
      <c r="D78" s="6"/>
      <c r="E78" s="6"/>
      <c r="F78" s="6"/>
      <c r="O78" s="6"/>
      <c r="P78" s="6"/>
      <c r="Q78" s="6"/>
      <c r="R78" s="6"/>
    </row>
    <row r="79" spans="1:18" s="7" customFormat="1" x14ac:dyDescent="0.25">
      <c r="A79" s="6"/>
      <c r="B79" s="6"/>
      <c r="C79" s="6"/>
      <c r="D79" s="6"/>
      <c r="E79" s="6"/>
      <c r="F79" s="6"/>
      <c r="O79" s="6"/>
      <c r="P79" s="6"/>
      <c r="Q79" s="6"/>
      <c r="R79" s="6"/>
    </row>
    <row r="80" spans="1:18" s="7" customFormat="1" x14ac:dyDescent="0.25">
      <c r="A80" s="6"/>
      <c r="B80" s="6"/>
      <c r="C80" s="6"/>
      <c r="D80" s="6"/>
      <c r="E80" s="6"/>
      <c r="F80" s="6"/>
      <c r="O80" s="6"/>
      <c r="P80" s="6"/>
      <c r="Q80" s="6"/>
      <c r="R80" s="6"/>
    </row>
    <row r="81" spans="1:18" s="7" customFormat="1" x14ac:dyDescent="0.25">
      <c r="A81" s="6"/>
      <c r="B81" s="6"/>
      <c r="C81" s="6"/>
      <c r="D81" s="6"/>
      <c r="E81" s="6"/>
      <c r="F81" s="6"/>
      <c r="O81" s="6"/>
      <c r="P81" s="6"/>
      <c r="Q81" s="6"/>
      <c r="R81" s="6"/>
    </row>
    <row r="82" spans="1:18" s="7" customFormat="1" x14ac:dyDescent="0.25">
      <c r="A82" s="6"/>
      <c r="B82" s="6"/>
      <c r="C82" s="6"/>
      <c r="D82" s="6"/>
      <c r="E82" s="6"/>
      <c r="F82" s="6"/>
      <c r="O82" s="6"/>
      <c r="P82" s="6"/>
      <c r="Q82" s="6"/>
      <c r="R82" s="6"/>
    </row>
    <row r="83" spans="1:18" s="7" customFormat="1" x14ac:dyDescent="0.25">
      <c r="A83" s="6"/>
      <c r="B83" s="6"/>
      <c r="C83" s="6"/>
      <c r="D83" s="6"/>
      <c r="E83" s="6"/>
      <c r="F83" s="6"/>
      <c r="O83" s="6"/>
      <c r="P83" s="6"/>
      <c r="Q83" s="6"/>
      <c r="R83" s="6"/>
    </row>
    <row r="84" spans="1:18" s="7" customFormat="1" x14ac:dyDescent="0.25">
      <c r="A84" s="6"/>
      <c r="B84" s="6"/>
      <c r="C84" s="6"/>
      <c r="D84" s="6"/>
      <c r="E84" s="6"/>
      <c r="F84" s="6"/>
      <c r="O84" s="6"/>
      <c r="P84" s="6"/>
      <c r="Q84" s="6"/>
      <c r="R84" s="6"/>
    </row>
    <row r="85" spans="1:18" s="7" customFormat="1" x14ac:dyDescent="0.25">
      <c r="A85" s="6"/>
      <c r="B85" s="6"/>
      <c r="C85" s="6"/>
      <c r="D85" s="6"/>
      <c r="E85" s="6"/>
      <c r="F85" s="6"/>
      <c r="O85" s="6"/>
      <c r="P85" s="6"/>
      <c r="Q85" s="6"/>
      <c r="R85" s="6"/>
    </row>
    <row r="86" spans="1:18" s="7" customFormat="1" x14ac:dyDescent="0.25">
      <c r="A86" s="6"/>
      <c r="B86" s="6"/>
      <c r="C86" s="6"/>
      <c r="D86" s="6"/>
      <c r="E86" s="6"/>
      <c r="F86" s="6"/>
      <c r="O86" s="6"/>
      <c r="P86" s="6"/>
      <c r="Q86" s="6"/>
      <c r="R86" s="6"/>
    </row>
    <row r="87" spans="1:18" s="7" customFormat="1" x14ac:dyDescent="0.25">
      <c r="A87" s="6"/>
      <c r="B87" s="6"/>
      <c r="C87" s="6"/>
      <c r="D87" s="6"/>
      <c r="E87" s="6"/>
      <c r="F87" s="6"/>
      <c r="O87" s="6"/>
      <c r="P87" s="6"/>
      <c r="Q87" s="6"/>
      <c r="R87" s="6"/>
    </row>
    <row r="88" spans="1:18" s="7" customFormat="1" x14ac:dyDescent="0.25">
      <c r="A88" s="6"/>
      <c r="B88" s="6"/>
      <c r="C88" s="6"/>
      <c r="D88" s="6"/>
      <c r="E88" s="6"/>
      <c r="F88" s="6"/>
      <c r="O88" s="6"/>
      <c r="P88" s="6"/>
      <c r="Q88" s="6"/>
      <c r="R88" s="6"/>
    </row>
    <row r="89" spans="1:18" s="7" customFormat="1" x14ac:dyDescent="0.25">
      <c r="A89" s="6"/>
      <c r="B89" s="6"/>
      <c r="C89" s="6"/>
      <c r="D89" s="6"/>
      <c r="E89" s="6"/>
      <c r="F89" s="6"/>
      <c r="O89" s="6"/>
      <c r="P89" s="6"/>
      <c r="Q89" s="6"/>
      <c r="R89" s="6"/>
    </row>
    <row r="90" spans="1:18" s="7" customFormat="1" x14ac:dyDescent="0.25">
      <c r="A90" s="6"/>
      <c r="B90" s="6"/>
      <c r="C90" s="6"/>
      <c r="D90" s="6"/>
      <c r="E90" s="6"/>
      <c r="F90" s="6"/>
      <c r="O90" s="6"/>
      <c r="P90" s="6"/>
      <c r="Q90" s="6"/>
      <c r="R90" s="6"/>
    </row>
    <row r="91" spans="1:18" s="7" customFormat="1" x14ac:dyDescent="0.25">
      <c r="A91" s="6"/>
      <c r="B91" s="6"/>
      <c r="C91" s="6"/>
      <c r="D91" s="6"/>
      <c r="E91" s="6"/>
      <c r="F91" s="6"/>
      <c r="O91" s="6"/>
      <c r="P91" s="6"/>
      <c r="Q91" s="6"/>
      <c r="R91" s="6"/>
    </row>
    <row r="92" spans="1:18" s="7" customFormat="1" x14ac:dyDescent="0.25">
      <c r="A92" s="6"/>
      <c r="B92" s="6"/>
      <c r="C92" s="6"/>
      <c r="D92" s="6"/>
      <c r="E92" s="6"/>
      <c r="F92" s="6"/>
      <c r="O92" s="6"/>
      <c r="P92" s="6"/>
      <c r="Q92" s="6"/>
      <c r="R92" s="6"/>
    </row>
    <row r="93" spans="1:18" s="7" customFormat="1" x14ac:dyDescent="0.25">
      <c r="A93" s="6"/>
      <c r="B93" s="6"/>
      <c r="C93" s="6"/>
      <c r="D93" s="6"/>
      <c r="E93" s="6"/>
      <c r="F93" s="6"/>
      <c r="O93" s="6"/>
      <c r="P93" s="6"/>
      <c r="Q93" s="6"/>
      <c r="R93" s="6"/>
    </row>
    <row r="94" spans="1:18" s="7" customFormat="1" x14ac:dyDescent="0.25">
      <c r="A94" s="6"/>
      <c r="B94" s="6"/>
      <c r="C94" s="6"/>
      <c r="D94" s="6"/>
      <c r="E94" s="6"/>
      <c r="F94" s="6"/>
      <c r="O94" s="6"/>
      <c r="P94" s="6"/>
      <c r="Q94" s="6"/>
      <c r="R94" s="6"/>
    </row>
    <row r="95" spans="1:18" s="7" customFormat="1" x14ac:dyDescent="0.25">
      <c r="A95" s="6"/>
      <c r="B95" s="6"/>
      <c r="C95" s="6"/>
      <c r="D95" s="6"/>
      <c r="E95" s="6"/>
      <c r="F95" s="6"/>
      <c r="O95" s="6"/>
      <c r="P95" s="6"/>
      <c r="Q95" s="6"/>
      <c r="R95" s="6"/>
    </row>
    <row r="96" spans="1:18" s="7" customFormat="1" x14ac:dyDescent="0.25">
      <c r="A96" s="6"/>
      <c r="B96" s="6"/>
      <c r="C96" s="6"/>
      <c r="D96" s="6"/>
      <c r="E96" s="6"/>
      <c r="F96" s="6"/>
      <c r="O96" s="6"/>
      <c r="P96" s="6"/>
      <c r="Q96" s="6"/>
      <c r="R96" s="6"/>
    </row>
    <row r="97" spans="1:18" s="7" customFormat="1" x14ac:dyDescent="0.25">
      <c r="A97" s="6"/>
      <c r="B97" s="6"/>
      <c r="C97" s="6"/>
      <c r="D97" s="6"/>
      <c r="E97" s="6"/>
      <c r="F97" s="6"/>
      <c r="O97" s="6"/>
      <c r="P97" s="6"/>
      <c r="Q97" s="6"/>
      <c r="R97" s="6"/>
    </row>
    <row r="98" spans="1:18" s="7" customFormat="1" x14ac:dyDescent="0.25">
      <c r="A98" s="6"/>
      <c r="B98" s="6"/>
      <c r="C98" s="6"/>
      <c r="D98" s="6"/>
      <c r="E98" s="6"/>
      <c r="F98" s="6"/>
      <c r="O98" s="6"/>
      <c r="P98" s="6"/>
      <c r="Q98" s="6"/>
      <c r="R98" s="6"/>
    </row>
    <row r="99" spans="1:18" s="7" customFormat="1" x14ac:dyDescent="0.25">
      <c r="A99" s="6"/>
      <c r="B99" s="6"/>
      <c r="C99" s="6"/>
      <c r="D99" s="6"/>
      <c r="E99" s="6"/>
      <c r="F99" s="6"/>
      <c r="O99" s="6"/>
      <c r="P99" s="6"/>
      <c r="Q99" s="6"/>
      <c r="R99" s="6"/>
    </row>
    <row r="100" spans="1:18" s="7" customFormat="1" x14ac:dyDescent="0.25">
      <c r="A100" s="6"/>
      <c r="B100" s="6"/>
      <c r="C100" s="6"/>
      <c r="D100" s="6"/>
      <c r="E100" s="6"/>
      <c r="F100" s="6"/>
      <c r="O100" s="6"/>
      <c r="P100" s="6"/>
      <c r="Q100" s="6"/>
      <c r="R100" s="6"/>
    </row>
    <row r="101" spans="1:18" s="7" customFormat="1" x14ac:dyDescent="0.25">
      <c r="A101" s="6"/>
      <c r="B101" s="6"/>
      <c r="C101" s="6"/>
      <c r="D101" s="6"/>
      <c r="E101" s="6"/>
      <c r="F101" s="6"/>
      <c r="O101" s="6"/>
      <c r="P101" s="6"/>
      <c r="Q101" s="6"/>
      <c r="R101" s="6"/>
    </row>
    <row r="102" spans="1:18" s="7" customFormat="1" x14ac:dyDescent="0.25">
      <c r="A102" s="6"/>
      <c r="B102" s="6"/>
      <c r="C102" s="6"/>
      <c r="D102" s="6"/>
      <c r="E102" s="6"/>
      <c r="F102" s="6"/>
      <c r="O102" s="6"/>
      <c r="P102" s="6"/>
      <c r="Q102" s="6"/>
      <c r="R102" s="6"/>
    </row>
    <row r="103" spans="1:18" s="7" customFormat="1" x14ac:dyDescent="0.25">
      <c r="A103" s="6"/>
      <c r="B103" s="6"/>
      <c r="C103" s="6"/>
      <c r="D103" s="6"/>
      <c r="E103" s="6"/>
      <c r="F103" s="6"/>
      <c r="O103" s="6"/>
      <c r="P103" s="6"/>
      <c r="Q103" s="6"/>
      <c r="R103" s="6"/>
    </row>
    <row r="104" spans="1:18" s="7" customFormat="1" x14ac:dyDescent="0.25">
      <c r="A104" s="6"/>
      <c r="B104" s="6"/>
      <c r="C104" s="6"/>
      <c r="D104" s="6"/>
      <c r="E104" s="6"/>
      <c r="F104" s="6"/>
      <c r="O104" s="6"/>
      <c r="P104" s="6"/>
      <c r="Q104" s="6"/>
      <c r="R104" s="6"/>
    </row>
    <row r="105" spans="1:18" s="7" customFormat="1" x14ac:dyDescent="0.25">
      <c r="A105" s="6"/>
      <c r="B105" s="6"/>
      <c r="C105" s="6"/>
      <c r="D105" s="6"/>
      <c r="E105" s="6"/>
      <c r="F105" s="6"/>
      <c r="O105" s="6"/>
      <c r="P105" s="6"/>
      <c r="Q105" s="6"/>
      <c r="R105" s="6"/>
    </row>
    <row r="106" spans="1:18" s="7" customFormat="1" x14ac:dyDescent="0.25">
      <c r="A106" s="6"/>
      <c r="B106" s="6"/>
      <c r="C106" s="6"/>
      <c r="D106" s="6"/>
      <c r="E106" s="6"/>
      <c r="F106" s="6"/>
      <c r="O106" s="6"/>
      <c r="P106" s="6"/>
      <c r="Q106" s="6"/>
      <c r="R106" s="6"/>
    </row>
    <row r="107" spans="1:18" s="7" customFormat="1" x14ac:dyDescent="0.25">
      <c r="A107" s="6"/>
      <c r="B107" s="6"/>
      <c r="C107" s="6"/>
      <c r="D107" s="6"/>
      <c r="E107" s="6"/>
      <c r="F107" s="6"/>
      <c r="O107" s="6"/>
      <c r="P107" s="6"/>
      <c r="Q107" s="6"/>
      <c r="R107" s="6"/>
    </row>
    <row r="108" spans="1:18" s="7" customFormat="1" x14ac:dyDescent="0.25">
      <c r="A108" s="6"/>
      <c r="B108" s="6"/>
      <c r="C108" s="6"/>
      <c r="D108" s="6"/>
      <c r="E108" s="6"/>
      <c r="F108" s="6"/>
      <c r="O108" s="6"/>
      <c r="P108" s="6"/>
      <c r="Q108" s="6"/>
      <c r="R108" s="6"/>
    </row>
    <row r="109" spans="1:18" s="7" customFormat="1" x14ac:dyDescent="0.25">
      <c r="A109" s="6"/>
      <c r="B109" s="6"/>
      <c r="C109" s="6"/>
      <c r="D109" s="6"/>
      <c r="E109" s="6"/>
      <c r="F109" s="6"/>
      <c r="O109" s="6"/>
      <c r="P109" s="6"/>
      <c r="Q109" s="6"/>
      <c r="R109" s="6"/>
    </row>
    <row r="110" spans="1:18" s="7" customFormat="1" x14ac:dyDescent="0.25">
      <c r="A110" s="6"/>
      <c r="B110" s="6"/>
      <c r="C110" s="6"/>
      <c r="D110" s="6"/>
      <c r="E110" s="6"/>
      <c r="F110" s="6"/>
      <c r="O110" s="6"/>
      <c r="P110" s="6"/>
      <c r="Q110" s="6"/>
      <c r="R110" s="6"/>
    </row>
    <row r="111" spans="1:18" s="7" customFormat="1" x14ac:dyDescent="0.25">
      <c r="A111" s="6"/>
      <c r="B111" s="6"/>
      <c r="C111" s="6"/>
      <c r="D111" s="6"/>
      <c r="E111" s="6"/>
      <c r="F111" s="6"/>
      <c r="O111" s="6"/>
      <c r="P111" s="6"/>
      <c r="Q111" s="6"/>
      <c r="R111" s="6"/>
    </row>
    <row r="112" spans="1:18" s="7" customFormat="1" x14ac:dyDescent="0.25">
      <c r="A112" s="6"/>
      <c r="B112" s="6"/>
      <c r="C112" s="6"/>
      <c r="D112" s="6"/>
      <c r="E112" s="6"/>
      <c r="F112" s="6"/>
      <c r="O112" s="6"/>
      <c r="P112" s="6"/>
      <c r="Q112" s="6"/>
      <c r="R112" s="6"/>
    </row>
    <row r="113" spans="1:18" s="7" customFormat="1" x14ac:dyDescent="0.25">
      <c r="A113" s="6"/>
      <c r="B113" s="6"/>
      <c r="C113" s="6"/>
      <c r="D113" s="6"/>
      <c r="E113" s="6"/>
      <c r="F113" s="6"/>
      <c r="O113" s="6"/>
      <c r="P113" s="6"/>
      <c r="Q113" s="6"/>
      <c r="R113" s="6"/>
    </row>
    <row r="114" spans="1:18" s="7" customFormat="1" x14ac:dyDescent="0.25">
      <c r="A114" s="6"/>
      <c r="B114" s="6"/>
      <c r="C114" s="6"/>
      <c r="D114" s="6"/>
      <c r="E114" s="6"/>
      <c r="F114" s="6"/>
      <c r="O114" s="6"/>
      <c r="P114" s="6"/>
      <c r="Q114" s="6"/>
      <c r="R114" s="6"/>
    </row>
    <row r="115" spans="1:18" s="7" customFormat="1" x14ac:dyDescent="0.25">
      <c r="A115" s="6"/>
      <c r="B115" s="6"/>
      <c r="C115" s="6"/>
      <c r="D115" s="6"/>
      <c r="E115" s="6"/>
      <c r="F115" s="6"/>
      <c r="O115" s="6"/>
      <c r="P115" s="6"/>
      <c r="Q115" s="6"/>
      <c r="R115" s="6"/>
    </row>
    <row r="116" spans="1:18" s="7" customFormat="1" x14ac:dyDescent="0.25">
      <c r="A116" s="6"/>
      <c r="B116" s="6"/>
      <c r="C116" s="6"/>
      <c r="D116" s="6"/>
      <c r="E116" s="6"/>
      <c r="F116" s="6"/>
      <c r="O116" s="6"/>
      <c r="P116" s="6"/>
      <c r="Q116" s="6"/>
      <c r="R116" s="6"/>
    </row>
    <row r="117" spans="1:18" s="7" customFormat="1" x14ac:dyDescent="0.25">
      <c r="A117" s="6"/>
      <c r="B117" s="6"/>
      <c r="C117" s="6"/>
      <c r="D117" s="6"/>
      <c r="E117" s="6"/>
      <c r="F117" s="6"/>
      <c r="O117" s="6"/>
      <c r="P117" s="6"/>
      <c r="Q117" s="6"/>
      <c r="R117" s="6"/>
    </row>
    <row r="118" spans="1:18" s="7" customFormat="1" x14ac:dyDescent="0.25">
      <c r="A118" s="6"/>
      <c r="B118" s="6"/>
      <c r="C118" s="6"/>
      <c r="D118" s="6"/>
      <c r="E118" s="6"/>
      <c r="F118" s="6"/>
      <c r="O118" s="6"/>
      <c r="P118" s="6"/>
      <c r="Q118" s="6"/>
      <c r="R118" s="6"/>
    </row>
    <row r="119" spans="1:18" s="7" customFormat="1" x14ac:dyDescent="0.25">
      <c r="A119" s="6"/>
      <c r="B119" s="6"/>
      <c r="C119" s="6"/>
      <c r="D119" s="6"/>
      <c r="E119" s="6"/>
      <c r="F119" s="6"/>
      <c r="O119" s="6"/>
      <c r="P119" s="6"/>
      <c r="Q119" s="6"/>
      <c r="R119" s="6"/>
    </row>
    <row r="120" spans="1:18" s="7" customFormat="1" x14ac:dyDescent="0.25">
      <c r="A120" s="6"/>
      <c r="B120" s="6"/>
      <c r="C120" s="6"/>
      <c r="D120" s="6"/>
      <c r="E120" s="6"/>
      <c r="F120" s="6"/>
      <c r="O120" s="6"/>
      <c r="P120" s="6"/>
      <c r="Q120" s="6"/>
      <c r="R120" s="6"/>
    </row>
    <row r="121" spans="1:18" s="7" customFormat="1" x14ac:dyDescent="0.25">
      <c r="A121" s="6"/>
      <c r="B121" s="6"/>
      <c r="C121" s="6"/>
      <c r="D121" s="6"/>
      <c r="E121" s="6"/>
      <c r="F121" s="6"/>
      <c r="O121" s="6"/>
      <c r="P121" s="6"/>
      <c r="Q121" s="6"/>
      <c r="R121" s="6"/>
    </row>
    <row r="122" spans="1:18" s="7" customFormat="1" x14ac:dyDescent="0.25">
      <c r="A122" s="6"/>
      <c r="B122" s="6"/>
      <c r="C122" s="6"/>
      <c r="D122" s="6"/>
      <c r="E122" s="6"/>
      <c r="F122" s="6"/>
      <c r="O122" s="6"/>
      <c r="P122" s="6"/>
      <c r="Q122" s="6"/>
      <c r="R122" s="6"/>
    </row>
    <row r="123" spans="1:18" s="7" customFormat="1" x14ac:dyDescent="0.25">
      <c r="A123" s="6"/>
      <c r="B123" s="6"/>
      <c r="C123" s="6"/>
      <c r="D123" s="6"/>
      <c r="E123" s="6"/>
      <c r="F123" s="6"/>
      <c r="O123" s="6"/>
      <c r="P123" s="6"/>
      <c r="Q123" s="6"/>
      <c r="R123" s="6"/>
    </row>
    <row r="124" spans="1:18" s="7" customFormat="1" x14ac:dyDescent="0.25">
      <c r="A124" s="6"/>
      <c r="B124" s="6"/>
      <c r="C124" s="6"/>
      <c r="D124" s="6"/>
      <c r="E124" s="6"/>
      <c r="F124" s="6"/>
      <c r="O124" s="6"/>
      <c r="P124" s="6"/>
      <c r="Q124" s="6"/>
      <c r="R124" s="6"/>
    </row>
    <row r="125" spans="1:18" s="7" customFormat="1" x14ac:dyDescent="0.25">
      <c r="A125" s="6"/>
      <c r="B125" s="6"/>
      <c r="C125" s="6"/>
      <c r="D125" s="6"/>
      <c r="E125" s="6"/>
      <c r="F125" s="6"/>
      <c r="O125" s="6"/>
      <c r="P125" s="6"/>
      <c r="Q125" s="6"/>
      <c r="R125" s="6"/>
    </row>
    <row r="126" spans="1:18" s="7" customFormat="1" x14ac:dyDescent="0.25">
      <c r="A126" s="6"/>
      <c r="B126" s="6"/>
      <c r="C126" s="6"/>
      <c r="D126" s="6"/>
      <c r="E126" s="6"/>
      <c r="F126" s="6"/>
      <c r="O126" s="6"/>
      <c r="P126" s="6"/>
      <c r="Q126" s="6"/>
      <c r="R126" s="6"/>
    </row>
    <row r="127" spans="1:18" s="7" customFormat="1" x14ac:dyDescent="0.25">
      <c r="A127" s="6"/>
      <c r="B127" s="6"/>
      <c r="C127" s="6"/>
      <c r="D127" s="6"/>
      <c r="E127" s="6"/>
      <c r="F127" s="6"/>
      <c r="O127" s="6"/>
      <c r="P127" s="6"/>
      <c r="Q127" s="6"/>
      <c r="R127" s="6"/>
    </row>
    <row r="128" spans="1:18" s="7" customFormat="1" x14ac:dyDescent="0.25">
      <c r="A128" s="6"/>
      <c r="B128" s="6"/>
      <c r="C128" s="6"/>
      <c r="D128" s="6"/>
      <c r="E128" s="6"/>
      <c r="F128" s="6"/>
      <c r="O128" s="6"/>
      <c r="P128" s="6"/>
      <c r="Q128" s="6"/>
      <c r="R128" s="6"/>
    </row>
    <row r="129" spans="1:18" s="7" customFormat="1" x14ac:dyDescent="0.25">
      <c r="A129" s="6"/>
      <c r="B129" s="6"/>
      <c r="C129" s="6"/>
      <c r="D129" s="6"/>
      <c r="E129" s="6"/>
      <c r="F129" s="6"/>
      <c r="O129" s="6"/>
      <c r="P129" s="6"/>
      <c r="Q129" s="6"/>
      <c r="R129" s="6"/>
    </row>
    <row r="130" spans="1:18" s="7" customFormat="1" x14ac:dyDescent="0.25">
      <c r="A130" s="6"/>
      <c r="B130" s="6"/>
      <c r="C130" s="6"/>
      <c r="D130" s="6"/>
      <c r="E130" s="6"/>
      <c r="F130" s="6"/>
      <c r="O130" s="6"/>
      <c r="P130" s="6"/>
      <c r="Q130" s="6"/>
      <c r="R130" s="6"/>
    </row>
    <row r="131" spans="1:18" s="7" customFormat="1" x14ac:dyDescent="0.25">
      <c r="A131" s="6"/>
      <c r="B131" s="6"/>
      <c r="C131" s="6"/>
      <c r="D131" s="6"/>
      <c r="E131" s="6"/>
      <c r="F131" s="6"/>
      <c r="O131" s="6"/>
      <c r="P131" s="6"/>
      <c r="Q131" s="6"/>
      <c r="R131" s="6"/>
    </row>
    <row r="132" spans="1:18" s="7" customFormat="1" x14ac:dyDescent="0.25">
      <c r="A132" s="6"/>
      <c r="B132" s="6"/>
      <c r="C132" s="6"/>
      <c r="D132" s="6"/>
      <c r="E132" s="6"/>
      <c r="F132" s="6"/>
      <c r="O132" s="6"/>
      <c r="P132" s="6"/>
      <c r="Q132" s="6"/>
      <c r="R132" s="6"/>
    </row>
    <row r="133" spans="1:18" s="7" customFormat="1" x14ac:dyDescent="0.25">
      <c r="A133" s="6"/>
      <c r="B133" s="6"/>
      <c r="C133" s="6"/>
      <c r="D133" s="6"/>
      <c r="E133" s="6"/>
      <c r="F133" s="6"/>
      <c r="O133" s="6"/>
      <c r="P133" s="6"/>
      <c r="Q133" s="6"/>
      <c r="R133" s="6"/>
    </row>
    <row r="134" spans="1:18" s="7" customFormat="1" x14ac:dyDescent="0.25">
      <c r="A134" s="6"/>
      <c r="B134" s="6"/>
      <c r="C134" s="6"/>
      <c r="D134" s="6"/>
      <c r="E134" s="6"/>
      <c r="F134" s="6"/>
      <c r="O134" s="6"/>
      <c r="P134" s="6"/>
      <c r="Q134" s="6"/>
      <c r="R134" s="6"/>
    </row>
    <row r="135" spans="1:18" s="7" customFormat="1" x14ac:dyDescent="0.25">
      <c r="A135" s="6"/>
      <c r="B135" s="6"/>
      <c r="C135" s="6"/>
      <c r="D135" s="6"/>
      <c r="E135" s="6"/>
      <c r="F135" s="6"/>
      <c r="O135" s="6"/>
      <c r="P135" s="6"/>
      <c r="Q135" s="6"/>
      <c r="R135" s="6"/>
    </row>
    <row r="136" spans="1:18" s="7" customFormat="1" x14ac:dyDescent="0.25">
      <c r="A136" s="6"/>
      <c r="B136" s="6"/>
      <c r="C136" s="6"/>
      <c r="D136" s="6"/>
      <c r="E136" s="6"/>
      <c r="F136" s="6"/>
      <c r="O136" s="6"/>
      <c r="P136" s="6"/>
      <c r="Q136" s="6"/>
      <c r="R136" s="6"/>
    </row>
    <row r="137" spans="1:18" s="7" customFormat="1" x14ac:dyDescent="0.25">
      <c r="A137" s="6"/>
      <c r="B137" s="6"/>
      <c r="C137" s="6"/>
      <c r="D137" s="6"/>
      <c r="E137" s="6"/>
      <c r="F137" s="6"/>
      <c r="O137" s="6"/>
      <c r="P137" s="6"/>
      <c r="Q137" s="6"/>
      <c r="R137" s="6"/>
    </row>
    <row r="138" spans="1:18" s="7" customFormat="1" x14ac:dyDescent="0.25">
      <c r="A138" s="6"/>
      <c r="B138" s="6"/>
      <c r="C138" s="6"/>
      <c r="D138" s="6"/>
      <c r="E138" s="6"/>
      <c r="F138" s="6"/>
      <c r="O138" s="6"/>
      <c r="P138" s="6"/>
      <c r="Q138" s="6"/>
      <c r="R138" s="6"/>
    </row>
    <row r="139" spans="1:18" s="7" customFormat="1" x14ac:dyDescent="0.25">
      <c r="A139" s="6"/>
      <c r="B139" s="6"/>
      <c r="C139" s="6"/>
      <c r="D139" s="6"/>
      <c r="E139" s="6"/>
      <c r="F139" s="6"/>
      <c r="O139" s="6"/>
      <c r="P139" s="6"/>
      <c r="Q139" s="6"/>
      <c r="R139" s="6"/>
    </row>
    <row r="140" spans="1:18" s="7" customFormat="1" x14ac:dyDescent="0.25">
      <c r="A140" s="6"/>
      <c r="B140" s="6"/>
      <c r="C140" s="6"/>
      <c r="D140" s="6"/>
      <c r="E140" s="6"/>
      <c r="F140" s="6"/>
      <c r="O140" s="6"/>
      <c r="P140" s="6"/>
      <c r="Q140" s="6"/>
      <c r="R140" s="6"/>
    </row>
    <row r="141" spans="1:18" s="7" customFormat="1" x14ac:dyDescent="0.25">
      <c r="A141" s="6"/>
      <c r="B141" s="6"/>
      <c r="C141" s="6"/>
      <c r="D141" s="6"/>
      <c r="E141" s="6"/>
      <c r="F141" s="6"/>
      <c r="O141" s="6"/>
      <c r="P141" s="6"/>
      <c r="Q141" s="6"/>
      <c r="R141" s="6"/>
    </row>
    <row r="142" spans="1:18" s="7" customFormat="1" x14ac:dyDescent="0.25">
      <c r="A142" s="6"/>
      <c r="B142" s="6"/>
      <c r="C142" s="6"/>
      <c r="D142" s="6"/>
      <c r="E142" s="6"/>
      <c r="F142" s="6"/>
      <c r="O142" s="6"/>
      <c r="P142" s="6"/>
      <c r="Q142" s="6"/>
      <c r="R142" s="6"/>
    </row>
    <row r="143" spans="1:18" s="7" customFormat="1" x14ac:dyDescent="0.25">
      <c r="A143" s="6"/>
      <c r="B143" s="6"/>
      <c r="C143" s="6"/>
      <c r="D143" s="6"/>
      <c r="E143" s="6"/>
      <c r="F143" s="6"/>
      <c r="O143" s="6"/>
      <c r="P143" s="6"/>
      <c r="Q143" s="6"/>
      <c r="R143" s="6"/>
    </row>
    <row r="144" spans="1:18" s="7" customFormat="1" x14ac:dyDescent="0.25">
      <c r="A144" s="6"/>
      <c r="B144" s="6"/>
      <c r="C144" s="6"/>
      <c r="D144" s="6"/>
      <c r="E144" s="6"/>
      <c r="F144" s="6"/>
      <c r="O144" s="6"/>
      <c r="P144" s="6"/>
      <c r="Q144" s="6"/>
      <c r="R144" s="6"/>
    </row>
    <row r="145" spans="1:18" s="7" customFormat="1" x14ac:dyDescent="0.25">
      <c r="A145" s="6"/>
      <c r="B145" s="6"/>
      <c r="C145" s="6"/>
      <c r="D145" s="6"/>
      <c r="E145" s="6"/>
      <c r="F145" s="6"/>
      <c r="O145" s="6"/>
      <c r="P145" s="6"/>
      <c r="Q145" s="6"/>
      <c r="R145" s="6"/>
    </row>
    <row r="146" spans="1:18" s="7" customFormat="1" x14ac:dyDescent="0.25">
      <c r="A146" s="6"/>
      <c r="B146" s="6"/>
      <c r="C146" s="6"/>
      <c r="D146" s="6"/>
      <c r="E146" s="6"/>
      <c r="F146" s="6"/>
      <c r="O146" s="6"/>
      <c r="P146" s="6"/>
      <c r="Q146" s="6"/>
      <c r="R146" s="6"/>
    </row>
    <row r="147" spans="1:18" s="7" customFormat="1" x14ac:dyDescent="0.25">
      <c r="A147" s="6"/>
      <c r="B147" s="6"/>
      <c r="C147" s="6"/>
      <c r="D147" s="6"/>
      <c r="E147" s="6"/>
      <c r="F147" s="6"/>
      <c r="O147" s="6"/>
      <c r="P147" s="6"/>
      <c r="Q147" s="6"/>
      <c r="R147" s="6"/>
    </row>
    <row r="148" spans="1:18" s="7" customFormat="1" x14ac:dyDescent="0.25">
      <c r="A148" s="6"/>
      <c r="B148" s="6"/>
      <c r="C148" s="6"/>
      <c r="D148" s="6"/>
      <c r="E148" s="6"/>
      <c r="F148" s="6"/>
      <c r="O148" s="6"/>
      <c r="P148" s="6"/>
      <c r="Q148" s="6"/>
      <c r="R148" s="6"/>
    </row>
    <row r="149" spans="1:18" s="7" customFormat="1" x14ac:dyDescent="0.25">
      <c r="A149" s="6"/>
      <c r="B149" s="6"/>
      <c r="C149" s="6"/>
      <c r="D149" s="6"/>
      <c r="E149" s="6"/>
      <c r="F149" s="6"/>
      <c r="O149" s="6"/>
      <c r="P149" s="6"/>
      <c r="Q149" s="6"/>
      <c r="R149" s="6"/>
    </row>
    <row r="150" spans="1:18" s="7" customFormat="1" x14ac:dyDescent="0.25">
      <c r="A150" s="6"/>
      <c r="B150" s="6"/>
      <c r="C150" s="6"/>
      <c r="D150" s="6"/>
      <c r="E150" s="6"/>
      <c r="F150" s="6"/>
      <c r="O150" s="6"/>
      <c r="P150" s="6"/>
      <c r="Q150" s="6"/>
      <c r="R150" s="6"/>
    </row>
    <row r="151" spans="1:18" s="7" customFormat="1" x14ac:dyDescent="0.25">
      <c r="A151" s="6"/>
      <c r="B151" s="6"/>
      <c r="C151" s="6"/>
      <c r="D151" s="6"/>
      <c r="E151" s="6"/>
      <c r="F151" s="6"/>
      <c r="O151" s="6"/>
      <c r="P151" s="6"/>
      <c r="Q151" s="6"/>
      <c r="R151" s="6"/>
    </row>
    <row r="152" spans="1:18" s="7" customFormat="1" x14ac:dyDescent="0.25">
      <c r="A152" s="6"/>
      <c r="B152" s="6"/>
      <c r="C152" s="6"/>
      <c r="D152" s="6"/>
      <c r="E152" s="6"/>
      <c r="F152" s="6"/>
      <c r="O152" s="6"/>
      <c r="P152" s="6"/>
      <c r="Q152" s="6"/>
      <c r="R152" s="6"/>
    </row>
    <row r="153" spans="1:18" s="7" customFormat="1" x14ac:dyDescent="0.25">
      <c r="A153" s="6"/>
      <c r="B153" s="6"/>
      <c r="C153" s="6"/>
      <c r="D153" s="6"/>
      <c r="E153" s="6"/>
      <c r="F153" s="6"/>
      <c r="O153" s="6"/>
      <c r="P153" s="6"/>
      <c r="Q153" s="6"/>
      <c r="R153" s="6"/>
    </row>
    <row r="154" spans="1:18" s="7" customFormat="1" x14ac:dyDescent="0.25">
      <c r="A154" s="6"/>
      <c r="B154" s="6"/>
      <c r="C154" s="6"/>
      <c r="D154" s="6"/>
      <c r="E154" s="6"/>
      <c r="F154" s="6"/>
      <c r="O154" s="6"/>
      <c r="P154" s="6"/>
      <c r="Q154" s="6"/>
      <c r="R154" s="6"/>
    </row>
    <row r="155" spans="1:18" s="7" customFormat="1" x14ac:dyDescent="0.25">
      <c r="A155" s="6"/>
      <c r="B155" s="6"/>
      <c r="C155" s="6"/>
      <c r="D155" s="6"/>
      <c r="E155" s="6"/>
      <c r="F155" s="6"/>
      <c r="O155" s="6"/>
      <c r="P155" s="6"/>
      <c r="Q155" s="6"/>
      <c r="R155" s="6"/>
    </row>
    <row r="156" spans="1:18" s="7" customFormat="1" x14ac:dyDescent="0.25">
      <c r="A156" s="6"/>
      <c r="B156" s="6"/>
      <c r="C156" s="6"/>
      <c r="D156" s="6"/>
      <c r="E156" s="6"/>
      <c r="F156" s="6"/>
      <c r="O156" s="6"/>
      <c r="P156" s="6"/>
      <c r="Q156" s="6"/>
      <c r="R156" s="6"/>
    </row>
    <row r="157" spans="1:18" s="7" customFormat="1" x14ac:dyDescent="0.25">
      <c r="A157" s="6"/>
      <c r="B157" s="6"/>
      <c r="C157" s="6"/>
      <c r="D157" s="6"/>
      <c r="E157" s="6"/>
      <c r="F157" s="6"/>
      <c r="O157" s="6"/>
      <c r="P157" s="6"/>
      <c r="Q157" s="6"/>
      <c r="R157" s="6"/>
    </row>
    <row r="158" spans="1:18" s="7" customFormat="1" x14ac:dyDescent="0.25">
      <c r="A158" s="6"/>
      <c r="B158" s="6"/>
      <c r="C158" s="6"/>
      <c r="D158" s="6"/>
      <c r="E158" s="6"/>
      <c r="F158" s="6"/>
      <c r="O158" s="6"/>
      <c r="P158" s="6"/>
      <c r="Q158" s="6"/>
      <c r="R158" s="6"/>
    </row>
    <row r="159" spans="1:18" s="7" customFormat="1" x14ac:dyDescent="0.25">
      <c r="A159" s="6"/>
      <c r="B159" s="6"/>
      <c r="C159" s="6"/>
      <c r="D159" s="6"/>
      <c r="E159" s="6"/>
      <c r="F159" s="6"/>
      <c r="O159" s="6"/>
      <c r="P159" s="6"/>
      <c r="Q159" s="6"/>
      <c r="R159" s="6"/>
    </row>
    <row r="160" spans="1:18" s="7" customFormat="1" x14ac:dyDescent="0.25">
      <c r="A160" s="6"/>
      <c r="B160" s="6"/>
      <c r="C160" s="6"/>
      <c r="D160" s="6"/>
      <c r="E160" s="6"/>
      <c r="F160" s="6"/>
      <c r="O160" s="6"/>
      <c r="P160" s="6"/>
      <c r="Q160" s="6"/>
      <c r="R160" s="6"/>
    </row>
    <row r="161" spans="1:18" s="7" customFormat="1" x14ac:dyDescent="0.25">
      <c r="A161" s="6"/>
      <c r="B161" s="6"/>
      <c r="C161" s="6"/>
      <c r="D161" s="6"/>
      <c r="E161" s="6"/>
      <c r="F161" s="6"/>
      <c r="O161" s="6"/>
      <c r="P161" s="6"/>
      <c r="Q161" s="6"/>
      <c r="R161" s="6"/>
    </row>
    <row r="162" spans="1:18" s="7" customFormat="1" x14ac:dyDescent="0.25">
      <c r="A162" s="6"/>
      <c r="B162" s="6"/>
      <c r="C162" s="6"/>
      <c r="D162" s="6"/>
      <c r="E162" s="6"/>
      <c r="F162" s="6"/>
      <c r="O162" s="6"/>
      <c r="P162" s="6"/>
      <c r="Q162" s="6"/>
      <c r="R162" s="6"/>
    </row>
    <row r="163" spans="1:18" s="7" customFormat="1" x14ac:dyDescent="0.25">
      <c r="A163" s="6"/>
      <c r="B163" s="6"/>
      <c r="C163" s="6"/>
      <c r="D163" s="6"/>
      <c r="E163" s="6"/>
      <c r="F163" s="6"/>
      <c r="O163" s="6"/>
      <c r="P163" s="6"/>
      <c r="Q163" s="6"/>
      <c r="R163" s="6"/>
    </row>
    <row r="164" spans="1:18" s="7" customFormat="1" x14ac:dyDescent="0.25">
      <c r="A164" s="6"/>
      <c r="B164" s="6"/>
      <c r="C164" s="6"/>
      <c r="D164" s="6"/>
      <c r="E164" s="6"/>
      <c r="F164" s="6"/>
      <c r="O164" s="6"/>
      <c r="P164" s="6"/>
      <c r="Q164" s="6"/>
      <c r="R164" s="6"/>
    </row>
    <row r="165" spans="1:18" s="7" customFormat="1" x14ac:dyDescent="0.25">
      <c r="A165" s="6"/>
      <c r="B165" s="6"/>
      <c r="C165" s="6"/>
      <c r="D165" s="6"/>
      <c r="E165" s="6"/>
      <c r="F165" s="6"/>
      <c r="O165" s="6"/>
      <c r="P165" s="6"/>
      <c r="Q165" s="6"/>
      <c r="R165" s="6"/>
    </row>
    <row r="166" spans="1:18" s="7" customFormat="1" x14ac:dyDescent="0.25">
      <c r="A166" s="6"/>
      <c r="B166" s="6"/>
      <c r="C166" s="6"/>
      <c r="D166" s="6"/>
      <c r="E166" s="6"/>
      <c r="F166" s="6"/>
      <c r="O166" s="6"/>
      <c r="P166" s="6"/>
      <c r="Q166" s="6"/>
      <c r="R166" s="6"/>
    </row>
    <row r="167" spans="1:18" s="7" customFormat="1" x14ac:dyDescent="0.25">
      <c r="A167" s="6"/>
      <c r="B167" s="6"/>
      <c r="C167" s="6"/>
      <c r="D167" s="6"/>
      <c r="E167" s="6"/>
      <c r="F167" s="6"/>
      <c r="O167" s="6"/>
      <c r="P167" s="6"/>
      <c r="Q167" s="6"/>
      <c r="R167" s="6"/>
    </row>
    <row r="168" spans="1:18" s="7" customFormat="1" x14ac:dyDescent="0.25">
      <c r="A168" s="6"/>
      <c r="B168" s="6"/>
      <c r="C168" s="6"/>
      <c r="D168" s="6"/>
      <c r="E168" s="6"/>
      <c r="F168" s="6"/>
      <c r="O168" s="6"/>
      <c r="P168" s="6"/>
      <c r="Q168" s="6"/>
      <c r="R168" s="6"/>
    </row>
    <row r="169" spans="1:18" s="7" customFormat="1" x14ac:dyDescent="0.25">
      <c r="A169" s="6"/>
      <c r="B169" s="6"/>
      <c r="C169" s="6"/>
      <c r="D169" s="6"/>
      <c r="E169" s="6"/>
      <c r="F169" s="6"/>
      <c r="O169" s="6"/>
      <c r="P169" s="6"/>
      <c r="Q169" s="6"/>
      <c r="R169" s="6"/>
    </row>
    <row r="170" spans="1:18" s="7" customFormat="1" x14ac:dyDescent="0.25">
      <c r="A170" s="6"/>
      <c r="B170" s="6"/>
      <c r="C170" s="6"/>
      <c r="D170" s="6"/>
      <c r="E170" s="6"/>
      <c r="F170" s="6"/>
      <c r="O170" s="6"/>
      <c r="P170" s="6"/>
      <c r="Q170" s="6"/>
      <c r="R170" s="6"/>
    </row>
    <row r="171" spans="1:18" s="7" customFormat="1" x14ac:dyDescent="0.25">
      <c r="A171" s="6"/>
      <c r="B171" s="6"/>
      <c r="C171" s="6"/>
      <c r="D171" s="6"/>
      <c r="E171" s="6"/>
      <c r="F171" s="6"/>
      <c r="O171" s="6"/>
      <c r="P171" s="6"/>
      <c r="Q171" s="6"/>
      <c r="R171" s="6"/>
    </row>
    <row r="172" spans="1:18" s="7" customFormat="1" x14ac:dyDescent="0.25">
      <c r="A172" s="6"/>
      <c r="B172" s="6"/>
      <c r="C172" s="6"/>
      <c r="D172" s="6"/>
      <c r="E172" s="6"/>
      <c r="F172" s="6"/>
      <c r="O172" s="6"/>
      <c r="P172" s="6"/>
      <c r="Q172" s="6"/>
      <c r="R172" s="6"/>
    </row>
    <row r="173" spans="1:18" s="7" customFormat="1" x14ac:dyDescent="0.25">
      <c r="A173" s="6"/>
      <c r="B173" s="6"/>
      <c r="C173" s="6"/>
      <c r="D173" s="6"/>
      <c r="E173" s="6"/>
      <c r="F173" s="6"/>
      <c r="O173" s="6"/>
      <c r="P173" s="6"/>
      <c r="Q173" s="6"/>
      <c r="R173" s="6"/>
    </row>
    <row r="174" spans="1:18" s="7" customFormat="1" x14ac:dyDescent="0.25">
      <c r="A174" s="6"/>
      <c r="B174" s="6"/>
      <c r="C174" s="6"/>
      <c r="D174" s="6"/>
      <c r="E174" s="6"/>
      <c r="F174" s="6"/>
      <c r="O174" s="6"/>
      <c r="P174" s="6"/>
      <c r="Q174" s="6"/>
      <c r="R174" s="6"/>
    </row>
    <row r="175" spans="1:18" s="7" customFormat="1" x14ac:dyDescent="0.25">
      <c r="A175" s="6"/>
      <c r="B175" s="6"/>
      <c r="C175" s="6"/>
      <c r="D175" s="6"/>
      <c r="E175" s="6"/>
      <c r="F175" s="6"/>
      <c r="O175" s="6"/>
      <c r="P175" s="6"/>
      <c r="Q175" s="6"/>
      <c r="R175" s="6"/>
    </row>
    <row r="176" spans="1:18" s="7" customFormat="1" x14ac:dyDescent="0.25">
      <c r="A176" s="6"/>
      <c r="B176" s="6"/>
      <c r="C176" s="6"/>
      <c r="D176" s="6"/>
      <c r="E176" s="6"/>
      <c r="F176" s="6"/>
      <c r="O176" s="6"/>
      <c r="P176" s="6"/>
      <c r="Q176" s="6"/>
      <c r="R176" s="6"/>
    </row>
    <row r="177" spans="1:18" s="7" customFormat="1" x14ac:dyDescent="0.25">
      <c r="A177" s="6"/>
      <c r="B177" s="6"/>
      <c r="C177" s="6"/>
      <c r="D177" s="6"/>
      <c r="E177" s="6"/>
      <c r="F177" s="6"/>
      <c r="O177" s="6"/>
      <c r="P177" s="6"/>
      <c r="Q177" s="6"/>
      <c r="R177" s="6"/>
    </row>
    <row r="178" spans="1:18" s="7" customFormat="1" x14ac:dyDescent="0.25">
      <c r="A178" s="6"/>
      <c r="B178" s="6"/>
      <c r="C178" s="6"/>
      <c r="D178" s="6"/>
      <c r="E178" s="6"/>
      <c r="F178" s="6"/>
      <c r="O178" s="6"/>
      <c r="P178" s="6"/>
      <c r="Q178" s="6"/>
      <c r="R178" s="6"/>
    </row>
    <row r="179" spans="1:18" s="7" customFormat="1" x14ac:dyDescent="0.25">
      <c r="A179" s="6"/>
      <c r="B179" s="6"/>
      <c r="C179" s="6"/>
      <c r="D179" s="6"/>
      <c r="E179" s="6"/>
      <c r="F179" s="6"/>
      <c r="O179" s="6"/>
      <c r="P179" s="6"/>
      <c r="Q179" s="6"/>
      <c r="R179" s="6"/>
    </row>
    <row r="180" spans="1:18" s="7" customFormat="1" x14ac:dyDescent="0.25">
      <c r="A180" s="6"/>
      <c r="B180" s="6"/>
      <c r="C180" s="6"/>
      <c r="D180" s="6"/>
      <c r="E180" s="6"/>
      <c r="F180" s="6"/>
      <c r="O180" s="6"/>
      <c r="P180" s="6"/>
      <c r="Q180" s="6"/>
      <c r="R180" s="6"/>
    </row>
    <row r="181" spans="1:18" s="7" customFormat="1" x14ac:dyDescent="0.25">
      <c r="A181" s="6"/>
      <c r="B181" s="6"/>
      <c r="C181" s="6"/>
      <c r="D181" s="6"/>
      <c r="E181" s="6"/>
      <c r="F181" s="6"/>
      <c r="O181" s="6"/>
      <c r="P181" s="6"/>
      <c r="Q181" s="6"/>
      <c r="R181" s="6"/>
    </row>
    <row r="182" spans="1:18" s="7" customFormat="1" x14ac:dyDescent="0.25">
      <c r="A182" s="6"/>
      <c r="B182" s="6"/>
      <c r="C182" s="6"/>
      <c r="D182" s="6"/>
      <c r="E182" s="6"/>
      <c r="F182" s="6"/>
      <c r="O182" s="6"/>
      <c r="P182" s="6"/>
      <c r="Q182" s="6"/>
      <c r="R182" s="6"/>
    </row>
    <row r="183" spans="1:18" s="7" customFormat="1" x14ac:dyDescent="0.25">
      <c r="A183" s="6"/>
      <c r="B183" s="6"/>
      <c r="C183" s="6"/>
      <c r="D183" s="6"/>
      <c r="E183" s="6"/>
      <c r="F183" s="6"/>
      <c r="O183" s="6"/>
      <c r="P183" s="6"/>
      <c r="Q183" s="6"/>
      <c r="R183" s="6"/>
    </row>
    <row r="184" spans="1:18" s="7" customFormat="1" x14ac:dyDescent="0.25">
      <c r="A184" s="6"/>
      <c r="B184" s="6"/>
      <c r="C184" s="6"/>
      <c r="D184" s="6"/>
      <c r="E184" s="6"/>
      <c r="F184" s="6"/>
      <c r="O184" s="6"/>
      <c r="P184" s="6"/>
      <c r="Q184" s="6"/>
      <c r="R184" s="6"/>
    </row>
    <row r="185" spans="1:18" s="7" customFormat="1" x14ac:dyDescent="0.25">
      <c r="A185" s="6"/>
      <c r="B185" s="6"/>
      <c r="C185" s="6"/>
      <c r="D185" s="6"/>
      <c r="E185" s="6"/>
      <c r="F185" s="6"/>
      <c r="O185" s="6"/>
      <c r="P185" s="6"/>
      <c r="Q185" s="6"/>
      <c r="R185" s="6"/>
    </row>
    <row r="186" spans="1:18" s="7" customFormat="1" x14ac:dyDescent="0.25">
      <c r="A186" s="6"/>
      <c r="B186" s="6"/>
      <c r="C186" s="6"/>
      <c r="D186" s="6"/>
      <c r="E186" s="6"/>
      <c r="F186" s="6"/>
      <c r="O186" s="6"/>
      <c r="P186" s="6"/>
      <c r="Q186" s="6"/>
      <c r="R186" s="6"/>
    </row>
    <row r="187" spans="1:18" s="7" customFormat="1" x14ac:dyDescent="0.25">
      <c r="A187" s="6"/>
      <c r="B187" s="6"/>
      <c r="C187" s="6"/>
      <c r="D187" s="6"/>
      <c r="E187" s="6"/>
      <c r="F187" s="6"/>
      <c r="O187" s="6"/>
      <c r="P187" s="6"/>
      <c r="Q187" s="6"/>
      <c r="R187" s="6"/>
    </row>
    <row r="188" spans="1:18" s="7" customFormat="1" x14ac:dyDescent="0.25">
      <c r="A188" s="6"/>
      <c r="B188" s="6"/>
      <c r="C188" s="6"/>
      <c r="D188" s="6"/>
      <c r="E188" s="6"/>
      <c r="F188" s="6"/>
      <c r="O188" s="6"/>
      <c r="P188" s="6"/>
      <c r="Q188" s="6"/>
      <c r="R188" s="6"/>
    </row>
    <row r="189" spans="1:18" s="7" customFormat="1" x14ac:dyDescent="0.25">
      <c r="A189" s="6"/>
      <c r="B189" s="6"/>
      <c r="C189" s="6"/>
      <c r="D189" s="6"/>
      <c r="E189" s="6"/>
      <c r="F189" s="6"/>
      <c r="O189" s="6"/>
      <c r="P189" s="6"/>
      <c r="Q189" s="6"/>
      <c r="R189" s="6"/>
    </row>
    <row r="190" spans="1:18" s="7" customFormat="1" x14ac:dyDescent="0.25">
      <c r="A190" s="6"/>
      <c r="B190" s="6"/>
      <c r="C190" s="6"/>
      <c r="D190" s="6"/>
      <c r="E190" s="6"/>
      <c r="F190" s="6"/>
      <c r="O190" s="6"/>
      <c r="P190" s="6"/>
      <c r="Q190" s="6"/>
      <c r="R190" s="6"/>
    </row>
    <row r="191" spans="1:18" s="7" customFormat="1" x14ac:dyDescent="0.25">
      <c r="A191" s="6"/>
      <c r="B191" s="6"/>
      <c r="C191" s="6"/>
      <c r="D191" s="6"/>
      <c r="E191" s="6"/>
      <c r="F191" s="6"/>
      <c r="O191" s="6"/>
      <c r="P191" s="6"/>
      <c r="Q191" s="6"/>
      <c r="R191" s="6"/>
    </row>
    <row r="192" spans="1:18" s="7" customFormat="1" x14ac:dyDescent="0.25">
      <c r="A192" s="6"/>
      <c r="B192" s="6"/>
      <c r="C192" s="6"/>
      <c r="D192" s="6"/>
      <c r="E192" s="6"/>
      <c r="F192" s="6"/>
      <c r="O192" s="6"/>
      <c r="P192" s="6"/>
      <c r="Q192" s="6"/>
      <c r="R192" s="6"/>
    </row>
    <row r="193" spans="1:18" s="7" customFormat="1" x14ac:dyDescent="0.25">
      <c r="A193" s="6"/>
      <c r="B193" s="6"/>
      <c r="C193" s="6"/>
      <c r="D193" s="6"/>
      <c r="E193" s="6"/>
      <c r="F193" s="6"/>
      <c r="O193" s="6"/>
      <c r="P193" s="6"/>
      <c r="Q193" s="6"/>
      <c r="R193" s="6"/>
    </row>
    <row r="194" spans="1:18" s="7" customFormat="1" x14ac:dyDescent="0.25">
      <c r="A194" s="6"/>
      <c r="B194" s="6"/>
      <c r="C194" s="6"/>
      <c r="D194" s="6"/>
      <c r="E194" s="6"/>
      <c r="F194" s="6"/>
      <c r="O194" s="6"/>
      <c r="P194" s="6"/>
      <c r="Q194" s="6"/>
      <c r="R194" s="6"/>
    </row>
    <row r="195" spans="1:18" s="7" customFormat="1" x14ac:dyDescent="0.25">
      <c r="A195" s="6"/>
      <c r="B195" s="6"/>
      <c r="C195" s="6"/>
      <c r="D195" s="6"/>
      <c r="E195" s="6"/>
      <c r="F195" s="6"/>
      <c r="O195" s="6"/>
      <c r="P195" s="6"/>
      <c r="Q195" s="6"/>
      <c r="R195" s="6"/>
    </row>
    <row r="196" spans="1:18" s="7" customFormat="1" x14ac:dyDescent="0.25">
      <c r="A196" s="6"/>
      <c r="B196" s="6"/>
      <c r="C196" s="6"/>
      <c r="D196" s="6"/>
      <c r="E196" s="6"/>
      <c r="F196" s="6"/>
      <c r="O196" s="6"/>
      <c r="P196" s="6"/>
      <c r="Q196" s="6"/>
      <c r="R196" s="6"/>
    </row>
    <row r="197" spans="1:18" s="7" customFormat="1" x14ac:dyDescent="0.25">
      <c r="A197" s="6"/>
      <c r="B197" s="6"/>
      <c r="C197" s="6"/>
      <c r="D197" s="6"/>
      <c r="E197" s="6"/>
      <c r="F197" s="6"/>
      <c r="O197" s="6"/>
      <c r="P197" s="6"/>
      <c r="Q197" s="6"/>
      <c r="R197" s="6"/>
    </row>
    <row r="198" spans="1:18" s="7" customFormat="1" x14ac:dyDescent="0.25">
      <c r="A198" s="6"/>
      <c r="B198" s="6"/>
      <c r="C198" s="6"/>
      <c r="D198" s="6"/>
      <c r="E198" s="6"/>
      <c r="F198" s="6"/>
      <c r="O198" s="6"/>
      <c r="P198" s="6"/>
      <c r="Q198" s="6"/>
      <c r="R198" s="6"/>
    </row>
    <row r="199" spans="1:18" s="7" customFormat="1" x14ac:dyDescent="0.25">
      <c r="A199" s="6"/>
      <c r="B199" s="6"/>
      <c r="C199" s="6"/>
      <c r="D199" s="6"/>
      <c r="E199" s="6"/>
      <c r="F199" s="6"/>
      <c r="O199" s="6"/>
      <c r="P199" s="6"/>
      <c r="Q199" s="6"/>
      <c r="R199" s="6"/>
    </row>
    <row r="200" spans="1:18" s="7" customFormat="1" x14ac:dyDescent="0.25">
      <c r="A200" s="6"/>
      <c r="B200" s="6"/>
      <c r="C200" s="6"/>
      <c r="D200" s="6"/>
      <c r="E200" s="6"/>
      <c r="F200" s="6"/>
      <c r="O200" s="6"/>
      <c r="P200" s="6"/>
      <c r="Q200" s="6"/>
      <c r="R200" s="6"/>
    </row>
    <row r="201" spans="1:18" s="7" customFormat="1" x14ac:dyDescent="0.25">
      <c r="A201" s="6"/>
      <c r="B201" s="6"/>
      <c r="C201" s="6"/>
      <c r="D201" s="6"/>
      <c r="E201" s="6"/>
      <c r="F201" s="6"/>
      <c r="O201" s="6"/>
      <c r="P201" s="6"/>
      <c r="Q201" s="6"/>
      <c r="R201" s="6"/>
    </row>
    <row r="202" spans="1:18" s="7" customFormat="1" x14ac:dyDescent="0.25">
      <c r="A202" s="6"/>
      <c r="B202" s="6"/>
      <c r="C202" s="6"/>
      <c r="D202" s="6"/>
      <c r="E202" s="6"/>
      <c r="F202" s="6"/>
      <c r="O202" s="6"/>
      <c r="P202" s="6"/>
      <c r="Q202" s="6"/>
      <c r="R202" s="6"/>
    </row>
    <row r="203" spans="1:18" s="7" customFormat="1" x14ac:dyDescent="0.25">
      <c r="A203" s="6"/>
      <c r="B203" s="6"/>
      <c r="C203" s="6"/>
      <c r="D203" s="6"/>
      <c r="E203" s="6"/>
      <c r="F203" s="6"/>
      <c r="O203" s="6"/>
      <c r="P203" s="6"/>
      <c r="Q203" s="6"/>
      <c r="R203" s="6"/>
    </row>
    <row r="204" spans="1:18" s="7" customFormat="1" x14ac:dyDescent="0.25">
      <c r="A204" s="6"/>
      <c r="B204" s="6"/>
      <c r="C204" s="6"/>
      <c r="D204" s="6"/>
      <c r="E204" s="6"/>
      <c r="F204" s="6"/>
      <c r="O204" s="6"/>
      <c r="P204" s="6"/>
      <c r="Q204" s="6"/>
      <c r="R204" s="6"/>
    </row>
    <row r="205" spans="1:18" s="7" customFormat="1" x14ac:dyDescent="0.25">
      <c r="A205" s="6"/>
      <c r="B205" s="6"/>
      <c r="C205" s="6"/>
      <c r="D205" s="6"/>
      <c r="E205" s="6"/>
      <c r="F205" s="6"/>
      <c r="O205" s="6"/>
      <c r="P205" s="6"/>
      <c r="Q205" s="6"/>
      <c r="R205" s="6"/>
    </row>
    <row r="206" spans="1:18" s="7" customFormat="1" x14ac:dyDescent="0.25">
      <c r="A206" s="6"/>
      <c r="B206" s="6"/>
      <c r="C206" s="6"/>
      <c r="D206" s="6"/>
      <c r="E206" s="6"/>
      <c r="F206" s="6"/>
      <c r="O206" s="6"/>
      <c r="P206" s="6"/>
      <c r="Q206" s="6"/>
      <c r="R206" s="6"/>
    </row>
    <row r="207" spans="1:18" s="7" customFormat="1" x14ac:dyDescent="0.25">
      <c r="A207" s="6"/>
      <c r="B207" s="6"/>
      <c r="C207" s="6"/>
      <c r="D207" s="6"/>
      <c r="E207" s="6"/>
      <c r="F207" s="6"/>
      <c r="O207" s="6"/>
      <c r="P207" s="6"/>
      <c r="Q207" s="6"/>
      <c r="R207" s="6"/>
    </row>
    <row r="208" spans="1:18" s="7" customFormat="1" x14ac:dyDescent="0.25">
      <c r="A208" s="6"/>
      <c r="B208" s="6"/>
      <c r="C208" s="6"/>
      <c r="D208" s="6"/>
      <c r="E208" s="6"/>
      <c r="F208" s="6"/>
      <c r="O208" s="6"/>
      <c r="P208" s="6"/>
      <c r="Q208" s="6"/>
      <c r="R208" s="6"/>
    </row>
    <row r="209" spans="1:18" s="7" customFormat="1" x14ac:dyDescent="0.25">
      <c r="A209" s="6"/>
      <c r="B209" s="6"/>
      <c r="C209" s="6"/>
      <c r="D209" s="6"/>
      <c r="E209" s="6"/>
      <c r="F209" s="6"/>
      <c r="O209" s="6"/>
      <c r="P209" s="6"/>
      <c r="Q209" s="6"/>
      <c r="R209" s="6"/>
    </row>
    <row r="210" spans="1:18" s="7" customFormat="1" x14ac:dyDescent="0.25">
      <c r="A210" s="6"/>
      <c r="B210" s="6"/>
      <c r="C210" s="6"/>
      <c r="D210" s="6"/>
      <c r="E210" s="6"/>
      <c r="F210" s="6"/>
      <c r="O210" s="6"/>
      <c r="P210" s="6"/>
      <c r="Q210" s="6"/>
      <c r="R210" s="6"/>
    </row>
    <row r="211" spans="1:18" s="7" customFormat="1" x14ac:dyDescent="0.25">
      <c r="A211" s="6"/>
      <c r="B211" s="6"/>
      <c r="C211" s="6"/>
      <c r="D211" s="6"/>
      <c r="E211" s="6"/>
      <c r="F211" s="6"/>
      <c r="O211" s="6"/>
      <c r="P211" s="6"/>
      <c r="Q211" s="6"/>
      <c r="R211" s="6"/>
    </row>
    <row r="212" spans="1:18" s="7" customFormat="1" x14ac:dyDescent="0.25">
      <c r="A212" s="6"/>
      <c r="B212" s="6"/>
      <c r="C212" s="6"/>
      <c r="D212" s="6"/>
      <c r="E212" s="6"/>
      <c r="F212" s="6"/>
      <c r="O212" s="6"/>
      <c r="P212" s="6"/>
      <c r="Q212" s="6"/>
      <c r="R212" s="6"/>
    </row>
    <row r="213" spans="1:18" s="7" customFormat="1" x14ac:dyDescent="0.25">
      <c r="A213" s="6"/>
      <c r="B213" s="6"/>
      <c r="C213" s="6"/>
      <c r="D213" s="6"/>
      <c r="E213" s="6"/>
      <c r="F213" s="6"/>
      <c r="O213" s="6"/>
      <c r="P213" s="6"/>
      <c r="Q213" s="6"/>
      <c r="R213" s="6"/>
    </row>
    <row r="214" spans="1:18" s="7" customFormat="1" x14ac:dyDescent="0.25">
      <c r="A214" s="6"/>
      <c r="B214" s="6"/>
      <c r="C214" s="6"/>
      <c r="D214" s="6"/>
      <c r="E214" s="6"/>
      <c r="F214" s="6"/>
      <c r="O214" s="6"/>
      <c r="P214" s="6"/>
      <c r="Q214" s="6"/>
      <c r="R214" s="6"/>
    </row>
    <row r="215" spans="1:18" s="7" customFormat="1" x14ac:dyDescent="0.25">
      <c r="A215" s="6"/>
      <c r="B215" s="6"/>
      <c r="C215" s="6"/>
      <c r="D215" s="6"/>
      <c r="E215" s="6"/>
      <c r="F215" s="6"/>
      <c r="O215" s="6"/>
      <c r="P215" s="6"/>
      <c r="Q215" s="6"/>
      <c r="R215" s="6"/>
    </row>
    <row r="216" spans="1:18" s="7" customFormat="1" x14ac:dyDescent="0.25">
      <c r="A216" s="6"/>
      <c r="B216" s="6"/>
      <c r="C216" s="6"/>
      <c r="D216" s="6"/>
      <c r="E216" s="6"/>
      <c r="F216" s="6"/>
      <c r="O216" s="6"/>
      <c r="P216" s="6"/>
      <c r="Q216" s="6"/>
      <c r="R216" s="6"/>
    </row>
    <row r="217" spans="1:18" s="7" customFormat="1" x14ac:dyDescent="0.25">
      <c r="A217" s="6"/>
      <c r="B217" s="6"/>
      <c r="C217" s="6"/>
      <c r="D217" s="6"/>
      <c r="E217" s="6"/>
      <c r="F217" s="6"/>
      <c r="O217" s="6"/>
      <c r="P217" s="6"/>
      <c r="Q217" s="6"/>
      <c r="R217" s="6"/>
    </row>
    <row r="218" spans="1:18" s="7" customFormat="1" x14ac:dyDescent="0.25">
      <c r="A218" s="6"/>
      <c r="B218" s="6"/>
      <c r="C218" s="6"/>
      <c r="D218" s="6"/>
      <c r="E218" s="6"/>
      <c r="F218" s="6"/>
      <c r="O218" s="6"/>
      <c r="P218" s="6"/>
      <c r="Q218" s="6"/>
      <c r="R218" s="6"/>
    </row>
    <row r="219" spans="1:18" s="7" customFormat="1" x14ac:dyDescent="0.25">
      <c r="A219" s="6"/>
      <c r="B219" s="6"/>
      <c r="C219" s="6"/>
      <c r="D219" s="6"/>
      <c r="E219" s="6"/>
      <c r="F219" s="6"/>
      <c r="O219" s="6"/>
      <c r="P219" s="6"/>
      <c r="Q219" s="6"/>
      <c r="R219" s="6"/>
    </row>
    <row r="220" spans="1:18" s="7" customFormat="1" x14ac:dyDescent="0.25">
      <c r="A220" s="6"/>
      <c r="B220" s="6"/>
      <c r="C220" s="6"/>
      <c r="D220" s="6"/>
      <c r="E220" s="6"/>
      <c r="F220" s="6"/>
      <c r="O220" s="6"/>
      <c r="P220" s="6"/>
      <c r="Q220" s="6"/>
      <c r="R220" s="6"/>
    </row>
    <row r="221" spans="1:18" s="7" customFormat="1" x14ac:dyDescent="0.25">
      <c r="A221" s="6"/>
      <c r="B221" s="6"/>
      <c r="C221" s="6"/>
      <c r="D221" s="6"/>
      <c r="E221" s="6"/>
      <c r="F221" s="6"/>
      <c r="O221" s="6"/>
      <c r="P221" s="6"/>
      <c r="Q221" s="6"/>
      <c r="R221" s="6"/>
    </row>
    <row r="222" spans="1:18" s="7" customFormat="1" x14ac:dyDescent="0.25">
      <c r="A222" s="6"/>
      <c r="B222" s="6"/>
      <c r="C222" s="6"/>
      <c r="D222" s="6"/>
      <c r="E222" s="6"/>
      <c r="F222" s="6"/>
      <c r="O222" s="6"/>
      <c r="P222" s="6"/>
      <c r="Q222" s="6"/>
      <c r="R222" s="6"/>
    </row>
    <row r="223" spans="1:18" s="7" customFormat="1" x14ac:dyDescent="0.25">
      <c r="A223" s="6"/>
      <c r="B223" s="6"/>
      <c r="C223" s="6"/>
      <c r="D223" s="6"/>
      <c r="E223" s="6"/>
      <c r="F223" s="6"/>
      <c r="O223" s="6"/>
      <c r="P223" s="6"/>
      <c r="Q223" s="6"/>
      <c r="R223" s="6"/>
    </row>
    <row r="224" spans="1:18" s="7" customFormat="1" x14ac:dyDescent="0.25">
      <c r="A224" s="6"/>
      <c r="B224" s="6"/>
      <c r="C224" s="6"/>
      <c r="D224" s="6"/>
      <c r="E224" s="6"/>
      <c r="F224" s="6"/>
      <c r="O224" s="6"/>
      <c r="P224" s="6"/>
      <c r="Q224" s="6"/>
      <c r="R224" s="6"/>
    </row>
    <row r="225" spans="1:18" s="7" customFormat="1" x14ac:dyDescent="0.25">
      <c r="A225" s="6"/>
      <c r="B225" s="6"/>
      <c r="C225" s="6"/>
      <c r="D225" s="6"/>
      <c r="E225" s="6"/>
      <c r="F225" s="6"/>
      <c r="O225" s="6"/>
      <c r="P225" s="6"/>
      <c r="Q225" s="6"/>
      <c r="R225" s="6"/>
    </row>
    <row r="226" spans="1:18" s="7" customFormat="1" x14ac:dyDescent="0.25">
      <c r="A226" s="6"/>
      <c r="B226" s="6"/>
      <c r="C226" s="6"/>
      <c r="D226" s="6"/>
      <c r="E226" s="6"/>
      <c r="F226" s="6"/>
      <c r="O226" s="6"/>
      <c r="P226" s="6"/>
      <c r="Q226" s="6"/>
      <c r="R226" s="6"/>
    </row>
    <row r="227" spans="1:18" s="7" customFormat="1" x14ac:dyDescent="0.25">
      <c r="A227" s="6"/>
      <c r="B227" s="6"/>
      <c r="C227" s="6"/>
      <c r="D227" s="6"/>
      <c r="E227" s="6"/>
      <c r="F227" s="6"/>
      <c r="O227" s="6"/>
      <c r="P227" s="6"/>
      <c r="Q227" s="6"/>
      <c r="R227" s="6"/>
    </row>
    <row r="228" spans="1:18" s="7" customFormat="1" x14ac:dyDescent="0.25">
      <c r="A228" s="6"/>
      <c r="B228" s="6"/>
      <c r="C228" s="6"/>
      <c r="D228" s="6"/>
      <c r="E228" s="6"/>
      <c r="F228" s="6"/>
      <c r="O228" s="6"/>
      <c r="P228" s="6"/>
      <c r="Q228" s="6"/>
      <c r="R228" s="6"/>
    </row>
    <row r="229" spans="1:18" s="7" customFormat="1" x14ac:dyDescent="0.25">
      <c r="A229" s="6"/>
      <c r="B229" s="6"/>
      <c r="C229" s="6"/>
      <c r="D229" s="6"/>
      <c r="E229" s="6"/>
      <c r="F229" s="6"/>
      <c r="O229" s="6"/>
      <c r="P229" s="6"/>
      <c r="Q229" s="6"/>
      <c r="R229" s="6"/>
    </row>
    <row r="230" spans="1:18" s="7" customFormat="1" x14ac:dyDescent="0.25">
      <c r="A230" s="6"/>
      <c r="B230" s="6"/>
      <c r="C230" s="6"/>
      <c r="D230" s="6"/>
      <c r="E230" s="6"/>
      <c r="F230" s="6"/>
      <c r="O230" s="6"/>
      <c r="P230" s="6"/>
      <c r="Q230" s="6"/>
      <c r="R230" s="6"/>
    </row>
    <row r="231" spans="1:18" s="7" customFormat="1" x14ac:dyDescent="0.25">
      <c r="A231" s="6"/>
      <c r="B231" s="6"/>
      <c r="C231" s="6"/>
      <c r="D231" s="6"/>
      <c r="E231" s="6"/>
      <c r="F231" s="6"/>
      <c r="O231" s="6"/>
      <c r="P231" s="6"/>
      <c r="Q231" s="6"/>
      <c r="R231" s="6"/>
    </row>
    <row r="232" spans="1:18" s="7" customFormat="1" x14ac:dyDescent="0.25">
      <c r="A232" s="6"/>
      <c r="B232" s="6"/>
      <c r="C232" s="6"/>
      <c r="D232" s="6"/>
      <c r="E232" s="6"/>
      <c r="F232" s="6"/>
      <c r="O232" s="6"/>
      <c r="P232" s="6"/>
      <c r="Q232" s="6"/>
      <c r="R232" s="6"/>
    </row>
    <row r="233" spans="1:18" s="7" customFormat="1" x14ac:dyDescent="0.25">
      <c r="A233" s="6"/>
      <c r="B233" s="6"/>
      <c r="C233" s="6"/>
      <c r="D233" s="6"/>
      <c r="E233" s="6"/>
      <c r="F233" s="6"/>
      <c r="O233" s="6"/>
      <c r="P233" s="6"/>
      <c r="Q233" s="6"/>
      <c r="R233" s="6"/>
    </row>
    <row r="234" spans="1:18" s="7" customFormat="1" x14ac:dyDescent="0.25">
      <c r="A234" s="6"/>
      <c r="B234" s="6"/>
      <c r="C234" s="6"/>
      <c r="D234" s="6"/>
      <c r="E234" s="6"/>
      <c r="F234" s="6"/>
      <c r="O234" s="6"/>
      <c r="P234" s="6"/>
      <c r="Q234" s="6"/>
      <c r="R234" s="6"/>
    </row>
    <row r="235" spans="1:18" s="7" customFormat="1" x14ac:dyDescent="0.25">
      <c r="A235" s="6"/>
      <c r="B235" s="6"/>
      <c r="C235" s="6"/>
      <c r="D235" s="6"/>
      <c r="E235" s="6"/>
      <c r="F235" s="6"/>
      <c r="O235" s="6"/>
      <c r="P235" s="6"/>
      <c r="Q235" s="6"/>
      <c r="R235" s="6"/>
    </row>
    <row r="236" spans="1:18" s="7" customFormat="1" x14ac:dyDescent="0.25">
      <c r="A236" s="6"/>
      <c r="B236" s="6"/>
      <c r="C236" s="6"/>
      <c r="D236" s="6"/>
      <c r="E236" s="6"/>
      <c r="F236" s="6"/>
      <c r="O236" s="6"/>
      <c r="P236" s="6"/>
      <c r="Q236" s="6"/>
      <c r="R236" s="6"/>
    </row>
    <row r="237" spans="1:18" s="7" customFormat="1" x14ac:dyDescent="0.25">
      <c r="A237" s="6"/>
      <c r="B237" s="6"/>
      <c r="C237" s="6"/>
      <c r="D237" s="6"/>
      <c r="E237" s="6"/>
      <c r="F237" s="6"/>
      <c r="O237" s="6"/>
      <c r="P237" s="6"/>
      <c r="Q237" s="6"/>
      <c r="R237" s="6"/>
    </row>
    <row r="238" spans="1:18" s="7" customFormat="1" x14ac:dyDescent="0.25">
      <c r="A238" s="6"/>
      <c r="B238" s="6"/>
      <c r="C238" s="6"/>
      <c r="D238" s="6"/>
      <c r="E238" s="6"/>
      <c r="F238" s="6"/>
      <c r="O238" s="6"/>
      <c r="P238" s="6"/>
      <c r="Q238" s="6"/>
      <c r="R238" s="6"/>
    </row>
    <row r="239" spans="1:18" s="7" customFormat="1" x14ac:dyDescent="0.25">
      <c r="A239" s="6"/>
      <c r="B239" s="6"/>
      <c r="C239" s="6"/>
      <c r="D239" s="6"/>
      <c r="E239" s="6"/>
      <c r="F239" s="6"/>
      <c r="O239" s="6"/>
      <c r="P239" s="6"/>
      <c r="Q239" s="6"/>
      <c r="R239" s="6"/>
    </row>
    <row r="240" spans="1:18" s="7" customFormat="1" x14ac:dyDescent="0.25">
      <c r="A240" s="6"/>
      <c r="B240" s="6"/>
      <c r="C240" s="6"/>
      <c r="D240" s="6"/>
      <c r="E240" s="6"/>
      <c r="F240" s="6"/>
      <c r="O240" s="6"/>
      <c r="P240" s="6"/>
      <c r="Q240" s="6"/>
      <c r="R240" s="6"/>
    </row>
    <row r="241" spans="1:18" s="7" customFormat="1" x14ac:dyDescent="0.25">
      <c r="A241" s="6"/>
      <c r="B241" s="6"/>
      <c r="C241" s="6"/>
      <c r="D241" s="6"/>
      <c r="E241" s="6"/>
      <c r="F241" s="6"/>
      <c r="O241" s="6"/>
      <c r="P241" s="6"/>
      <c r="Q241" s="6"/>
      <c r="R241" s="6"/>
    </row>
    <row r="242" spans="1:18" s="7" customFormat="1" x14ac:dyDescent="0.25">
      <c r="A242" s="6"/>
      <c r="B242" s="6"/>
      <c r="C242" s="6"/>
      <c r="D242" s="6"/>
      <c r="E242" s="6"/>
      <c r="F242" s="6"/>
      <c r="O242" s="6"/>
      <c r="P242" s="6"/>
      <c r="Q242" s="6"/>
      <c r="R242" s="6"/>
    </row>
    <row r="243" spans="1:18" s="7" customFormat="1" x14ac:dyDescent="0.25">
      <c r="A243" s="6"/>
      <c r="B243" s="6"/>
      <c r="C243" s="6"/>
      <c r="D243" s="6"/>
      <c r="E243" s="6"/>
      <c r="F243" s="6"/>
      <c r="O243" s="6"/>
      <c r="P243" s="6"/>
      <c r="Q243" s="6"/>
      <c r="R243" s="6"/>
    </row>
    <row r="244" spans="1:18" s="7" customFormat="1" x14ac:dyDescent="0.25">
      <c r="A244" s="6"/>
      <c r="B244" s="6"/>
      <c r="C244" s="6"/>
      <c r="D244" s="6"/>
      <c r="E244" s="6"/>
      <c r="F244" s="6"/>
      <c r="O244" s="6"/>
      <c r="P244" s="6"/>
      <c r="Q244" s="6"/>
      <c r="R244" s="6"/>
    </row>
    <row r="245" spans="1:18" s="7" customFormat="1" x14ac:dyDescent="0.25">
      <c r="A245" s="6"/>
      <c r="B245" s="6"/>
      <c r="C245" s="6"/>
      <c r="D245" s="6"/>
      <c r="E245" s="6"/>
      <c r="F245" s="6"/>
      <c r="O245" s="6"/>
      <c r="P245" s="6"/>
      <c r="Q245" s="6"/>
      <c r="R245" s="6"/>
    </row>
    <row r="246" spans="1:18" s="7" customFormat="1" x14ac:dyDescent="0.25">
      <c r="A246" s="6"/>
      <c r="B246" s="6"/>
      <c r="C246" s="6"/>
      <c r="D246" s="6"/>
      <c r="E246" s="6"/>
      <c r="F246" s="6"/>
      <c r="O246" s="6"/>
      <c r="P246" s="6"/>
      <c r="Q246" s="6"/>
      <c r="R246" s="6"/>
    </row>
    <row r="247" spans="1:18" s="7" customFormat="1" x14ac:dyDescent="0.25">
      <c r="A247" s="6"/>
      <c r="B247" s="6"/>
      <c r="C247" s="6"/>
      <c r="D247" s="6"/>
      <c r="E247" s="6"/>
      <c r="F247" s="6"/>
      <c r="O247" s="6"/>
      <c r="P247" s="6"/>
      <c r="Q247" s="6"/>
      <c r="R247" s="6"/>
    </row>
    <row r="248" spans="1:18" s="7" customFormat="1" x14ac:dyDescent="0.25">
      <c r="A248" s="6"/>
      <c r="B248" s="6"/>
      <c r="C248" s="6"/>
      <c r="D248" s="6"/>
      <c r="E248" s="6"/>
      <c r="F248" s="6"/>
      <c r="O248" s="6"/>
      <c r="P248" s="6"/>
      <c r="Q248" s="6"/>
      <c r="R248" s="6"/>
    </row>
    <row r="249" spans="1:18" s="7" customFormat="1" x14ac:dyDescent="0.25">
      <c r="A249" s="6"/>
      <c r="B249" s="6"/>
      <c r="C249" s="6"/>
      <c r="D249" s="6"/>
      <c r="E249" s="6"/>
      <c r="F249" s="6"/>
      <c r="O249" s="6"/>
      <c r="P249" s="6"/>
      <c r="Q249" s="6"/>
      <c r="R249" s="6"/>
    </row>
    <row r="250" spans="1:18" s="7" customFormat="1" x14ac:dyDescent="0.25">
      <c r="A250" s="6"/>
      <c r="B250" s="6"/>
      <c r="C250" s="6"/>
      <c r="D250" s="6"/>
      <c r="E250" s="6"/>
      <c r="F250" s="6"/>
      <c r="O250" s="6"/>
      <c r="P250" s="6"/>
      <c r="Q250" s="6"/>
      <c r="R250" s="6"/>
    </row>
    <row r="251" spans="1:18" s="7" customFormat="1" x14ac:dyDescent="0.25">
      <c r="A251" s="6"/>
      <c r="B251" s="6"/>
      <c r="C251" s="6"/>
      <c r="D251" s="6"/>
      <c r="E251" s="6"/>
      <c r="F251" s="6"/>
      <c r="O251" s="6"/>
      <c r="P251" s="6"/>
      <c r="Q251" s="6"/>
      <c r="R251" s="6"/>
    </row>
    <row r="252" spans="1:18" s="7" customFormat="1" x14ac:dyDescent="0.25">
      <c r="A252" s="6"/>
      <c r="B252" s="6"/>
      <c r="C252" s="6"/>
      <c r="D252" s="6"/>
      <c r="E252" s="6"/>
      <c r="F252" s="6"/>
      <c r="O252" s="6"/>
      <c r="P252" s="6"/>
      <c r="Q252" s="6"/>
      <c r="R252" s="6"/>
    </row>
    <row r="253" spans="1:18" s="7" customFormat="1" x14ac:dyDescent="0.25">
      <c r="A253" s="6"/>
      <c r="B253" s="6"/>
      <c r="C253" s="6"/>
      <c r="D253" s="6"/>
      <c r="E253" s="6"/>
      <c r="F253" s="6"/>
      <c r="O253" s="6"/>
      <c r="P253" s="6"/>
      <c r="Q253" s="6"/>
      <c r="R253" s="6"/>
    </row>
    <row r="254" spans="1:18" s="7" customFormat="1" x14ac:dyDescent="0.25">
      <c r="A254" s="6"/>
      <c r="B254" s="6"/>
      <c r="C254" s="6"/>
      <c r="D254" s="6"/>
      <c r="E254" s="6"/>
      <c r="F254" s="6"/>
      <c r="O254" s="6"/>
      <c r="P254" s="6"/>
      <c r="Q254" s="6"/>
      <c r="R254" s="6"/>
    </row>
    <row r="255" spans="1:18" s="7" customFormat="1" x14ac:dyDescent="0.25">
      <c r="A255" s="6"/>
      <c r="B255" s="6"/>
      <c r="C255" s="6"/>
      <c r="D255" s="6"/>
      <c r="E255" s="6"/>
      <c r="F255" s="6"/>
      <c r="O255" s="6"/>
      <c r="P255" s="6"/>
      <c r="Q255" s="6"/>
      <c r="R255" s="6"/>
    </row>
    <row r="256" spans="1:18" s="7" customFormat="1" x14ac:dyDescent="0.25">
      <c r="A256" s="6"/>
      <c r="B256" s="6"/>
      <c r="C256" s="6"/>
      <c r="D256" s="6"/>
      <c r="E256" s="6"/>
      <c r="F256" s="6"/>
      <c r="O256" s="6"/>
      <c r="P256" s="6"/>
      <c r="Q256" s="6"/>
      <c r="R256" s="6"/>
    </row>
    <row r="257" spans="1:18" s="7" customFormat="1" x14ac:dyDescent="0.25">
      <c r="A257" s="6"/>
      <c r="B257" s="6"/>
      <c r="C257" s="6"/>
      <c r="D257" s="6"/>
      <c r="E257" s="6"/>
      <c r="F257" s="6"/>
      <c r="O257" s="6"/>
      <c r="P257" s="6"/>
      <c r="Q257" s="6"/>
      <c r="R257" s="6"/>
    </row>
    <row r="258" spans="1:18" s="7" customFormat="1" x14ac:dyDescent="0.25">
      <c r="A258" s="6"/>
      <c r="B258" s="6"/>
      <c r="C258" s="6"/>
      <c r="D258" s="6"/>
      <c r="E258" s="6"/>
      <c r="F258" s="6"/>
      <c r="O258" s="6"/>
      <c r="P258" s="6"/>
      <c r="Q258" s="6"/>
      <c r="R258" s="6"/>
    </row>
    <row r="259" spans="1:18" s="7" customFormat="1" x14ac:dyDescent="0.25">
      <c r="A259" s="6"/>
      <c r="B259" s="6"/>
      <c r="C259" s="6"/>
      <c r="D259" s="6"/>
      <c r="E259" s="6"/>
      <c r="F259" s="6"/>
      <c r="O259" s="6"/>
      <c r="P259" s="6"/>
      <c r="Q259" s="6"/>
      <c r="R259" s="6"/>
    </row>
    <row r="260" spans="1:18" s="7" customFormat="1" x14ac:dyDescent="0.25">
      <c r="A260" s="6"/>
      <c r="B260" s="6"/>
      <c r="C260" s="6"/>
      <c r="D260" s="6"/>
      <c r="E260" s="6"/>
      <c r="F260" s="6"/>
      <c r="O260" s="6"/>
      <c r="P260" s="6"/>
      <c r="Q260" s="6"/>
      <c r="R260" s="6"/>
    </row>
    <row r="261" spans="1:18" s="7" customFormat="1" x14ac:dyDescent="0.25">
      <c r="A261" s="6"/>
      <c r="B261" s="6"/>
      <c r="C261" s="6"/>
      <c r="D261" s="6"/>
      <c r="E261" s="6"/>
      <c r="F261" s="6"/>
      <c r="O261" s="6"/>
      <c r="P261" s="6"/>
      <c r="Q261" s="6"/>
      <c r="R261" s="6"/>
    </row>
    <row r="262" spans="1:18" s="7" customFormat="1" x14ac:dyDescent="0.25">
      <c r="A262" s="6"/>
      <c r="B262" s="6"/>
      <c r="C262" s="6"/>
      <c r="D262" s="6"/>
      <c r="E262" s="6"/>
      <c r="F262" s="6"/>
      <c r="O262" s="6"/>
      <c r="P262" s="6"/>
      <c r="Q262" s="6"/>
      <c r="R262" s="6"/>
    </row>
    <row r="263" spans="1:18" s="7" customFormat="1" x14ac:dyDescent="0.25">
      <c r="A263" s="6"/>
      <c r="B263" s="6"/>
      <c r="C263" s="6"/>
      <c r="D263" s="6"/>
      <c r="E263" s="6"/>
      <c r="F263" s="6"/>
      <c r="O263" s="6"/>
      <c r="P263" s="6"/>
      <c r="Q263" s="6"/>
      <c r="R263" s="6"/>
    </row>
    <row r="264" spans="1:18" s="7" customFormat="1" x14ac:dyDescent="0.25">
      <c r="A264" s="6"/>
      <c r="B264" s="6"/>
      <c r="C264" s="6"/>
      <c r="D264" s="6"/>
      <c r="E264" s="6"/>
      <c r="F264" s="6"/>
      <c r="O264" s="6"/>
      <c r="P264" s="6"/>
      <c r="Q264" s="6"/>
      <c r="R264" s="6"/>
    </row>
    <row r="265" spans="1:18" s="7" customFormat="1" x14ac:dyDescent="0.25">
      <c r="A265" s="6"/>
      <c r="B265" s="6"/>
      <c r="C265" s="6"/>
      <c r="D265" s="6"/>
      <c r="E265" s="6"/>
      <c r="F265" s="6"/>
      <c r="O265" s="6"/>
      <c r="P265" s="6"/>
      <c r="Q265" s="6"/>
      <c r="R265" s="6"/>
    </row>
    <row r="266" spans="1:18" s="7" customFormat="1" x14ac:dyDescent="0.25">
      <c r="A266" s="6"/>
      <c r="B266" s="6"/>
      <c r="C266" s="6"/>
      <c r="D266" s="6"/>
      <c r="E266" s="6"/>
      <c r="F266" s="6"/>
      <c r="O266" s="6"/>
      <c r="P266" s="6"/>
      <c r="Q266" s="6"/>
      <c r="R266" s="6"/>
    </row>
    <row r="267" spans="1:18" s="7" customFormat="1" x14ac:dyDescent="0.25">
      <c r="A267" s="6"/>
      <c r="B267" s="6"/>
      <c r="C267" s="6"/>
      <c r="D267" s="6"/>
      <c r="E267" s="6"/>
      <c r="F267" s="6"/>
      <c r="O267" s="6"/>
      <c r="P267" s="6"/>
      <c r="Q267" s="6"/>
      <c r="R267" s="6"/>
    </row>
    <row r="268" spans="1:18" s="7" customFormat="1" x14ac:dyDescent="0.25">
      <c r="A268" s="6"/>
      <c r="B268" s="6"/>
      <c r="C268" s="6"/>
      <c r="D268" s="6"/>
      <c r="E268" s="6"/>
      <c r="F268" s="6"/>
      <c r="O268" s="6"/>
      <c r="P268" s="6"/>
      <c r="Q268" s="6"/>
      <c r="R268" s="6"/>
    </row>
    <row r="269" spans="1:18" s="7" customFormat="1" x14ac:dyDescent="0.25">
      <c r="A269" s="6"/>
      <c r="B269" s="6"/>
      <c r="C269" s="6"/>
      <c r="D269" s="6"/>
      <c r="E269" s="6"/>
      <c r="F269" s="6"/>
      <c r="O269" s="6"/>
      <c r="P269" s="6"/>
      <c r="Q269" s="6"/>
      <c r="R269" s="6"/>
    </row>
    <row r="270" spans="1:18" s="7" customFormat="1" x14ac:dyDescent="0.25">
      <c r="A270" s="6"/>
      <c r="B270" s="6"/>
      <c r="C270" s="6"/>
      <c r="D270" s="6"/>
      <c r="E270" s="6"/>
      <c r="F270" s="6"/>
      <c r="O270" s="6"/>
      <c r="P270" s="6"/>
      <c r="Q270" s="6"/>
      <c r="R270" s="6"/>
    </row>
    <row r="271" spans="1:18" s="7" customFormat="1" x14ac:dyDescent="0.25">
      <c r="A271" s="6"/>
      <c r="B271" s="6"/>
      <c r="C271" s="6"/>
      <c r="D271" s="6"/>
      <c r="E271" s="6"/>
      <c r="F271" s="6"/>
      <c r="O271" s="6"/>
      <c r="P271" s="6"/>
      <c r="Q271" s="6"/>
      <c r="R271" s="6"/>
    </row>
    <row r="272" spans="1:18" s="7" customFormat="1" x14ac:dyDescent="0.25">
      <c r="A272" s="6"/>
      <c r="B272" s="6"/>
      <c r="C272" s="6"/>
      <c r="D272" s="6"/>
      <c r="E272" s="6"/>
      <c r="F272" s="6"/>
      <c r="O272" s="6"/>
      <c r="P272" s="6"/>
      <c r="Q272" s="6"/>
      <c r="R272" s="6"/>
    </row>
    <row r="273" spans="1:18" s="7" customFormat="1" x14ac:dyDescent="0.25">
      <c r="A273" s="6"/>
      <c r="B273" s="6"/>
      <c r="C273" s="6"/>
      <c r="D273" s="6"/>
      <c r="E273" s="6"/>
      <c r="F273" s="6"/>
      <c r="O273" s="6"/>
      <c r="P273" s="6"/>
      <c r="Q273" s="6"/>
      <c r="R273" s="6"/>
    </row>
    <row r="274" spans="1:18" s="7" customFormat="1" x14ac:dyDescent="0.25">
      <c r="A274" s="6"/>
      <c r="B274" s="6"/>
      <c r="C274" s="6"/>
      <c r="D274" s="6"/>
      <c r="E274" s="6"/>
      <c r="F274" s="6"/>
      <c r="O274" s="6"/>
      <c r="P274" s="6"/>
      <c r="Q274" s="6"/>
      <c r="R274" s="6"/>
    </row>
    <row r="275" spans="1:18" s="7" customFormat="1" x14ac:dyDescent="0.25">
      <c r="A275" s="6"/>
      <c r="B275" s="6"/>
      <c r="C275" s="6"/>
      <c r="D275" s="6"/>
      <c r="E275" s="6"/>
      <c r="F275" s="6"/>
      <c r="O275" s="6"/>
      <c r="P275" s="6"/>
      <c r="Q275" s="6"/>
      <c r="R275" s="6"/>
    </row>
    <row r="276" spans="1:18" s="7" customFormat="1" x14ac:dyDescent="0.25">
      <c r="A276" s="6"/>
      <c r="B276" s="6"/>
      <c r="C276" s="6"/>
      <c r="D276" s="6"/>
      <c r="E276" s="6"/>
      <c r="F276" s="6"/>
      <c r="O276" s="6"/>
      <c r="P276" s="6"/>
      <c r="Q276" s="6"/>
      <c r="R276" s="6"/>
    </row>
    <row r="277" spans="1:18" s="7" customFormat="1" x14ac:dyDescent="0.25">
      <c r="A277" s="6"/>
      <c r="B277" s="6"/>
      <c r="C277" s="6"/>
      <c r="D277" s="6"/>
      <c r="E277" s="6"/>
      <c r="F277" s="6"/>
      <c r="O277" s="6"/>
      <c r="P277" s="6"/>
      <c r="Q277" s="6"/>
      <c r="R277" s="6"/>
    </row>
    <row r="278" spans="1:18" s="7" customFormat="1" x14ac:dyDescent="0.25">
      <c r="A278" s="6"/>
      <c r="B278" s="6"/>
      <c r="C278" s="6"/>
      <c r="D278" s="6"/>
      <c r="E278" s="6"/>
      <c r="F278" s="6"/>
      <c r="O278" s="6"/>
      <c r="P278" s="6"/>
      <c r="Q278" s="6"/>
      <c r="R278" s="6"/>
    </row>
    <row r="279" spans="1:18" s="7" customFormat="1" x14ac:dyDescent="0.25">
      <c r="A279" s="6"/>
      <c r="B279" s="6"/>
      <c r="C279" s="6"/>
      <c r="D279" s="6"/>
      <c r="E279" s="6"/>
      <c r="F279" s="6"/>
      <c r="O279" s="6"/>
      <c r="P279" s="6"/>
      <c r="Q279" s="6"/>
      <c r="R279" s="6"/>
    </row>
    <row r="280" spans="1:18" s="7" customFormat="1" x14ac:dyDescent="0.25">
      <c r="A280" s="6"/>
      <c r="B280" s="6"/>
      <c r="C280" s="6"/>
      <c r="D280" s="6"/>
      <c r="E280" s="6"/>
      <c r="F280" s="6"/>
      <c r="O280" s="6"/>
      <c r="P280" s="6"/>
      <c r="Q280" s="6"/>
      <c r="R280" s="6"/>
    </row>
    <row r="281" spans="1:18" s="7" customFormat="1" x14ac:dyDescent="0.25">
      <c r="A281" s="6"/>
      <c r="B281" s="6"/>
      <c r="C281" s="6"/>
      <c r="D281" s="6"/>
      <c r="E281" s="6"/>
      <c r="F281" s="6"/>
      <c r="O281" s="6"/>
      <c r="P281" s="6"/>
      <c r="Q281" s="6"/>
      <c r="R281" s="6"/>
    </row>
    <row r="282" spans="1:18" s="7" customFormat="1" x14ac:dyDescent="0.25">
      <c r="A282" s="6"/>
      <c r="B282" s="6"/>
      <c r="C282" s="6"/>
      <c r="D282" s="6"/>
      <c r="E282" s="6"/>
      <c r="F282" s="6"/>
      <c r="O282" s="6"/>
      <c r="P282" s="6"/>
      <c r="Q282" s="6"/>
      <c r="R282" s="6"/>
    </row>
    <row r="283" spans="1:18" s="7" customFormat="1" x14ac:dyDescent="0.25">
      <c r="A283" s="6"/>
      <c r="B283" s="6"/>
      <c r="C283" s="6"/>
      <c r="D283" s="6"/>
      <c r="E283" s="6"/>
      <c r="F283" s="6"/>
      <c r="O283" s="6"/>
      <c r="P283" s="6"/>
      <c r="Q283" s="6"/>
      <c r="R283" s="6"/>
    </row>
    <row r="284" spans="1:18" s="7" customFormat="1" x14ac:dyDescent="0.25">
      <c r="A284" s="6"/>
      <c r="B284" s="6"/>
      <c r="C284" s="6"/>
      <c r="D284" s="6"/>
      <c r="E284" s="6"/>
      <c r="F284" s="6"/>
      <c r="O284" s="6"/>
      <c r="P284" s="6"/>
      <c r="Q284" s="6"/>
      <c r="R284" s="6"/>
    </row>
    <row r="285" spans="1:18" s="7" customFormat="1" x14ac:dyDescent="0.25">
      <c r="A285" s="6"/>
      <c r="B285" s="6"/>
      <c r="C285" s="6"/>
      <c r="D285" s="6"/>
      <c r="E285" s="6"/>
      <c r="F285" s="6"/>
      <c r="O285" s="6"/>
      <c r="P285" s="6"/>
      <c r="Q285" s="6"/>
      <c r="R285" s="6"/>
    </row>
    <row r="286" spans="1:18" s="7" customFormat="1" x14ac:dyDescent="0.25">
      <c r="A286" s="6"/>
      <c r="B286" s="6"/>
      <c r="C286" s="6"/>
      <c r="D286" s="6"/>
      <c r="E286" s="6"/>
      <c r="F286" s="6"/>
      <c r="O286" s="6"/>
      <c r="P286" s="6"/>
      <c r="Q286" s="6"/>
      <c r="R286" s="6"/>
    </row>
    <row r="287" spans="1:18" s="7" customFormat="1" x14ac:dyDescent="0.25">
      <c r="A287" s="6"/>
      <c r="B287" s="6"/>
      <c r="C287" s="6"/>
      <c r="D287" s="6"/>
      <c r="E287" s="6"/>
      <c r="F287" s="6"/>
      <c r="O287" s="6"/>
      <c r="P287" s="6"/>
      <c r="Q287" s="6"/>
      <c r="R287" s="6"/>
    </row>
    <row r="288" spans="1:18" s="7" customFormat="1" x14ac:dyDescent="0.25">
      <c r="A288" s="6"/>
      <c r="B288" s="6"/>
      <c r="C288" s="6"/>
      <c r="D288" s="6"/>
      <c r="E288" s="6"/>
      <c r="F288" s="6"/>
      <c r="O288" s="6"/>
      <c r="P288" s="6"/>
      <c r="Q288" s="6"/>
      <c r="R288" s="6"/>
    </row>
    <row r="289" spans="1:18" s="7" customFormat="1" x14ac:dyDescent="0.25">
      <c r="A289" s="6"/>
      <c r="B289" s="6"/>
      <c r="C289" s="6"/>
      <c r="D289" s="6"/>
      <c r="E289" s="6"/>
      <c r="F289" s="6"/>
      <c r="O289" s="6"/>
      <c r="P289" s="6"/>
      <c r="Q289" s="6"/>
      <c r="R289" s="6"/>
    </row>
    <row r="290" spans="1:18" s="7" customFormat="1" x14ac:dyDescent="0.25">
      <c r="A290" s="6"/>
      <c r="B290" s="6"/>
      <c r="C290" s="6"/>
      <c r="D290" s="6"/>
      <c r="E290" s="6"/>
      <c r="F290" s="6"/>
      <c r="O290" s="6"/>
      <c r="P290" s="6"/>
      <c r="Q290" s="6"/>
      <c r="R290" s="6"/>
    </row>
    <row r="291" spans="1:18" s="7" customFormat="1" x14ac:dyDescent="0.25">
      <c r="A291" s="6"/>
      <c r="B291" s="6"/>
      <c r="C291" s="6"/>
      <c r="D291" s="6"/>
      <c r="E291" s="6"/>
      <c r="F291" s="6"/>
      <c r="O291" s="6"/>
      <c r="P291" s="6"/>
      <c r="Q291" s="6"/>
      <c r="R291" s="6"/>
    </row>
    <row r="292" spans="1:18" s="7" customFormat="1" x14ac:dyDescent="0.25">
      <c r="A292" s="6"/>
      <c r="B292" s="6"/>
      <c r="C292" s="6"/>
      <c r="D292" s="6"/>
      <c r="E292" s="6"/>
      <c r="F292" s="6"/>
      <c r="O292" s="6"/>
      <c r="P292" s="6"/>
      <c r="Q292" s="6"/>
      <c r="R292" s="6"/>
    </row>
    <row r="293" spans="1:18" s="7" customFormat="1" x14ac:dyDescent="0.25">
      <c r="A293" s="6"/>
      <c r="B293" s="6"/>
      <c r="C293" s="6"/>
      <c r="D293" s="6"/>
      <c r="E293" s="6"/>
      <c r="F293" s="6"/>
      <c r="O293" s="6"/>
      <c r="P293" s="6"/>
      <c r="Q293" s="6"/>
      <c r="R293" s="6"/>
    </row>
    <row r="294" spans="1:18" s="7" customFormat="1" x14ac:dyDescent="0.25">
      <c r="A294" s="6"/>
      <c r="B294" s="6"/>
      <c r="C294" s="6"/>
      <c r="D294" s="6"/>
      <c r="E294" s="6"/>
      <c r="F294" s="6"/>
      <c r="O294" s="6"/>
      <c r="P294" s="6"/>
      <c r="Q294" s="6"/>
      <c r="R294" s="6"/>
    </row>
    <row r="295" spans="1:18" s="7" customFormat="1" x14ac:dyDescent="0.25">
      <c r="A295" s="6"/>
      <c r="B295" s="6"/>
      <c r="C295" s="6"/>
      <c r="D295" s="6"/>
      <c r="E295" s="6"/>
      <c r="F295" s="6"/>
      <c r="O295" s="6"/>
      <c r="P295" s="6"/>
      <c r="Q295" s="6"/>
      <c r="R295" s="6"/>
    </row>
    <row r="296" spans="1:18" s="7" customFormat="1" x14ac:dyDescent="0.25">
      <c r="A296" s="6"/>
      <c r="B296" s="6"/>
      <c r="C296" s="6"/>
      <c r="D296" s="6"/>
      <c r="E296" s="6"/>
      <c r="F296" s="6"/>
      <c r="O296" s="6"/>
      <c r="P296" s="6"/>
      <c r="Q296" s="6"/>
      <c r="R296" s="6"/>
    </row>
    <row r="297" spans="1:18" s="7" customFormat="1" x14ac:dyDescent="0.25">
      <c r="A297" s="6"/>
      <c r="B297" s="6"/>
      <c r="C297" s="6"/>
      <c r="D297" s="6"/>
      <c r="E297" s="6"/>
      <c r="F297" s="6"/>
      <c r="O297" s="6"/>
      <c r="P297" s="6"/>
      <c r="Q297" s="6"/>
      <c r="R297" s="6"/>
    </row>
    <row r="298" spans="1:18" s="7" customFormat="1" x14ac:dyDescent="0.25">
      <c r="A298" s="6"/>
      <c r="B298" s="6"/>
      <c r="C298" s="6"/>
      <c r="D298" s="6"/>
      <c r="E298" s="6"/>
      <c r="F298" s="6"/>
      <c r="O298" s="6"/>
      <c r="P298" s="6"/>
      <c r="Q298" s="6"/>
      <c r="R298" s="6"/>
    </row>
    <row r="299" spans="1:18" s="7" customFormat="1" x14ac:dyDescent="0.25">
      <c r="A299" s="6"/>
      <c r="B299" s="6"/>
      <c r="C299" s="6"/>
      <c r="D299" s="6"/>
      <c r="E299" s="6"/>
      <c r="F299" s="6"/>
      <c r="O299" s="6"/>
      <c r="P299" s="6"/>
      <c r="Q299" s="6"/>
      <c r="R299" s="6"/>
    </row>
    <row r="300" spans="1:18" s="7" customFormat="1" x14ac:dyDescent="0.25">
      <c r="A300" s="6"/>
      <c r="B300" s="6"/>
      <c r="C300" s="6"/>
      <c r="D300" s="6"/>
      <c r="E300" s="6"/>
      <c r="F300" s="6"/>
      <c r="O300" s="6"/>
      <c r="P300" s="6"/>
      <c r="Q300" s="6"/>
      <c r="R300" s="6"/>
    </row>
    <row r="301" spans="1:18" s="7" customFormat="1" x14ac:dyDescent="0.25">
      <c r="A301" s="6"/>
      <c r="B301" s="6"/>
      <c r="C301" s="6"/>
      <c r="D301" s="6"/>
      <c r="E301" s="6"/>
      <c r="F301" s="6"/>
      <c r="O301" s="6"/>
      <c r="P301" s="6"/>
      <c r="Q301" s="6"/>
      <c r="R301" s="6"/>
    </row>
    <row r="302" spans="1:18" s="7" customFormat="1" x14ac:dyDescent="0.25">
      <c r="A302" s="6"/>
      <c r="B302" s="6"/>
      <c r="C302" s="6"/>
      <c r="D302" s="6"/>
      <c r="E302" s="6"/>
      <c r="F302" s="6"/>
      <c r="O302" s="6"/>
      <c r="P302" s="6"/>
      <c r="Q302" s="6"/>
      <c r="R302" s="6"/>
    </row>
    <row r="303" spans="1:18" s="7" customFormat="1" x14ac:dyDescent="0.25">
      <c r="A303" s="6"/>
      <c r="B303" s="6"/>
      <c r="C303" s="6"/>
      <c r="D303" s="6"/>
      <c r="E303" s="6"/>
      <c r="F303" s="6"/>
      <c r="O303" s="6"/>
      <c r="P303" s="6"/>
      <c r="Q303" s="6"/>
      <c r="R303" s="6"/>
    </row>
    <row r="304" spans="1:18" s="7" customFormat="1" x14ac:dyDescent="0.25">
      <c r="A304" s="6"/>
      <c r="B304" s="6"/>
      <c r="C304" s="6"/>
      <c r="D304" s="6"/>
      <c r="E304" s="6"/>
      <c r="F304" s="6"/>
      <c r="O304" s="6"/>
      <c r="P304" s="6"/>
      <c r="Q304" s="6"/>
      <c r="R304" s="6"/>
    </row>
    <row r="305" spans="1:18" s="7" customFormat="1" x14ac:dyDescent="0.25">
      <c r="A305" s="6"/>
      <c r="B305" s="6"/>
      <c r="C305" s="6"/>
      <c r="D305" s="6"/>
      <c r="E305" s="6"/>
      <c r="F305" s="6"/>
      <c r="O305" s="6"/>
      <c r="P305" s="6"/>
      <c r="Q305" s="6"/>
      <c r="R305" s="6"/>
    </row>
    <row r="306" spans="1:18" s="7" customFormat="1" x14ac:dyDescent="0.25">
      <c r="A306" s="6"/>
      <c r="B306" s="6"/>
      <c r="C306" s="6"/>
      <c r="D306" s="6"/>
      <c r="E306" s="6"/>
      <c r="F306" s="6"/>
      <c r="O306" s="6"/>
      <c r="P306" s="6"/>
      <c r="Q306" s="6"/>
      <c r="R306" s="6"/>
    </row>
    <row r="307" spans="1:18" s="7" customFormat="1" x14ac:dyDescent="0.25">
      <c r="A307" s="6"/>
      <c r="B307" s="6"/>
      <c r="C307" s="6"/>
      <c r="D307" s="6"/>
      <c r="E307" s="6"/>
      <c r="F307" s="6"/>
      <c r="O307" s="6"/>
      <c r="P307" s="6"/>
      <c r="Q307" s="6"/>
      <c r="R307" s="6"/>
    </row>
    <row r="308" spans="1:18" s="7" customFormat="1" x14ac:dyDescent="0.25">
      <c r="A308" s="6"/>
      <c r="B308" s="6"/>
      <c r="C308" s="6"/>
      <c r="D308" s="6"/>
      <c r="E308" s="6"/>
      <c r="F308" s="6"/>
      <c r="O308" s="6"/>
      <c r="P308" s="6"/>
      <c r="Q308" s="6"/>
      <c r="R308" s="6"/>
    </row>
    <row r="309" spans="1:18" s="7" customFormat="1" x14ac:dyDescent="0.25">
      <c r="A309" s="6"/>
      <c r="B309" s="6"/>
      <c r="C309" s="6"/>
      <c r="D309" s="6"/>
      <c r="E309" s="6"/>
      <c r="F309" s="6"/>
      <c r="O309" s="6"/>
      <c r="P309" s="6"/>
      <c r="Q309" s="6"/>
      <c r="R309" s="6"/>
    </row>
    <row r="310" spans="1:18" s="7" customFormat="1" x14ac:dyDescent="0.25">
      <c r="A310" s="6"/>
      <c r="B310" s="6"/>
      <c r="C310" s="6"/>
      <c r="D310" s="6"/>
      <c r="E310" s="6"/>
      <c r="F310" s="6"/>
      <c r="O310" s="6"/>
      <c r="P310" s="6"/>
      <c r="Q310" s="6"/>
      <c r="R310" s="6"/>
    </row>
    <row r="311" spans="1:18" s="7" customFormat="1" x14ac:dyDescent="0.25">
      <c r="A311" s="6"/>
      <c r="B311" s="6"/>
      <c r="C311" s="6"/>
      <c r="D311" s="6"/>
      <c r="E311" s="6"/>
      <c r="F311" s="6"/>
      <c r="O311" s="6"/>
      <c r="P311" s="6"/>
      <c r="Q311" s="6"/>
      <c r="R311" s="6"/>
    </row>
    <row r="312" spans="1:18" s="7" customFormat="1" x14ac:dyDescent="0.25">
      <c r="A312" s="6"/>
      <c r="B312" s="6"/>
      <c r="C312" s="6"/>
      <c r="D312" s="6"/>
      <c r="E312" s="6"/>
      <c r="F312" s="6"/>
      <c r="O312" s="6"/>
      <c r="P312" s="6"/>
      <c r="Q312" s="6"/>
      <c r="R312" s="6"/>
    </row>
    <row r="313" spans="1:18" s="7" customFormat="1" x14ac:dyDescent="0.25">
      <c r="A313" s="6"/>
      <c r="B313" s="6"/>
      <c r="C313" s="6"/>
      <c r="D313" s="6"/>
      <c r="E313" s="6"/>
      <c r="F313" s="6"/>
      <c r="O313" s="6"/>
      <c r="P313" s="6"/>
      <c r="Q313" s="6"/>
      <c r="R313" s="6"/>
    </row>
    <row r="314" spans="1:18" s="7" customFormat="1" x14ac:dyDescent="0.25">
      <c r="A314" s="6"/>
      <c r="B314" s="6"/>
      <c r="C314" s="6"/>
      <c r="D314" s="6"/>
      <c r="E314" s="6"/>
      <c r="F314" s="6"/>
      <c r="O314" s="6"/>
      <c r="P314" s="6"/>
      <c r="Q314" s="6"/>
      <c r="R314" s="6"/>
    </row>
    <row r="315" spans="1:18" s="7" customFormat="1" x14ac:dyDescent="0.25">
      <c r="A315" s="6"/>
      <c r="B315" s="6"/>
      <c r="C315" s="6"/>
      <c r="D315" s="6"/>
      <c r="E315" s="6"/>
      <c r="F315" s="6"/>
      <c r="O315" s="6"/>
      <c r="P315" s="6"/>
      <c r="Q315" s="6"/>
      <c r="R315" s="6"/>
    </row>
    <row r="316" spans="1:18" s="7" customFormat="1" x14ac:dyDescent="0.25">
      <c r="A316" s="6"/>
      <c r="B316" s="6"/>
      <c r="C316" s="6"/>
      <c r="D316" s="6"/>
      <c r="E316" s="6"/>
      <c r="F316" s="6"/>
      <c r="O316" s="6"/>
      <c r="P316" s="6"/>
      <c r="Q316" s="6"/>
      <c r="R316" s="6"/>
    </row>
    <row r="317" spans="1:18" s="7" customFormat="1" x14ac:dyDescent="0.25">
      <c r="A317" s="6"/>
      <c r="B317" s="6"/>
      <c r="C317" s="6"/>
      <c r="D317" s="6"/>
      <c r="E317" s="6"/>
      <c r="F317" s="6"/>
      <c r="O317" s="6"/>
      <c r="P317" s="6"/>
      <c r="Q317" s="6"/>
      <c r="R317" s="6"/>
    </row>
    <row r="318" spans="1:18" s="7" customFormat="1" x14ac:dyDescent="0.25">
      <c r="A318" s="6"/>
      <c r="B318" s="6"/>
      <c r="C318" s="6"/>
      <c r="D318" s="6"/>
      <c r="E318" s="6"/>
      <c r="F318" s="6"/>
      <c r="O318" s="6"/>
      <c r="P318" s="6"/>
      <c r="Q318" s="6"/>
      <c r="R318" s="6"/>
    </row>
    <row r="319" spans="1:18" s="7" customFormat="1" x14ac:dyDescent="0.25">
      <c r="A319" s="6"/>
      <c r="B319" s="6"/>
      <c r="C319" s="6"/>
      <c r="D319" s="6"/>
      <c r="E319" s="6"/>
      <c r="F319" s="6"/>
      <c r="O319" s="6"/>
      <c r="P319" s="6"/>
      <c r="Q319" s="6"/>
      <c r="R319" s="6"/>
    </row>
    <row r="320" spans="1:18" s="7" customFormat="1" x14ac:dyDescent="0.25">
      <c r="A320" s="6"/>
      <c r="B320" s="6"/>
      <c r="C320" s="6"/>
      <c r="D320" s="6"/>
      <c r="E320" s="6"/>
      <c r="F320" s="6"/>
      <c r="O320" s="6"/>
      <c r="P320" s="6"/>
      <c r="Q320" s="6"/>
      <c r="R320" s="6"/>
    </row>
    <row r="321" spans="1:18" s="7" customFormat="1" x14ac:dyDescent="0.25">
      <c r="A321" s="6"/>
      <c r="B321" s="6"/>
      <c r="C321" s="6"/>
      <c r="D321" s="6"/>
      <c r="E321" s="6"/>
      <c r="F321" s="6"/>
      <c r="O321" s="6"/>
      <c r="P321" s="6"/>
      <c r="Q321" s="6"/>
      <c r="R321" s="6"/>
    </row>
    <row r="322" spans="1:18" s="7" customFormat="1" x14ac:dyDescent="0.25">
      <c r="A322" s="6"/>
      <c r="B322" s="6"/>
      <c r="C322" s="6"/>
      <c r="D322" s="6"/>
      <c r="E322" s="6"/>
      <c r="F322" s="6"/>
      <c r="O322" s="6"/>
      <c r="P322" s="6"/>
      <c r="Q322" s="6"/>
      <c r="R322" s="6"/>
    </row>
    <row r="323" spans="1:18" s="7" customFormat="1" x14ac:dyDescent="0.25">
      <c r="A323" s="6"/>
      <c r="B323" s="6"/>
      <c r="C323" s="6"/>
      <c r="D323" s="6"/>
      <c r="E323" s="6"/>
      <c r="F323" s="6"/>
      <c r="O323" s="6"/>
      <c r="P323" s="6"/>
      <c r="Q323" s="6"/>
      <c r="R323" s="6"/>
    </row>
    <row r="324" spans="1:18" s="7" customFormat="1" x14ac:dyDescent="0.25">
      <c r="A324" s="6"/>
      <c r="B324" s="6"/>
      <c r="C324" s="6"/>
      <c r="D324" s="6"/>
      <c r="E324" s="6"/>
      <c r="F324" s="6"/>
      <c r="O324" s="6"/>
      <c r="P324" s="6"/>
      <c r="Q324" s="6"/>
      <c r="R324" s="6"/>
    </row>
    <row r="325" spans="1:18" s="7" customFormat="1" x14ac:dyDescent="0.25">
      <c r="A325" s="6"/>
      <c r="B325" s="6"/>
      <c r="C325" s="6"/>
      <c r="D325" s="6"/>
      <c r="E325" s="6"/>
      <c r="F325" s="6"/>
      <c r="O325" s="6"/>
      <c r="P325" s="6"/>
      <c r="Q325" s="6"/>
      <c r="R325" s="6"/>
    </row>
    <row r="326" spans="1:18" s="7" customFormat="1" x14ac:dyDescent="0.25">
      <c r="A326" s="6"/>
      <c r="B326" s="6"/>
      <c r="C326" s="6"/>
      <c r="D326" s="6"/>
      <c r="E326" s="6"/>
      <c r="F326" s="6"/>
      <c r="O326" s="6"/>
      <c r="P326" s="6"/>
      <c r="Q326" s="6"/>
      <c r="R326" s="6"/>
    </row>
    <row r="327" spans="1:18" s="7" customFormat="1" x14ac:dyDescent="0.25">
      <c r="A327" s="6"/>
      <c r="B327" s="6"/>
      <c r="C327" s="6"/>
      <c r="D327" s="6"/>
      <c r="E327" s="6"/>
      <c r="F327" s="6"/>
      <c r="O327" s="6"/>
      <c r="P327" s="6"/>
      <c r="Q327" s="6"/>
      <c r="R327" s="6"/>
    </row>
    <row r="328" spans="1:18" s="7" customFormat="1" x14ac:dyDescent="0.25">
      <c r="A328" s="6"/>
      <c r="B328" s="6"/>
      <c r="C328" s="6"/>
      <c r="D328" s="6"/>
      <c r="E328" s="6"/>
      <c r="F328" s="6"/>
      <c r="O328" s="6"/>
      <c r="P328" s="6"/>
      <c r="Q328" s="6"/>
      <c r="R328" s="6"/>
    </row>
    <row r="329" spans="1:18" s="7" customFormat="1" x14ac:dyDescent="0.25">
      <c r="A329" s="6"/>
      <c r="B329" s="6"/>
      <c r="C329" s="6"/>
      <c r="D329" s="6"/>
      <c r="E329" s="6"/>
      <c r="F329" s="6"/>
      <c r="O329" s="6"/>
      <c r="P329" s="6"/>
      <c r="Q329" s="6"/>
      <c r="R329" s="6"/>
    </row>
    <row r="330" spans="1:18" s="7" customFormat="1" x14ac:dyDescent="0.25">
      <c r="A330" s="6"/>
      <c r="B330" s="6"/>
      <c r="C330" s="6"/>
      <c r="D330" s="6"/>
      <c r="E330" s="6"/>
      <c r="F330" s="6"/>
      <c r="O330" s="6"/>
      <c r="P330" s="6"/>
      <c r="Q330" s="6"/>
      <c r="R330" s="6"/>
    </row>
    <row r="331" spans="1:18" s="7" customFormat="1" x14ac:dyDescent="0.25">
      <c r="A331" s="6"/>
      <c r="B331" s="6"/>
      <c r="C331" s="6"/>
      <c r="D331" s="6"/>
      <c r="E331" s="6"/>
      <c r="F331" s="6"/>
      <c r="O331" s="6"/>
      <c r="P331" s="6"/>
      <c r="Q331" s="6"/>
      <c r="R331" s="6"/>
    </row>
    <row r="332" spans="1:18" s="7" customFormat="1" x14ac:dyDescent="0.25">
      <c r="A332" s="6"/>
      <c r="B332" s="6"/>
      <c r="C332" s="6"/>
      <c r="D332" s="6"/>
      <c r="E332" s="6"/>
      <c r="F332" s="6"/>
      <c r="O332" s="6"/>
      <c r="P332" s="6"/>
      <c r="Q332" s="6"/>
      <c r="R332" s="6"/>
    </row>
    <row r="333" spans="1:18" s="7" customFormat="1" x14ac:dyDescent="0.25">
      <c r="A333" s="6"/>
      <c r="B333" s="6"/>
      <c r="C333" s="6"/>
      <c r="D333" s="6"/>
      <c r="E333" s="6"/>
      <c r="F333" s="6"/>
      <c r="O333" s="6"/>
      <c r="P333" s="6"/>
      <c r="Q333" s="6"/>
      <c r="R333" s="6"/>
    </row>
    <row r="334" spans="1:18" s="7" customFormat="1" x14ac:dyDescent="0.25">
      <c r="A334" s="6"/>
      <c r="B334" s="6"/>
      <c r="C334" s="6"/>
      <c r="D334" s="6"/>
      <c r="E334" s="6"/>
      <c r="F334" s="6"/>
      <c r="O334" s="6"/>
      <c r="P334" s="6"/>
      <c r="Q334" s="6"/>
      <c r="R334" s="6"/>
    </row>
    <row r="335" spans="1:18" s="7" customFormat="1" x14ac:dyDescent="0.25">
      <c r="A335" s="6"/>
      <c r="B335" s="6"/>
      <c r="C335" s="6"/>
      <c r="D335" s="6"/>
      <c r="E335" s="6"/>
      <c r="F335" s="6"/>
      <c r="O335" s="6"/>
      <c r="P335" s="6"/>
      <c r="Q335" s="6"/>
      <c r="R335" s="6"/>
    </row>
    <row r="336" spans="1:18" s="7" customFormat="1" x14ac:dyDescent="0.25">
      <c r="A336" s="6"/>
      <c r="B336" s="6"/>
      <c r="C336" s="6"/>
      <c r="D336" s="6"/>
      <c r="E336" s="6"/>
      <c r="F336" s="6"/>
      <c r="O336" s="6"/>
      <c r="P336" s="6"/>
      <c r="Q336" s="6"/>
      <c r="R336" s="6"/>
    </row>
    <row r="337" spans="1:18" s="7" customFormat="1" x14ac:dyDescent="0.25">
      <c r="A337" s="6"/>
      <c r="B337" s="6"/>
      <c r="C337" s="6"/>
      <c r="D337" s="6"/>
      <c r="E337" s="6"/>
      <c r="F337" s="6"/>
      <c r="O337" s="6"/>
      <c r="P337" s="6"/>
      <c r="Q337" s="6"/>
      <c r="R337" s="6"/>
    </row>
    <row r="338" spans="1:18" s="7" customFormat="1" x14ac:dyDescent="0.25">
      <c r="A338" s="6"/>
      <c r="B338" s="6"/>
      <c r="C338" s="6"/>
      <c r="D338" s="6"/>
      <c r="E338" s="6"/>
      <c r="F338" s="6"/>
      <c r="O338" s="6"/>
      <c r="P338" s="6"/>
      <c r="Q338" s="6"/>
      <c r="R338" s="6"/>
    </row>
    <row r="339" spans="1:18" s="7" customFormat="1" x14ac:dyDescent="0.25">
      <c r="A339" s="6"/>
      <c r="B339" s="6"/>
      <c r="C339" s="6"/>
      <c r="D339" s="6"/>
      <c r="E339" s="6"/>
      <c r="F339" s="6"/>
      <c r="O339" s="6"/>
      <c r="P339" s="6"/>
      <c r="Q339" s="6"/>
      <c r="R339" s="6"/>
    </row>
    <row r="340" spans="1:18" s="7" customFormat="1" x14ac:dyDescent="0.25">
      <c r="A340" s="6"/>
      <c r="B340" s="6"/>
      <c r="C340" s="6"/>
      <c r="D340" s="6"/>
      <c r="E340" s="6"/>
      <c r="F340" s="6"/>
      <c r="O340" s="6"/>
      <c r="P340" s="6"/>
      <c r="Q340" s="6"/>
      <c r="R340" s="6"/>
    </row>
    <row r="341" spans="1:18" s="7" customFormat="1" x14ac:dyDescent="0.25">
      <c r="A341" s="6"/>
      <c r="B341" s="6"/>
      <c r="C341" s="6"/>
      <c r="D341" s="6"/>
      <c r="E341" s="6"/>
      <c r="F341" s="6"/>
      <c r="O341" s="6"/>
      <c r="P341" s="6"/>
      <c r="Q341" s="6"/>
      <c r="R341" s="6"/>
    </row>
    <row r="342" spans="1:18" s="7" customFormat="1" x14ac:dyDescent="0.25">
      <c r="A342" s="6"/>
      <c r="B342" s="6"/>
      <c r="C342" s="6"/>
      <c r="D342" s="6"/>
      <c r="E342" s="6"/>
      <c r="F342" s="6"/>
      <c r="O342" s="6"/>
      <c r="P342" s="6"/>
      <c r="Q342" s="6"/>
      <c r="R342" s="6"/>
    </row>
    <row r="343" spans="1:18" s="7" customFormat="1" x14ac:dyDescent="0.25">
      <c r="A343" s="6"/>
      <c r="B343" s="6"/>
      <c r="C343" s="6"/>
      <c r="D343" s="6"/>
      <c r="E343" s="6"/>
      <c r="F343" s="6"/>
      <c r="O343" s="6"/>
      <c r="P343" s="6"/>
      <c r="Q343" s="6"/>
      <c r="R343" s="6"/>
    </row>
    <row r="344" spans="1:18" s="7" customFormat="1" x14ac:dyDescent="0.25">
      <c r="A344" s="6"/>
      <c r="B344" s="6"/>
      <c r="C344" s="6"/>
      <c r="D344" s="6"/>
      <c r="E344" s="6"/>
      <c r="F344" s="6"/>
      <c r="O344" s="6"/>
      <c r="P344" s="6"/>
      <c r="Q344" s="6"/>
      <c r="R344" s="6"/>
    </row>
    <row r="345" spans="1:18" s="7" customFormat="1" x14ac:dyDescent="0.25">
      <c r="A345" s="6"/>
      <c r="B345" s="6"/>
      <c r="C345" s="6"/>
      <c r="D345" s="6"/>
      <c r="E345" s="6"/>
      <c r="F345" s="6"/>
      <c r="O345" s="6"/>
      <c r="P345" s="6"/>
      <c r="Q345" s="6"/>
      <c r="R345" s="6"/>
    </row>
    <row r="346" spans="1:18" s="7" customFormat="1" x14ac:dyDescent="0.25">
      <c r="A346" s="6"/>
      <c r="B346" s="6"/>
      <c r="C346" s="6"/>
      <c r="D346" s="6"/>
      <c r="E346" s="6"/>
      <c r="F346" s="6"/>
      <c r="O346" s="6"/>
      <c r="P346" s="6"/>
      <c r="Q346" s="6"/>
      <c r="R346" s="6"/>
    </row>
    <row r="347" spans="1:18" s="7" customFormat="1" x14ac:dyDescent="0.25">
      <c r="A347" s="6"/>
      <c r="B347" s="6"/>
      <c r="C347" s="6"/>
      <c r="D347" s="6"/>
      <c r="E347" s="6"/>
      <c r="F347" s="6"/>
      <c r="O347" s="6"/>
      <c r="P347" s="6"/>
      <c r="Q347" s="6"/>
      <c r="R347" s="6"/>
    </row>
    <row r="348" spans="1:18" s="7" customFormat="1" x14ac:dyDescent="0.25">
      <c r="A348" s="6"/>
      <c r="B348" s="6"/>
      <c r="C348" s="6"/>
      <c r="D348" s="6"/>
      <c r="E348" s="6"/>
      <c r="F348" s="6"/>
      <c r="O348" s="6"/>
      <c r="P348" s="6"/>
      <c r="Q348" s="6"/>
      <c r="R348" s="6"/>
    </row>
    <row r="349" spans="1:18" s="7" customFormat="1" x14ac:dyDescent="0.25">
      <c r="A349" s="6"/>
      <c r="B349" s="6"/>
      <c r="C349" s="6"/>
      <c r="D349" s="6"/>
      <c r="E349" s="6"/>
      <c r="F349" s="6"/>
      <c r="O349" s="6"/>
      <c r="P349" s="6"/>
      <c r="Q349" s="6"/>
      <c r="R349" s="6"/>
    </row>
    <row r="350" spans="1:18" s="7" customFormat="1" x14ac:dyDescent="0.25">
      <c r="A350" s="6"/>
      <c r="B350" s="6"/>
      <c r="C350" s="6"/>
      <c r="D350" s="6"/>
      <c r="E350" s="6"/>
      <c r="F350" s="6"/>
      <c r="O350" s="6"/>
      <c r="P350" s="6"/>
      <c r="Q350" s="6"/>
      <c r="R350" s="6"/>
    </row>
    <row r="351" spans="1:18" s="7" customFormat="1" x14ac:dyDescent="0.25">
      <c r="A351" s="6"/>
      <c r="B351" s="6"/>
      <c r="C351" s="6"/>
      <c r="D351" s="6"/>
      <c r="E351" s="6"/>
      <c r="F351" s="6"/>
      <c r="O351" s="6"/>
      <c r="P351" s="6"/>
      <c r="Q351" s="6"/>
      <c r="R351" s="6"/>
    </row>
    <row r="352" spans="1:18" s="7" customFormat="1" x14ac:dyDescent="0.25">
      <c r="A352" s="6"/>
      <c r="B352" s="6"/>
      <c r="C352" s="6"/>
      <c r="D352" s="6"/>
      <c r="E352" s="6"/>
      <c r="F352" s="6"/>
      <c r="O352" s="6"/>
      <c r="P352" s="6"/>
      <c r="Q352" s="6"/>
      <c r="R352" s="6"/>
    </row>
    <row r="353" spans="1:18" s="7" customFormat="1" x14ac:dyDescent="0.25">
      <c r="A353" s="6"/>
      <c r="B353" s="6"/>
      <c r="C353" s="6"/>
      <c r="D353" s="6"/>
      <c r="E353" s="6"/>
      <c r="F353" s="6"/>
      <c r="O353" s="6"/>
      <c r="P353" s="6"/>
      <c r="Q353" s="6"/>
      <c r="R353" s="6"/>
    </row>
    <row r="354" spans="1:18" s="7" customFormat="1" x14ac:dyDescent="0.25">
      <c r="A354" s="6"/>
      <c r="B354" s="6"/>
      <c r="C354" s="6"/>
      <c r="D354" s="6"/>
      <c r="E354" s="6"/>
      <c r="F354" s="6"/>
      <c r="O354" s="6"/>
      <c r="P354" s="6"/>
      <c r="Q354" s="6"/>
      <c r="R354" s="6"/>
    </row>
    <row r="355" spans="1:18" s="7" customFormat="1" x14ac:dyDescent="0.25">
      <c r="A355" s="6"/>
      <c r="B355" s="6"/>
      <c r="C355" s="6"/>
      <c r="D355" s="6"/>
      <c r="E355" s="6"/>
      <c r="F355" s="6"/>
      <c r="O355" s="6"/>
      <c r="P355" s="6"/>
      <c r="Q355" s="6"/>
      <c r="R355" s="6"/>
    </row>
    <row r="356" spans="1:18" s="7" customFormat="1" x14ac:dyDescent="0.25">
      <c r="A356" s="6"/>
      <c r="B356" s="6"/>
      <c r="C356" s="6"/>
      <c r="D356" s="6"/>
      <c r="E356" s="6"/>
      <c r="F356" s="6"/>
      <c r="O356" s="6"/>
      <c r="P356" s="6"/>
      <c r="Q356" s="6"/>
      <c r="R356" s="6"/>
    </row>
    <row r="357" spans="1:18" s="7" customFormat="1" x14ac:dyDescent="0.25">
      <c r="A357" s="6"/>
      <c r="B357" s="6"/>
      <c r="C357" s="6"/>
      <c r="D357" s="6"/>
      <c r="E357" s="6"/>
      <c r="F357" s="6"/>
      <c r="O357" s="6"/>
      <c r="P357" s="6"/>
      <c r="Q357" s="6"/>
      <c r="R357" s="6"/>
    </row>
    <row r="358" spans="1:18" s="7" customFormat="1" x14ac:dyDescent="0.25">
      <c r="A358" s="6"/>
      <c r="B358" s="6"/>
      <c r="C358" s="6"/>
      <c r="D358" s="6"/>
      <c r="E358" s="6"/>
      <c r="F358" s="6"/>
      <c r="O358" s="6"/>
      <c r="P358" s="6"/>
      <c r="Q358" s="6"/>
      <c r="R358" s="6"/>
    </row>
    <row r="359" spans="1:18" s="7" customFormat="1" x14ac:dyDescent="0.25">
      <c r="A359" s="6"/>
      <c r="B359" s="6"/>
      <c r="C359" s="6"/>
      <c r="D359" s="6"/>
      <c r="E359" s="6"/>
      <c r="F359" s="6"/>
      <c r="O359" s="6"/>
      <c r="P359" s="6"/>
      <c r="Q359" s="6"/>
      <c r="R359" s="6"/>
    </row>
    <row r="360" spans="1:18" s="7" customFormat="1" x14ac:dyDescent="0.25">
      <c r="A360" s="6"/>
      <c r="B360" s="6"/>
      <c r="C360" s="6"/>
      <c r="D360" s="6"/>
      <c r="E360" s="6"/>
      <c r="F360" s="6"/>
      <c r="O360" s="6"/>
      <c r="P360" s="6"/>
      <c r="Q360" s="6"/>
      <c r="R360" s="6"/>
    </row>
    <row r="361" spans="1:18" s="7" customFormat="1" x14ac:dyDescent="0.25">
      <c r="A361" s="6"/>
      <c r="B361" s="6"/>
      <c r="C361" s="6"/>
      <c r="D361" s="6"/>
      <c r="E361" s="6"/>
      <c r="F361" s="6"/>
      <c r="O361" s="6"/>
      <c r="P361" s="6"/>
      <c r="Q361" s="6"/>
      <c r="R361" s="6"/>
    </row>
    <row r="362" spans="1:18" s="7" customFormat="1" x14ac:dyDescent="0.25">
      <c r="A362" s="6"/>
      <c r="B362" s="6"/>
      <c r="C362" s="6"/>
      <c r="D362" s="6"/>
      <c r="E362" s="6"/>
      <c r="F362" s="6"/>
      <c r="O362" s="6"/>
      <c r="P362" s="6"/>
      <c r="Q362" s="6"/>
      <c r="R362" s="6"/>
    </row>
    <row r="363" spans="1:18" s="7" customFormat="1" x14ac:dyDescent="0.25">
      <c r="A363" s="6"/>
      <c r="B363" s="6"/>
      <c r="C363" s="6"/>
      <c r="D363" s="6"/>
      <c r="E363" s="6"/>
      <c r="F363" s="6"/>
      <c r="O363" s="6"/>
      <c r="P363" s="6"/>
      <c r="Q363" s="6"/>
      <c r="R363" s="6"/>
    </row>
    <row r="364" spans="1:18" s="7" customFormat="1" x14ac:dyDescent="0.25">
      <c r="A364" s="6"/>
      <c r="B364" s="6"/>
      <c r="C364" s="6"/>
      <c r="D364" s="6"/>
      <c r="E364" s="6"/>
      <c r="F364" s="6"/>
      <c r="O364" s="6"/>
      <c r="P364" s="6"/>
      <c r="Q364" s="6"/>
      <c r="R364" s="6"/>
    </row>
    <row r="365" spans="1:18" s="7" customFormat="1" x14ac:dyDescent="0.25">
      <c r="A365" s="6"/>
      <c r="B365" s="6"/>
      <c r="C365" s="6"/>
      <c r="D365" s="6"/>
      <c r="E365" s="6"/>
      <c r="F365" s="6"/>
      <c r="O365" s="6"/>
      <c r="P365" s="6"/>
      <c r="Q365" s="6"/>
      <c r="R365" s="6"/>
    </row>
    <row r="366" spans="1:18" s="7" customFormat="1" x14ac:dyDescent="0.25">
      <c r="A366" s="6"/>
      <c r="B366" s="6"/>
      <c r="C366" s="6"/>
      <c r="D366" s="6"/>
      <c r="E366" s="6"/>
      <c r="F366" s="6"/>
      <c r="O366" s="6"/>
      <c r="P366" s="6"/>
      <c r="Q366" s="6"/>
      <c r="R366" s="6"/>
    </row>
    <row r="367" spans="1:18" s="7" customFormat="1" x14ac:dyDescent="0.25">
      <c r="A367" s="6"/>
      <c r="B367" s="6"/>
      <c r="C367" s="6"/>
      <c r="D367" s="6"/>
      <c r="E367" s="6"/>
      <c r="F367" s="6"/>
      <c r="O367" s="6"/>
      <c r="P367" s="6"/>
      <c r="Q367" s="6"/>
      <c r="R367" s="6"/>
    </row>
    <row r="368" spans="1:18" s="7" customFormat="1" x14ac:dyDescent="0.25">
      <c r="A368" s="6"/>
      <c r="B368" s="6"/>
      <c r="C368" s="6"/>
      <c r="D368" s="6"/>
      <c r="E368" s="6"/>
      <c r="F368" s="6"/>
      <c r="O368" s="6"/>
      <c r="P368" s="6"/>
      <c r="Q368" s="6"/>
      <c r="R368" s="6"/>
    </row>
    <row r="369" spans="1:18" s="7" customFormat="1" x14ac:dyDescent="0.25">
      <c r="A369" s="6"/>
      <c r="B369" s="6"/>
      <c r="C369" s="6"/>
      <c r="D369" s="6"/>
      <c r="E369" s="6"/>
      <c r="F369" s="6"/>
      <c r="O369" s="6"/>
      <c r="P369" s="6"/>
      <c r="Q369" s="6"/>
      <c r="R369" s="6"/>
    </row>
    <row r="370" spans="1:18" s="7" customFormat="1" x14ac:dyDescent="0.25">
      <c r="A370" s="6"/>
      <c r="B370" s="6"/>
      <c r="C370" s="6"/>
      <c r="D370" s="6"/>
      <c r="E370" s="6"/>
      <c r="F370" s="6"/>
      <c r="O370" s="6"/>
      <c r="P370" s="6"/>
      <c r="Q370" s="6"/>
      <c r="R370" s="6"/>
    </row>
    <row r="371" spans="1:18" s="7" customFormat="1" x14ac:dyDescent="0.25">
      <c r="A371" s="1"/>
      <c r="B371" s="1"/>
      <c r="C371" s="1"/>
      <c r="D371" s="1"/>
      <c r="E371" s="1"/>
      <c r="F371" s="1"/>
      <c r="G371"/>
      <c r="H371"/>
      <c r="I371"/>
      <c r="J371"/>
      <c r="K371"/>
      <c r="L371"/>
      <c r="O371" s="6"/>
      <c r="P371" s="6"/>
      <c r="Q371" s="6"/>
      <c r="R371" s="6"/>
    </row>
  </sheetData>
  <mergeCells count="29">
    <mergeCell ref="D1:H2"/>
    <mergeCell ref="D21:F21"/>
    <mergeCell ref="D22:F22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4:E4"/>
    <mergeCell ref="D10:E10"/>
    <mergeCell ref="D20:H20"/>
    <mergeCell ref="D8:E8"/>
    <mergeCell ref="D26:F26"/>
    <mergeCell ref="D27:F27"/>
    <mergeCell ref="D29:F29"/>
    <mergeCell ref="D30:F30"/>
    <mergeCell ref="D31:F31"/>
    <mergeCell ref="D3:E3"/>
    <mergeCell ref="D9:E9"/>
    <mergeCell ref="D23:F23"/>
    <mergeCell ref="D24:F24"/>
    <mergeCell ref="D25:F25"/>
    <mergeCell ref="D5:E5"/>
    <mergeCell ref="D6:E6"/>
    <mergeCell ref="D7:E7"/>
  </mergeCells>
  <phoneticPr fontId="3" type="noConversion"/>
  <hyperlinks>
    <hyperlink ref="J16" location="'Analisis Inputs Grales'!A1" display="Definir" xr:uid="{BC345B02-D058-4964-BAE1-B8C014B94775}"/>
  </hyperlink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63A98-7CA5-4218-93F1-2A6D13CFB808}">
  <sheetPr codeName="Hoja2">
    <tabColor theme="4" tint="-0.249977111117893"/>
  </sheetPr>
  <dimension ref="A1:E8"/>
  <sheetViews>
    <sheetView workbookViewId="0">
      <selection activeCell="H23" sqref="H23"/>
    </sheetView>
  </sheetViews>
  <sheetFormatPr baseColWidth="10" defaultRowHeight="15" x14ac:dyDescent="0.25"/>
  <cols>
    <col min="1" max="1" width="24.5703125" bestFit="1" customWidth="1"/>
  </cols>
  <sheetData>
    <row r="1" spans="1:5" x14ac:dyDescent="0.25">
      <c r="A1" t="s">
        <v>53</v>
      </c>
      <c r="B1" t="s">
        <v>41</v>
      </c>
      <c r="C1" t="s">
        <v>42</v>
      </c>
      <c r="D1" t="s">
        <v>43</v>
      </c>
      <c r="E1" t="s">
        <v>58</v>
      </c>
    </row>
    <row r="2" spans="1:5" x14ac:dyDescent="0.25">
      <c r="A2" t="s">
        <v>56</v>
      </c>
      <c r="B2">
        <v>120</v>
      </c>
      <c r="C2">
        <v>85</v>
      </c>
      <c r="D2">
        <v>160</v>
      </c>
      <c r="E2">
        <v>170</v>
      </c>
    </row>
    <row r="4" spans="1:5" x14ac:dyDescent="0.25">
      <c r="A4" t="s">
        <v>54</v>
      </c>
      <c r="B4" t="s">
        <v>37</v>
      </c>
      <c r="C4" t="s">
        <v>38</v>
      </c>
      <c r="D4" t="s">
        <v>39</v>
      </c>
      <c r="E4" t="s">
        <v>57</v>
      </c>
    </row>
    <row r="5" spans="1:5" x14ac:dyDescent="0.25">
      <c r="A5" t="s">
        <v>56</v>
      </c>
      <c r="B5">
        <v>0</v>
      </c>
      <c r="C5">
        <v>300</v>
      </c>
      <c r="D5">
        <v>0</v>
      </c>
      <c r="E5">
        <v>0</v>
      </c>
    </row>
    <row r="7" spans="1:5" x14ac:dyDescent="0.25">
      <c r="A7" t="s">
        <v>55</v>
      </c>
      <c r="B7" t="s">
        <v>35</v>
      </c>
      <c r="C7" t="s">
        <v>36</v>
      </c>
    </row>
    <row r="8" spans="1:5" x14ac:dyDescent="0.25">
      <c r="A8" t="s">
        <v>56</v>
      </c>
      <c r="B8">
        <v>1800</v>
      </c>
      <c r="C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D84F1-BB8D-4943-A370-47B4C751AF37}">
  <sheetPr codeName="Hoja1">
    <tabColor theme="4" tint="-0.249977111117893"/>
  </sheetPr>
  <dimension ref="A1:AP5"/>
  <sheetViews>
    <sheetView workbookViewId="0">
      <selection activeCell="H23" sqref="H23"/>
    </sheetView>
  </sheetViews>
  <sheetFormatPr baseColWidth="10" defaultRowHeight="15" x14ac:dyDescent="0.25"/>
  <cols>
    <col min="1" max="1" width="16.85546875" style="1" bestFit="1" customWidth="1"/>
    <col min="2" max="42" width="11.42578125" style="1"/>
  </cols>
  <sheetData>
    <row r="1" spans="1:5" x14ac:dyDescent="0.25">
      <c r="A1" s="1" t="s">
        <v>50</v>
      </c>
      <c r="B1" s="1" t="s">
        <v>37</v>
      </c>
      <c r="C1" s="1" t="s">
        <v>38</v>
      </c>
      <c r="D1" s="1" t="s">
        <v>39</v>
      </c>
      <c r="E1" s="1" t="s">
        <v>57</v>
      </c>
    </row>
    <row r="2" spans="1:5" x14ac:dyDescent="0.25">
      <c r="A2" s="1" t="s">
        <v>41</v>
      </c>
      <c r="B2" s="1">
        <v>3</v>
      </c>
      <c r="C2" s="1">
        <v>6</v>
      </c>
      <c r="D2" s="1">
        <v>7</v>
      </c>
      <c r="E2" s="1">
        <v>9</v>
      </c>
    </row>
    <row r="3" spans="1:5" x14ac:dyDescent="0.25">
      <c r="A3" s="1" t="s">
        <v>42</v>
      </c>
      <c r="B3" s="1">
        <v>3</v>
      </c>
      <c r="C3" s="1">
        <v>3</v>
      </c>
      <c r="D3" s="1">
        <v>4</v>
      </c>
      <c r="E3" s="1">
        <v>8</v>
      </c>
    </row>
    <row r="4" spans="1:5" x14ac:dyDescent="0.25">
      <c r="A4" s="1" t="s">
        <v>43</v>
      </c>
      <c r="B4" s="1">
        <v>4</v>
      </c>
      <c r="C4" s="1">
        <v>3</v>
      </c>
      <c r="D4" s="1">
        <v>3</v>
      </c>
      <c r="E4" s="1">
        <v>7</v>
      </c>
    </row>
    <row r="5" spans="1:5" x14ac:dyDescent="0.25">
      <c r="A5" s="1" t="s">
        <v>58</v>
      </c>
      <c r="B5" s="1">
        <v>8</v>
      </c>
      <c r="C5" s="1">
        <v>5</v>
      </c>
      <c r="D5" s="1">
        <v>3</v>
      </c>
      <c r="E5" s="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4DC0-3ECB-421F-99E0-C24E87D0232F}">
  <sheetPr codeName="Hoja6">
    <tabColor theme="4" tint="-0.249977111117893"/>
  </sheetPr>
  <dimension ref="A1:AP5"/>
  <sheetViews>
    <sheetView workbookViewId="0">
      <selection activeCell="H23" sqref="H23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3" x14ac:dyDescent="0.25">
      <c r="A1" s="1" t="s">
        <v>51</v>
      </c>
      <c r="B1" s="1" t="s">
        <v>35</v>
      </c>
      <c r="C1" s="1" t="s">
        <v>36</v>
      </c>
    </row>
    <row r="2" spans="1:3" x14ac:dyDescent="0.25">
      <c r="A2" s="1" t="s">
        <v>37</v>
      </c>
      <c r="B2" s="1">
        <v>30</v>
      </c>
      <c r="C2" s="1">
        <v>34</v>
      </c>
    </row>
    <row r="3" spans="1:3" x14ac:dyDescent="0.25">
      <c r="A3" s="1" t="s">
        <v>38</v>
      </c>
      <c r="B3" s="1">
        <v>31</v>
      </c>
      <c r="C3" s="1">
        <v>31</v>
      </c>
    </row>
    <row r="4" spans="1:3" x14ac:dyDescent="0.25">
      <c r="A4" s="1" t="s">
        <v>39</v>
      </c>
      <c r="B4" s="1">
        <v>40</v>
      </c>
      <c r="C4" s="1">
        <v>39</v>
      </c>
    </row>
    <row r="5" spans="1:3" x14ac:dyDescent="0.25">
      <c r="A5" s="1" t="s">
        <v>57</v>
      </c>
      <c r="B5" s="1">
        <v>42</v>
      </c>
      <c r="C5" s="1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FF46C-8E19-4E58-8750-746CF22596CA}">
  <sheetPr codeName="Hoja5">
    <tabColor theme="4" tint="-0.249977111117893"/>
  </sheetPr>
  <dimension ref="A1:AP5"/>
  <sheetViews>
    <sheetView workbookViewId="0">
      <selection activeCell="H23" sqref="H23"/>
    </sheetView>
  </sheetViews>
  <sheetFormatPr baseColWidth="10" defaultRowHeight="15" x14ac:dyDescent="0.25"/>
  <cols>
    <col min="1" max="1" width="17.28515625" style="1" bestFit="1" customWidth="1"/>
    <col min="2" max="42" width="11.42578125" style="1"/>
  </cols>
  <sheetData>
    <row r="1" spans="1:3" x14ac:dyDescent="0.25">
      <c r="A1" s="1" t="s">
        <v>52</v>
      </c>
      <c r="B1" s="1" t="s">
        <v>35</v>
      </c>
      <c r="C1" s="1" t="s">
        <v>36</v>
      </c>
    </row>
    <row r="2" spans="1:3" x14ac:dyDescent="0.25">
      <c r="A2" s="1" t="s">
        <v>41</v>
      </c>
      <c r="B2" s="1">
        <v>36</v>
      </c>
      <c r="C2" s="1">
        <v>34</v>
      </c>
    </row>
    <row r="3" spans="1:3" x14ac:dyDescent="0.25">
      <c r="A3" s="1" t="s">
        <v>42</v>
      </c>
      <c r="B3" s="1">
        <v>37</v>
      </c>
      <c r="C3" s="1">
        <v>37</v>
      </c>
    </row>
    <row r="4" spans="1:3" x14ac:dyDescent="0.25">
      <c r="A4" s="1" t="s">
        <v>43</v>
      </c>
      <c r="B4" s="1">
        <v>39</v>
      </c>
      <c r="C4" s="1">
        <v>40</v>
      </c>
    </row>
    <row r="5" spans="1:3" x14ac:dyDescent="0.25">
      <c r="A5" s="1" t="s">
        <v>58</v>
      </c>
      <c r="B5" s="1">
        <v>42</v>
      </c>
      <c r="C5" s="1">
        <v>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E37C-4384-41BE-9751-32CE805CE083}">
  <sheetPr>
    <tabColor rgb="FFFF0000"/>
  </sheetPr>
  <dimension ref="B1:K95"/>
  <sheetViews>
    <sheetView topLeftCell="A37" zoomScale="80" zoomScaleNormal="80" workbookViewId="0">
      <selection activeCell="F56" sqref="F56"/>
    </sheetView>
  </sheetViews>
  <sheetFormatPr baseColWidth="10" defaultRowHeight="14.25" x14ac:dyDescent="0.2"/>
  <cols>
    <col min="1" max="1" width="11.42578125" style="28"/>
    <col min="2" max="2" width="53.42578125" style="28" bestFit="1" customWidth="1"/>
    <col min="3" max="3" width="15.5703125" style="46" customWidth="1"/>
    <col min="4" max="4" width="11.42578125" style="36"/>
    <col min="5" max="7" width="11.42578125" style="28"/>
    <col min="8" max="8" width="23.28515625" style="28" bestFit="1" customWidth="1"/>
    <col min="9" max="16384" width="11.42578125" style="28"/>
  </cols>
  <sheetData>
    <row r="1" spans="2:11" ht="15" thickBot="1" x14ac:dyDescent="0.25"/>
    <row r="2" spans="2:11" ht="15.75" thickBot="1" x14ac:dyDescent="0.25">
      <c r="B2" s="90" t="s">
        <v>162</v>
      </c>
      <c r="C2" s="91">
        <v>5</v>
      </c>
    </row>
    <row r="3" spans="2:11" ht="15.75" thickBot="1" x14ac:dyDescent="0.25">
      <c r="B3" s="90" t="s">
        <v>161</v>
      </c>
      <c r="C3" s="91">
        <v>5</v>
      </c>
    </row>
    <row r="5" spans="2:11" ht="15" x14ac:dyDescent="0.25">
      <c r="B5" s="27" t="s">
        <v>61</v>
      </c>
    </row>
    <row r="7" spans="2:11" ht="15" x14ac:dyDescent="0.25">
      <c r="B7" s="40" t="s">
        <v>160</v>
      </c>
      <c r="E7" s="28">
        <v>10</v>
      </c>
      <c r="F7" s="28">
        <v>20</v>
      </c>
      <c r="H7" s="28" t="s">
        <v>62</v>
      </c>
    </row>
    <row r="8" spans="2:11" x14ac:dyDescent="0.2">
      <c r="B8" s="28" t="s">
        <v>7</v>
      </c>
      <c r="C8" s="46" t="s">
        <v>63</v>
      </c>
      <c r="D8" s="92">
        <f>INPUTS_Generales!F10</f>
        <v>12</v>
      </c>
      <c r="E8" s="29">
        <v>12</v>
      </c>
      <c r="F8" s="29">
        <v>12</v>
      </c>
      <c r="H8" s="28" t="s">
        <v>64</v>
      </c>
    </row>
    <row r="9" spans="2:11" ht="13.5" customHeight="1" x14ac:dyDescent="0.2">
      <c r="B9" s="28" t="s">
        <v>65</v>
      </c>
      <c r="C9" s="46" t="s">
        <v>66</v>
      </c>
      <c r="D9" s="93">
        <f>INPUTS_Generales!F13</f>
        <v>0.5</v>
      </c>
      <c r="E9" s="30">
        <v>0.5</v>
      </c>
      <c r="F9" s="30">
        <v>0.5</v>
      </c>
    </row>
    <row r="10" spans="2:11" x14ac:dyDescent="0.2">
      <c r="B10" s="28" t="s">
        <v>7</v>
      </c>
      <c r="C10" s="46" t="s">
        <v>67</v>
      </c>
      <c r="D10" s="36">
        <f>D9*D8</f>
        <v>6</v>
      </c>
      <c r="E10" s="28">
        <f>+E8*E9</f>
        <v>6</v>
      </c>
      <c r="F10" s="28">
        <f>+F8*F9</f>
        <v>6</v>
      </c>
    </row>
    <row r="11" spans="2:11" x14ac:dyDescent="0.2">
      <c r="B11" s="28" t="s">
        <v>68</v>
      </c>
      <c r="C11" s="46" t="s">
        <v>69</v>
      </c>
      <c r="D11" s="36">
        <v>1</v>
      </c>
      <c r="E11" s="29">
        <v>1</v>
      </c>
      <c r="F11" s="29">
        <v>1</v>
      </c>
      <c r="H11" s="28" t="s">
        <v>64</v>
      </c>
      <c r="J11" s="28" t="s">
        <v>70</v>
      </c>
      <c r="K11" s="28" t="s">
        <v>71</v>
      </c>
    </row>
    <row r="13" spans="2:11" ht="15" x14ac:dyDescent="0.25">
      <c r="B13" s="101" t="s">
        <v>159</v>
      </c>
      <c r="D13" s="98"/>
      <c r="H13" s="28" t="s">
        <v>73</v>
      </c>
      <c r="J13" s="31">
        <v>55522.61</v>
      </c>
      <c r="K13" s="31">
        <v>20515</v>
      </c>
    </row>
    <row r="14" spans="2:11" s="97" customFormat="1" x14ac:dyDescent="0.2">
      <c r="B14" s="97" t="s">
        <v>154</v>
      </c>
      <c r="C14" s="100" t="s">
        <v>110</v>
      </c>
      <c r="D14" s="102">
        <v>500</v>
      </c>
      <c r="J14" s="99"/>
      <c r="K14" s="99"/>
    </row>
    <row r="15" spans="2:11" s="97" customFormat="1" x14ac:dyDescent="0.2">
      <c r="B15" s="97" t="s">
        <v>155</v>
      </c>
      <c r="C15" s="100" t="s">
        <v>110</v>
      </c>
      <c r="D15" s="102">
        <v>390</v>
      </c>
      <c r="J15" s="99"/>
      <c r="K15" s="99"/>
    </row>
    <row r="16" spans="2:11" s="97" customFormat="1" x14ac:dyDescent="0.2">
      <c r="B16" s="97" t="s">
        <v>156</v>
      </c>
      <c r="C16" s="100" t="s">
        <v>16</v>
      </c>
      <c r="D16" s="102">
        <v>4</v>
      </c>
      <c r="J16" s="99"/>
      <c r="K16" s="99"/>
    </row>
    <row r="17" spans="2:11" s="97" customFormat="1" x14ac:dyDescent="0.2">
      <c r="B17" s="97" t="s">
        <v>157</v>
      </c>
      <c r="C17" s="100" t="s">
        <v>110</v>
      </c>
      <c r="D17" s="98">
        <f>D14+D16*D15</f>
        <v>2060</v>
      </c>
      <c r="J17" s="99"/>
      <c r="K17" s="99"/>
    </row>
    <row r="18" spans="2:11" s="97" customFormat="1" x14ac:dyDescent="0.2">
      <c r="B18" s="103" t="s">
        <v>158</v>
      </c>
      <c r="C18" s="100" t="s">
        <v>72</v>
      </c>
      <c r="D18" s="98">
        <f>D17*12</f>
        <v>24720</v>
      </c>
      <c r="J18" s="99"/>
      <c r="K18" s="99"/>
    </row>
    <row r="19" spans="2:11" x14ac:dyDescent="0.2">
      <c r="B19" s="28" t="s">
        <v>74</v>
      </c>
      <c r="D19" s="94">
        <v>1</v>
      </c>
      <c r="E19" s="28">
        <f>+E11</f>
        <v>1</v>
      </c>
      <c r="F19" s="28">
        <f>+F11</f>
        <v>1</v>
      </c>
    </row>
    <row r="20" spans="2:11" x14ac:dyDescent="0.2">
      <c r="B20" s="28" t="s">
        <v>75</v>
      </c>
      <c r="C20" s="46" t="s">
        <v>76</v>
      </c>
      <c r="D20" s="98">
        <f>INPUTS_Generales!F4</f>
        <v>8</v>
      </c>
    </row>
    <row r="21" spans="2:11" x14ac:dyDescent="0.2">
      <c r="B21" s="28" t="s">
        <v>77</v>
      </c>
      <c r="C21" s="46" t="s">
        <v>78</v>
      </c>
      <c r="D21" s="102">
        <v>6</v>
      </c>
    </row>
    <row r="22" spans="2:11" x14ac:dyDescent="0.2">
      <c r="B22" s="28" t="s">
        <v>163</v>
      </c>
      <c r="C22" s="46" t="s">
        <v>164</v>
      </c>
      <c r="D22" s="109">
        <v>4.5</v>
      </c>
    </row>
    <row r="23" spans="2:11" x14ac:dyDescent="0.2">
      <c r="B23" s="28" t="s">
        <v>77</v>
      </c>
      <c r="C23" s="46" t="s">
        <v>79</v>
      </c>
      <c r="D23" s="98">
        <f>D22*D21</f>
        <v>27</v>
      </c>
    </row>
    <row r="24" spans="2:11" x14ac:dyDescent="0.2">
      <c r="B24" s="28" t="s">
        <v>80</v>
      </c>
      <c r="C24" s="46" t="s">
        <v>81</v>
      </c>
      <c r="D24" s="94">
        <f>60*D20*D23</f>
        <v>12960</v>
      </c>
    </row>
    <row r="25" spans="2:11" x14ac:dyDescent="0.2">
      <c r="B25" s="28" t="s">
        <v>82</v>
      </c>
      <c r="C25" s="46" t="s">
        <v>83</v>
      </c>
      <c r="D25" s="102">
        <v>35000</v>
      </c>
      <c r="H25" s="28" t="s">
        <v>73</v>
      </c>
      <c r="J25" s="31">
        <v>151762</v>
      </c>
      <c r="K25" s="31">
        <v>265000</v>
      </c>
    </row>
    <row r="26" spans="2:11" x14ac:dyDescent="0.2">
      <c r="B26" s="28" t="s">
        <v>84</v>
      </c>
      <c r="C26" s="46" t="s">
        <v>85</v>
      </c>
      <c r="D26" s="36">
        <f>D25*D11</f>
        <v>35000</v>
      </c>
      <c r="E26" s="32">
        <f>+E11*$D$25</f>
        <v>35000</v>
      </c>
      <c r="F26" s="32">
        <f>+F11*$D$25</f>
        <v>35000</v>
      </c>
    </row>
    <row r="27" spans="2:11" x14ac:dyDescent="0.2">
      <c r="B27" s="28" t="s">
        <v>86</v>
      </c>
      <c r="C27" s="46" t="s">
        <v>87</v>
      </c>
      <c r="D27" s="98">
        <f>C2</f>
        <v>5</v>
      </c>
    </row>
    <row r="28" spans="2:11" ht="28.5" x14ac:dyDescent="0.2">
      <c r="B28" s="33" t="s">
        <v>88</v>
      </c>
      <c r="C28" s="46" t="s">
        <v>89</v>
      </c>
      <c r="D28" s="104">
        <v>0.1</v>
      </c>
    </row>
    <row r="29" spans="2:11" x14ac:dyDescent="0.2">
      <c r="B29" s="33" t="s">
        <v>90</v>
      </c>
      <c r="C29" s="46" t="s">
        <v>91</v>
      </c>
      <c r="D29" s="105">
        <f>INPUTS_Generales!F17</f>
        <v>2.8</v>
      </c>
    </row>
    <row r="30" spans="2:11" x14ac:dyDescent="0.2">
      <c r="B30" s="33" t="s">
        <v>92</v>
      </c>
      <c r="C30" s="46" t="s">
        <v>20</v>
      </c>
      <c r="D30" s="105">
        <f>INPUTS_Generales!F9</f>
        <v>60</v>
      </c>
    </row>
    <row r="31" spans="2:11" x14ac:dyDescent="0.2">
      <c r="B31" s="33" t="s">
        <v>93</v>
      </c>
      <c r="C31" s="46" t="s">
        <v>94</v>
      </c>
      <c r="D31" s="106">
        <v>0.35</v>
      </c>
      <c r="J31" s="34">
        <v>0.54</v>
      </c>
    </row>
    <row r="32" spans="2:11" x14ac:dyDescent="0.2">
      <c r="B32" s="33" t="s">
        <v>95</v>
      </c>
      <c r="C32" s="46" t="s">
        <v>89</v>
      </c>
      <c r="D32" s="104">
        <v>0.15</v>
      </c>
    </row>
    <row r="33" spans="2:8" ht="28.5" x14ac:dyDescent="0.2">
      <c r="B33" s="33" t="s">
        <v>96</v>
      </c>
      <c r="C33" s="46" t="s">
        <v>89</v>
      </c>
      <c r="D33" s="104">
        <v>0.4</v>
      </c>
    </row>
    <row r="36" spans="2:8" ht="15" x14ac:dyDescent="0.25">
      <c r="B36" s="27" t="s">
        <v>97</v>
      </c>
    </row>
    <row r="38" spans="2:8" ht="15" x14ac:dyDescent="0.25">
      <c r="B38" s="40" t="s">
        <v>160</v>
      </c>
      <c r="E38" s="28">
        <v>10</v>
      </c>
      <c r="F38" s="28">
        <v>20</v>
      </c>
      <c r="H38" s="28" t="s">
        <v>62</v>
      </c>
    </row>
    <row r="39" spans="2:8" x14ac:dyDescent="0.2">
      <c r="B39" s="28" t="s">
        <v>7</v>
      </c>
      <c r="C39" s="46" t="s">
        <v>63</v>
      </c>
      <c r="D39" s="93">
        <f>INPUTS_Generales!G10</f>
        <v>56</v>
      </c>
      <c r="E39" s="29">
        <v>56</v>
      </c>
      <c r="F39" s="29">
        <v>56</v>
      </c>
      <c r="H39" s="28" t="s">
        <v>64</v>
      </c>
    </row>
    <row r="40" spans="2:8" x14ac:dyDescent="0.2">
      <c r="B40" s="28" t="s">
        <v>65</v>
      </c>
      <c r="C40" s="46" t="s">
        <v>66</v>
      </c>
      <c r="D40" s="93">
        <f>INPUTS_Generales!G13</f>
        <v>0.5</v>
      </c>
      <c r="E40" s="30">
        <v>0.5</v>
      </c>
      <c r="F40" s="30">
        <v>0.5</v>
      </c>
    </row>
    <row r="41" spans="2:8" x14ac:dyDescent="0.2">
      <c r="B41" s="28" t="s">
        <v>7</v>
      </c>
      <c r="C41" s="46" t="s">
        <v>67</v>
      </c>
      <c r="D41" s="36">
        <f>D40*D39</f>
        <v>28</v>
      </c>
      <c r="E41" s="28">
        <f>+E39*E40</f>
        <v>28</v>
      </c>
      <c r="F41" s="28">
        <f>+F39*F40</f>
        <v>28</v>
      </c>
    </row>
    <row r="42" spans="2:8" x14ac:dyDescent="0.2">
      <c r="B42" s="28" t="s">
        <v>68</v>
      </c>
      <c r="C42" s="46" t="s">
        <v>69</v>
      </c>
      <c r="D42" s="36">
        <v>1</v>
      </c>
      <c r="E42" s="29">
        <v>1</v>
      </c>
      <c r="F42" s="29">
        <v>1</v>
      </c>
      <c r="H42" s="28" t="s">
        <v>64</v>
      </c>
    </row>
    <row r="43" spans="2:8" x14ac:dyDescent="0.2">
      <c r="E43" s="29"/>
      <c r="F43" s="29"/>
    </row>
    <row r="44" spans="2:8" ht="15" x14ac:dyDescent="0.25">
      <c r="B44" s="101" t="s">
        <v>159</v>
      </c>
    </row>
    <row r="45" spans="2:8" x14ac:dyDescent="0.2">
      <c r="B45" s="97" t="s">
        <v>154</v>
      </c>
      <c r="C45" s="100" t="s">
        <v>110</v>
      </c>
      <c r="D45" s="102">
        <v>500</v>
      </c>
    </row>
    <row r="46" spans="2:8" x14ac:dyDescent="0.2">
      <c r="B46" s="97" t="s">
        <v>155</v>
      </c>
      <c r="C46" s="100" t="s">
        <v>110</v>
      </c>
      <c r="D46" s="102">
        <v>390</v>
      </c>
    </row>
    <row r="47" spans="2:8" x14ac:dyDescent="0.2">
      <c r="B47" s="97" t="s">
        <v>156</v>
      </c>
      <c r="C47" s="100" t="s">
        <v>16</v>
      </c>
      <c r="D47" s="102">
        <v>0</v>
      </c>
    </row>
    <row r="48" spans="2:8" x14ac:dyDescent="0.2">
      <c r="B48" s="97" t="s">
        <v>157</v>
      </c>
      <c r="C48" s="100" t="s">
        <v>110</v>
      </c>
      <c r="D48" s="98">
        <f>D45+D47*D46</f>
        <v>500</v>
      </c>
    </row>
    <row r="49" spans="2:8" x14ac:dyDescent="0.2">
      <c r="B49" s="103" t="s">
        <v>158</v>
      </c>
      <c r="C49" s="100" t="s">
        <v>72</v>
      </c>
      <c r="D49" s="98">
        <f>D48*12</f>
        <v>6000</v>
      </c>
    </row>
    <row r="50" spans="2:8" x14ac:dyDescent="0.2">
      <c r="B50" s="28" t="s">
        <v>74</v>
      </c>
      <c r="D50" s="94">
        <v>1</v>
      </c>
      <c r="E50" s="28">
        <f>+E42</f>
        <v>1</v>
      </c>
      <c r="F50" s="28">
        <f>+F42</f>
        <v>1</v>
      </c>
    </row>
    <row r="51" spans="2:8" x14ac:dyDescent="0.2">
      <c r="B51" s="28" t="s">
        <v>75</v>
      </c>
      <c r="C51" s="46" t="s">
        <v>76</v>
      </c>
      <c r="D51" s="98">
        <f>INPUTS_Generales!G4</f>
        <v>8</v>
      </c>
    </row>
    <row r="52" spans="2:8" x14ac:dyDescent="0.2">
      <c r="B52" s="28" t="s">
        <v>77</v>
      </c>
      <c r="C52" s="46" t="s">
        <v>78</v>
      </c>
      <c r="D52" s="102">
        <v>6</v>
      </c>
    </row>
    <row r="53" spans="2:8" x14ac:dyDescent="0.2">
      <c r="B53" s="28" t="s">
        <v>163</v>
      </c>
      <c r="C53" s="46" t="s">
        <v>164</v>
      </c>
      <c r="D53" s="109">
        <v>4.5</v>
      </c>
    </row>
    <row r="54" spans="2:8" x14ac:dyDescent="0.2">
      <c r="B54" s="28" t="s">
        <v>77</v>
      </c>
      <c r="C54" s="46" t="s">
        <v>79</v>
      </c>
      <c r="D54" s="98">
        <f>D53*D52</f>
        <v>27</v>
      </c>
    </row>
    <row r="55" spans="2:8" x14ac:dyDescent="0.2">
      <c r="B55" s="28" t="s">
        <v>80</v>
      </c>
      <c r="C55" s="46" t="s">
        <v>81</v>
      </c>
      <c r="D55" s="94">
        <f>60*D51*D54</f>
        <v>12960</v>
      </c>
    </row>
    <row r="56" spans="2:8" x14ac:dyDescent="0.2">
      <c r="B56" s="28" t="s">
        <v>98</v>
      </c>
      <c r="C56" s="46" t="s">
        <v>83</v>
      </c>
      <c r="D56" s="102">
        <v>147000</v>
      </c>
      <c r="H56" s="28" t="s">
        <v>73</v>
      </c>
    </row>
    <row r="57" spans="2:8" x14ac:dyDescent="0.2">
      <c r="B57" s="28" t="s">
        <v>84</v>
      </c>
      <c r="C57" s="46" t="s">
        <v>85</v>
      </c>
      <c r="D57" s="36">
        <f>D56*D42</f>
        <v>147000</v>
      </c>
      <c r="E57" s="32">
        <f>+E42*$D$56</f>
        <v>147000</v>
      </c>
      <c r="F57" s="32">
        <f>+F42*$D$56</f>
        <v>147000</v>
      </c>
    </row>
    <row r="58" spans="2:8" x14ac:dyDescent="0.2">
      <c r="B58" s="28" t="s">
        <v>86</v>
      </c>
      <c r="C58" s="46" t="s">
        <v>87</v>
      </c>
      <c r="D58" s="98">
        <f>C3</f>
        <v>5</v>
      </c>
    </row>
    <row r="59" spans="2:8" ht="28.5" x14ac:dyDescent="0.2">
      <c r="B59" s="33" t="s">
        <v>88</v>
      </c>
      <c r="C59" s="36" t="s">
        <v>89</v>
      </c>
      <c r="D59" s="104">
        <v>0.1</v>
      </c>
    </row>
    <row r="60" spans="2:8" x14ac:dyDescent="0.2">
      <c r="B60" s="33" t="s">
        <v>90</v>
      </c>
      <c r="C60" s="46" t="s">
        <v>91</v>
      </c>
      <c r="D60" s="105">
        <f>INPUTS_Generales!G17</f>
        <v>2.2000000000000002</v>
      </c>
    </row>
    <row r="61" spans="2:8" x14ac:dyDescent="0.2">
      <c r="B61" s="33" t="s">
        <v>92</v>
      </c>
      <c r="C61" s="46" t="s">
        <v>20</v>
      </c>
      <c r="D61" s="105">
        <f>INPUTS_Generales!G9</f>
        <v>60</v>
      </c>
    </row>
    <row r="62" spans="2:8" x14ac:dyDescent="0.2">
      <c r="B62" s="33" t="s">
        <v>93</v>
      </c>
      <c r="C62" s="46" t="s">
        <v>94</v>
      </c>
      <c r="D62" s="106">
        <v>0.35</v>
      </c>
    </row>
    <row r="63" spans="2:8" x14ac:dyDescent="0.2">
      <c r="B63" s="33" t="s">
        <v>95</v>
      </c>
      <c r="C63" s="46" t="s">
        <v>89</v>
      </c>
      <c r="D63" s="104">
        <v>0.15</v>
      </c>
    </row>
    <row r="64" spans="2:8" x14ac:dyDescent="0.2">
      <c r="B64" s="33" t="s">
        <v>96</v>
      </c>
      <c r="C64" s="46" t="s">
        <v>89</v>
      </c>
      <c r="D64" s="104">
        <v>0.4</v>
      </c>
    </row>
    <row r="66" spans="2:7" x14ac:dyDescent="0.2">
      <c r="B66" s="35" t="s">
        <v>99</v>
      </c>
    </row>
    <row r="67" spans="2:7" ht="28.5" x14ac:dyDescent="0.2">
      <c r="B67" s="33" t="s">
        <v>100</v>
      </c>
      <c r="C67" s="36" t="s">
        <v>19</v>
      </c>
      <c r="D67" s="107">
        <f>INPUTS_Generales!G7*60</f>
        <v>30</v>
      </c>
    </row>
    <row r="68" spans="2:7" ht="28.5" x14ac:dyDescent="0.2">
      <c r="B68" s="33" t="s">
        <v>101</v>
      </c>
      <c r="C68" s="36" t="s">
        <v>19</v>
      </c>
      <c r="D68" s="108">
        <f>INPUTS_Generales!G8</f>
        <v>5</v>
      </c>
    </row>
    <row r="71" spans="2:7" ht="15" x14ac:dyDescent="0.25">
      <c r="B71" s="27" t="s">
        <v>102</v>
      </c>
    </row>
    <row r="72" spans="2:7" x14ac:dyDescent="0.2">
      <c r="B72" s="28" t="s">
        <v>103</v>
      </c>
      <c r="C72" s="46" t="s">
        <v>104</v>
      </c>
      <c r="D72" s="37">
        <v>80</v>
      </c>
    </row>
    <row r="73" spans="2:7" x14ac:dyDescent="0.2">
      <c r="B73" s="28" t="s">
        <v>7</v>
      </c>
      <c r="C73" s="46" t="s">
        <v>105</v>
      </c>
      <c r="D73" s="36">
        <f>+'Análisis Generación'!E25</f>
        <v>500</v>
      </c>
    </row>
    <row r="74" spans="2:7" ht="15" x14ac:dyDescent="0.2">
      <c r="B74" s="28" t="s">
        <v>106</v>
      </c>
      <c r="C74" s="46" t="s">
        <v>89</v>
      </c>
      <c r="D74" s="96">
        <v>0</v>
      </c>
    </row>
    <row r="75" spans="2:7" x14ac:dyDescent="0.2">
      <c r="B75" s="28" t="s">
        <v>86</v>
      </c>
      <c r="C75" s="46" t="s">
        <v>87</v>
      </c>
      <c r="D75" s="95">
        <v>20</v>
      </c>
    </row>
    <row r="76" spans="2:7" x14ac:dyDescent="0.2">
      <c r="B76" s="28" t="s">
        <v>75</v>
      </c>
      <c r="C76" s="46" t="s">
        <v>76</v>
      </c>
      <c r="D76" s="95">
        <v>8</v>
      </c>
    </row>
    <row r="77" spans="2:7" x14ac:dyDescent="0.2">
      <c r="B77" s="28" t="s">
        <v>77</v>
      </c>
      <c r="C77" s="46" t="s">
        <v>78</v>
      </c>
      <c r="D77" s="95">
        <v>6</v>
      </c>
    </row>
    <row r="78" spans="2:7" x14ac:dyDescent="0.2">
      <c r="B78" s="28" t="s">
        <v>77</v>
      </c>
      <c r="C78" s="46" t="s">
        <v>79</v>
      </c>
      <c r="D78" s="95">
        <v>27</v>
      </c>
    </row>
    <row r="79" spans="2:7" x14ac:dyDescent="0.2">
      <c r="B79" s="28" t="s">
        <v>107</v>
      </c>
      <c r="C79" s="46" t="s">
        <v>85</v>
      </c>
      <c r="D79" s="95">
        <v>1100000</v>
      </c>
      <c r="E79" s="28" t="s">
        <v>108</v>
      </c>
    </row>
    <row r="80" spans="2:7" ht="15" x14ac:dyDescent="0.25">
      <c r="B80" s="28" t="s">
        <v>109</v>
      </c>
      <c r="C80" s="46" t="s">
        <v>110</v>
      </c>
      <c r="D80" s="95">
        <f>0.009091*D79</f>
        <v>10000.1</v>
      </c>
      <c r="E80" s="28" t="s">
        <v>108</v>
      </c>
      <c r="G80" s="38"/>
    </row>
    <row r="83" spans="2:4" ht="15" x14ac:dyDescent="0.25">
      <c r="B83" s="27" t="s">
        <v>111</v>
      </c>
    </row>
    <row r="84" spans="2:4" ht="15" x14ac:dyDescent="0.2">
      <c r="B84" s="28" t="s">
        <v>112</v>
      </c>
      <c r="C84" s="46" t="s">
        <v>89</v>
      </c>
      <c r="D84" s="115">
        <v>0.12</v>
      </c>
    </row>
    <row r="94" spans="2:4" x14ac:dyDescent="0.2">
      <c r="B94" s="28" t="s">
        <v>113</v>
      </c>
    </row>
    <row r="95" spans="2:4" x14ac:dyDescent="0.2">
      <c r="B95" s="28" t="s">
        <v>114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164ED-8EFB-48A9-94FC-BF7FB958C464}">
  <sheetPr>
    <tabColor rgb="FFFF0000"/>
  </sheetPr>
  <dimension ref="B3:W187"/>
  <sheetViews>
    <sheetView tabSelected="1" topLeftCell="A3" zoomScale="85" zoomScaleNormal="85" workbookViewId="0">
      <pane xSplit="3" ySplit="2" topLeftCell="D125" activePane="bottomRight" state="frozen"/>
      <selection activeCell="E18" sqref="E18"/>
      <selection pane="topRight" activeCell="E18" sqref="E18"/>
      <selection pane="bottomLeft" activeCell="E18" sqref="E18"/>
      <selection pane="bottomRight" activeCell="G133" sqref="G133"/>
    </sheetView>
  </sheetViews>
  <sheetFormatPr baseColWidth="10" defaultRowHeight="14.25" x14ac:dyDescent="0.2"/>
  <cols>
    <col min="1" max="1" width="6" style="28" customWidth="1"/>
    <col min="2" max="2" width="41.7109375" style="28" bestFit="1" customWidth="1"/>
    <col min="3" max="3" width="10.42578125" style="28" bestFit="1" customWidth="1"/>
    <col min="4" max="16384" width="11.42578125" style="28"/>
  </cols>
  <sheetData>
    <row r="3" spans="2:23" x14ac:dyDescent="0.2">
      <c r="D3" s="28">
        <v>0</v>
      </c>
      <c r="E3" s="28">
        <v>1</v>
      </c>
      <c r="F3" s="28">
        <v>2</v>
      </c>
      <c r="G3" s="28">
        <v>3</v>
      </c>
      <c r="H3" s="28">
        <v>4</v>
      </c>
      <c r="I3" s="28">
        <v>5</v>
      </c>
      <c r="J3" s="28">
        <v>6</v>
      </c>
      <c r="K3" s="28">
        <v>7</v>
      </c>
      <c r="L3" s="28">
        <v>8</v>
      </c>
      <c r="M3" s="28">
        <v>9</v>
      </c>
      <c r="N3" s="28">
        <v>10</v>
      </c>
      <c r="O3" s="28">
        <v>11</v>
      </c>
      <c r="P3" s="28">
        <v>12</v>
      </c>
      <c r="Q3" s="28">
        <v>13</v>
      </c>
      <c r="R3" s="28">
        <v>14</v>
      </c>
      <c r="S3" s="28">
        <v>15</v>
      </c>
      <c r="T3" s="28">
        <v>16</v>
      </c>
      <c r="U3" s="28">
        <v>17</v>
      </c>
      <c r="V3" s="28">
        <v>18</v>
      </c>
      <c r="W3" s="28">
        <v>19</v>
      </c>
    </row>
    <row r="4" spans="2:23" ht="15" x14ac:dyDescent="0.25">
      <c r="D4" s="39">
        <v>2026</v>
      </c>
      <c r="E4" s="28">
        <f>+D4+1</f>
        <v>2027</v>
      </c>
      <c r="F4" s="28">
        <f t="shared" ref="F4:W4" si="0">+E4+1</f>
        <v>2028</v>
      </c>
      <c r="G4" s="28">
        <f t="shared" si="0"/>
        <v>2029</v>
      </c>
      <c r="H4" s="28">
        <f t="shared" si="0"/>
        <v>2030</v>
      </c>
      <c r="I4" s="28">
        <f t="shared" si="0"/>
        <v>2031</v>
      </c>
      <c r="J4" s="28">
        <f t="shared" si="0"/>
        <v>2032</v>
      </c>
      <c r="K4" s="28">
        <f t="shared" si="0"/>
        <v>2033</v>
      </c>
      <c r="L4" s="28">
        <f t="shared" si="0"/>
        <v>2034</v>
      </c>
      <c r="M4" s="28">
        <f t="shared" si="0"/>
        <v>2035</v>
      </c>
      <c r="N4" s="28">
        <f t="shared" si="0"/>
        <v>2036</v>
      </c>
      <c r="O4" s="28">
        <f t="shared" si="0"/>
        <v>2037</v>
      </c>
      <c r="P4" s="28">
        <f t="shared" si="0"/>
        <v>2038</v>
      </c>
      <c r="Q4" s="28">
        <f t="shared" si="0"/>
        <v>2039</v>
      </c>
      <c r="R4" s="28">
        <f t="shared" si="0"/>
        <v>2040</v>
      </c>
      <c r="S4" s="28">
        <f t="shared" si="0"/>
        <v>2041</v>
      </c>
      <c r="T4" s="28">
        <f t="shared" si="0"/>
        <v>2042</v>
      </c>
      <c r="U4" s="28">
        <f t="shared" si="0"/>
        <v>2043</v>
      </c>
      <c r="V4" s="28">
        <f t="shared" si="0"/>
        <v>2044</v>
      </c>
      <c r="W4" s="28">
        <f t="shared" si="0"/>
        <v>2045</v>
      </c>
    </row>
    <row r="5" spans="2:23" ht="15" x14ac:dyDescent="0.25">
      <c r="B5" s="40" t="s">
        <v>115</v>
      </c>
      <c r="C5" s="40" t="s">
        <v>31</v>
      </c>
    </row>
    <row r="6" spans="2:23" ht="18.75" thickBot="1" x14ac:dyDescent="0.3">
      <c r="B6" s="111" t="s">
        <v>116</v>
      </c>
    </row>
    <row r="7" spans="2:23" ht="16.5" thickBot="1" x14ac:dyDescent="0.3">
      <c r="B7" s="114" t="s">
        <v>86</v>
      </c>
      <c r="C7" s="112">
        <v>5</v>
      </c>
    </row>
    <row r="8" spans="2:23" ht="15.75" x14ac:dyDescent="0.25">
      <c r="B8" s="110" t="s">
        <v>117</v>
      </c>
    </row>
    <row r="9" spans="2:23" x14ac:dyDescent="0.2">
      <c r="B9" s="42" t="s">
        <v>118</v>
      </c>
      <c r="C9" s="43" t="s">
        <v>119</v>
      </c>
      <c r="D9" s="44">
        <f>'Analisis Inputs Grales'!$D$25*('Analisis Inputs Grales'!$D$84/12)/'Analisis Inputs Grales'!$D$24</f>
        <v>2.7006172839506171E-2</v>
      </c>
      <c r="E9" s="44">
        <f>'Analisis Inputs Grales'!$D$25*('Analisis Inputs Grales'!$D$84/12)/'Analisis Inputs Grales'!$D$24</f>
        <v>2.7006172839506171E-2</v>
      </c>
      <c r="F9" s="44">
        <f>'Analisis Inputs Grales'!$D$25*('Analisis Inputs Grales'!$D$84/12)/'Analisis Inputs Grales'!$D$24</f>
        <v>2.7006172839506171E-2</v>
      </c>
      <c r="G9" s="44">
        <f>'Analisis Inputs Grales'!$D$25*('Analisis Inputs Grales'!$D$84/12)/'Analisis Inputs Grales'!$D$24</f>
        <v>2.7006172839506171E-2</v>
      </c>
      <c r="H9" s="44">
        <f>'Analisis Inputs Grales'!$D$25*('Analisis Inputs Grales'!$D$84/12)/'Analisis Inputs Grales'!$D$24</f>
        <v>2.7006172839506171E-2</v>
      </c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</row>
    <row r="10" spans="2:23" x14ac:dyDescent="0.2">
      <c r="B10" s="45" t="s">
        <v>118</v>
      </c>
      <c r="C10" s="46" t="s">
        <v>72</v>
      </c>
      <c r="D10" s="32">
        <f>D9*'Analisis Inputs Grales'!$D$24*12</f>
        <v>4200</v>
      </c>
      <c r="E10" s="32">
        <f>E9*'Analisis Inputs Grales'!$D$24*12</f>
        <v>4200</v>
      </c>
      <c r="F10" s="32">
        <f>F9*'Analisis Inputs Grales'!$D$24*12</f>
        <v>4200</v>
      </c>
      <c r="G10" s="32">
        <f>G9*'Analisis Inputs Grales'!$D$24*12</f>
        <v>4200</v>
      </c>
      <c r="H10" s="32">
        <f>H9*'Analisis Inputs Grales'!$D$24*12</f>
        <v>4200</v>
      </c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</row>
    <row r="11" spans="2:23" x14ac:dyDescent="0.2">
      <c r="B11" s="42" t="s">
        <v>120</v>
      </c>
      <c r="C11" s="43" t="s">
        <v>119</v>
      </c>
      <c r="D11" s="44">
        <f>('Analisis Inputs Grales'!$D$26-'Analisis Inputs Grales'!$D$28*'Analisis Inputs Grales'!$D$26)/('Analisis Inputs Grales'!$D$24*$C7*12)</f>
        <v>4.0509259259259259E-2</v>
      </c>
      <c r="E11" s="44">
        <f>('Analisis Inputs Grales'!$D$26-'Analisis Inputs Grales'!$D$28*'Analisis Inputs Grales'!$D$26)/('Analisis Inputs Grales'!$D$24*$C7*12)</f>
        <v>4.0509259259259259E-2</v>
      </c>
      <c r="F11" s="44">
        <f>('Analisis Inputs Grales'!$D$26-'Analisis Inputs Grales'!$D$28*'Analisis Inputs Grales'!$D$26)/('Analisis Inputs Grales'!$D$24*$C7*12)</f>
        <v>4.0509259259259259E-2</v>
      </c>
      <c r="G11" s="44">
        <f>('Analisis Inputs Grales'!$D$26-'Analisis Inputs Grales'!$D$28*'Analisis Inputs Grales'!$D$26)/('Analisis Inputs Grales'!$D$24*$C7*12)</f>
        <v>4.0509259259259259E-2</v>
      </c>
      <c r="H11" s="44">
        <f>('Analisis Inputs Grales'!$D$26-'Analisis Inputs Grales'!$D$28*'Analisis Inputs Grales'!$D$26)/('Analisis Inputs Grales'!$D$24*$C7*12)</f>
        <v>4.0509259259259259E-2</v>
      </c>
      <c r="I11" s="47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</row>
    <row r="12" spans="2:23" x14ac:dyDescent="0.2">
      <c r="B12" s="45" t="s">
        <v>120</v>
      </c>
      <c r="C12" s="46" t="s">
        <v>72</v>
      </c>
      <c r="D12" s="32">
        <f>D11*'Analisis Inputs Grales'!$D$24*12</f>
        <v>6300</v>
      </c>
      <c r="E12" s="32">
        <f>E11*'Analisis Inputs Grales'!$D$24*12</f>
        <v>6300</v>
      </c>
      <c r="F12" s="32">
        <f>F11*'Analisis Inputs Grales'!$D$24*12</f>
        <v>6300</v>
      </c>
      <c r="G12" s="32">
        <f>G11*'Analisis Inputs Grales'!$D$24*12</f>
        <v>6300</v>
      </c>
      <c r="H12" s="32">
        <f>H11*'Analisis Inputs Grales'!$D$24*12</f>
        <v>6300</v>
      </c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</row>
    <row r="13" spans="2:23" x14ac:dyDescent="0.2">
      <c r="B13" s="42" t="s">
        <v>121</v>
      </c>
      <c r="C13" s="43" t="s">
        <v>119</v>
      </c>
      <c r="D13" s="44">
        <f>'Analisis Inputs Grales'!$D$17/'Analisis Inputs Grales'!$D$24</f>
        <v>0.15895061728395063</v>
      </c>
      <c r="E13" s="44">
        <f>'Analisis Inputs Grales'!$D$17/'Analisis Inputs Grales'!$D$24</f>
        <v>0.15895061728395063</v>
      </c>
      <c r="F13" s="44">
        <f>'Analisis Inputs Grales'!$D$17/'Analisis Inputs Grales'!$D$24</f>
        <v>0.15895061728395063</v>
      </c>
      <c r="G13" s="44">
        <f>'Analisis Inputs Grales'!$D$17/'Analisis Inputs Grales'!$D$24</f>
        <v>0.15895061728395063</v>
      </c>
      <c r="H13" s="44">
        <f>'Analisis Inputs Grales'!$D$17/'Analisis Inputs Grales'!$D$24</f>
        <v>0.15895061728395063</v>
      </c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</row>
    <row r="14" spans="2:23" x14ac:dyDescent="0.2">
      <c r="B14" s="48" t="s">
        <v>121</v>
      </c>
      <c r="C14" s="49" t="s">
        <v>72</v>
      </c>
      <c r="D14" s="32">
        <f>D13*'Analisis Inputs Grales'!$D$24*12</f>
        <v>24720</v>
      </c>
      <c r="E14" s="32">
        <f>E13*'Analisis Inputs Grales'!$D$24*12</f>
        <v>24720</v>
      </c>
      <c r="F14" s="32">
        <f>F13*'Analisis Inputs Grales'!$D$24*12</f>
        <v>24720</v>
      </c>
      <c r="G14" s="32">
        <f>G13*'Analisis Inputs Grales'!$D$24*12</f>
        <v>24720</v>
      </c>
      <c r="H14" s="32">
        <f>H13*'Analisis Inputs Grales'!$D$24*12</f>
        <v>24720</v>
      </c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</row>
    <row r="15" spans="2:23" x14ac:dyDescent="0.2">
      <c r="B15" s="42" t="s">
        <v>122</v>
      </c>
      <c r="C15" s="43" t="s">
        <v>119</v>
      </c>
      <c r="D15" s="44">
        <f>D13+D11+D9</f>
        <v>0.22646604938271608</v>
      </c>
      <c r="E15" s="44">
        <f t="shared" ref="E15:H15" si="1">E13+E11+E9</f>
        <v>0.22646604938271608</v>
      </c>
      <c r="F15" s="44">
        <f t="shared" si="1"/>
        <v>0.22646604938271608</v>
      </c>
      <c r="G15" s="44">
        <f t="shared" si="1"/>
        <v>0.22646604938271608</v>
      </c>
      <c r="H15" s="44">
        <f t="shared" si="1"/>
        <v>0.22646604938271608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</row>
    <row r="16" spans="2:23" x14ac:dyDescent="0.2">
      <c r="B16" s="45" t="s">
        <v>122</v>
      </c>
      <c r="C16" s="46" t="s">
        <v>72</v>
      </c>
      <c r="D16" s="32">
        <f>D14+D12+D10</f>
        <v>35220</v>
      </c>
      <c r="E16" s="32">
        <f t="shared" ref="E16:H16" si="2">E14+E12+E10</f>
        <v>35220</v>
      </c>
      <c r="F16" s="32">
        <f t="shared" si="2"/>
        <v>35220</v>
      </c>
      <c r="G16" s="32">
        <f t="shared" si="2"/>
        <v>35220</v>
      </c>
      <c r="H16" s="32">
        <f t="shared" si="2"/>
        <v>35220</v>
      </c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</row>
    <row r="17" spans="2:23" x14ac:dyDescent="0.2">
      <c r="C17" s="46"/>
    </row>
    <row r="18" spans="2:23" ht="15.75" x14ac:dyDescent="0.25">
      <c r="B18" s="110" t="s">
        <v>123</v>
      </c>
      <c r="C18" s="46"/>
    </row>
    <row r="19" spans="2:23" x14ac:dyDescent="0.2">
      <c r="B19" s="42" t="s">
        <v>124</v>
      </c>
      <c r="C19" s="43" t="s">
        <v>119</v>
      </c>
      <c r="D19" s="28">
        <f>'Analisis Inputs Grales'!$D$31/('Analisis Inputs Grales'!$D$29/('Analisis Inputs Grales'!$D$30/60))</f>
        <v>0.125</v>
      </c>
      <c r="E19" s="28">
        <f>'Analisis Inputs Grales'!$D$31/('Analisis Inputs Grales'!$D$29/('Analisis Inputs Grales'!$D$30/60))</f>
        <v>0.125</v>
      </c>
      <c r="F19" s="28">
        <f>'Analisis Inputs Grales'!$D$31/('Analisis Inputs Grales'!$D$29/('Analisis Inputs Grales'!$D$30/60))</f>
        <v>0.125</v>
      </c>
      <c r="G19" s="28">
        <f>'Analisis Inputs Grales'!$D$31/('Analisis Inputs Grales'!$D$29/('Analisis Inputs Grales'!$D$30/60))</f>
        <v>0.125</v>
      </c>
      <c r="H19" s="28">
        <f>'Analisis Inputs Grales'!$D$31/('Analisis Inputs Grales'!$D$29/('Analisis Inputs Grales'!$D$30/60))</f>
        <v>0.125</v>
      </c>
    </row>
    <row r="20" spans="2:23" x14ac:dyDescent="0.2">
      <c r="B20" s="45" t="s">
        <v>124</v>
      </c>
      <c r="C20" s="46" t="s">
        <v>72</v>
      </c>
      <c r="D20" s="32">
        <f>D19*12*'Analisis Inputs Grales'!$D$24</f>
        <v>19440</v>
      </c>
      <c r="E20" s="32">
        <f>E19*12*'Analisis Inputs Grales'!$D$24</f>
        <v>19440</v>
      </c>
      <c r="F20" s="32">
        <f>F19*12*'Analisis Inputs Grales'!$D$24</f>
        <v>19440</v>
      </c>
      <c r="G20" s="32">
        <f>G19*12*'Analisis Inputs Grales'!$D$24</f>
        <v>19440</v>
      </c>
      <c r="H20" s="32">
        <f>H19*12*'Analisis Inputs Grales'!$D$24</f>
        <v>19440</v>
      </c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</row>
    <row r="21" spans="2:23" x14ac:dyDescent="0.2">
      <c r="B21" s="42" t="s">
        <v>125</v>
      </c>
      <c r="C21" s="43" t="s">
        <v>119</v>
      </c>
      <c r="D21" s="44">
        <f>'Analisis Inputs Grales'!$D$32*'Analisis 20Años'!D19</f>
        <v>1.8749999999999999E-2</v>
      </c>
      <c r="E21" s="44">
        <f>'Analisis Inputs Grales'!$D$32*'Analisis 20Años'!E19</f>
        <v>1.8749999999999999E-2</v>
      </c>
      <c r="F21" s="44">
        <f>'Analisis Inputs Grales'!$D$32*'Analisis 20Años'!F19</f>
        <v>1.8749999999999999E-2</v>
      </c>
      <c r="G21" s="44">
        <f>'Analisis Inputs Grales'!$D$32*'Analisis 20Años'!G19</f>
        <v>1.8749999999999999E-2</v>
      </c>
      <c r="H21" s="44">
        <f>'Analisis Inputs Grales'!$D$32*'Analisis 20Años'!H19</f>
        <v>1.8749999999999999E-2</v>
      </c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</row>
    <row r="22" spans="2:23" x14ac:dyDescent="0.2">
      <c r="B22" s="45" t="s">
        <v>125</v>
      </c>
      <c r="C22" s="46" t="s">
        <v>72</v>
      </c>
      <c r="D22" s="32">
        <f>D21*12*'Analisis Inputs Grales'!$D$24</f>
        <v>2915.9999999999995</v>
      </c>
      <c r="E22" s="32">
        <f>E21*12*'Analisis Inputs Grales'!$D$24</f>
        <v>2915.9999999999995</v>
      </c>
      <c r="F22" s="32">
        <f>F21*12*'Analisis Inputs Grales'!$D$24</f>
        <v>2915.9999999999995</v>
      </c>
      <c r="G22" s="32">
        <f>G21*12*'Analisis Inputs Grales'!$D$24</f>
        <v>2915.9999999999995</v>
      </c>
      <c r="H22" s="32">
        <f>H21*12*'Analisis Inputs Grales'!$D$24</f>
        <v>2915.9999999999995</v>
      </c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</row>
    <row r="23" spans="2:23" x14ac:dyDescent="0.2">
      <c r="B23" s="42" t="s">
        <v>126</v>
      </c>
      <c r="C23" s="43" t="s">
        <v>119</v>
      </c>
      <c r="D23" s="44">
        <f>'Analisis Inputs Grales'!$D$33*('Analisis 20Años'!D21+'Analisis 20Años'!D19)</f>
        <v>5.7499999999999996E-2</v>
      </c>
      <c r="E23" s="44">
        <f>'Analisis Inputs Grales'!$D$33*('Analisis 20Años'!E21+'Analisis 20Años'!E19)</f>
        <v>5.7499999999999996E-2</v>
      </c>
      <c r="F23" s="44">
        <f>'Analisis Inputs Grales'!$D$33*('Analisis 20Años'!F21+'Analisis 20Años'!F19)</f>
        <v>5.7499999999999996E-2</v>
      </c>
      <c r="G23" s="44">
        <f>'Analisis Inputs Grales'!$D$33*('Analisis 20Años'!G21+'Analisis 20Años'!G19)</f>
        <v>5.7499999999999996E-2</v>
      </c>
      <c r="H23" s="44">
        <f>'Analisis Inputs Grales'!$D$33*('Analisis 20Años'!H21+'Analisis 20Años'!H19)</f>
        <v>5.7499999999999996E-2</v>
      </c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</row>
    <row r="24" spans="2:23" x14ac:dyDescent="0.2">
      <c r="B24" s="45" t="s">
        <v>126</v>
      </c>
      <c r="C24" s="46" t="s">
        <v>72</v>
      </c>
      <c r="D24" s="32">
        <f>D23*12*'Analisis Inputs Grales'!$D$24</f>
        <v>8942.4</v>
      </c>
      <c r="E24" s="32">
        <f>E23*12*'Analisis Inputs Grales'!$D$24</f>
        <v>8942.4</v>
      </c>
      <c r="F24" s="32">
        <f>F23*12*'Analisis Inputs Grales'!$D$24</f>
        <v>8942.4</v>
      </c>
      <c r="G24" s="32">
        <f>G23*12*'Analisis Inputs Grales'!$D$24</f>
        <v>8942.4</v>
      </c>
      <c r="H24" s="32">
        <f>H23*12*'Analisis Inputs Grales'!$D$24</f>
        <v>8942.4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</row>
    <row r="25" spans="2:23" x14ac:dyDescent="0.2">
      <c r="B25" s="42" t="s">
        <v>127</v>
      </c>
      <c r="C25" s="43" t="s">
        <v>119</v>
      </c>
      <c r="D25" s="44">
        <f>D23+D21+D19</f>
        <v>0.20124999999999998</v>
      </c>
      <c r="E25" s="44">
        <f t="shared" ref="E25:H25" si="3">E23+E21+E19</f>
        <v>0.20124999999999998</v>
      </c>
      <c r="F25" s="44">
        <f t="shared" si="3"/>
        <v>0.20124999999999998</v>
      </c>
      <c r="G25" s="44">
        <f t="shared" si="3"/>
        <v>0.20124999999999998</v>
      </c>
      <c r="H25" s="44">
        <f t="shared" si="3"/>
        <v>0.20124999999999998</v>
      </c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</row>
    <row r="26" spans="2:23" x14ac:dyDescent="0.2">
      <c r="B26" s="48" t="s">
        <v>127</v>
      </c>
      <c r="C26" s="46" t="s">
        <v>72</v>
      </c>
      <c r="D26" s="32">
        <f>D24+D22+D20</f>
        <v>31298.400000000001</v>
      </c>
      <c r="E26" s="32">
        <f t="shared" ref="E26:H26" si="4">E24+E22+E20</f>
        <v>31298.400000000001</v>
      </c>
      <c r="F26" s="32">
        <f t="shared" si="4"/>
        <v>31298.400000000001</v>
      </c>
      <c r="G26" s="32">
        <f t="shared" si="4"/>
        <v>31298.400000000001</v>
      </c>
      <c r="H26" s="32">
        <f t="shared" si="4"/>
        <v>31298.400000000001</v>
      </c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</row>
    <row r="27" spans="2:23" ht="6.95" customHeight="1" x14ac:dyDescent="0.2">
      <c r="B27" s="50"/>
    </row>
    <row r="28" spans="2:23" ht="28.5" x14ac:dyDescent="0.2">
      <c r="B28" s="51" t="s">
        <v>128</v>
      </c>
      <c r="C28" s="52" t="s">
        <v>119</v>
      </c>
      <c r="D28" s="44">
        <f>+D15+D25</f>
        <v>0.42771604938271607</v>
      </c>
      <c r="E28" s="44">
        <f t="shared" ref="E28:H28" si="5">+E15+E25</f>
        <v>0.42771604938271607</v>
      </c>
      <c r="F28" s="44">
        <f t="shared" si="5"/>
        <v>0.42771604938271607</v>
      </c>
      <c r="G28" s="44">
        <f t="shared" si="5"/>
        <v>0.42771604938271607</v>
      </c>
      <c r="H28" s="44">
        <f t="shared" si="5"/>
        <v>0.42771604938271607</v>
      </c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</row>
    <row r="29" spans="2:23" ht="28.5" x14ac:dyDescent="0.2">
      <c r="B29" s="53" t="s">
        <v>128</v>
      </c>
      <c r="C29" s="54" t="s">
        <v>72</v>
      </c>
      <c r="D29" s="32">
        <f>D28*12*'Analisis Inputs Grales'!$D$24</f>
        <v>66518.399999999994</v>
      </c>
      <c r="E29" s="32">
        <f>E28*12*'Analisis Inputs Grales'!$D$24</f>
        <v>66518.399999999994</v>
      </c>
      <c r="F29" s="32">
        <f>F28*12*'Analisis Inputs Grales'!$D$24</f>
        <v>66518.399999999994</v>
      </c>
      <c r="G29" s="32">
        <f>G28*12*'Analisis Inputs Grales'!$D$24</f>
        <v>66518.399999999994</v>
      </c>
      <c r="H29" s="32">
        <f>H28*12*'Analisis Inputs Grales'!$D$24</f>
        <v>66518.399999999994</v>
      </c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2:23" ht="9" customHeight="1" x14ac:dyDescent="0.2">
      <c r="B30" s="55"/>
      <c r="C30" s="56"/>
    </row>
    <row r="31" spans="2:23" x14ac:dyDescent="0.2">
      <c r="B31" s="57" t="s">
        <v>129</v>
      </c>
      <c r="C31" s="52" t="s">
        <v>130</v>
      </c>
      <c r="D31" s="44">
        <f>D28/'Analisis Inputs Grales'!$D$10</f>
        <v>7.1286008230452683E-2</v>
      </c>
      <c r="E31" s="44">
        <f>E28/'Analisis Inputs Grales'!$D$10</f>
        <v>7.1286008230452683E-2</v>
      </c>
      <c r="F31" s="44">
        <f>F28/'Analisis Inputs Grales'!$D$10</f>
        <v>7.1286008230452683E-2</v>
      </c>
      <c r="G31" s="44">
        <f>G28/'Analisis Inputs Grales'!$D$10</f>
        <v>7.1286008230452683E-2</v>
      </c>
      <c r="H31" s="44">
        <f>H28/'Analisis Inputs Grales'!$D$10</f>
        <v>7.1286008230452683E-2</v>
      </c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</row>
    <row r="32" spans="2:23" x14ac:dyDescent="0.2">
      <c r="B32" s="50" t="s">
        <v>131</v>
      </c>
      <c r="C32" s="46" t="s">
        <v>132</v>
      </c>
      <c r="D32" s="32">
        <f>D31*12*'Analisis Inputs Grales'!$D$24</f>
        <v>11086.400000000001</v>
      </c>
      <c r="E32" s="32">
        <f>E31*12*'Analisis Inputs Grales'!$D$24</f>
        <v>11086.400000000001</v>
      </c>
      <c r="F32" s="32">
        <f>F31*12*'Analisis Inputs Grales'!$D$24</f>
        <v>11086.400000000001</v>
      </c>
      <c r="G32" s="32">
        <f>G31*12*'Analisis Inputs Grales'!$D$24</f>
        <v>11086.400000000001</v>
      </c>
      <c r="H32" s="32">
        <f>H31*12*'Analisis Inputs Grales'!$D$24</f>
        <v>11086.400000000001</v>
      </c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</row>
    <row r="33" spans="2:23" x14ac:dyDescent="0.2">
      <c r="B33" s="50" t="s">
        <v>165</v>
      </c>
      <c r="C33" s="46" t="s">
        <v>166</v>
      </c>
      <c r="D33" s="44">
        <f>'Analisis Inputs Grales'!$D$30*'Analisis 20Años'!D31/60</f>
        <v>7.1286008230452683E-2</v>
      </c>
      <c r="E33" s="44">
        <f>'Analisis Inputs Grales'!$D$30*'Analisis 20Años'!E31/60</f>
        <v>7.1286008230452683E-2</v>
      </c>
      <c r="F33" s="44">
        <f>'Analisis Inputs Grales'!$D$30*'Analisis 20Años'!F31/60</f>
        <v>7.1286008230452683E-2</v>
      </c>
      <c r="G33" s="44">
        <f>'Analisis Inputs Grales'!$D$30*'Analisis 20Años'!G31/60</f>
        <v>7.1286008230452683E-2</v>
      </c>
      <c r="H33" s="44">
        <f>'Analisis Inputs Grales'!$D$30*'Analisis 20Años'!H31/60</f>
        <v>7.1286008230452683E-2</v>
      </c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</row>
    <row r="34" spans="2:23" x14ac:dyDescent="0.2">
      <c r="B34" s="50"/>
      <c r="C34" s="46"/>
      <c r="D34" s="44"/>
      <c r="E34" s="44"/>
      <c r="F34" s="44"/>
      <c r="G34" s="44"/>
      <c r="H34" s="44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</row>
    <row r="35" spans="2:23" x14ac:dyDescent="0.2">
      <c r="B35" s="116" t="s">
        <v>167</v>
      </c>
      <c r="C35" s="117" t="s">
        <v>23</v>
      </c>
      <c r="D35" s="44">
        <f>(1+'Analisis Inputs Grales'!$D$84)^'Analisis 20Años'!D$3</f>
        <v>1</v>
      </c>
      <c r="E35" s="44">
        <f>(1+'Analisis Inputs Grales'!$D$84)^'Analisis 20Años'!E$3</f>
        <v>1.1200000000000001</v>
      </c>
      <c r="F35" s="44">
        <f>(1+'Analisis Inputs Grales'!$D$84)^'Analisis 20Años'!F$3</f>
        <v>1.2544000000000002</v>
      </c>
      <c r="G35" s="44">
        <f>(1+'Analisis Inputs Grales'!$D$84)^'Analisis 20Años'!G$3</f>
        <v>1.4049280000000004</v>
      </c>
      <c r="H35" s="44">
        <f>(1+'Analisis Inputs Grales'!$D$84)^'Analisis 20Años'!H$3</f>
        <v>1.5735193600000004</v>
      </c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</row>
    <row r="36" spans="2:23" x14ac:dyDescent="0.2">
      <c r="B36" s="116" t="s">
        <v>168</v>
      </c>
      <c r="C36" s="117" t="s">
        <v>166</v>
      </c>
      <c r="D36" s="44">
        <f>D33*D35</f>
        <v>7.1286008230452683E-2</v>
      </c>
      <c r="E36" s="44">
        <f t="shared" ref="E36:H36" si="6">E33*E35</f>
        <v>7.9840329218107006E-2</v>
      </c>
      <c r="F36" s="44">
        <f t="shared" si="6"/>
        <v>8.9421168724279854E-2</v>
      </c>
      <c r="G36" s="44">
        <f t="shared" si="6"/>
        <v>0.10015170897119345</v>
      </c>
      <c r="H36" s="44">
        <f t="shared" si="6"/>
        <v>0.11216991404773666</v>
      </c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</row>
    <row r="37" spans="2:23" ht="15" x14ac:dyDescent="0.25">
      <c r="B37" s="118" t="s">
        <v>169</v>
      </c>
      <c r="C37" s="117" t="s">
        <v>166</v>
      </c>
      <c r="D37" s="113">
        <f>SUM(D36:H36)</f>
        <v>0.45286912919176969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</row>
    <row r="38" spans="2:23" x14ac:dyDescent="0.2">
      <c r="B38" s="50"/>
      <c r="C38" s="46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</row>
    <row r="39" spans="2:23" ht="15" thickBot="1" x14ac:dyDescent="0.25">
      <c r="B39" s="50"/>
      <c r="C39" s="46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</row>
    <row r="40" spans="2:23" ht="16.5" thickBot="1" x14ac:dyDescent="0.3">
      <c r="B40" s="114" t="s">
        <v>86</v>
      </c>
      <c r="C40" s="112">
        <v>10</v>
      </c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</row>
    <row r="41" spans="2:23" ht="15.75" x14ac:dyDescent="0.25">
      <c r="B41" s="110" t="s">
        <v>117</v>
      </c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</row>
    <row r="42" spans="2:23" x14ac:dyDescent="0.2">
      <c r="B42" s="42" t="s">
        <v>118</v>
      </c>
      <c r="C42" s="43" t="s">
        <v>119</v>
      </c>
      <c r="D42" s="44">
        <f>'Analisis Inputs Grales'!$D$25*('Analisis Inputs Grales'!$D$84/12)/'Analisis Inputs Grales'!$D$24</f>
        <v>2.7006172839506171E-2</v>
      </c>
      <c r="E42" s="44">
        <f>'Analisis Inputs Grales'!$D$25*('Analisis Inputs Grales'!$D$84/12)/'Analisis Inputs Grales'!$D$24</f>
        <v>2.7006172839506171E-2</v>
      </c>
      <c r="F42" s="44">
        <f>'Analisis Inputs Grales'!$D$25*('Analisis Inputs Grales'!$D$84/12)/'Analisis Inputs Grales'!$D$24</f>
        <v>2.7006172839506171E-2</v>
      </c>
      <c r="G42" s="44">
        <f>'Analisis Inputs Grales'!$D$25*('Analisis Inputs Grales'!$D$84/12)/'Analisis Inputs Grales'!$D$24</f>
        <v>2.7006172839506171E-2</v>
      </c>
      <c r="H42" s="44">
        <f>'Analisis Inputs Grales'!$D$25*('Analisis Inputs Grales'!$D$84/12)/'Analisis Inputs Grales'!$D$24</f>
        <v>2.7006172839506171E-2</v>
      </c>
      <c r="I42" s="44">
        <f>'Analisis Inputs Grales'!$D$25*('Analisis Inputs Grales'!$D$84/12)/'Analisis Inputs Grales'!$D$24</f>
        <v>2.7006172839506171E-2</v>
      </c>
      <c r="J42" s="44">
        <f>'Analisis Inputs Grales'!$D$25*('Analisis Inputs Grales'!$D$84/12)/'Analisis Inputs Grales'!$D$24</f>
        <v>2.7006172839506171E-2</v>
      </c>
      <c r="K42" s="44">
        <f>'Analisis Inputs Grales'!$D$25*('Analisis Inputs Grales'!$D$84/12)/'Analisis Inputs Grales'!$D$24</f>
        <v>2.7006172839506171E-2</v>
      </c>
      <c r="L42" s="44">
        <f>'Analisis Inputs Grales'!$D$25*('Analisis Inputs Grales'!$D$84/12)/'Analisis Inputs Grales'!$D$24</f>
        <v>2.7006172839506171E-2</v>
      </c>
      <c r="M42" s="44">
        <f>'Analisis Inputs Grales'!$D$25*('Analisis Inputs Grales'!$D$84/12)/'Analisis Inputs Grales'!$D$24</f>
        <v>2.7006172839506171E-2</v>
      </c>
      <c r="N42" s="32"/>
      <c r="O42" s="32"/>
      <c r="P42" s="32"/>
      <c r="Q42" s="32"/>
      <c r="R42" s="32"/>
      <c r="S42" s="32"/>
      <c r="T42" s="32"/>
      <c r="U42" s="32"/>
      <c r="V42" s="32"/>
      <c r="W42" s="32"/>
    </row>
    <row r="43" spans="2:23" x14ac:dyDescent="0.2">
      <c r="B43" s="45" t="s">
        <v>118</v>
      </c>
      <c r="C43" s="46" t="s">
        <v>72</v>
      </c>
      <c r="D43" s="32">
        <f>D42*'Analisis Inputs Grales'!$D$24*12</f>
        <v>4200</v>
      </c>
      <c r="E43" s="32">
        <f>E42*'Analisis Inputs Grales'!$D$24*12</f>
        <v>4200</v>
      </c>
      <c r="F43" s="32">
        <f>F42*'Analisis Inputs Grales'!$D$24*12</f>
        <v>4200</v>
      </c>
      <c r="G43" s="32">
        <f>G42*'Analisis Inputs Grales'!$D$24*12</f>
        <v>4200</v>
      </c>
      <c r="H43" s="32">
        <f>H42*'Analisis Inputs Grales'!$D$24*12</f>
        <v>4200</v>
      </c>
      <c r="I43" s="32">
        <f>I42*'Analisis Inputs Grales'!$D$24*12</f>
        <v>4200</v>
      </c>
      <c r="J43" s="32">
        <f>J42*'Analisis Inputs Grales'!$D$24*12</f>
        <v>4200</v>
      </c>
      <c r="K43" s="32">
        <f>K42*'Analisis Inputs Grales'!$D$24*12</f>
        <v>4200</v>
      </c>
      <c r="L43" s="32">
        <f>L42*'Analisis Inputs Grales'!$D$24*12</f>
        <v>4200</v>
      </c>
      <c r="M43" s="32">
        <f>M42*'Analisis Inputs Grales'!$D$24*12</f>
        <v>4200</v>
      </c>
      <c r="N43" s="32"/>
      <c r="O43" s="32"/>
      <c r="P43" s="32"/>
      <c r="Q43" s="32"/>
      <c r="R43" s="32"/>
      <c r="S43" s="32"/>
      <c r="T43" s="32"/>
      <c r="U43" s="32"/>
      <c r="V43" s="32"/>
      <c r="W43" s="32"/>
    </row>
    <row r="44" spans="2:23" x14ac:dyDescent="0.2">
      <c r="B44" s="42" t="s">
        <v>120</v>
      </c>
      <c r="C44" s="43" t="s">
        <v>119</v>
      </c>
      <c r="D44" s="44">
        <f>('Analisis Inputs Grales'!$D$26-'Analisis Inputs Grales'!$D$28*'Analisis Inputs Grales'!$D$26)/('Analisis Inputs Grales'!$D$24*$C40*12)</f>
        <v>2.0254629629629629E-2</v>
      </c>
      <c r="E44" s="44">
        <f>('Analisis Inputs Grales'!$D$26-'Analisis Inputs Grales'!$D$28*'Analisis Inputs Grales'!$D$26)/('Analisis Inputs Grales'!$D$24*$C40*12)</f>
        <v>2.0254629629629629E-2</v>
      </c>
      <c r="F44" s="44">
        <f>('Analisis Inputs Grales'!$D$26-'Analisis Inputs Grales'!$D$28*'Analisis Inputs Grales'!$D$26)/('Analisis Inputs Grales'!$D$24*$C40*12)</f>
        <v>2.0254629629629629E-2</v>
      </c>
      <c r="G44" s="44">
        <f>('Analisis Inputs Grales'!$D$26-'Analisis Inputs Grales'!$D$28*'Analisis Inputs Grales'!$D$26)/('Analisis Inputs Grales'!$D$24*$C40*12)</f>
        <v>2.0254629629629629E-2</v>
      </c>
      <c r="H44" s="44">
        <f>('Analisis Inputs Grales'!$D$26-'Analisis Inputs Grales'!$D$28*'Analisis Inputs Grales'!$D$26)/('Analisis Inputs Grales'!$D$24*$C40*12)</f>
        <v>2.0254629629629629E-2</v>
      </c>
      <c r="I44" s="44">
        <f>('Analisis Inputs Grales'!$D$26-'Analisis Inputs Grales'!$D$28*'Analisis Inputs Grales'!$D$26)/('Analisis Inputs Grales'!$D$24*$C40*12)</f>
        <v>2.0254629629629629E-2</v>
      </c>
      <c r="J44" s="44">
        <f>('Analisis Inputs Grales'!$D$26-'Analisis Inputs Grales'!$D$28*'Analisis Inputs Grales'!$D$26)/('Analisis Inputs Grales'!$D$24*$C40*12)</f>
        <v>2.0254629629629629E-2</v>
      </c>
      <c r="K44" s="44">
        <f>('Analisis Inputs Grales'!$D$26-'Analisis Inputs Grales'!$D$28*'Analisis Inputs Grales'!$D$26)/('Analisis Inputs Grales'!$D$24*$C40*12)</f>
        <v>2.0254629629629629E-2</v>
      </c>
      <c r="L44" s="44">
        <f>('Analisis Inputs Grales'!$D$26-'Analisis Inputs Grales'!$D$28*'Analisis Inputs Grales'!$D$26)/('Analisis Inputs Grales'!$D$24*$C40*12)</f>
        <v>2.0254629629629629E-2</v>
      </c>
      <c r="M44" s="44">
        <f>('Analisis Inputs Grales'!$D$26-'Analisis Inputs Grales'!$D$28*'Analisis Inputs Grales'!$D$26)/('Analisis Inputs Grales'!$D$24*$C40*12)</f>
        <v>2.0254629629629629E-2</v>
      </c>
      <c r="N44" s="32"/>
      <c r="O44" s="32"/>
      <c r="P44" s="32"/>
      <c r="Q44" s="32"/>
      <c r="R44" s="32"/>
      <c r="S44" s="32"/>
      <c r="T44" s="32"/>
      <c r="U44" s="32"/>
      <c r="V44" s="32"/>
      <c r="W44" s="32"/>
    </row>
    <row r="45" spans="2:23" x14ac:dyDescent="0.2">
      <c r="B45" s="45" t="s">
        <v>120</v>
      </c>
      <c r="C45" s="46" t="s">
        <v>72</v>
      </c>
      <c r="D45" s="32">
        <f>D44*'Analisis Inputs Grales'!$D$24*12</f>
        <v>3150</v>
      </c>
      <c r="E45" s="32">
        <f>E44*'Analisis Inputs Grales'!$D$24*12</f>
        <v>3150</v>
      </c>
      <c r="F45" s="32">
        <f>F44*'Analisis Inputs Grales'!$D$24*12</f>
        <v>3150</v>
      </c>
      <c r="G45" s="32">
        <f>G44*'Analisis Inputs Grales'!$D$24*12</f>
        <v>3150</v>
      </c>
      <c r="H45" s="32">
        <f>H44*'Analisis Inputs Grales'!$D$24*12</f>
        <v>3150</v>
      </c>
      <c r="I45" s="32">
        <f>I44*'Analisis Inputs Grales'!$D$24*12</f>
        <v>3150</v>
      </c>
      <c r="J45" s="32">
        <f>J44*'Analisis Inputs Grales'!$D$24*12</f>
        <v>3150</v>
      </c>
      <c r="K45" s="32">
        <f>K44*'Analisis Inputs Grales'!$D$24*12</f>
        <v>3150</v>
      </c>
      <c r="L45" s="32">
        <f>L44*'Analisis Inputs Grales'!$D$24*12</f>
        <v>3150</v>
      </c>
      <c r="M45" s="32">
        <f>M44*'Analisis Inputs Grales'!$D$24*12</f>
        <v>3150</v>
      </c>
      <c r="N45" s="32"/>
      <c r="O45" s="32"/>
      <c r="P45" s="32"/>
      <c r="Q45" s="32"/>
      <c r="R45" s="32"/>
      <c r="S45" s="32"/>
      <c r="T45" s="32"/>
      <c r="U45" s="32"/>
      <c r="V45" s="32"/>
      <c r="W45" s="32"/>
    </row>
    <row r="46" spans="2:23" x14ac:dyDescent="0.2">
      <c r="B46" s="42" t="s">
        <v>121</v>
      </c>
      <c r="C46" s="43" t="s">
        <v>119</v>
      </c>
      <c r="D46" s="44">
        <f>'Analisis Inputs Grales'!$D$17/'Analisis Inputs Grales'!$D$24</f>
        <v>0.15895061728395063</v>
      </c>
      <c r="E46" s="44">
        <f>'Analisis Inputs Grales'!$D$17/'Analisis Inputs Grales'!$D$24</f>
        <v>0.15895061728395063</v>
      </c>
      <c r="F46" s="44">
        <f>'Analisis Inputs Grales'!$D$17/'Analisis Inputs Grales'!$D$24</f>
        <v>0.15895061728395063</v>
      </c>
      <c r="G46" s="44">
        <f>'Analisis Inputs Grales'!$D$17/'Analisis Inputs Grales'!$D$24</f>
        <v>0.15895061728395063</v>
      </c>
      <c r="H46" s="44">
        <f>'Analisis Inputs Grales'!$D$17/'Analisis Inputs Grales'!$D$24</f>
        <v>0.15895061728395063</v>
      </c>
      <c r="I46" s="44">
        <f>'Analisis Inputs Grales'!$D$17/'Analisis Inputs Grales'!$D$24</f>
        <v>0.15895061728395063</v>
      </c>
      <c r="J46" s="44">
        <f>'Analisis Inputs Grales'!$D$17/'Analisis Inputs Grales'!$D$24</f>
        <v>0.15895061728395063</v>
      </c>
      <c r="K46" s="44">
        <f>'Analisis Inputs Grales'!$D$17/'Analisis Inputs Grales'!$D$24</f>
        <v>0.15895061728395063</v>
      </c>
      <c r="L46" s="44">
        <f>'Analisis Inputs Grales'!$D$17/'Analisis Inputs Grales'!$D$24</f>
        <v>0.15895061728395063</v>
      </c>
      <c r="M46" s="44">
        <f>'Analisis Inputs Grales'!$D$17/'Analisis Inputs Grales'!$D$24</f>
        <v>0.15895061728395063</v>
      </c>
      <c r="N46" s="32"/>
      <c r="O46" s="32"/>
      <c r="P46" s="32"/>
      <c r="Q46" s="32"/>
      <c r="R46" s="32"/>
      <c r="S46" s="32"/>
      <c r="T46" s="32"/>
      <c r="U46" s="32"/>
      <c r="V46" s="32"/>
      <c r="W46" s="32"/>
    </row>
    <row r="47" spans="2:23" x14ac:dyDescent="0.2">
      <c r="B47" s="48" t="s">
        <v>121</v>
      </c>
      <c r="C47" s="49" t="s">
        <v>72</v>
      </c>
      <c r="D47" s="32">
        <f>D46*'Analisis Inputs Grales'!$D$24*12</f>
        <v>24720</v>
      </c>
      <c r="E47" s="32">
        <f>E46*'Analisis Inputs Grales'!$D$24*12</f>
        <v>24720</v>
      </c>
      <c r="F47" s="32">
        <f>F46*'Analisis Inputs Grales'!$D$24*12</f>
        <v>24720</v>
      </c>
      <c r="G47" s="32">
        <f>G46*'Analisis Inputs Grales'!$D$24*12</f>
        <v>24720</v>
      </c>
      <c r="H47" s="32">
        <f>H46*'Analisis Inputs Grales'!$D$24*12</f>
        <v>24720</v>
      </c>
      <c r="I47" s="32">
        <f>I46*'Analisis Inputs Grales'!$D$24*12</f>
        <v>24720</v>
      </c>
      <c r="J47" s="32">
        <f>J46*'Analisis Inputs Grales'!$D$24*12</f>
        <v>24720</v>
      </c>
      <c r="K47" s="32">
        <f>K46*'Analisis Inputs Grales'!$D$24*12</f>
        <v>24720</v>
      </c>
      <c r="L47" s="32">
        <f>L46*'Analisis Inputs Grales'!$D$24*12</f>
        <v>24720</v>
      </c>
      <c r="M47" s="32">
        <f>M46*'Analisis Inputs Grales'!$D$24*12</f>
        <v>24720</v>
      </c>
      <c r="N47" s="32"/>
      <c r="O47" s="32"/>
      <c r="P47" s="32"/>
      <c r="Q47" s="32"/>
      <c r="R47" s="32"/>
      <c r="S47" s="32"/>
      <c r="T47" s="32"/>
      <c r="U47" s="32"/>
      <c r="V47" s="32"/>
      <c r="W47" s="32"/>
    </row>
    <row r="48" spans="2:23" x14ac:dyDescent="0.2">
      <c r="B48" s="42" t="s">
        <v>122</v>
      </c>
      <c r="C48" s="43" t="s">
        <v>119</v>
      </c>
      <c r="D48" s="44">
        <f>D46+D44+D42</f>
        <v>0.20621141975308643</v>
      </c>
      <c r="E48" s="44">
        <f t="shared" ref="E48:H48" si="7">E46+E44+E42</f>
        <v>0.20621141975308643</v>
      </c>
      <c r="F48" s="44">
        <f t="shared" si="7"/>
        <v>0.20621141975308643</v>
      </c>
      <c r="G48" s="44">
        <f t="shared" si="7"/>
        <v>0.20621141975308643</v>
      </c>
      <c r="H48" s="44">
        <f t="shared" si="7"/>
        <v>0.20621141975308643</v>
      </c>
      <c r="I48" s="44">
        <f>I46+I44+I42</f>
        <v>0.20621141975308643</v>
      </c>
      <c r="J48" s="44">
        <f t="shared" ref="J48:M48" si="8">J46+J44+J42</f>
        <v>0.20621141975308643</v>
      </c>
      <c r="K48" s="44">
        <f t="shared" si="8"/>
        <v>0.20621141975308643</v>
      </c>
      <c r="L48" s="44">
        <f t="shared" si="8"/>
        <v>0.20621141975308643</v>
      </c>
      <c r="M48" s="44">
        <f t="shared" si="8"/>
        <v>0.20621141975308643</v>
      </c>
      <c r="N48" s="32"/>
      <c r="O48" s="32"/>
      <c r="P48" s="32"/>
      <c r="Q48" s="32"/>
      <c r="R48" s="32"/>
      <c r="S48" s="32"/>
      <c r="T48" s="32"/>
      <c r="U48" s="32"/>
      <c r="V48" s="32"/>
      <c r="W48" s="32"/>
    </row>
    <row r="49" spans="2:23" x14ac:dyDescent="0.2">
      <c r="B49" s="45" t="s">
        <v>122</v>
      </c>
      <c r="C49" s="46" t="s">
        <v>72</v>
      </c>
      <c r="D49" s="32">
        <f>D47+D45+D43</f>
        <v>32070</v>
      </c>
      <c r="E49" s="32">
        <f t="shared" ref="E49:H49" si="9">E47+E45+E43</f>
        <v>32070</v>
      </c>
      <c r="F49" s="32">
        <f t="shared" si="9"/>
        <v>32070</v>
      </c>
      <c r="G49" s="32">
        <f t="shared" si="9"/>
        <v>32070</v>
      </c>
      <c r="H49" s="32">
        <f t="shared" si="9"/>
        <v>32070</v>
      </c>
      <c r="I49" s="32">
        <f>I47+I45+I43</f>
        <v>32070</v>
      </c>
      <c r="J49" s="32">
        <f t="shared" ref="J49:M49" si="10">J47+J45+J43</f>
        <v>32070</v>
      </c>
      <c r="K49" s="32">
        <f t="shared" si="10"/>
        <v>32070</v>
      </c>
      <c r="L49" s="32">
        <f t="shared" si="10"/>
        <v>32070</v>
      </c>
      <c r="M49" s="32">
        <f t="shared" si="10"/>
        <v>32070</v>
      </c>
      <c r="N49" s="32"/>
      <c r="O49" s="32"/>
      <c r="P49" s="32"/>
      <c r="Q49" s="32"/>
      <c r="R49" s="32"/>
      <c r="S49" s="32"/>
      <c r="T49" s="32"/>
      <c r="U49" s="32"/>
      <c r="V49" s="32"/>
      <c r="W49" s="32"/>
    </row>
    <row r="50" spans="2:23" x14ac:dyDescent="0.2">
      <c r="C50" s="46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</row>
    <row r="51" spans="2:23" ht="15.75" x14ac:dyDescent="0.25">
      <c r="B51" s="110" t="s">
        <v>123</v>
      </c>
      <c r="C51" s="46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</row>
    <row r="52" spans="2:23" x14ac:dyDescent="0.2">
      <c r="B52" s="42" t="s">
        <v>124</v>
      </c>
      <c r="C52" s="43" t="s">
        <v>119</v>
      </c>
      <c r="D52" s="28">
        <f>'Analisis Inputs Grales'!$D$31/('Analisis Inputs Grales'!$D$29/('Analisis Inputs Grales'!$D$30/60))</f>
        <v>0.125</v>
      </c>
      <c r="E52" s="28">
        <f>'Analisis Inputs Grales'!$D$31/('Analisis Inputs Grales'!$D$29/('Analisis Inputs Grales'!$D$30/60))</f>
        <v>0.125</v>
      </c>
      <c r="F52" s="28">
        <f>'Analisis Inputs Grales'!$D$31/('Analisis Inputs Grales'!$D$29/('Analisis Inputs Grales'!$D$30/60))</f>
        <v>0.125</v>
      </c>
      <c r="G52" s="28">
        <f>'Analisis Inputs Grales'!$D$31/('Analisis Inputs Grales'!$D$29/('Analisis Inputs Grales'!$D$30/60))</f>
        <v>0.125</v>
      </c>
      <c r="H52" s="28">
        <f>'Analisis Inputs Grales'!$D$31/('Analisis Inputs Grales'!$D$29/('Analisis Inputs Grales'!$D$30/60))</f>
        <v>0.125</v>
      </c>
      <c r="I52" s="28">
        <f>'Analisis Inputs Grales'!$D$31/('Analisis Inputs Grales'!$D$29/('Analisis Inputs Grales'!$D$30/60))</f>
        <v>0.125</v>
      </c>
      <c r="J52" s="28">
        <f>'Analisis Inputs Grales'!$D$31/('Analisis Inputs Grales'!$D$29/('Analisis Inputs Grales'!$D$30/60))</f>
        <v>0.125</v>
      </c>
      <c r="K52" s="28">
        <f>'Analisis Inputs Grales'!$D$31/('Analisis Inputs Grales'!$D$29/('Analisis Inputs Grales'!$D$30/60))</f>
        <v>0.125</v>
      </c>
      <c r="L52" s="28">
        <f>'Analisis Inputs Grales'!$D$31/('Analisis Inputs Grales'!$D$29/('Analisis Inputs Grales'!$D$30/60))</f>
        <v>0.125</v>
      </c>
      <c r="M52" s="28">
        <f>'Analisis Inputs Grales'!$D$31/('Analisis Inputs Grales'!$D$29/('Analisis Inputs Grales'!$D$30/60))</f>
        <v>0.125</v>
      </c>
      <c r="N52" s="32"/>
      <c r="O52" s="32"/>
      <c r="P52" s="32"/>
      <c r="Q52" s="32"/>
      <c r="R52" s="32"/>
      <c r="S52" s="32"/>
      <c r="T52" s="32"/>
      <c r="U52" s="32"/>
      <c r="V52" s="32"/>
      <c r="W52" s="32"/>
    </row>
    <row r="53" spans="2:23" x14ac:dyDescent="0.2">
      <c r="B53" s="45" t="s">
        <v>124</v>
      </c>
      <c r="C53" s="46" t="s">
        <v>72</v>
      </c>
      <c r="D53" s="32">
        <f>D52*12*'Analisis Inputs Grales'!$D$24</f>
        <v>19440</v>
      </c>
      <c r="E53" s="32">
        <f>E52*12*'Analisis Inputs Grales'!$D$24</f>
        <v>19440</v>
      </c>
      <c r="F53" s="32">
        <f>F52*12*'Analisis Inputs Grales'!$D$24</f>
        <v>19440</v>
      </c>
      <c r="G53" s="32">
        <f>G52*12*'Analisis Inputs Grales'!$D$24</f>
        <v>19440</v>
      </c>
      <c r="H53" s="32">
        <f>H52*12*'Analisis Inputs Grales'!$D$24</f>
        <v>19440</v>
      </c>
      <c r="I53" s="32">
        <f>I52*12*'Analisis Inputs Grales'!$D$24</f>
        <v>19440</v>
      </c>
      <c r="J53" s="32">
        <f>J52*12*'Analisis Inputs Grales'!$D$24</f>
        <v>19440</v>
      </c>
      <c r="K53" s="32">
        <f>K52*12*'Analisis Inputs Grales'!$D$24</f>
        <v>19440</v>
      </c>
      <c r="L53" s="32">
        <f>L52*12*'Analisis Inputs Grales'!$D$24</f>
        <v>19440</v>
      </c>
      <c r="M53" s="32">
        <f>M52*12*'Analisis Inputs Grales'!$D$24</f>
        <v>19440</v>
      </c>
      <c r="N53" s="32"/>
      <c r="O53" s="32"/>
      <c r="P53" s="32"/>
      <c r="Q53" s="32"/>
      <c r="R53" s="32"/>
      <c r="S53" s="32"/>
      <c r="T53" s="32"/>
      <c r="U53" s="32"/>
      <c r="V53" s="32"/>
      <c r="W53" s="32"/>
    </row>
    <row r="54" spans="2:23" x14ac:dyDescent="0.2">
      <c r="B54" s="42" t="s">
        <v>125</v>
      </c>
      <c r="C54" s="43" t="s">
        <v>119</v>
      </c>
      <c r="D54" s="44">
        <f>'Analisis Inputs Grales'!$D$32*'Analisis 20Años'!D52</f>
        <v>1.8749999999999999E-2</v>
      </c>
      <c r="E54" s="44">
        <f>'Analisis Inputs Grales'!$D$32*'Analisis 20Años'!E52</f>
        <v>1.8749999999999999E-2</v>
      </c>
      <c r="F54" s="44">
        <f>'Analisis Inputs Grales'!$D$32*'Analisis 20Años'!F52</f>
        <v>1.8749999999999999E-2</v>
      </c>
      <c r="G54" s="44">
        <f>'Analisis Inputs Grales'!$D$32*'Analisis 20Años'!G52</f>
        <v>1.8749999999999999E-2</v>
      </c>
      <c r="H54" s="44">
        <f>'Analisis Inputs Grales'!$D$32*'Analisis 20Años'!H52</f>
        <v>1.8749999999999999E-2</v>
      </c>
      <c r="I54" s="44">
        <f>'Analisis Inputs Grales'!$D$32*'Analisis 20Años'!I52</f>
        <v>1.8749999999999999E-2</v>
      </c>
      <c r="J54" s="44">
        <f>'Analisis Inputs Grales'!$D$32*'Analisis 20Años'!J52</f>
        <v>1.8749999999999999E-2</v>
      </c>
      <c r="K54" s="44">
        <f>'Analisis Inputs Grales'!$D$32*'Analisis 20Años'!K52</f>
        <v>1.8749999999999999E-2</v>
      </c>
      <c r="L54" s="44">
        <f>'Analisis Inputs Grales'!$D$32*'Analisis 20Años'!L52</f>
        <v>1.8749999999999999E-2</v>
      </c>
      <c r="M54" s="44">
        <f>'Analisis Inputs Grales'!$D$32*'Analisis 20Años'!M52</f>
        <v>1.8749999999999999E-2</v>
      </c>
      <c r="N54" s="32"/>
      <c r="O54" s="32"/>
      <c r="P54" s="32"/>
      <c r="Q54" s="32"/>
      <c r="R54" s="32"/>
      <c r="S54" s="32"/>
      <c r="T54" s="32"/>
      <c r="U54" s="32"/>
      <c r="V54" s="32"/>
      <c r="W54" s="32"/>
    </row>
    <row r="55" spans="2:23" x14ac:dyDescent="0.2">
      <c r="B55" s="45" t="s">
        <v>125</v>
      </c>
      <c r="C55" s="46" t="s">
        <v>72</v>
      </c>
      <c r="D55" s="32">
        <f>D54*12*'Analisis Inputs Grales'!$D$24</f>
        <v>2915.9999999999995</v>
      </c>
      <c r="E55" s="32">
        <f>E54*12*'Analisis Inputs Grales'!$D$24</f>
        <v>2915.9999999999995</v>
      </c>
      <c r="F55" s="32">
        <f>F54*12*'Analisis Inputs Grales'!$D$24</f>
        <v>2915.9999999999995</v>
      </c>
      <c r="G55" s="32">
        <f>G54*12*'Analisis Inputs Grales'!$D$24</f>
        <v>2915.9999999999995</v>
      </c>
      <c r="H55" s="32">
        <f>H54*12*'Analisis Inputs Grales'!$D$24</f>
        <v>2915.9999999999995</v>
      </c>
      <c r="I55" s="32">
        <f>I54*12*'Analisis Inputs Grales'!$D$24</f>
        <v>2915.9999999999995</v>
      </c>
      <c r="J55" s="32">
        <f>J54*12*'Analisis Inputs Grales'!$D$24</f>
        <v>2915.9999999999995</v>
      </c>
      <c r="K55" s="32">
        <f>K54*12*'Analisis Inputs Grales'!$D$24</f>
        <v>2915.9999999999995</v>
      </c>
      <c r="L55" s="32">
        <f>L54*12*'Analisis Inputs Grales'!$D$24</f>
        <v>2915.9999999999995</v>
      </c>
      <c r="M55" s="32">
        <f>M54*12*'Analisis Inputs Grales'!$D$24</f>
        <v>2915.9999999999995</v>
      </c>
      <c r="N55" s="32"/>
      <c r="O55" s="32"/>
      <c r="P55" s="32"/>
      <c r="Q55" s="32"/>
      <c r="R55" s="32"/>
      <c r="S55" s="32"/>
      <c r="T55" s="32"/>
      <c r="U55" s="32"/>
      <c r="V55" s="32"/>
      <c r="W55" s="32"/>
    </row>
    <row r="56" spans="2:23" x14ac:dyDescent="0.2">
      <c r="B56" s="42" t="s">
        <v>126</v>
      </c>
      <c r="C56" s="43" t="s">
        <v>119</v>
      </c>
      <c r="D56" s="44">
        <f>'Analisis Inputs Grales'!$D$33*('Analisis 20Años'!D54+'Analisis 20Años'!D52)</f>
        <v>5.7499999999999996E-2</v>
      </c>
      <c r="E56" s="44">
        <f>'Analisis Inputs Grales'!$D$33*('Analisis 20Años'!E54+'Analisis 20Años'!E52)</f>
        <v>5.7499999999999996E-2</v>
      </c>
      <c r="F56" s="44">
        <f>'Analisis Inputs Grales'!$D$33*('Analisis 20Años'!F54+'Analisis 20Años'!F52)</f>
        <v>5.7499999999999996E-2</v>
      </c>
      <c r="G56" s="44">
        <f>'Analisis Inputs Grales'!$D$33*('Analisis 20Años'!G54+'Analisis 20Años'!G52)</f>
        <v>5.7499999999999996E-2</v>
      </c>
      <c r="H56" s="44">
        <f>'Analisis Inputs Grales'!$D$33*('Analisis 20Años'!H54+'Analisis 20Años'!H52)</f>
        <v>5.7499999999999996E-2</v>
      </c>
      <c r="I56" s="44">
        <f>'Analisis Inputs Grales'!$D$33*('Analisis 20Años'!I54+'Analisis 20Años'!I52)</f>
        <v>5.7499999999999996E-2</v>
      </c>
      <c r="J56" s="44">
        <f>'Analisis Inputs Grales'!$D$33*('Analisis 20Años'!J54+'Analisis 20Años'!J52)</f>
        <v>5.7499999999999996E-2</v>
      </c>
      <c r="K56" s="44">
        <f>'Analisis Inputs Grales'!$D$33*('Analisis 20Años'!K54+'Analisis 20Años'!K52)</f>
        <v>5.7499999999999996E-2</v>
      </c>
      <c r="L56" s="44">
        <f>'Analisis Inputs Grales'!$D$33*('Analisis 20Años'!L54+'Analisis 20Años'!L52)</f>
        <v>5.7499999999999996E-2</v>
      </c>
      <c r="M56" s="44">
        <f>'Analisis Inputs Grales'!$D$33*('Analisis 20Años'!M54+'Analisis 20Años'!M52)</f>
        <v>5.7499999999999996E-2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</row>
    <row r="57" spans="2:23" x14ac:dyDescent="0.2">
      <c r="B57" s="45" t="s">
        <v>126</v>
      </c>
      <c r="C57" s="46" t="s">
        <v>72</v>
      </c>
      <c r="D57" s="32">
        <f>D56*12*'Analisis Inputs Grales'!$D$24</f>
        <v>8942.4</v>
      </c>
      <c r="E57" s="32">
        <f>E56*12*'Analisis Inputs Grales'!$D$24</f>
        <v>8942.4</v>
      </c>
      <c r="F57" s="32">
        <f>F56*12*'Analisis Inputs Grales'!$D$24</f>
        <v>8942.4</v>
      </c>
      <c r="G57" s="32">
        <f>G56*12*'Analisis Inputs Grales'!$D$24</f>
        <v>8942.4</v>
      </c>
      <c r="H57" s="32">
        <f>H56*12*'Analisis Inputs Grales'!$D$24</f>
        <v>8942.4</v>
      </c>
      <c r="I57" s="32">
        <f>I56*12*'Analisis Inputs Grales'!$D$24</f>
        <v>8942.4</v>
      </c>
      <c r="J57" s="32">
        <f>J56*12*'Analisis Inputs Grales'!$D$24</f>
        <v>8942.4</v>
      </c>
      <c r="K57" s="32">
        <f>K56*12*'Analisis Inputs Grales'!$D$24</f>
        <v>8942.4</v>
      </c>
      <c r="L57" s="32">
        <f>L56*12*'Analisis Inputs Grales'!$D$24</f>
        <v>8942.4</v>
      </c>
      <c r="M57" s="32">
        <f>M56*12*'Analisis Inputs Grales'!$D$24</f>
        <v>8942.4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</row>
    <row r="58" spans="2:23" x14ac:dyDescent="0.2">
      <c r="B58" s="42" t="s">
        <v>127</v>
      </c>
      <c r="C58" s="43" t="s">
        <v>119</v>
      </c>
      <c r="D58" s="44">
        <f>D56+D54+D52</f>
        <v>0.20124999999999998</v>
      </c>
      <c r="E58" s="44">
        <f t="shared" ref="E58:H58" si="11">E56+E54+E52</f>
        <v>0.20124999999999998</v>
      </c>
      <c r="F58" s="44">
        <f t="shared" si="11"/>
        <v>0.20124999999999998</v>
      </c>
      <c r="G58" s="44">
        <f t="shared" si="11"/>
        <v>0.20124999999999998</v>
      </c>
      <c r="H58" s="44">
        <f t="shared" si="11"/>
        <v>0.20124999999999998</v>
      </c>
      <c r="I58" s="44">
        <f>I56+I54+I52</f>
        <v>0.20124999999999998</v>
      </c>
      <c r="J58" s="44">
        <f t="shared" ref="J58:M58" si="12">J56+J54+J52</f>
        <v>0.20124999999999998</v>
      </c>
      <c r="K58" s="44">
        <f t="shared" si="12"/>
        <v>0.20124999999999998</v>
      </c>
      <c r="L58" s="44">
        <f t="shared" si="12"/>
        <v>0.20124999999999998</v>
      </c>
      <c r="M58" s="44">
        <f t="shared" si="12"/>
        <v>0.20124999999999998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</row>
    <row r="59" spans="2:23" x14ac:dyDescent="0.2">
      <c r="B59" s="48" t="s">
        <v>127</v>
      </c>
      <c r="C59" s="46" t="s">
        <v>72</v>
      </c>
      <c r="D59" s="32">
        <f>D57+D55+D53</f>
        <v>31298.400000000001</v>
      </c>
      <c r="E59" s="32">
        <f t="shared" ref="E59:H59" si="13">E57+E55+E53</f>
        <v>31298.400000000001</v>
      </c>
      <c r="F59" s="32">
        <f t="shared" si="13"/>
        <v>31298.400000000001</v>
      </c>
      <c r="G59" s="32">
        <f t="shared" si="13"/>
        <v>31298.400000000001</v>
      </c>
      <c r="H59" s="32">
        <f t="shared" si="13"/>
        <v>31298.400000000001</v>
      </c>
      <c r="I59" s="32">
        <f>I57+I55+I53</f>
        <v>31298.400000000001</v>
      </c>
      <c r="J59" s="32">
        <f t="shared" ref="J59:M59" si="14">J57+J55+J53</f>
        <v>31298.400000000001</v>
      </c>
      <c r="K59" s="32">
        <f t="shared" si="14"/>
        <v>31298.400000000001</v>
      </c>
      <c r="L59" s="32">
        <f t="shared" si="14"/>
        <v>31298.400000000001</v>
      </c>
      <c r="M59" s="32">
        <f t="shared" si="14"/>
        <v>31298.400000000001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</row>
    <row r="60" spans="2:23" x14ac:dyDescent="0.2">
      <c r="B60" s="50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</row>
    <row r="61" spans="2:23" x14ac:dyDescent="0.2">
      <c r="B61" s="51" t="s">
        <v>128</v>
      </c>
      <c r="C61" s="52" t="s">
        <v>119</v>
      </c>
      <c r="D61" s="44">
        <f>+D48+D58</f>
        <v>0.40746141975308642</v>
      </c>
      <c r="E61" s="44">
        <f t="shared" ref="E61:H61" si="15">+E48+E58</f>
        <v>0.40746141975308642</v>
      </c>
      <c r="F61" s="44">
        <f t="shared" si="15"/>
        <v>0.40746141975308642</v>
      </c>
      <c r="G61" s="44">
        <f t="shared" si="15"/>
        <v>0.40746141975308642</v>
      </c>
      <c r="H61" s="44">
        <f t="shared" si="15"/>
        <v>0.40746141975308642</v>
      </c>
      <c r="I61" s="44">
        <f>+I48+I58</f>
        <v>0.40746141975308642</v>
      </c>
      <c r="J61" s="44">
        <f t="shared" ref="J61:M61" si="16">+J48+J58</f>
        <v>0.40746141975308642</v>
      </c>
      <c r="K61" s="44">
        <f t="shared" si="16"/>
        <v>0.40746141975308642</v>
      </c>
      <c r="L61" s="44">
        <f t="shared" si="16"/>
        <v>0.40746141975308642</v>
      </c>
      <c r="M61" s="44">
        <f t="shared" si="16"/>
        <v>0.40746141975308642</v>
      </c>
      <c r="N61" s="32"/>
      <c r="O61" s="32"/>
      <c r="P61" s="32"/>
      <c r="Q61" s="32"/>
      <c r="R61" s="32"/>
      <c r="S61" s="32"/>
      <c r="T61" s="32"/>
      <c r="U61" s="32"/>
      <c r="V61" s="32"/>
      <c r="W61" s="32"/>
    </row>
    <row r="62" spans="2:23" x14ac:dyDescent="0.2">
      <c r="B62" s="53" t="s">
        <v>128</v>
      </c>
      <c r="C62" s="54" t="s">
        <v>72</v>
      </c>
      <c r="D62" s="32">
        <f>D61*12*'Analisis Inputs Grales'!$D$24</f>
        <v>63368.4</v>
      </c>
      <c r="E62" s="32">
        <f>E61*12*'Analisis Inputs Grales'!$D$24</f>
        <v>63368.4</v>
      </c>
      <c r="F62" s="32">
        <f>F61*12*'Analisis Inputs Grales'!$D$24</f>
        <v>63368.4</v>
      </c>
      <c r="G62" s="32">
        <f>G61*12*'Analisis Inputs Grales'!$D$24</f>
        <v>63368.4</v>
      </c>
      <c r="H62" s="32">
        <f>H61*12*'Analisis Inputs Grales'!$D$24</f>
        <v>63368.4</v>
      </c>
      <c r="I62" s="32">
        <f>I61*12*'Analisis Inputs Grales'!$D$24</f>
        <v>63368.4</v>
      </c>
      <c r="J62" s="32">
        <f>J61*12*'Analisis Inputs Grales'!$D$24</f>
        <v>63368.4</v>
      </c>
      <c r="K62" s="32">
        <f>K61*12*'Analisis Inputs Grales'!$D$24</f>
        <v>63368.4</v>
      </c>
      <c r="L62" s="32">
        <f>L61*12*'Analisis Inputs Grales'!$D$24</f>
        <v>63368.4</v>
      </c>
      <c r="M62" s="32">
        <f>M61*12*'Analisis Inputs Grales'!$D$24</f>
        <v>63368.4</v>
      </c>
      <c r="N62" s="32"/>
      <c r="O62" s="32"/>
      <c r="P62" s="32"/>
      <c r="Q62" s="32"/>
      <c r="R62" s="32"/>
      <c r="S62" s="32"/>
      <c r="T62" s="32"/>
      <c r="U62" s="32"/>
      <c r="V62" s="32"/>
      <c r="W62" s="32"/>
    </row>
    <row r="63" spans="2:23" x14ac:dyDescent="0.2">
      <c r="B63" s="55"/>
      <c r="C63" s="56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</row>
    <row r="64" spans="2:23" x14ac:dyDescent="0.2">
      <c r="B64" s="57" t="s">
        <v>129</v>
      </c>
      <c r="C64" s="52" t="s">
        <v>130</v>
      </c>
      <c r="D64" s="44">
        <f>D61/'Analisis Inputs Grales'!$D$10</f>
        <v>6.7910236625514403E-2</v>
      </c>
      <c r="E64" s="44">
        <f>E61/'Analisis Inputs Grales'!$D$10</f>
        <v>6.7910236625514403E-2</v>
      </c>
      <c r="F64" s="44">
        <f>F61/'Analisis Inputs Grales'!$D$10</f>
        <v>6.7910236625514403E-2</v>
      </c>
      <c r="G64" s="44">
        <f>G61/'Analisis Inputs Grales'!$D$10</f>
        <v>6.7910236625514403E-2</v>
      </c>
      <c r="H64" s="44">
        <f>H61/'Analisis Inputs Grales'!$D$10</f>
        <v>6.7910236625514403E-2</v>
      </c>
      <c r="I64" s="44">
        <f>I61/'Analisis Inputs Grales'!$D$10</f>
        <v>6.7910236625514403E-2</v>
      </c>
      <c r="J64" s="44">
        <f>J61/'Analisis Inputs Grales'!$D$10</f>
        <v>6.7910236625514403E-2</v>
      </c>
      <c r="K64" s="44">
        <f>K61/'Analisis Inputs Grales'!$D$10</f>
        <v>6.7910236625514403E-2</v>
      </c>
      <c r="L64" s="44">
        <f>L61/'Analisis Inputs Grales'!$D$10</f>
        <v>6.7910236625514403E-2</v>
      </c>
      <c r="M64" s="44">
        <f>M61/'Analisis Inputs Grales'!$D$10</f>
        <v>6.7910236625514403E-2</v>
      </c>
      <c r="N64" s="32"/>
      <c r="O64" s="32"/>
      <c r="P64" s="32"/>
      <c r="Q64" s="32"/>
      <c r="R64" s="32"/>
      <c r="S64" s="32"/>
      <c r="T64" s="32"/>
      <c r="U64" s="32"/>
      <c r="V64" s="32"/>
      <c r="W64" s="32"/>
    </row>
    <row r="65" spans="2:23" x14ac:dyDescent="0.2">
      <c r="B65" s="50" t="s">
        <v>131</v>
      </c>
      <c r="C65" s="46" t="s">
        <v>132</v>
      </c>
      <c r="D65" s="32">
        <f>D64*12*'Analisis Inputs Grales'!$D$24</f>
        <v>10561.4</v>
      </c>
      <c r="E65" s="32">
        <f>E64*12*'Analisis Inputs Grales'!$D$24</f>
        <v>10561.4</v>
      </c>
      <c r="F65" s="32">
        <f>F64*12*'Analisis Inputs Grales'!$D$24</f>
        <v>10561.4</v>
      </c>
      <c r="G65" s="32">
        <f>G64*12*'Analisis Inputs Grales'!$D$24</f>
        <v>10561.4</v>
      </c>
      <c r="H65" s="32">
        <f>H64*12*'Analisis Inputs Grales'!$D$24</f>
        <v>10561.4</v>
      </c>
      <c r="I65" s="32">
        <f>I64*12*'Analisis Inputs Grales'!$D$24</f>
        <v>10561.4</v>
      </c>
      <c r="J65" s="32">
        <f>J64*12*'Analisis Inputs Grales'!$D$24</f>
        <v>10561.4</v>
      </c>
      <c r="K65" s="32">
        <f>K64*12*'Analisis Inputs Grales'!$D$24</f>
        <v>10561.4</v>
      </c>
      <c r="L65" s="32">
        <f>L64*12*'Analisis Inputs Grales'!$D$24</f>
        <v>10561.4</v>
      </c>
      <c r="M65" s="32">
        <f>M64*12*'Analisis Inputs Grales'!$D$24</f>
        <v>10561.4</v>
      </c>
      <c r="N65" s="32"/>
      <c r="O65" s="32"/>
      <c r="P65" s="32"/>
      <c r="Q65" s="32"/>
      <c r="R65" s="32"/>
      <c r="S65" s="32"/>
      <c r="T65" s="32"/>
      <c r="U65" s="32"/>
      <c r="V65" s="32"/>
      <c r="W65" s="32"/>
    </row>
    <row r="66" spans="2:23" x14ac:dyDescent="0.2">
      <c r="B66" s="50" t="s">
        <v>165</v>
      </c>
      <c r="C66" s="46" t="s">
        <v>166</v>
      </c>
      <c r="D66" s="44">
        <f>'Analisis Inputs Grales'!$D$30*'Analisis 20Años'!D64/60</f>
        <v>6.7910236625514403E-2</v>
      </c>
      <c r="E66" s="44">
        <f>'Analisis Inputs Grales'!$D$30*'Analisis 20Años'!E64/60</f>
        <v>6.7910236625514403E-2</v>
      </c>
      <c r="F66" s="44">
        <f>'Analisis Inputs Grales'!$D$30*'Analisis 20Años'!F64/60</f>
        <v>6.7910236625514403E-2</v>
      </c>
      <c r="G66" s="44">
        <f>'Analisis Inputs Grales'!$D$30*'Analisis 20Años'!G64/60</f>
        <v>6.7910236625514403E-2</v>
      </c>
      <c r="H66" s="44">
        <f>'Analisis Inputs Grales'!$D$30*'Analisis 20Años'!H64/60</f>
        <v>6.7910236625514403E-2</v>
      </c>
      <c r="I66" s="44">
        <f>'Analisis Inputs Grales'!$D$30*'Analisis 20Años'!I64/60</f>
        <v>6.7910236625514403E-2</v>
      </c>
      <c r="J66" s="44">
        <f>'Analisis Inputs Grales'!$D$30*'Analisis 20Años'!J64/60</f>
        <v>6.7910236625514403E-2</v>
      </c>
      <c r="K66" s="44">
        <f>'Analisis Inputs Grales'!$D$30*'Analisis 20Años'!K64/60</f>
        <v>6.7910236625514403E-2</v>
      </c>
      <c r="L66" s="44">
        <f>'Analisis Inputs Grales'!$D$30*'Analisis 20Años'!L64/60</f>
        <v>6.7910236625514403E-2</v>
      </c>
      <c r="M66" s="44">
        <f>'Analisis Inputs Grales'!$D$30*'Analisis 20Años'!M64/60</f>
        <v>6.7910236625514403E-2</v>
      </c>
      <c r="N66" s="32"/>
      <c r="O66" s="32"/>
      <c r="P66" s="32"/>
      <c r="Q66" s="32"/>
      <c r="R66" s="32"/>
      <c r="S66" s="32"/>
      <c r="T66" s="32"/>
      <c r="U66" s="32"/>
      <c r="V66" s="32"/>
      <c r="W66" s="32"/>
    </row>
    <row r="67" spans="2:23" x14ac:dyDescent="0.2">
      <c r="B67" s="50"/>
      <c r="C67" s="46"/>
      <c r="D67" s="44"/>
      <c r="E67" s="44"/>
      <c r="F67" s="44"/>
      <c r="G67" s="44"/>
      <c r="H67" s="44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</row>
    <row r="68" spans="2:23" x14ac:dyDescent="0.2">
      <c r="B68" s="116" t="s">
        <v>167</v>
      </c>
      <c r="C68" s="117" t="s">
        <v>23</v>
      </c>
      <c r="D68" s="44">
        <f>(1+'Analisis Inputs Grales'!$D$84)^'Analisis 20Años'!D$3</f>
        <v>1</v>
      </c>
      <c r="E68" s="44">
        <f>(1+'Analisis Inputs Grales'!$D$84)^'Analisis 20Años'!E$3</f>
        <v>1.1200000000000001</v>
      </c>
      <c r="F68" s="44">
        <f>(1+'Analisis Inputs Grales'!$D$84)^'Analisis 20Años'!F$3</f>
        <v>1.2544000000000002</v>
      </c>
      <c r="G68" s="44">
        <f>(1+'Analisis Inputs Grales'!$D$84)^'Analisis 20Años'!G$3</f>
        <v>1.4049280000000004</v>
      </c>
      <c r="H68" s="44">
        <f>(1+'Analisis Inputs Grales'!$D$84)^'Analisis 20Años'!H$3</f>
        <v>1.5735193600000004</v>
      </c>
      <c r="I68" s="44">
        <f>(1+'Analisis Inputs Grales'!$D$84)^'Analisis 20Años'!I$3</f>
        <v>1.7623416832000005</v>
      </c>
      <c r="J68" s="44">
        <f>(1+'Analisis Inputs Grales'!$D$84)^'Analisis 20Años'!J$3</f>
        <v>1.9738226851840008</v>
      </c>
      <c r="K68" s="44">
        <f>(1+'Analisis Inputs Grales'!$D$84)^'Analisis 20Años'!K$3</f>
        <v>2.210681407406081</v>
      </c>
      <c r="L68" s="44">
        <f>(1+'Analisis Inputs Grales'!$D$84)^'Analisis 20Años'!L$3</f>
        <v>2.4759631762948109</v>
      </c>
      <c r="M68" s="44">
        <f>(1+'Analisis Inputs Grales'!$D$84)^'Analisis 20Años'!M$3</f>
        <v>2.7730787574501883</v>
      </c>
      <c r="N68" s="32"/>
      <c r="O68" s="32"/>
      <c r="P68" s="32"/>
      <c r="Q68" s="32"/>
      <c r="R68" s="32"/>
      <c r="S68" s="32"/>
      <c r="T68" s="32"/>
      <c r="U68" s="32"/>
      <c r="V68" s="32"/>
      <c r="W68" s="32"/>
    </row>
    <row r="69" spans="2:23" x14ac:dyDescent="0.2">
      <c r="B69" s="116" t="s">
        <v>168</v>
      </c>
      <c r="C69" s="117" t="s">
        <v>166</v>
      </c>
      <c r="D69" s="44">
        <f>D66*D68</f>
        <v>6.7910236625514403E-2</v>
      </c>
      <c r="E69" s="44">
        <f t="shared" ref="E69:H69" si="17">E66*E68</f>
        <v>7.6059465020576145E-2</v>
      </c>
      <c r="F69" s="44">
        <f t="shared" si="17"/>
        <v>8.5186600823045286E-2</v>
      </c>
      <c r="G69" s="44">
        <f t="shared" si="17"/>
        <v>9.5408992921810723E-2</v>
      </c>
      <c r="H69" s="44">
        <f t="shared" si="17"/>
        <v>0.10685807207242801</v>
      </c>
      <c r="I69" s="44">
        <f>I66*I68</f>
        <v>0.11968104072111937</v>
      </c>
      <c r="J69" s="44">
        <f t="shared" ref="J69" si="18">J66*J68</f>
        <v>0.13404276560765371</v>
      </c>
      <c r="K69" s="44">
        <f t="shared" ref="K69" si="19">K66*K68</f>
        <v>0.15012789748057218</v>
      </c>
      <c r="L69" s="44">
        <f t="shared" ref="L69" si="20">L66*L68</f>
        <v>0.16814324517824084</v>
      </c>
      <c r="M69" s="44">
        <f>M66*M68</f>
        <v>0.18832043459962974</v>
      </c>
      <c r="N69" s="32"/>
      <c r="O69" s="32"/>
      <c r="P69" s="32"/>
      <c r="Q69" s="32"/>
      <c r="R69" s="32"/>
      <c r="S69" s="32"/>
      <c r="T69" s="32"/>
      <c r="U69" s="32"/>
      <c r="V69" s="32"/>
      <c r="W69" s="32"/>
    </row>
    <row r="70" spans="2:23" ht="15" x14ac:dyDescent="0.25">
      <c r="B70" s="118" t="s">
        <v>169</v>
      </c>
      <c r="C70" s="117" t="s">
        <v>166</v>
      </c>
      <c r="D70" s="113">
        <f>SUM(D69:M69)</f>
        <v>1.1917387510505904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</row>
    <row r="71" spans="2:23" x14ac:dyDescent="0.2">
      <c r="B71" s="50"/>
      <c r="C71" s="46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</row>
    <row r="72" spans="2:23" ht="15" thickBot="1" x14ac:dyDescent="0.25">
      <c r="B72" s="50"/>
      <c r="C72" s="46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</row>
    <row r="73" spans="2:23" ht="16.5" thickBot="1" x14ac:dyDescent="0.3">
      <c r="B73" s="114" t="s">
        <v>86</v>
      </c>
      <c r="C73" s="112">
        <v>15</v>
      </c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</row>
    <row r="74" spans="2:23" ht="15.75" x14ac:dyDescent="0.25">
      <c r="B74" s="110" t="s">
        <v>117</v>
      </c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</row>
    <row r="75" spans="2:23" x14ac:dyDescent="0.2">
      <c r="B75" s="42" t="s">
        <v>118</v>
      </c>
      <c r="C75" s="43" t="s">
        <v>119</v>
      </c>
      <c r="D75" s="44">
        <f>'Analisis Inputs Grales'!$D$25*('Analisis Inputs Grales'!$D$84/12)/'Analisis Inputs Grales'!$D$24</f>
        <v>2.7006172839506171E-2</v>
      </c>
      <c r="E75" s="44">
        <f>'Analisis Inputs Grales'!$D$25*('Analisis Inputs Grales'!$D$84/12)/'Analisis Inputs Grales'!$D$24</f>
        <v>2.7006172839506171E-2</v>
      </c>
      <c r="F75" s="44">
        <f>'Analisis Inputs Grales'!$D$25*('Analisis Inputs Grales'!$D$84/12)/'Analisis Inputs Grales'!$D$24</f>
        <v>2.7006172839506171E-2</v>
      </c>
      <c r="G75" s="44">
        <f>'Analisis Inputs Grales'!$D$25*('Analisis Inputs Grales'!$D$84/12)/'Analisis Inputs Grales'!$D$24</f>
        <v>2.7006172839506171E-2</v>
      </c>
      <c r="H75" s="44">
        <f>'Analisis Inputs Grales'!$D$25*('Analisis Inputs Grales'!$D$84/12)/'Analisis Inputs Grales'!$D$24</f>
        <v>2.7006172839506171E-2</v>
      </c>
      <c r="I75" s="44">
        <f>'Analisis Inputs Grales'!$D$25*('Analisis Inputs Grales'!$D$84/12)/'Analisis Inputs Grales'!$D$24</f>
        <v>2.7006172839506171E-2</v>
      </c>
      <c r="J75" s="44">
        <f>'Analisis Inputs Grales'!$D$25*('Analisis Inputs Grales'!$D$84/12)/'Analisis Inputs Grales'!$D$24</f>
        <v>2.7006172839506171E-2</v>
      </c>
      <c r="K75" s="44">
        <f>'Analisis Inputs Grales'!$D$25*('Analisis Inputs Grales'!$D$84/12)/'Analisis Inputs Grales'!$D$24</f>
        <v>2.7006172839506171E-2</v>
      </c>
      <c r="L75" s="44">
        <f>'Analisis Inputs Grales'!$D$25*('Analisis Inputs Grales'!$D$84/12)/'Analisis Inputs Grales'!$D$24</f>
        <v>2.7006172839506171E-2</v>
      </c>
      <c r="M75" s="44">
        <f>'Analisis Inputs Grales'!$D$25*('Analisis Inputs Grales'!$D$84/12)/'Analisis Inputs Grales'!$D$24</f>
        <v>2.7006172839506171E-2</v>
      </c>
      <c r="N75" s="44">
        <f>'Analisis Inputs Grales'!$D$25*('Analisis Inputs Grales'!$D$84/12)/'Analisis Inputs Grales'!$D$24</f>
        <v>2.7006172839506171E-2</v>
      </c>
      <c r="O75" s="44">
        <f>'Analisis Inputs Grales'!$D$25*('Analisis Inputs Grales'!$D$84/12)/'Analisis Inputs Grales'!$D$24</f>
        <v>2.7006172839506171E-2</v>
      </c>
      <c r="P75" s="44">
        <f>'Analisis Inputs Grales'!$D$25*('Analisis Inputs Grales'!$D$84/12)/'Analisis Inputs Grales'!$D$24</f>
        <v>2.7006172839506171E-2</v>
      </c>
      <c r="Q75" s="44">
        <f>'Analisis Inputs Grales'!$D$25*('Analisis Inputs Grales'!$D$84/12)/'Analisis Inputs Grales'!$D$24</f>
        <v>2.7006172839506171E-2</v>
      </c>
      <c r="R75" s="44">
        <f>'Analisis Inputs Grales'!$D$25*('Analisis Inputs Grales'!$D$84/12)/'Analisis Inputs Grales'!$D$24</f>
        <v>2.7006172839506171E-2</v>
      </c>
      <c r="S75" s="32"/>
      <c r="T75" s="32"/>
      <c r="U75" s="32"/>
      <c r="V75" s="32"/>
      <c r="W75" s="32"/>
    </row>
    <row r="76" spans="2:23" x14ac:dyDescent="0.2">
      <c r="B76" s="45" t="s">
        <v>118</v>
      </c>
      <c r="C76" s="46" t="s">
        <v>72</v>
      </c>
      <c r="D76" s="32">
        <f>D75*'Analisis Inputs Grales'!$D$24*12</f>
        <v>4200</v>
      </c>
      <c r="E76" s="32">
        <f>E75*'Analisis Inputs Grales'!$D$24*12</f>
        <v>4200</v>
      </c>
      <c r="F76" s="32">
        <f>F75*'Analisis Inputs Grales'!$D$24*12</f>
        <v>4200</v>
      </c>
      <c r="G76" s="32">
        <f>G75*'Analisis Inputs Grales'!$D$24*12</f>
        <v>4200</v>
      </c>
      <c r="H76" s="32">
        <f>H75*'Analisis Inputs Grales'!$D$24*12</f>
        <v>4200</v>
      </c>
      <c r="I76" s="32">
        <f>I75*'Analisis Inputs Grales'!$D$24*12</f>
        <v>4200</v>
      </c>
      <c r="J76" s="32">
        <f>J75*'Analisis Inputs Grales'!$D$24*12</f>
        <v>4200</v>
      </c>
      <c r="K76" s="32">
        <f>K75*'Analisis Inputs Grales'!$D$24*12</f>
        <v>4200</v>
      </c>
      <c r="L76" s="32">
        <f>L75*'Analisis Inputs Grales'!$D$24*12</f>
        <v>4200</v>
      </c>
      <c r="M76" s="32">
        <f>M75*'Analisis Inputs Grales'!$D$24*12</f>
        <v>4200</v>
      </c>
      <c r="N76" s="32">
        <f>N75*'Analisis Inputs Grales'!$D$24*12</f>
        <v>4200</v>
      </c>
      <c r="O76" s="32">
        <f>O75*'Analisis Inputs Grales'!$D$24*12</f>
        <v>4200</v>
      </c>
      <c r="P76" s="32">
        <f>P75*'Analisis Inputs Grales'!$D$24*12</f>
        <v>4200</v>
      </c>
      <c r="Q76" s="32">
        <f>Q75*'Analisis Inputs Grales'!$D$24*12</f>
        <v>4200</v>
      </c>
      <c r="R76" s="32">
        <f>R75*'Analisis Inputs Grales'!$D$24*12</f>
        <v>4200</v>
      </c>
      <c r="S76" s="32"/>
      <c r="T76" s="32"/>
      <c r="U76" s="32"/>
      <c r="V76" s="32"/>
      <c r="W76" s="32"/>
    </row>
    <row r="77" spans="2:23" x14ac:dyDescent="0.2">
      <c r="B77" s="42" t="s">
        <v>120</v>
      </c>
      <c r="C77" s="43" t="s">
        <v>119</v>
      </c>
      <c r="D77" s="44">
        <f>('Analisis Inputs Grales'!$D$26-'Analisis Inputs Grales'!$D$28*'Analisis Inputs Grales'!$D$26)/('Analisis Inputs Grales'!$D$24*$C73*12)</f>
        <v>1.3503086419753086E-2</v>
      </c>
      <c r="E77" s="44">
        <f>('Analisis Inputs Grales'!$D$26-'Analisis Inputs Grales'!$D$28*'Analisis Inputs Grales'!$D$26)/('Analisis Inputs Grales'!$D$24*$C73*12)</f>
        <v>1.3503086419753086E-2</v>
      </c>
      <c r="F77" s="44">
        <f>('Analisis Inputs Grales'!$D$26-'Analisis Inputs Grales'!$D$28*'Analisis Inputs Grales'!$D$26)/('Analisis Inputs Grales'!$D$24*$C73*12)</f>
        <v>1.3503086419753086E-2</v>
      </c>
      <c r="G77" s="44">
        <f>('Analisis Inputs Grales'!$D$26-'Analisis Inputs Grales'!$D$28*'Analisis Inputs Grales'!$D$26)/('Analisis Inputs Grales'!$D$24*$C73*12)</f>
        <v>1.3503086419753086E-2</v>
      </c>
      <c r="H77" s="44">
        <f>('Analisis Inputs Grales'!$D$26-'Analisis Inputs Grales'!$D$28*'Analisis Inputs Grales'!$D$26)/('Analisis Inputs Grales'!$D$24*$C73*12)</f>
        <v>1.3503086419753086E-2</v>
      </c>
      <c r="I77" s="44">
        <f>('Analisis Inputs Grales'!$D$26-'Analisis Inputs Grales'!$D$28*'Analisis Inputs Grales'!$D$26)/('Analisis Inputs Grales'!$D$24*$C73*12)</f>
        <v>1.3503086419753086E-2</v>
      </c>
      <c r="J77" s="44">
        <f>('Analisis Inputs Grales'!$D$26-'Analisis Inputs Grales'!$D$28*'Analisis Inputs Grales'!$D$26)/('Analisis Inputs Grales'!$D$24*$C73*12)</f>
        <v>1.3503086419753086E-2</v>
      </c>
      <c r="K77" s="44">
        <f>('Analisis Inputs Grales'!$D$26-'Analisis Inputs Grales'!$D$28*'Analisis Inputs Grales'!$D$26)/('Analisis Inputs Grales'!$D$24*$C73*12)</f>
        <v>1.3503086419753086E-2</v>
      </c>
      <c r="L77" s="44">
        <f>('Analisis Inputs Grales'!$D$26-'Analisis Inputs Grales'!$D$28*'Analisis Inputs Grales'!$D$26)/('Analisis Inputs Grales'!$D$24*$C73*12)</f>
        <v>1.3503086419753086E-2</v>
      </c>
      <c r="M77" s="44">
        <f>('Analisis Inputs Grales'!$D$26-'Analisis Inputs Grales'!$D$28*'Analisis Inputs Grales'!$D$26)/('Analisis Inputs Grales'!$D$24*$C73*12)</f>
        <v>1.3503086419753086E-2</v>
      </c>
      <c r="N77" s="44">
        <f>('Analisis Inputs Grales'!$D$26-'Analisis Inputs Grales'!$D$28*'Analisis Inputs Grales'!$D$26)/('Analisis Inputs Grales'!$D$24*$C73*12)</f>
        <v>1.3503086419753086E-2</v>
      </c>
      <c r="O77" s="44">
        <f>('Analisis Inputs Grales'!$D$26-'Analisis Inputs Grales'!$D$28*'Analisis Inputs Grales'!$D$26)/('Analisis Inputs Grales'!$D$24*$C73*12)</f>
        <v>1.3503086419753086E-2</v>
      </c>
      <c r="P77" s="44">
        <f>('Analisis Inputs Grales'!$D$26-'Analisis Inputs Grales'!$D$28*'Analisis Inputs Grales'!$D$26)/('Analisis Inputs Grales'!$D$24*$C73*12)</f>
        <v>1.3503086419753086E-2</v>
      </c>
      <c r="Q77" s="44">
        <f>('Analisis Inputs Grales'!$D$26-'Analisis Inputs Grales'!$D$28*'Analisis Inputs Grales'!$D$26)/('Analisis Inputs Grales'!$D$24*$C73*12)</f>
        <v>1.3503086419753086E-2</v>
      </c>
      <c r="R77" s="44">
        <f>('Analisis Inputs Grales'!$D$26-'Analisis Inputs Grales'!$D$28*'Analisis Inputs Grales'!$D$26)/('Analisis Inputs Grales'!$D$24*$C73*12)</f>
        <v>1.3503086419753086E-2</v>
      </c>
      <c r="S77" s="32"/>
      <c r="T77" s="32"/>
      <c r="U77" s="32"/>
      <c r="V77" s="32"/>
      <c r="W77" s="32"/>
    </row>
    <row r="78" spans="2:23" x14ac:dyDescent="0.2">
      <c r="B78" s="45" t="s">
        <v>120</v>
      </c>
      <c r="C78" s="46" t="s">
        <v>72</v>
      </c>
      <c r="D78" s="32">
        <f>D77*'Analisis Inputs Grales'!$D$24*12</f>
        <v>2100</v>
      </c>
      <c r="E78" s="32">
        <f>E77*'Analisis Inputs Grales'!$D$24*12</f>
        <v>2100</v>
      </c>
      <c r="F78" s="32">
        <f>F77*'Analisis Inputs Grales'!$D$24*12</f>
        <v>2100</v>
      </c>
      <c r="G78" s="32">
        <f>G77*'Analisis Inputs Grales'!$D$24*12</f>
        <v>2100</v>
      </c>
      <c r="H78" s="32">
        <f>H77*'Analisis Inputs Grales'!$D$24*12</f>
        <v>2100</v>
      </c>
      <c r="I78" s="32">
        <f>I77*'Analisis Inputs Grales'!$D$24*12</f>
        <v>2100</v>
      </c>
      <c r="J78" s="32">
        <f>J77*'Analisis Inputs Grales'!$D$24*12</f>
        <v>2100</v>
      </c>
      <c r="K78" s="32">
        <f>K77*'Analisis Inputs Grales'!$D$24*12</f>
        <v>2100</v>
      </c>
      <c r="L78" s="32">
        <f>L77*'Analisis Inputs Grales'!$D$24*12</f>
        <v>2100</v>
      </c>
      <c r="M78" s="32">
        <f>M77*'Analisis Inputs Grales'!$D$24*12</f>
        <v>2100</v>
      </c>
      <c r="N78" s="32">
        <f>N77*'Analisis Inputs Grales'!$D$24*12</f>
        <v>2100</v>
      </c>
      <c r="O78" s="32">
        <f>O77*'Analisis Inputs Grales'!$D$24*12</f>
        <v>2100</v>
      </c>
      <c r="P78" s="32">
        <f>P77*'Analisis Inputs Grales'!$D$24*12</f>
        <v>2100</v>
      </c>
      <c r="Q78" s="32">
        <f>Q77*'Analisis Inputs Grales'!$D$24*12</f>
        <v>2100</v>
      </c>
      <c r="R78" s="32">
        <f>R77*'Analisis Inputs Grales'!$D$24*12</f>
        <v>2100</v>
      </c>
      <c r="S78" s="32"/>
      <c r="T78" s="32"/>
      <c r="U78" s="32"/>
      <c r="V78" s="32"/>
      <c r="W78" s="32"/>
    </row>
    <row r="79" spans="2:23" x14ac:dyDescent="0.2">
      <c r="B79" s="42" t="s">
        <v>121</v>
      </c>
      <c r="C79" s="43" t="s">
        <v>119</v>
      </c>
      <c r="D79" s="44">
        <f>'Analisis Inputs Grales'!$D$17/'Analisis Inputs Grales'!$D$24</f>
        <v>0.15895061728395063</v>
      </c>
      <c r="E79" s="44">
        <f>'Analisis Inputs Grales'!$D$17/'Analisis Inputs Grales'!$D$24</f>
        <v>0.15895061728395063</v>
      </c>
      <c r="F79" s="44">
        <f>'Analisis Inputs Grales'!$D$17/'Analisis Inputs Grales'!$D$24</f>
        <v>0.15895061728395063</v>
      </c>
      <c r="G79" s="44">
        <f>'Analisis Inputs Grales'!$D$17/'Analisis Inputs Grales'!$D$24</f>
        <v>0.15895061728395063</v>
      </c>
      <c r="H79" s="44">
        <f>'Analisis Inputs Grales'!$D$17/'Analisis Inputs Grales'!$D$24</f>
        <v>0.15895061728395063</v>
      </c>
      <c r="I79" s="44">
        <f>'Analisis Inputs Grales'!$D$17/'Analisis Inputs Grales'!$D$24</f>
        <v>0.15895061728395063</v>
      </c>
      <c r="J79" s="44">
        <f>'Analisis Inputs Grales'!$D$17/'Analisis Inputs Grales'!$D$24</f>
        <v>0.15895061728395063</v>
      </c>
      <c r="K79" s="44">
        <f>'Analisis Inputs Grales'!$D$17/'Analisis Inputs Grales'!$D$24</f>
        <v>0.15895061728395063</v>
      </c>
      <c r="L79" s="44">
        <f>'Analisis Inputs Grales'!$D$17/'Analisis Inputs Grales'!$D$24</f>
        <v>0.15895061728395063</v>
      </c>
      <c r="M79" s="44">
        <f>'Analisis Inputs Grales'!$D$17/'Analisis Inputs Grales'!$D$24</f>
        <v>0.15895061728395063</v>
      </c>
      <c r="N79" s="44">
        <f>'Analisis Inputs Grales'!$D$17/'Analisis Inputs Grales'!$D$24</f>
        <v>0.15895061728395063</v>
      </c>
      <c r="O79" s="44">
        <f>'Analisis Inputs Grales'!$D$17/'Analisis Inputs Grales'!$D$24</f>
        <v>0.15895061728395063</v>
      </c>
      <c r="P79" s="44">
        <f>'Analisis Inputs Grales'!$D$17/'Analisis Inputs Grales'!$D$24</f>
        <v>0.15895061728395063</v>
      </c>
      <c r="Q79" s="44">
        <f>'Analisis Inputs Grales'!$D$17/'Analisis Inputs Grales'!$D$24</f>
        <v>0.15895061728395063</v>
      </c>
      <c r="R79" s="44">
        <f>'Analisis Inputs Grales'!$D$17/'Analisis Inputs Grales'!$D$24</f>
        <v>0.15895061728395063</v>
      </c>
      <c r="S79" s="32"/>
      <c r="T79" s="32"/>
      <c r="U79" s="32"/>
      <c r="V79" s="32"/>
      <c r="W79" s="32"/>
    </row>
    <row r="80" spans="2:23" x14ac:dyDescent="0.2">
      <c r="B80" s="48" t="s">
        <v>121</v>
      </c>
      <c r="C80" s="49" t="s">
        <v>72</v>
      </c>
      <c r="D80" s="32">
        <f>D79*'Analisis Inputs Grales'!$D$24*12</f>
        <v>24720</v>
      </c>
      <c r="E80" s="32">
        <f>E79*'Analisis Inputs Grales'!$D$24*12</f>
        <v>24720</v>
      </c>
      <c r="F80" s="32">
        <f>F79*'Analisis Inputs Grales'!$D$24*12</f>
        <v>24720</v>
      </c>
      <c r="G80" s="32">
        <f>G79*'Analisis Inputs Grales'!$D$24*12</f>
        <v>24720</v>
      </c>
      <c r="H80" s="32">
        <f>H79*'Analisis Inputs Grales'!$D$24*12</f>
        <v>24720</v>
      </c>
      <c r="I80" s="32">
        <f>I79*'Analisis Inputs Grales'!$D$24*12</f>
        <v>24720</v>
      </c>
      <c r="J80" s="32">
        <f>J79*'Analisis Inputs Grales'!$D$24*12</f>
        <v>24720</v>
      </c>
      <c r="K80" s="32">
        <f>K79*'Analisis Inputs Grales'!$D$24*12</f>
        <v>24720</v>
      </c>
      <c r="L80" s="32">
        <f>L79*'Analisis Inputs Grales'!$D$24*12</f>
        <v>24720</v>
      </c>
      <c r="M80" s="32">
        <f>M79*'Analisis Inputs Grales'!$D$24*12</f>
        <v>24720</v>
      </c>
      <c r="N80" s="32">
        <f>N79*'Analisis Inputs Grales'!$D$24*12</f>
        <v>24720</v>
      </c>
      <c r="O80" s="32">
        <f>O79*'Analisis Inputs Grales'!$D$24*12</f>
        <v>24720</v>
      </c>
      <c r="P80" s="32">
        <f>P79*'Analisis Inputs Grales'!$D$24*12</f>
        <v>24720</v>
      </c>
      <c r="Q80" s="32">
        <f>Q79*'Analisis Inputs Grales'!$D$24*12</f>
        <v>24720</v>
      </c>
      <c r="R80" s="32">
        <f>R79*'Analisis Inputs Grales'!$D$24*12</f>
        <v>24720</v>
      </c>
      <c r="S80" s="32"/>
      <c r="T80" s="32"/>
      <c r="U80" s="32"/>
      <c r="V80" s="32"/>
      <c r="W80" s="32"/>
    </row>
    <row r="81" spans="2:23" x14ac:dyDescent="0.2">
      <c r="B81" s="42" t="s">
        <v>122</v>
      </c>
      <c r="C81" s="43" t="s">
        <v>119</v>
      </c>
      <c r="D81" s="44">
        <f>D79+D77+D75</f>
        <v>0.1994598765432099</v>
      </c>
      <c r="E81" s="44">
        <f t="shared" ref="E81:I81" si="21">E79+E77+E75</f>
        <v>0.1994598765432099</v>
      </c>
      <c r="F81" s="44">
        <f t="shared" si="21"/>
        <v>0.1994598765432099</v>
      </c>
      <c r="G81" s="44">
        <f t="shared" si="21"/>
        <v>0.1994598765432099</v>
      </c>
      <c r="H81" s="44">
        <f t="shared" si="21"/>
        <v>0.1994598765432099</v>
      </c>
      <c r="I81" s="44">
        <f t="shared" si="21"/>
        <v>0.1994598765432099</v>
      </c>
      <c r="J81" s="44">
        <f t="shared" ref="J81:R81" si="22">J79+J77+J75</f>
        <v>0.1994598765432099</v>
      </c>
      <c r="K81" s="44">
        <f t="shared" si="22"/>
        <v>0.1994598765432099</v>
      </c>
      <c r="L81" s="44">
        <f t="shared" si="22"/>
        <v>0.1994598765432099</v>
      </c>
      <c r="M81" s="44">
        <f t="shared" si="22"/>
        <v>0.1994598765432099</v>
      </c>
      <c r="N81" s="44">
        <f t="shared" si="22"/>
        <v>0.1994598765432099</v>
      </c>
      <c r="O81" s="44">
        <f t="shared" si="22"/>
        <v>0.1994598765432099</v>
      </c>
      <c r="P81" s="44">
        <f t="shared" si="22"/>
        <v>0.1994598765432099</v>
      </c>
      <c r="Q81" s="44">
        <f t="shared" si="22"/>
        <v>0.1994598765432099</v>
      </c>
      <c r="R81" s="44">
        <f t="shared" si="22"/>
        <v>0.1994598765432099</v>
      </c>
      <c r="S81" s="32"/>
      <c r="T81" s="32"/>
      <c r="U81" s="32"/>
      <c r="V81" s="32"/>
      <c r="W81" s="32"/>
    </row>
    <row r="82" spans="2:23" x14ac:dyDescent="0.2">
      <c r="B82" s="45" t="s">
        <v>122</v>
      </c>
      <c r="C82" s="46" t="s">
        <v>72</v>
      </c>
      <c r="D82" s="32">
        <f>D80+D78+D76</f>
        <v>31020</v>
      </c>
      <c r="E82" s="32">
        <f t="shared" ref="E82:I82" si="23">E80+E78+E76</f>
        <v>31020</v>
      </c>
      <c r="F82" s="32">
        <f t="shared" si="23"/>
        <v>31020</v>
      </c>
      <c r="G82" s="32">
        <f t="shared" si="23"/>
        <v>31020</v>
      </c>
      <c r="H82" s="32">
        <f t="shared" si="23"/>
        <v>31020</v>
      </c>
      <c r="I82" s="32">
        <f t="shared" si="23"/>
        <v>31020</v>
      </c>
      <c r="J82" s="32">
        <f t="shared" ref="J82:R82" si="24">J80+J78+J76</f>
        <v>31020</v>
      </c>
      <c r="K82" s="32">
        <f t="shared" si="24"/>
        <v>31020</v>
      </c>
      <c r="L82" s="32">
        <f t="shared" si="24"/>
        <v>31020</v>
      </c>
      <c r="M82" s="32">
        <f t="shared" si="24"/>
        <v>31020</v>
      </c>
      <c r="N82" s="32">
        <f t="shared" si="24"/>
        <v>31020</v>
      </c>
      <c r="O82" s="32">
        <f t="shared" si="24"/>
        <v>31020</v>
      </c>
      <c r="P82" s="32">
        <f t="shared" si="24"/>
        <v>31020</v>
      </c>
      <c r="Q82" s="32">
        <f t="shared" si="24"/>
        <v>31020</v>
      </c>
      <c r="R82" s="32">
        <f t="shared" si="24"/>
        <v>31020</v>
      </c>
      <c r="S82" s="32"/>
      <c r="T82" s="32"/>
      <c r="U82" s="32"/>
      <c r="V82" s="32"/>
      <c r="W82" s="32"/>
    </row>
    <row r="83" spans="2:23" x14ac:dyDescent="0.2">
      <c r="C83" s="46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</row>
    <row r="84" spans="2:23" ht="15.75" x14ac:dyDescent="0.25">
      <c r="B84" s="110" t="s">
        <v>123</v>
      </c>
      <c r="C84" s="46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</row>
    <row r="85" spans="2:23" x14ac:dyDescent="0.2">
      <c r="B85" s="42" t="s">
        <v>124</v>
      </c>
      <c r="C85" s="43" t="s">
        <v>119</v>
      </c>
      <c r="D85" s="28">
        <f>'Analisis Inputs Grales'!$D$31/('Analisis Inputs Grales'!$D$29/('Analisis Inputs Grales'!$D$30/60))</f>
        <v>0.125</v>
      </c>
      <c r="E85" s="28">
        <f>'Analisis Inputs Grales'!$D$31/('Analisis Inputs Grales'!$D$29/('Analisis Inputs Grales'!$D$30/60))</f>
        <v>0.125</v>
      </c>
      <c r="F85" s="28">
        <f>'Analisis Inputs Grales'!$D$31/('Analisis Inputs Grales'!$D$29/('Analisis Inputs Grales'!$D$30/60))</f>
        <v>0.125</v>
      </c>
      <c r="G85" s="28">
        <f>'Analisis Inputs Grales'!$D$31/('Analisis Inputs Grales'!$D$29/('Analisis Inputs Grales'!$D$30/60))</f>
        <v>0.125</v>
      </c>
      <c r="H85" s="28">
        <f>'Analisis Inputs Grales'!$D$31/('Analisis Inputs Grales'!$D$29/('Analisis Inputs Grales'!$D$30/60))</f>
        <v>0.125</v>
      </c>
      <c r="I85" s="28">
        <f>'Analisis Inputs Grales'!$D$31/('Analisis Inputs Grales'!$D$29/('Analisis Inputs Grales'!$D$30/60))</f>
        <v>0.125</v>
      </c>
      <c r="J85" s="28">
        <f>'Analisis Inputs Grales'!$D$31/('Analisis Inputs Grales'!$D$29/('Analisis Inputs Grales'!$D$30/60))</f>
        <v>0.125</v>
      </c>
      <c r="K85" s="28">
        <f>'Analisis Inputs Grales'!$D$31/('Analisis Inputs Grales'!$D$29/('Analisis Inputs Grales'!$D$30/60))</f>
        <v>0.125</v>
      </c>
      <c r="L85" s="28">
        <f>'Analisis Inputs Grales'!$D$31/('Analisis Inputs Grales'!$D$29/('Analisis Inputs Grales'!$D$30/60))</f>
        <v>0.125</v>
      </c>
      <c r="M85" s="28">
        <f>'Analisis Inputs Grales'!$D$31/('Analisis Inputs Grales'!$D$29/('Analisis Inputs Grales'!$D$30/60))</f>
        <v>0.125</v>
      </c>
      <c r="N85" s="28">
        <f>'Analisis Inputs Grales'!$D$31/('Analisis Inputs Grales'!$D$29/('Analisis Inputs Grales'!$D$30/60))</f>
        <v>0.125</v>
      </c>
      <c r="O85" s="28">
        <f>'Analisis Inputs Grales'!$D$31/('Analisis Inputs Grales'!$D$29/('Analisis Inputs Grales'!$D$30/60))</f>
        <v>0.125</v>
      </c>
      <c r="P85" s="28">
        <f>'Analisis Inputs Grales'!$D$31/('Analisis Inputs Grales'!$D$29/('Analisis Inputs Grales'!$D$30/60))</f>
        <v>0.125</v>
      </c>
      <c r="Q85" s="28">
        <f>'Analisis Inputs Grales'!$D$31/('Analisis Inputs Grales'!$D$29/('Analisis Inputs Grales'!$D$30/60))</f>
        <v>0.125</v>
      </c>
      <c r="R85" s="28">
        <f>'Analisis Inputs Grales'!$D$31/('Analisis Inputs Grales'!$D$29/('Analisis Inputs Grales'!$D$30/60))</f>
        <v>0.125</v>
      </c>
      <c r="S85" s="32"/>
      <c r="T85" s="32"/>
      <c r="U85" s="32"/>
      <c r="V85" s="32"/>
      <c r="W85" s="32"/>
    </row>
    <row r="86" spans="2:23" x14ac:dyDescent="0.2">
      <c r="B86" s="45" t="s">
        <v>124</v>
      </c>
      <c r="C86" s="46" t="s">
        <v>72</v>
      </c>
      <c r="D86" s="32">
        <f>D85*12*'Analisis Inputs Grales'!$D$24</f>
        <v>19440</v>
      </c>
      <c r="E86" s="32">
        <f>E85*12*'Analisis Inputs Grales'!$D$24</f>
        <v>19440</v>
      </c>
      <c r="F86" s="32">
        <f>F85*12*'Analisis Inputs Grales'!$D$24</f>
        <v>19440</v>
      </c>
      <c r="G86" s="32">
        <f>G85*12*'Analisis Inputs Grales'!$D$24</f>
        <v>19440</v>
      </c>
      <c r="H86" s="32">
        <f>H85*12*'Analisis Inputs Grales'!$D$24</f>
        <v>19440</v>
      </c>
      <c r="I86" s="32">
        <f>I85*12*'Analisis Inputs Grales'!$D$24</f>
        <v>19440</v>
      </c>
      <c r="J86" s="32">
        <f>J85*12*'Analisis Inputs Grales'!$D$24</f>
        <v>19440</v>
      </c>
      <c r="K86" s="32">
        <f>K85*12*'Analisis Inputs Grales'!$D$24</f>
        <v>19440</v>
      </c>
      <c r="L86" s="32">
        <f>L85*12*'Analisis Inputs Grales'!$D$24</f>
        <v>19440</v>
      </c>
      <c r="M86" s="32">
        <f>M85*12*'Analisis Inputs Grales'!$D$24</f>
        <v>19440</v>
      </c>
      <c r="N86" s="32">
        <f>N85*12*'Analisis Inputs Grales'!$D$24</f>
        <v>19440</v>
      </c>
      <c r="O86" s="32">
        <f>O85*12*'Analisis Inputs Grales'!$D$24</f>
        <v>19440</v>
      </c>
      <c r="P86" s="32">
        <f>P85*12*'Analisis Inputs Grales'!$D$24</f>
        <v>19440</v>
      </c>
      <c r="Q86" s="32">
        <f>Q85*12*'Analisis Inputs Grales'!$D$24</f>
        <v>19440</v>
      </c>
      <c r="R86" s="32">
        <f>R85*12*'Analisis Inputs Grales'!$D$24</f>
        <v>19440</v>
      </c>
      <c r="S86" s="32"/>
      <c r="T86" s="32"/>
      <c r="U86" s="32"/>
      <c r="V86" s="32"/>
      <c r="W86" s="32"/>
    </row>
    <row r="87" spans="2:23" x14ac:dyDescent="0.2">
      <c r="B87" s="42" t="s">
        <v>125</v>
      </c>
      <c r="C87" s="43" t="s">
        <v>119</v>
      </c>
      <c r="D87" s="44">
        <f>'Analisis Inputs Grales'!$D$32*'Analisis 20Años'!D85</f>
        <v>1.8749999999999999E-2</v>
      </c>
      <c r="E87" s="44">
        <f>'Analisis Inputs Grales'!$D$32*'Analisis 20Años'!E85</f>
        <v>1.8749999999999999E-2</v>
      </c>
      <c r="F87" s="44">
        <f>'Analisis Inputs Grales'!$D$32*'Analisis 20Años'!F85</f>
        <v>1.8749999999999999E-2</v>
      </c>
      <c r="G87" s="44">
        <f>'Analisis Inputs Grales'!$D$32*'Analisis 20Años'!G85</f>
        <v>1.8749999999999999E-2</v>
      </c>
      <c r="H87" s="44">
        <f>'Analisis Inputs Grales'!$D$32*'Analisis 20Años'!H85</f>
        <v>1.8749999999999999E-2</v>
      </c>
      <c r="I87" s="44">
        <f>'Analisis Inputs Grales'!$D$32*'Analisis 20Años'!I85</f>
        <v>1.8749999999999999E-2</v>
      </c>
      <c r="J87" s="44">
        <f>'Analisis Inputs Grales'!$D$32*'Analisis 20Años'!J85</f>
        <v>1.8749999999999999E-2</v>
      </c>
      <c r="K87" s="44">
        <f>'Analisis Inputs Grales'!$D$32*'Analisis 20Años'!K85</f>
        <v>1.8749999999999999E-2</v>
      </c>
      <c r="L87" s="44">
        <f>'Analisis Inputs Grales'!$D$32*'Analisis 20Años'!L85</f>
        <v>1.8749999999999999E-2</v>
      </c>
      <c r="M87" s="44">
        <f>'Analisis Inputs Grales'!$D$32*'Analisis 20Años'!M85</f>
        <v>1.8749999999999999E-2</v>
      </c>
      <c r="N87" s="44">
        <f>'Analisis Inputs Grales'!$D$32*'Analisis 20Años'!N85</f>
        <v>1.8749999999999999E-2</v>
      </c>
      <c r="O87" s="44">
        <f>'Analisis Inputs Grales'!$D$32*'Analisis 20Años'!O85</f>
        <v>1.8749999999999999E-2</v>
      </c>
      <c r="P87" s="44">
        <f>'Analisis Inputs Grales'!$D$32*'Analisis 20Años'!P85</f>
        <v>1.8749999999999999E-2</v>
      </c>
      <c r="Q87" s="44">
        <f>'Analisis Inputs Grales'!$D$32*'Analisis 20Años'!Q85</f>
        <v>1.8749999999999999E-2</v>
      </c>
      <c r="R87" s="44">
        <f>'Analisis Inputs Grales'!$D$32*'Analisis 20Años'!R85</f>
        <v>1.8749999999999999E-2</v>
      </c>
      <c r="S87" s="32"/>
      <c r="T87" s="32"/>
      <c r="U87" s="32"/>
      <c r="V87" s="32"/>
      <c r="W87" s="32"/>
    </row>
    <row r="88" spans="2:23" x14ac:dyDescent="0.2">
      <c r="B88" s="45" t="s">
        <v>125</v>
      </c>
      <c r="C88" s="46" t="s">
        <v>72</v>
      </c>
      <c r="D88" s="32">
        <f>D87*12*'Analisis Inputs Grales'!$D$24</f>
        <v>2915.9999999999995</v>
      </c>
      <c r="E88" s="32">
        <f>E87*12*'Analisis Inputs Grales'!$D$24</f>
        <v>2915.9999999999995</v>
      </c>
      <c r="F88" s="32">
        <f>F87*12*'Analisis Inputs Grales'!$D$24</f>
        <v>2915.9999999999995</v>
      </c>
      <c r="G88" s="32">
        <f>G87*12*'Analisis Inputs Grales'!$D$24</f>
        <v>2915.9999999999995</v>
      </c>
      <c r="H88" s="32">
        <f>H87*12*'Analisis Inputs Grales'!$D$24</f>
        <v>2915.9999999999995</v>
      </c>
      <c r="I88" s="32">
        <f>I87*12*'Analisis Inputs Grales'!$D$24</f>
        <v>2915.9999999999995</v>
      </c>
      <c r="J88" s="32">
        <f>J87*12*'Analisis Inputs Grales'!$D$24</f>
        <v>2915.9999999999995</v>
      </c>
      <c r="K88" s="32">
        <f>K87*12*'Analisis Inputs Grales'!$D$24</f>
        <v>2915.9999999999995</v>
      </c>
      <c r="L88" s="32">
        <f>L87*12*'Analisis Inputs Grales'!$D$24</f>
        <v>2915.9999999999995</v>
      </c>
      <c r="M88" s="32">
        <f>M87*12*'Analisis Inputs Grales'!$D$24</f>
        <v>2915.9999999999995</v>
      </c>
      <c r="N88" s="32">
        <f>N87*12*'Analisis Inputs Grales'!$D$24</f>
        <v>2915.9999999999995</v>
      </c>
      <c r="O88" s="32">
        <f>O87*12*'Analisis Inputs Grales'!$D$24</f>
        <v>2915.9999999999995</v>
      </c>
      <c r="P88" s="32">
        <f>P87*12*'Analisis Inputs Grales'!$D$24</f>
        <v>2915.9999999999995</v>
      </c>
      <c r="Q88" s="32">
        <f>Q87*12*'Analisis Inputs Grales'!$D$24</f>
        <v>2915.9999999999995</v>
      </c>
      <c r="R88" s="32">
        <f>R87*12*'Analisis Inputs Grales'!$D$24</f>
        <v>2915.9999999999995</v>
      </c>
      <c r="S88" s="32"/>
      <c r="T88" s="32"/>
      <c r="U88" s="32"/>
      <c r="V88" s="32"/>
      <c r="W88" s="32"/>
    </row>
    <row r="89" spans="2:23" x14ac:dyDescent="0.2">
      <c r="B89" s="42" t="s">
        <v>126</v>
      </c>
      <c r="C89" s="43" t="s">
        <v>119</v>
      </c>
      <c r="D89" s="44">
        <f>'Analisis Inputs Grales'!$D$33*('Analisis 20Años'!D87+'Analisis 20Años'!D85)</f>
        <v>5.7499999999999996E-2</v>
      </c>
      <c r="E89" s="44">
        <f>'Analisis Inputs Grales'!$D$33*('Analisis 20Años'!E87+'Analisis 20Años'!E85)</f>
        <v>5.7499999999999996E-2</v>
      </c>
      <c r="F89" s="44">
        <f>'Analisis Inputs Grales'!$D$33*('Analisis 20Años'!F87+'Analisis 20Años'!F85)</f>
        <v>5.7499999999999996E-2</v>
      </c>
      <c r="G89" s="44">
        <f>'Analisis Inputs Grales'!$D$33*('Analisis 20Años'!G87+'Analisis 20Años'!G85)</f>
        <v>5.7499999999999996E-2</v>
      </c>
      <c r="H89" s="44">
        <f>'Analisis Inputs Grales'!$D$33*('Analisis 20Años'!H87+'Analisis 20Años'!H85)</f>
        <v>5.7499999999999996E-2</v>
      </c>
      <c r="I89" s="44">
        <f>'Analisis Inputs Grales'!$D$33*('Analisis 20Años'!I87+'Analisis 20Años'!I85)</f>
        <v>5.7499999999999996E-2</v>
      </c>
      <c r="J89" s="44">
        <f>'Analisis Inputs Grales'!$D$33*('Analisis 20Años'!J87+'Analisis 20Años'!J85)</f>
        <v>5.7499999999999996E-2</v>
      </c>
      <c r="K89" s="44">
        <f>'Analisis Inputs Grales'!$D$33*('Analisis 20Años'!K87+'Analisis 20Años'!K85)</f>
        <v>5.7499999999999996E-2</v>
      </c>
      <c r="L89" s="44">
        <f>'Analisis Inputs Grales'!$D$33*('Analisis 20Años'!L87+'Analisis 20Años'!L85)</f>
        <v>5.7499999999999996E-2</v>
      </c>
      <c r="M89" s="44">
        <f>'Analisis Inputs Grales'!$D$33*('Analisis 20Años'!M87+'Analisis 20Años'!M85)</f>
        <v>5.7499999999999996E-2</v>
      </c>
      <c r="N89" s="44">
        <f>'Analisis Inputs Grales'!$D$33*('Analisis 20Años'!N87+'Analisis 20Años'!N85)</f>
        <v>5.7499999999999996E-2</v>
      </c>
      <c r="O89" s="44">
        <f>'Analisis Inputs Grales'!$D$33*('Analisis 20Años'!O87+'Analisis 20Años'!O85)</f>
        <v>5.7499999999999996E-2</v>
      </c>
      <c r="P89" s="44">
        <f>'Analisis Inputs Grales'!$D$33*('Analisis 20Años'!P87+'Analisis 20Años'!P85)</f>
        <v>5.7499999999999996E-2</v>
      </c>
      <c r="Q89" s="44">
        <f>'Analisis Inputs Grales'!$D$33*('Analisis 20Años'!Q87+'Analisis 20Años'!Q85)</f>
        <v>5.7499999999999996E-2</v>
      </c>
      <c r="R89" s="44">
        <f>'Analisis Inputs Grales'!$D$33*('Analisis 20Años'!R87+'Analisis 20Años'!R85)</f>
        <v>5.7499999999999996E-2</v>
      </c>
      <c r="S89" s="32"/>
      <c r="T89" s="32"/>
      <c r="U89" s="32"/>
      <c r="V89" s="32"/>
      <c r="W89" s="32"/>
    </row>
    <row r="90" spans="2:23" x14ac:dyDescent="0.2">
      <c r="B90" s="45" t="s">
        <v>126</v>
      </c>
      <c r="C90" s="46" t="s">
        <v>72</v>
      </c>
      <c r="D90" s="32">
        <f>D89*12*'Analisis Inputs Grales'!$D$24</f>
        <v>8942.4</v>
      </c>
      <c r="E90" s="32">
        <f>E89*12*'Analisis Inputs Grales'!$D$24</f>
        <v>8942.4</v>
      </c>
      <c r="F90" s="32">
        <f>F89*12*'Analisis Inputs Grales'!$D$24</f>
        <v>8942.4</v>
      </c>
      <c r="G90" s="32">
        <f>G89*12*'Analisis Inputs Grales'!$D$24</f>
        <v>8942.4</v>
      </c>
      <c r="H90" s="32">
        <f>H89*12*'Analisis Inputs Grales'!$D$24</f>
        <v>8942.4</v>
      </c>
      <c r="I90" s="32">
        <f>I89*12*'Analisis Inputs Grales'!$D$24</f>
        <v>8942.4</v>
      </c>
      <c r="J90" s="32">
        <f>J89*12*'Analisis Inputs Grales'!$D$24</f>
        <v>8942.4</v>
      </c>
      <c r="K90" s="32">
        <f>K89*12*'Analisis Inputs Grales'!$D$24</f>
        <v>8942.4</v>
      </c>
      <c r="L90" s="32">
        <f>L89*12*'Analisis Inputs Grales'!$D$24</f>
        <v>8942.4</v>
      </c>
      <c r="M90" s="32">
        <f>M89*12*'Analisis Inputs Grales'!$D$24</f>
        <v>8942.4</v>
      </c>
      <c r="N90" s="32">
        <f>N89*12*'Analisis Inputs Grales'!$D$24</f>
        <v>8942.4</v>
      </c>
      <c r="O90" s="32">
        <f>O89*12*'Analisis Inputs Grales'!$D$24</f>
        <v>8942.4</v>
      </c>
      <c r="P90" s="32">
        <f>P89*12*'Analisis Inputs Grales'!$D$24</f>
        <v>8942.4</v>
      </c>
      <c r="Q90" s="32">
        <f>Q89*12*'Analisis Inputs Grales'!$D$24</f>
        <v>8942.4</v>
      </c>
      <c r="R90" s="32">
        <f>R89*12*'Analisis Inputs Grales'!$D$24</f>
        <v>8942.4</v>
      </c>
      <c r="S90" s="32"/>
      <c r="T90" s="32"/>
      <c r="U90" s="32"/>
      <c r="V90" s="32"/>
      <c r="W90" s="32"/>
    </row>
    <row r="91" spans="2:23" x14ac:dyDescent="0.2">
      <c r="B91" s="42" t="s">
        <v>127</v>
      </c>
      <c r="C91" s="43" t="s">
        <v>119</v>
      </c>
      <c r="D91" s="44">
        <f>D89+D87+D85</f>
        <v>0.20124999999999998</v>
      </c>
      <c r="E91" s="44">
        <f t="shared" ref="E91:H91" si="25">E89+E87+E85</f>
        <v>0.20124999999999998</v>
      </c>
      <c r="F91" s="44">
        <f t="shared" si="25"/>
        <v>0.20124999999999998</v>
      </c>
      <c r="G91" s="44">
        <f t="shared" si="25"/>
        <v>0.20124999999999998</v>
      </c>
      <c r="H91" s="44">
        <f t="shared" si="25"/>
        <v>0.20124999999999998</v>
      </c>
      <c r="I91" s="44">
        <f t="shared" ref="I91:R91" si="26">I89+I87+I85</f>
        <v>0.20124999999999998</v>
      </c>
      <c r="J91" s="44">
        <f t="shared" si="26"/>
        <v>0.20124999999999998</v>
      </c>
      <c r="K91" s="44">
        <f t="shared" si="26"/>
        <v>0.20124999999999998</v>
      </c>
      <c r="L91" s="44">
        <f t="shared" si="26"/>
        <v>0.20124999999999998</v>
      </c>
      <c r="M91" s="44">
        <f t="shared" si="26"/>
        <v>0.20124999999999998</v>
      </c>
      <c r="N91" s="44">
        <f t="shared" si="26"/>
        <v>0.20124999999999998</v>
      </c>
      <c r="O91" s="44">
        <f t="shared" si="26"/>
        <v>0.20124999999999998</v>
      </c>
      <c r="P91" s="44">
        <f t="shared" si="26"/>
        <v>0.20124999999999998</v>
      </c>
      <c r="Q91" s="44">
        <f t="shared" si="26"/>
        <v>0.20124999999999998</v>
      </c>
      <c r="R91" s="44">
        <f t="shared" si="26"/>
        <v>0.20124999999999998</v>
      </c>
      <c r="S91" s="32"/>
      <c r="T91" s="32"/>
      <c r="U91" s="32"/>
      <c r="V91" s="32"/>
      <c r="W91" s="32"/>
    </row>
    <row r="92" spans="2:23" x14ac:dyDescent="0.2">
      <c r="B92" s="48" t="s">
        <v>127</v>
      </c>
      <c r="C92" s="46" t="s">
        <v>72</v>
      </c>
      <c r="D92" s="32">
        <f>D90+D88+D86</f>
        <v>31298.400000000001</v>
      </c>
      <c r="E92" s="32">
        <f t="shared" ref="E92:H92" si="27">E90+E88+E86</f>
        <v>31298.400000000001</v>
      </c>
      <c r="F92" s="32">
        <f t="shared" si="27"/>
        <v>31298.400000000001</v>
      </c>
      <c r="G92" s="32">
        <f t="shared" si="27"/>
        <v>31298.400000000001</v>
      </c>
      <c r="H92" s="32">
        <f t="shared" si="27"/>
        <v>31298.400000000001</v>
      </c>
      <c r="I92" s="32">
        <f t="shared" ref="I92:R92" si="28">I90+I88+I86</f>
        <v>31298.400000000001</v>
      </c>
      <c r="J92" s="32">
        <f t="shared" si="28"/>
        <v>31298.400000000001</v>
      </c>
      <c r="K92" s="32">
        <f t="shared" si="28"/>
        <v>31298.400000000001</v>
      </c>
      <c r="L92" s="32">
        <f t="shared" si="28"/>
        <v>31298.400000000001</v>
      </c>
      <c r="M92" s="32">
        <f t="shared" si="28"/>
        <v>31298.400000000001</v>
      </c>
      <c r="N92" s="32">
        <f t="shared" si="28"/>
        <v>31298.400000000001</v>
      </c>
      <c r="O92" s="32">
        <f t="shared" si="28"/>
        <v>31298.400000000001</v>
      </c>
      <c r="P92" s="32">
        <f t="shared" si="28"/>
        <v>31298.400000000001</v>
      </c>
      <c r="Q92" s="32">
        <f t="shared" si="28"/>
        <v>31298.400000000001</v>
      </c>
      <c r="R92" s="32">
        <f t="shared" si="28"/>
        <v>31298.400000000001</v>
      </c>
      <c r="S92" s="32"/>
      <c r="T92" s="32"/>
      <c r="U92" s="32"/>
      <c r="V92" s="32"/>
      <c r="W92" s="32"/>
    </row>
    <row r="93" spans="2:23" x14ac:dyDescent="0.2">
      <c r="B93" s="50"/>
      <c r="S93" s="32"/>
      <c r="T93" s="32"/>
      <c r="U93" s="32"/>
      <c r="V93" s="32"/>
      <c r="W93" s="32"/>
    </row>
    <row r="94" spans="2:23" x14ac:dyDescent="0.2">
      <c r="B94" s="51" t="s">
        <v>128</v>
      </c>
      <c r="C94" s="52" t="s">
        <v>119</v>
      </c>
      <c r="D94" s="44">
        <f>+D81+D91</f>
        <v>0.40070987654320989</v>
      </c>
      <c r="E94" s="44">
        <f t="shared" ref="E94:H94" si="29">+E81+E91</f>
        <v>0.40070987654320989</v>
      </c>
      <c r="F94" s="44">
        <f t="shared" si="29"/>
        <v>0.40070987654320989</v>
      </c>
      <c r="G94" s="44">
        <f t="shared" si="29"/>
        <v>0.40070987654320989</v>
      </c>
      <c r="H94" s="44">
        <f t="shared" si="29"/>
        <v>0.40070987654320989</v>
      </c>
      <c r="I94" s="44">
        <f t="shared" ref="I94:R94" si="30">+I81+I91</f>
        <v>0.40070987654320989</v>
      </c>
      <c r="J94" s="44">
        <f t="shared" si="30"/>
        <v>0.40070987654320989</v>
      </c>
      <c r="K94" s="44">
        <f t="shared" si="30"/>
        <v>0.40070987654320989</v>
      </c>
      <c r="L94" s="44">
        <f t="shared" si="30"/>
        <v>0.40070987654320989</v>
      </c>
      <c r="M94" s="44">
        <f t="shared" si="30"/>
        <v>0.40070987654320989</v>
      </c>
      <c r="N94" s="44">
        <f t="shared" si="30"/>
        <v>0.40070987654320989</v>
      </c>
      <c r="O94" s="44">
        <f t="shared" si="30"/>
        <v>0.40070987654320989</v>
      </c>
      <c r="P94" s="44">
        <f t="shared" si="30"/>
        <v>0.40070987654320989</v>
      </c>
      <c r="Q94" s="44">
        <f t="shared" si="30"/>
        <v>0.40070987654320989</v>
      </c>
      <c r="R94" s="44">
        <f t="shared" si="30"/>
        <v>0.40070987654320989</v>
      </c>
      <c r="S94" s="32"/>
      <c r="T94" s="32"/>
      <c r="U94" s="32"/>
      <c r="V94" s="32"/>
      <c r="W94" s="32"/>
    </row>
    <row r="95" spans="2:23" x14ac:dyDescent="0.2">
      <c r="B95" s="53" t="s">
        <v>128</v>
      </c>
      <c r="C95" s="54" t="s">
        <v>72</v>
      </c>
      <c r="D95" s="32">
        <f>D94*12*'Analisis Inputs Grales'!$D$24</f>
        <v>62318.399999999994</v>
      </c>
      <c r="E95" s="32">
        <f>E94*12*'Analisis Inputs Grales'!$D$24</f>
        <v>62318.399999999994</v>
      </c>
      <c r="F95" s="32">
        <f>F94*12*'Analisis Inputs Grales'!$D$24</f>
        <v>62318.399999999994</v>
      </c>
      <c r="G95" s="32">
        <f>G94*12*'Analisis Inputs Grales'!$D$24</f>
        <v>62318.399999999994</v>
      </c>
      <c r="H95" s="32">
        <f>H94*12*'Analisis Inputs Grales'!$D$24</f>
        <v>62318.399999999994</v>
      </c>
      <c r="I95" s="32">
        <f>I94*12*'Analisis Inputs Grales'!$D$24</f>
        <v>62318.399999999994</v>
      </c>
      <c r="J95" s="32">
        <f>J94*12*'Analisis Inputs Grales'!$D$24</f>
        <v>62318.399999999994</v>
      </c>
      <c r="K95" s="32">
        <f>K94*12*'Analisis Inputs Grales'!$D$24</f>
        <v>62318.399999999994</v>
      </c>
      <c r="L95" s="32">
        <f>L94*12*'Analisis Inputs Grales'!$D$24</f>
        <v>62318.399999999994</v>
      </c>
      <c r="M95" s="32">
        <f>M94*12*'Analisis Inputs Grales'!$D$24</f>
        <v>62318.399999999994</v>
      </c>
      <c r="N95" s="32">
        <f>N94*12*'Analisis Inputs Grales'!$D$24</f>
        <v>62318.399999999994</v>
      </c>
      <c r="O95" s="32">
        <f>O94*12*'Analisis Inputs Grales'!$D$24</f>
        <v>62318.399999999994</v>
      </c>
      <c r="P95" s="32">
        <f>P94*12*'Analisis Inputs Grales'!$D$24</f>
        <v>62318.399999999994</v>
      </c>
      <c r="Q95" s="32">
        <f>Q94*12*'Analisis Inputs Grales'!$D$24</f>
        <v>62318.399999999994</v>
      </c>
      <c r="R95" s="32">
        <f>R94*12*'Analisis Inputs Grales'!$D$24</f>
        <v>62318.399999999994</v>
      </c>
      <c r="S95" s="32"/>
      <c r="T95" s="32"/>
      <c r="U95" s="32"/>
      <c r="V95" s="32"/>
      <c r="W95" s="32"/>
    </row>
    <row r="96" spans="2:23" x14ac:dyDescent="0.2">
      <c r="B96" s="55"/>
      <c r="C96" s="56"/>
      <c r="S96" s="32"/>
      <c r="T96" s="32"/>
      <c r="U96" s="32"/>
      <c r="V96" s="32"/>
      <c r="W96" s="32"/>
    </row>
    <row r="97" spans="2:23" x14ac:dyDescent="0.2">
      <c r="B97" s="57" t="s">
        <v>129</v>
      </c>
      <c r="C97" s="52" t="s">
        <v>130</v>
      </c>
      <c r="D97" s="44">
        <f>D94/'Analisis Inputs Grales'!$D$10</f>
        <v>6.678497942386831E-2</v>
      </c>
      <c r="E97" s="44">
        <f>E94/'Analisis Inputs Grales'!$D$10</f>
        <v>6.678497942386831E-2</v>
      </c>
      <c r="F97" s="44">
        <f>F94/'Analisis Inputs Grales'!$D$10</f>
        <v>6.678497942386831E-2</v>
      </c>
      <c r="G97" s="44">
        <f>G94/'Analisis Inputs Grales'!$D$10</f>
        <v>6.678497942386831E-2</v>
      </c>
      <c r="H97" s="44">
        <f>H94/'Analisis Inputs Grales'!$D$10</f>
        <v>6.678497942386831E-2</v>
      </c>
      <c r="I97" s="44">
        <f>I94/'Analisis Inputs Grales'!$D$10</f>
        <v>6.678497942386831E-2</v>
      </c>
      <c r="J97" s="44">
        <f>J94/'Analisis Inputs Grales'!$D$10</f>
        <v>6.678497942386831E-2</v>
      </c>
      <c r="K97" s="44">
        <f>K94/'Analisis Inputs Grales'!$D$10</f>
        <v>6.678497942386831E-2</v>
      </c>
      <c r="L97" s="44">
        <f>L94/'Analisis Inputs Grales'!$D$10</f>
        <v>6.678497942386831E-2</v>
      </c>
      <c r="M97" s="44">
        <f>M94/'Analisis Inputs Grales'!$D$10</f>
        <v>6.678497942386831E-2</v>
      </c>
      <c r="N97" s="44">
        <f>N94/'Analisis Inputs Grales'!$D$10</f>
        <v>6.678497942386831E-2</v>
      </c>
      <c r="O97" s="44">
        <f>O94/'Analisis Inputs Grales'!$D$10</f>
        <v>6.678497942386831E-2</v>
      </c>
      <c r="P97" s="44">
        <f>P94/'Analisis Inputs Grales'!$D$10</f>
        <v>6.678497942386831E-2</v>
      </c>
      <c r="Q97" s="44">
        <f>Q94/'Analisis Inputs Grales'!$D$10</f>
        <v>6.678497942386831E-2</v>
      </c>
      <c r="R97" s="44">
        <f>R94/'Analisis Inputs Grales'!$D$10</f>
        <v>6.678497942386831E-2</v>
      </c>
      <c r="S97" s="32"/>
      <c r="T97" s="32"/>
      <c r="U97" s="32"/>
      <c r="V97" s="32"/>
      <c r="W97" s="32"/>
    </row>
    <row r="98" spans="2:23" x14ac:dyDescent="0.2">
      <c r="B98" s="50" t="s">
        <v>131</v>
      </c>
      <c r="C98" s="46" t="s">
        <v>132</v>
      </c>
      <c r="D98" s="32">
        <f>D97*12*'Analisis Inputs Grales'!$D$24</f>
        <v>10386.4</v>
      </c>
      <c r="E98" s="32">
        <f>E97*12*'Analisis Inputs Grales'!$D$24</f>
        <v>10386.4</v>
      </c>
      <c r="F98" s="32">
        <f>F97*12*'Analisis Inputs Grales'!$D$24</f>
        <v>10386.4</v>
      </c>
      <c r="G98" s="32">
        <f>G97*12*'Analisis Inputs Grales'!$D$24</f>
        <v>10386.4</v>
      </c>
      <c r="H98" s="32">
        <f>H97*12*'Analisis Inputs Grales'!$D$24</f>
        <v>10386.4</v>
      </c>
      <c r="I98" s="32">
        <f>I97*12*'Analisis Inputs Grales'!$D$24</f>
        <v>10386.4</v>
      </c>
      <c r="J98" s="32">
        <f>J97*12*'Analisis Inputs Grales'!$D$24</f>
        <v>10386.4</v>
      </c>
      <c r="K98" s="32">
        <f>K97*12*'Analisis Inputs Grales'!$D$24</f>
        <v>10386.4</v>
      </c>
      <c r="L98" s="32">
        <f>L97*12*'Analisis Inputs Grales'!$D$24</f>
        <v>10386.4</v>
      </c>
      <c r="M98" s="32">
        <f>M97*12*'Analisis Inputs Grales'!$D$24</f>
        <v>10386.4</v>
      </c>
      <c r="N98" s="32">
        <f>N97*12*'Analisis Inputs Grales'!$D$24</f>
        <v>10386.4</v>
      </c>
      <c r="O98" s="32">
        <f>O97*12*'Analisis Inputs Grales'!$D$24</f>
        <v>10386.4</v>
      </c>
      <c r="P98" s="32">
        <f>P97*12*'Analisis Inputs Grales'!$D$24</f>
        <v>10386.4</v>
      </c>
      <c r="Q98" s="32">
        <f>Q97*12*'Analisis Inputs Grales'!$D$24</f>
        <v>10386.4</v>
      </c>
      <c r="R98" s="32">
        <f>R97*12*'Analisis Inputs Grales'!$D$24</f>
        <v>10386.4</v>
      </c>
      <c r="S98" s="32"/>
      <c r="T98" s="32"/>
      <c r="U98" s="32"/>
      <c r="V98" s="32"/>
      <c r="W98" s="32"/>
    </row>
    <row r="99" spans="2:23" x14ac:dyDescent="0.2">
      <c r="B99" s="50" t="s">
        <v>165</v>
      </c>
      <c r="C99" s="46" t="s">
        <v>166</v>
      </c>
      <c r="D99" s="44">
        <f>'Analisis Inputs Grales'!$D$30*'Analisis 20Años'!D97/60</f>
        <v>6.678497942386831E-2</v>
      </c>
      <c r="E99" s="44">
        <f>'Analisis Inputs Grales'!$D$30*'Analisis 20Años'!E97/60</f>
        <v>6.678497942386831E-2</v>
      </c>
      <c r="F99" s="44">
        <f>'Analisis Inputs Grales'!$D$30*'Analisis 20Años'!F97/60</f>
        <v>6.678497942386831E-2</v>
      </c>
      <c r="G99" s="44">
        <f>'Analisis Inputs Grales'!$D$30*'Analisis 20Años'!G97/60</f>
        <v>6.678497942386831E-2</v>
      </c>
      <c r="H99" s="44">
        <f>'Analisis Inputs Grales'!$D$30*'Analisis 20Años'!H97/60</f>
        <v>6.678497942386831E-2</v>
      </c>
      <c r="I99" s="44">
        <f>'Analisis Inputs Grales'!$D$30*'Analisis 20Años'!I97/60</f>
        <v>6.678497942386831E-2</v>
      </c>
      <c r="J99" s="44">
        <f>'Analisis Inputs Grales'!$D$30*'Analisis 20Años'!J97/60</f>
        <v>6.678497942386831E-2</v>
      </c>
      <c r="K99" s="44">
        <f>'Analisis Inputs Grales'!$D$30*'Analisis 20Años'!K97/60</f>
        <v>6.678497942386831E-2</v>
      </c>
      <c r="L99" s="44">
        <f>'Analisis Inputs Grales'!$D$30*'Analisis 20Años'!L97/60</f>
        <v>6.678497942386831E-2</v>
      </c>
      <c r="M99" s="44">
        <f>'Analisis Inputs Grales'!$D$30*'Analisis 20Años'!M97/60</f>
        <v>6.678497942386831E-2</v>
      </c>
      <c r="N99" s="44">
        <f>'Analisis Inputs Grales'!$D$30*'Analisis 20Años'!N97/60</f>
        <v>6.678497942386831E-2</v>
      </c>
      <c r="O99" s="44">
        <f>'Analisis Inputs Grales'!$D$30*'Analisis 20Años'!O97/60</f>
        <v>6.678497942386831E-2</v>
      </c>
      <c r="P99" s="44">
        <f>'Analisis Inputs Grales'!$D$30*'Analisis 20Años'!P97/60</f>
        <v>6.678497942386831E-2</v>
      </c>
      <c r="Q99" s="44">
        <f>'Analisis Inputs Grales'!$D$30*'Analisis 20Años'!Q97/60</f>
        <v>6.678497942386831E-2</v>
      </c>
      <c r="R99" s="44">
        <f>'Analisis Inputs Grales'!$D$30*'Analisis 20Años'!R97/60</f>
        <v>6.678497942386831E-2</v>
      </c>
      <c r="S99" s="32"/>
      <c r="T99" s="32"/>
      <c r="U99" s="32"/>
      <c r="V99" s="32"/>
      <c r="W99" s="32"/>
    </row>
    <row r="100" spans="2:23" x14ac:dyDescent="0.2">
      <c r="B100" s="50"/>
      <c r="C100" s="46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32"/>
      <c r="T100" s="32"/>
      <c r="U100" s="32"/>
      <c r="V100" s="32"/>
      <c r="W100" s="32"/>
    </row>
    <row r="101" spans="2:23" x14ac:dyDescent="0.2">
      <c r="B101" s="116" t="s">
        <v>167</v>
      </c>
      <c r="C101" s="117" t="s">
        <v>23</v>
      </c>
      <c r="D101" s="44">
        <f>(1+'Analisis Inputs Grales'!$D$84)^'Analisis 20Años'!D$3</f>
        <v>1</v>
      </c>
      <c r="E101" s="44">
        <f>(1+'Analisis Inputs Grales'!$D$84)^'Analisis 20Años'!E$3</f>
        <v>1.1200000000000001</v>
      </c>
      <c r="F101" s="44">
        <f>(1+'Analisis Inputs Grales'!$D$84)^'Analisis 20Años'!F$3</f>
        <v>1.2544000000000002</v>
      </c>
      <c r="G101" s="44">
        <f>(1+'Analisis Inputs Grales'!$D$84)^'Analisis 20Años'!G$3</f>
        <v>1.4049280000000004</v>
      </c>
      <c r="H101" s="44">
        <f>(1+'Analisis Inputs Grales'!$D$84)^'Analisis 20Años'!H$3</f>
        <v>1.5735193600000004</v>
      </c>
      <c r="I101" s="44">
        <f>(1+'Analisis Inputs Grales'!$D$84)^'Analisis 20Años'!I$3</f>
        <v>1.7623416832000005</v>
      </c>
      <c r="J101" s="44">
        <f>(1+'Analisis Inputs Grales'!$D$84)^'Analisis 20Años'!J$3</f>
        <v>1.9738226851840008</v>
      </c>
      <c r="K101" s="44">
        <f>(1+'Analisis Inputs Grales'!$D$84)^'Analisis 20Años'!K$3</f>
        <v>2.210681407406081</v>
      </c>
      <c r="L101" s="44">
        <f>(1+'Analisis Inputs Grales'!$D$84)^'Analisis 20Años'!L$3</f>
        <v>2.4759631762948109</v>
      </c>
      <c r="M101" s="44">
        <f>(1+'Analisis Inputs Grales'!$D$84)^'Analisis 20Años'!M$3</f>
        <v>2.7730787574501883</v>
      </c>
      <c r="N101" s="44">
        <f>(1+'Analisis Inputs Grales'!$D$84)^'Analisis 20Años'!N$3</f>
        <v>3.1058482083442112</v>
      </c>
      <c r="O101" s="44">
        <f>(1+'Analisis Inputs Grales'!$D$84)^'Analisis 20Años'!O$3</f>
        <v>3.4785499933455171</v>
      </c>
      <c r="P101" s="44">
        <f>(1+'Analisis Inputs Grales'!$D$84)^'Analisis 20Años'!P$3</f>
        <v>3.8959759925469788</v>
      </c>
      <c r="Q101" s="44">
        <f>(1+'Analisis Inputs Grales'!$D$84)^'Analisis 20Años'!Q$3</f>
        <v>4.363493111652617</v>
      </c>
      <c r="R101" s="44">
        <f>(1+'Analisis Inputs Grales'!$D$84)^'Analisis 20Años'!R$3</f>
        <v>4.8871122850509314</v>
      </c>
      <c r="S101" s="32"/>
      <c r="T101" s="32"/>
      <c r="U101" s="32"/>
      <c r="V101" s="32"/>
      <c r="W101" s="32"/>
    </row>
    <row r="102" spans="2:23" x14ac:dyDescent="0.2">
      <c r="B102" s="116" t="s">
        <v>168</v>
      </c>
      <c r="C102" s="117" t="s">
        <v>166</v>
      </c>
      <c r="D102" s="44">
        <f>D99*D101</f>
        <v>6.678497942386831E-2</v>
      </c>
      <c r="E102" s="44">
        <f t="shared" ref="E102:R102" si="31">E99*E101</f>
        <v>7.479917695473251E-2</v>
      </c>
      <c r="F102" s="44">
        <f t="shared" si="31"/>
        <v>8.3775078189300425E-2</v>
      </c>
      <c r="G102" s="44">
        <f t="shared" si="31"/>
        <v>9.382808757201648E-2</v>
      </c>
      <c r="H102" s="44">
        <f t="shared" si="31"/>
        <v>0.10508745808065846</v>
      </c>
      <c r="I102" s="44">
        <f t="shared" si="31"/>
        <v>0.11769795305033748</v>
      </c>
      <c r="J102" s="44">
        <f t="shared" si="31"/>
        <v>0.131821707416378</v>
      </c>
      <c r="K102" s="44">
        <f t="shared" si="31"/>
        <v>0.14764031230634336</v>
      </c>
      <c r="L102" s="44">
        <f t="shared" si="31"/>
        <v>0.16535714978310456</v>
      </c>
      <c r="M102" s="44">
        <f t="shared" si="31"/>
        <v>0.18520000775707712</v>
      </c>
      <c r="N102" s="44">
        <f t="shared" si="31"/>
        <v>0.2074240086879264</v>
      </c>
      <c r="O102" s="44">
        <f t="shared" si="31"/>
        <v>0.23231488973047759</v>
      </c>
      <c r="P102" s="44">
        <f t="shared" si="31"/>
        <v>0.26019267649813488</v>
      </c>
      <c r="Q102" s="44">
        <f t="shared" si="31"/>
        <v>0.29141579767791115</v>
      </c>
      <c r="R102" s="44">
        <f t="shared" si="31"/>
        <v>0.32638569339926049</v>
      </c>
      <c r="S102" s="32"/>
      <c r="T102" s="32"/>
      <c r="U102" s="32"/>
      <c r="V102" s="32"/>
      <c r="W102" s="32"/>
    </row>
    <row r="103" spans="2:23" ht="15" x14ac:dyDescent="0.25">
      <c r="B103" s="118" t="s">
        <v>169</v>
      </c>
      <c r="C103" s="117" t="s">
        <v>166</v>
      </c>
      <c r="D103" s="113">
        <f>SUM(D102:R102)</f>
        <v>2.4897249765275271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</row>
    <row r="104" spans="2:23" x14ac:dyDescent="0.2">
      <c r="B104" s="50"/>
      <c r="C104" s="46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</row>
    <row r="105" spans="2:23" ht="15" thickBot="1" x14ac:dyDescent="0.25">
      <c r="B105" s="50"/>
      <c r="C105" s="46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</row>
    <row r="106" spans="2:23" ht="16.5" thickBot="1" x14ac:dyDescent="0.3">
      <c r="B106" s="114" t="s">
        <v>86</v>
      </c>
      <c r="C106" s="112">
        <v>20</v>
      </c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</row>
    <row r="107" spans="2:23" ht="15.75" x14ac:dyDescent="0.25">
      <c r="B107" s="110" t="s">
        <v>117</v>
      </c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</row>
    <row r="108" spans="2:23" x14ac:dyDescent="0.2">
      <c r="B108" s="42" t="s">
        <v>118</v>
      </c>
      <c r="C108" s="43" t="s">
        <v>119</v>
      </c>
      <c r="D108" s="44">
        <f>'Analisis Inputs Grales'!$D$25*('Analisis Inputs Grales'!$D$84/12)/'Analisis Inputs Grales'!$D$24</f>
        <v>2.7006172839506171E-2</v>
      </c>
      <c r="E108" s="44">
        <f>'Analisis Inputs Grales'!$D$25*('Analisis Inputs Grales'!$D$84/12)/'Analisis Inputs Grales'!$D$24</f>
        <v>2.7006172839506171E-2</v>
      </c>
      <c r="F108" s="44">
        <f>'Analisis Inputs Grales'!$D$25*('Analisis Inputs Grales'!$D$84/12)/'Analisis Inputs Grales'!$D$24</f>
        <v>2.7006172839506171E-2</v>
      </c>
      <c r="G108" s="44">
        <f>'Analisis Inputs Grales'!$D$25*('Analisis Inputs Grales'!$D$84/12)/'Analisis Inputs Grales'!$D$24</f>
        <v>2.7006172839506171E-2</v>
      </c>
      <c r="H108" s="44">
        <f>'Analisis Inputs Grales'!$D$25*('Analisis Inputs Grales'!$D$84/12)/'Analisis Inputs Grales'!$D$24</f>
        <v>2.7006172839506171E-2</v>
      </c>
      <c r="I108" s="44">
        <f>'Analisis Inputs Grales'!$D$25*('Analisis Inputs Grales'!$D$84/12)/'Analisis Inputs Grales'!$D$24</f>
        <v>2.7006172839506171E-2</v>
      </c>
      <c r="J108" s="44">
        <f>'Analisis Inputs Grales'!$D$25*('Analisis Inputs Grales'!$D$84/12)/'Analisis Inputs Grales'!$D$24</f>
        <v>2.7006172839506171E-2</v>
      </c>
      <c r="K108" s="44">
        <f>'Analisis Inputs Grales'!$D$25*('Analisis Inputs Grales'!$D$84/12)/'Analisis Inputs Grales'!$D$24</f>
        <v>2.7006172839506171E-2</v>
      </c>
      <c r="L108" s="44">
        <f>'Analisis Inputs Grales'!$D$25*('Analisis Inputs Grales'!$D$84/12)/'Analisis Inputs Grales'!$D$24</f>
        <v>2.7006172839506171E-2</v>
      </c>
      <c r="M108" s="44">
        <f>'Analisis Inputs Grales'!$D$25*('Analisis Inputs Grales'!$D$84/12)/'Analisis Inputs Grales'!$D$24</f>
        <v>2.7006172839506171E-2</v>
      </c>
      <c r="N108" s="44">
        <f>'Analisis Inputs Grales'!$D$25*('Analisis Inputs Grales'!$D$84/12)/'Analisis Inputs Grales'!$D$24</f>
        <v>2.7006172839506171E-2</v>
      </c>
      <c r="O108" s="44">
        <f>'Analisis Inputs Grales'!$D$25*('Analisis Inputs Grales'!$D$84/12)/'Analisis Inputs Grales'!$D$24</f>
        <v>2.7006172839506171E-2</v>
      </c>
      <c r="P108" s="44">
        <f>'Analisis Inputs Grales'!$D$25*('Analisis Inputs Grales'!$D$84/12)/'Analisis Inputs Grales'!$D$24</f>
        <v>2.7006172839506171E-2</v>
      </c>
      <c r="Q108" s="44">
        <f>'Analisis Inputs Grales'!$D$25*('Analisis Inputs Grales'!$D$84/12)/'Analisis Inputs Grales'!$D$24</f>
        <v>2.7006172839506171E-2</v>
      </c>
      <c r="R108" s="44">
        <f>'Analisis Inputs Grales'!$D$25*('Analisis Inputs Grales'!$D$84/12)/'Analisis Inputs Grales'!$D$24</f>
        <v>2.7006172839506171E-2</v>
      </c>
      <c r="S108" s="44">
        <f>'Analisis Inputs Grales'!$D$25*('Analisis Inputs Grales'!$D$84/12)/'Analisis Inputs Grales'!$D$24</f>
        <v>2.7006172839506171E-2</v>
      </c>
      <c r="T108" s="44">
        <f>'Analisis Inputs Grales'!$D$25*('Analisis Inputs Grales'!$D$84/12)/'Analisis Inputs Grales'!$D$24</f>
        <v>2.7006172839506171E-2</v>
      </c>
      <c r="U108" s="44">
        <f>'Analisis Inputs Grales'!$D$25*('Analisis Inputs Grales'!$D$84/12)/'Analisis Inputs Grales'!$D$24</f>
        <v>2.7006172839506171E-2</v>
      </c>
      <c r="V108" s="44">
        <f>'Analisis Inputs Grales'!$D$25*('Analisis Inputs Grales'!$D$84/12)/'Analisis Inputs Grales'!$D$24</f>
        <v>2.7006172839506171E-2</v>
      </c>
      <c r="W108" s="44">
        <f>'Analisis Inputs Grales'!$D$25*('Analisis Inputs Grales'!$D$84/12)/'Analisis Inputs Grales'!$D$24</f>
        <v>2.7006172839506171E-2</v>
      </c>
    </row>
    <row r="109" spans="2:23" x14ac:dyDescent="0.2">
      <c r="B109" s="45" t="s">
        <v>118</v>
      </c>
      <c r="C109" s="46" t="s">
        <v>72</v>
      </c>
      <c r="D109" s="32">
        <f>D108*'Analisis Inputs Grales'!$D$24*12</f>
        <v>4200</v>
      </c>
      <c r="E109" s="32">
        <f>E108*'Analisis Inputs Grales'!$D$24*12</f>
        <v>4200</v>
      </c>
      <c r="F109" s="32">
        <f>F108*'Analisis Inputs Grales'!$D$24*12</f>
        <v>4200</v>
      </c>
      <c r="G109" s="32">
        <f>G108*'Analisis Inputs Grales'!$D$24*12</f>
        <v>4200</v>
      </c>
      <c r="H109" s="32">
        <f>H108*'Analisis Inputs Grales'!$D$24*12</f>
        <v>4200</v>
      </c>
      <c r="I109" s="32">
        <f>I108*'Analisis Inputs Grales'!$D$24*12</f>
        <v>4200</v>
      </c>
      <c r="J109" s="32">
        <f>J108*'Analisis Inputs Grales'!$D$24*12</f>
        <v>4200</v>
      </c>
      <c r="K109" s="32">
        <f>K108*'Analisis Inputs Grales'!$D$24*12</f>
        <v>4200</v>
      </c>
      <c r="L109" s="32">
        <f>L108*'Analisis Inputs Grales'!$D$24*12</f>
        <v>4200</v>
      </c>
      <c r="M109" s="32">
        <f>M108*'Analisis Inputs Grales'!$D$24*12</f>
        <v>4200</v>
      </c>
      <c r="N109" s="32">
        <f>N108*'Analisis Inputs Grales'!$D$24*12</f>
        <v>4200</v>
      </c>
      <c r="O109" s="32">
        <f>O108*'Analisis Inputs Grales'!$D$24*12</f>
        <v>4200</v>
      </c>
      <c r="P109" s="32">
        <f>P108*'Analisis Inputs Grales'!$D$24*12</f>
        <v>4200</v>
      </c>
      <c r="Q109" s="32">
        <f>Q108*'Analisis Inputs Grales'!$D$24*12</f>
        <v>4200</v>
      </c>
      <c r="R109" s="32">
        <f>R108*'Analisis Inputs Grales'!$D$24*12</f>
        <v>4200</v>
      </c>
      <c r="S109" s="32">
        <f>S108*'Analisis Inputs Grales'!$D$24*12</f>
        <v>4200</v>
      </c>
      <c r="T109" s="32">
        <f>T108*'Analisis Inputs Grales'!$D$24*12</f>
        <v>4200</v>
      </c>
      <c r="U109" s="32">
        <f>U108*'Analisis Inputs Grales'!$D$24*12</f>
        <v>4200</v>
      </c>
      <c r="V109" s="32">
        <f>V108*'Analisis Inputs Grales'!$D$24*12</f>
        <v>4200</v>
      </c>
      <c r="W109" s="32">
        <f>W108*'Analisis Inputs Grales'!$D$24*12</f>
        <v>4200</v>
      </c>
    </row>
    <row r="110" spans="2:23" x14ac:dyDescent="0.2">
      <c r="B110" s="42" t="s">
        <v>120</v>
      </c>
      <c r="C110" s="43" t="s">
        <v>119</v>
      </c>
      <c r="D110" s="44">
        <f>('Analisis Inputs Grales'!$D$26-'Analisis Inputs Grales'!$D$28*'Analisis Inputs Grales'!$D$26)/('Analisis Inputs Grales'!$D$24*$C106*12)</f>
        <v>1.0127314814814815E-2</v>
      </c>
      <c r="E110" s="44">
        <f>('Analisis Inputs Grales'!$D$26-'Analisis Inputs Grales'!$D$28*'Analisis Inputs Grales'!$D$26)/('Analisis Inputs Grales'!$D$24*$C106*12)</f>
        <v>1.0127314814814815E-2</v>
      </c>
      <c r="F110" s="44">
        <f>('Analisis Inputs Grales'!$D$26-'Analisis Inputs Grales'!$D$28*'Analisis Inputs Grales'!$D$26)/('Analisis Inputs Grales'!$D$24*$C106*12)</f>
        <v>1.0127314814814815E-2</v>
      </c>
      <c r="G110" s="44">
        <f>('Analisis Inputs Grales'!$D$26-'Analisis Inputs Grales'!$D$28*'Analisis Inputs Grales'!$D$26)/('Analisis Inputs Grales'!$D$24*$C106*12)</f>
        <v>1.0127314814814815E-2</v>
      </c>
      <c r="H110" s="44">
        <f>('Analisis Inputs Grales'!$D$26-'Analisis Inputs Grales'!$D$28*'Analisis Inputs Grales'!$D$26)/('Analisis Inputs Grales'!$D$24*$C106*12)</f>
        <v>1.0127314814814815E-2</v>
      </c>
      <c r="I110" s="44">
        <f>('Analisis Inputs Grales'!$D$26-'Analisis Inputs Grales'!$D$28*'Analisis Inputs Grales'!$D$26)/('Analisis Inputs Grales'!$D$24*$C106*12)</f>
        <v>1.0127314814814815E-2</v>
      </c>
      <c r="J110" s="44">
        <f>('Analisis Inputs Grales'!$D$26-'Analisis Inputs Grales'!$D$28*'Analisis Inputs Grales'!$D$26)/('Analisis Inputs Grales'!$D$24*$C106*12)</f>
        <v>1.0127314814814815E-2</v>
      </c>
      <c r="K110" s="44">
        <f>('Analisis Inputs Grales'!$D$26-'Analisis Inputs Grales'!$D$28*'Analisis Inputs Grales'!$D$26)/('Analisis Inputs Grales'!$D$24*$C106*12)</f>
        <v>1.0127314814814815E-2</v>
      </c>
      <c r="L110" s="44">
        <f>('Analisis Inputs Grales'!$D$26-'Analisis Inputs Grales'!$D$28*'Analisis Inputs Grales'!$D$26)/('Analisis Inputs Grales'!$D$24*$C106*12)</f>
        <v>1.0127314814814815E-2</v>
      </c>
      <c r="M110" s="44">
        <f>('Analisis Inputs Grales'!$D$26-'Analisis Inputs Grales'!$D$28*'Analisis Inputs Grales'!$D$26)/('Analisis Inputs Grales'!$D$24*$C106*12)</f>
        <v>1.0127314814814815E-2</v>
      </c>
      <c r="N110" s="44">
        <f>('Analisis Inputs Grales'!$D$26-'Analisis Inputs Grales'!$D$28*'Analisis Inputs Grales'!$D$26)/('Analisis Inputs Grales'!$D$24*$C106*12)</f>
        <v>1.0127314814814815E-2</v>
      </c>
      <c r="O110" s="44">
        <f>('Analisis Inputs Grales'!$D$26-'Analisis Inputs Grales'!$D$28*'Analisis Inputs Grales'!$D$26)/('Analisis Inputs Grales'!$D$24*$C106*12)</f>
        <v>1.0127314814814815E-2</v>
      </c>
      <c r="P110" s="44">
        <f>('Analisis Inputs Grales'!$D$26-'Analisis Inputs Grales'!$D$28*'Analisis Inputs Grales'!$D$26)/('Analisis Inputs Grales'!$D$24*$C106*12)</f>
        <v>1.0127314814814815E-2</v>
      </c>
      <c r="Q110" s="44">
        <f>('Analisis Inputs Grales'!$D$26-'Analisis Inputs Grales'!$D$28*'Analisis Inputs Grales'!$D$26)/('Analisis Inputs Grales'!$D$24*$C106*12)</f>
        <v>1.0127314814814815E-2</v>
      </c>
      <c r="R110" s="44">
        <f>('Analisis Inputs Grales'!$D$26-'Analisis Inputs Grales'!$D$28*'Analisis Inputs Grales'!$D$26)/('Analisis Inputs Grales'!$D$24*$C106*12)</f>
        <v>1.0127314814814815E-2</v>
      </c>
      <c r="S110" s="44">
        <f>('Analisis Inputs Grales'!$D$26-'Analisis Inputs Grales'!$D$28*'Analisis Inputs Grales'!$D$26)/('Analisis Inputs Grales'!$D$24*$C106*12)</f>
        <v>1.0127314814814815E-2</v>
      </c>
      <c r="T110" s="44">
        <f>('Analisis Inputs Grales'!$D$26-'Analisis Inputs Grales'!$D$28*'Analisis Inputs Grales'!$D$26)/('Analisis Inputs Grales'!$D$24*$C106*12)</f>
        <v>1.0127314814814815E-2</v>
      </c>
      <c r="U110" s="44">
        <f>('Analisis Inputs Grales'!$D$26-'Analisis Inputs Grales'!$D$28*'Analisis Inputs Grales'!$D$26)/('Analisis Inputs Grales'!$D$24*$C106*12)</f>
        <v>1.0127314814814815E-2</v>
      </c>
      <c r="V110" s="44">
        <f>('Analisis Inputs Grales'!$D$26-'Analisis Inputs Grales'!$D$28*'Analisis Inputs Grales'!$D$26)/('Analisis Inputs Grales'!$D$24*$C106*12)</f>
        <v>1.0127314814814815E-2</v>
      </c>
      <c r="W110" s="44">
        <f>('Analisis Inputs Grales'!$D$26-'Analisis Inputs Grales'!$D$28*'Analisis Inputs Grales'!$D$26)/('Analisis Inputs Grales'!$D$24*$C106*12)</f>
        <v>1.0127314814814815E-2</v>
      </c>
    </row>
    <row r="111" spans="2:23" x14ac:dyDescent="0.2">
      <c r="B111" s="45" t="s">
        <v>120</v>
      </c>
      <c r="C111" s="46" t="s">
        <v>72</v>
      </c>
      <c r="D111" s="32">
        <f>D110*'Analisis Inputs Grales'!$D$24*12</f>
        <v>1575</v>
      </c>
      <c r="E111" s="32">
        <f>E110*'Analisis Inputs Grales'!$D$24*12</f>
        <v>1575</v>
      </c>
      <c r="F111" s="32">
        <f>F110*'Analisis Inputs Grales'!$D$24*12</f>
        <v>1575</v>
      </c>
      <c r="G111" s="32">
        <f>G110*'Analisis Inputs Grales'!$D$24*12</f>
        <v>1575</v>
      </c>
      <c r="H111" s="32">
        <f>H110*'Analisis Inputs Grales'!$D$24*12</f>
        <v>1575</v>
      </c>
      <c r="I111" s="32">
        <f>I110*'Analisis Inputs Grales'!$D$24*12</f>
        <v>1575</v>
      </c>
      <c r="J111" s="32">
        <f>J110*'Analisis Inputs Grales'!$D$24*12</f>
        <v>1575</v>
      </c>
      <c r="K111" s="32">
        <f>K110*'Analisis Inputs Grales'!$D$24*12</f>
        <v>1575</v>
      </c>
      <c r="L111" s="32">
        <f>L110*'Analisis Inputs Grales'!$D$24*12</f>
        <v>1575</v>
      </c>
      <c r="M111" s="32">
        <f>M110*'Analisis Inputs Grales'!$D$24*12</f>
        <v>1575</v>
      </c>
      <c r="N111" s="32">
        <f>N110*'Analisis Inputs Grales'!$D$24*12</f>
        <v>1575</v>
      </c>
      <c r="O111" s="32">
        <f>O110*'Analisis Inputs Grales'!$D$24*12</f>
        <v>1575</v>
      </c>
      <c r="P111" s="32">
        <f>P110*'Analisis Inputs Grales'!$D$24*12</f>
        <v>1575</v>
      </c>
      <c r="Q111" s="32">
        <f>Q110*'Analisis Inputs Grales'!$D$24*12</f>
        <v>1575</v>
      </c>
      <c r="R111" s="32">
        <f>R110*'Analisis Inputs Grales'!$D$24*12</f>
        <v>1575</v>
      </c>
      <c r="S111" s="32">
        <f>S110*'Analisis Inputs Grales'!$D$24*12</f>
        <v>1575</v>
      </c>
      <c r="T111" s="32">
        <f>T110*'Analisis Inputs Grales'!$D$24*12</f>
        <v>1575</v>
      </c>
      <c r="U111" s="32">
        <f>U110*'Analisis Inputs Grales'!$D$24*12</f>
        <v>1575</v>
      </c>
      <c r="V111" s="32">
        <f>V110*'Analisis Inputs Grales'!$D$24*12</f>
        <v>1575</v>
      </c>
      <c r="W111" s="32">
        <f>W110*'Analisis Inputs Grales'!$D$24*12</f>
        <v>1575</v>
      </c>
    </row>
    <row r="112" spans="2:23" x14ac:dyDescent="0.2">
      <c r="B112" s="42" t="s">
        <v>121</v>
      </c>
      <c r="C112" s="43" t="s">
        <v>119</v>
      </c>
      <c r="D112" s="44">
        <f>'Analisis Inputs Grales'!$D$17/'Analisis Inputs Grales'!$D$24</f>
        <v>0.15895061728395063</v>
      </c>
      <c r="E112" s="44">
        <f>'Analisis Inputs Grales'!$D$17/'Analisis Inputs Grales'!$D$24</f>
        <v>0.15895061728395063</v>
      </c>
      <c r="F112" s="44">
        <f>'Analisis Inputs Grales'!$D$17/'Analisis Inputs Grales'!$D$24</f>
        <v>0.15895061728395063</v>
      </c>
      <c r="G112" s="44">
        <f>'Analisis Inputs Grales'!$D$17/'Analisis Inputs Grales'!$D$24</f>
        <v>0.15895061728395063</v>
      </c>
      <c r="H112" s="44">
        <f>'Analisis Inputs Grales'!$D$17/'Analisis Inputs Grales'!$D$24</f>
        <v>0.15895061728395063</v>
      </c>
      <c r="I112" s="44">
        <f>'Analisis Inputs Grales'!$D$17/'Analisis Inputs Grales'!$D$24</f>
        <v>0.15895061728395063</v>
      </c>
      <c r="J112" s="44">
        <f>'Analisis Inputs Grales'!$D$17/'Analisis Inputs Grales'!$D$24</f>
        <v>0.15895061728395063</v>
      </c>
      <c r="K112" s="44">
        <f>'Analisis Inputs Grales'!$D$17/'Analisis Inputs Grales'!$D$24</f>
        <v>0.15895061728395063</v>
      </c>
      <c r="L112" s="44">
        <f>'Analisis Inputs Grales'!$D$17/'Analisis Inputs Grales'!$D$24</f>
        <v>0.15895061728395063</v>
      </c>
      <c r="M112" s="44">
        <f>'Analisis Inputs Grales'!$D$17/'Analisis Inputs Grales'!$D$24</f>
        <v>0.15895061728395063</v>
      </c>
      <c r="N112" s="44">
        <f>'Analisis Inputs Grales'!$D$17/'Analisis Inputs Grales'!$D$24</f>
        <v>0.15895061728395063</v>
      </c>
      <c r="O112" s="44">
        <f>'Analisis Inputs Grales'!$D$17/'Analisis Inputs Grales'!$D$24</f>
        <v>0.15895061728395063</v>
      </c>
      <c r="P112" s="44">
        <f>'Analisis Inputs Grales'!$D$17/'Analisis Inputs Grales'!$D$24</f>
        <v>0.15895061728395063</v>
      </c>
      <c r="Q112" s="44">
        <f>'Analisis Inputs Grales'!$D$17/'Analisis Inputs Grales'!$D$24</f>
        <v>0.15895061728395063</v>
      </c>
      <c r="R112" s="44">
        <f>'Analisis Inputs Grales'!$D$17/'Analisis Inputs Grales'!$D$24</f>
        <v>0.15895061728395063</v>
      </c>
      <c r="S112" s="44">
        <f>'Analisis Inputs Grales'!$D$17/'Analisis Inputs Grales'!$D$24</f>
        <v>0.15895061728395063</v>
      </c>
      <c r="T112" s="44">
        <f>'Analisis Inputs Grales'!$D$17/'Analisis Inputs Grales'!$D$24</f>
        <v>0.15895061728395063</v>
      </c>
      <c r="U112" s="44">
        <f>'Analisis Inputs Grales'!$D$17/'Analisis Inputs Grales'!$D$24</f>
        <v>0.15895061728395063</v>
      </c>
      <c r="V112" s="44">
        <f>'Analisis Inputs Grales'!$D$17/'Analisis Inputs Grales'!$D$24</f>
        <v>0.15895061728395063</v>
      </c>
      <c r="W112" s="44">
        <f>'Analisis Inputs Grales'!$D$17/'Analisis Inputs Grales'!$D$24</f>
        <v>0.15895061728395063</v>
      </c>
    </row>
    <row r="113" spans="2:23" x14ac:dyDescent="0.2">
      <c r="B113" s="48" t="s">
        <v>121</v>
      </c>
      <c r="C113" s="49" t="s">
        <v>72</v>
      </c>
      <c r="D113" s="32">
        <f>D112*'Analisis Inputs Grales'!$D$24*12</f>
        <v>24720</v>
      </c>
      <c r="E113" s="32">
        <f>E112*'Analisis Inputs Grales'!$D$24*12</f>
        <v>24720</v>
      </c>
      <c r="F113" s="32">
        <f>F112*'Analisis Inputs Grales'!$D$24*12</f>
        <v>24720</v>
      </c>
      <c r="G113" s="32">
        <f>G112*'Analisis Inputs Grales'!$D$24*12</f>
        <v>24720</v>
      </c>
      <c r="H113" s="32">
        <f>H112*'Analisis Inputs Grales'!$D$24*12</f>
        <v>24720</v>
      </c>
      <c r="I113" s="32">
        <f>I112*'Analisis Inputs Grales'!$D$24*12</f>
        <v>24720</v>
      </c>
      <c r="J113" s="32">
        <f>J112*'Analisis Inputs Grales'!$D$24*12</f>
        <v>24720</v>
      </c>
      <c r="K113" s="32">
        <f>K112*'Analisis Inputs Grales'!$D$24*12</f>
        <v>24720</v>
      </c>
      <c r="L113" s="32">
        <f>L112*'Analisis Inputs Grales'!$D$24*12</f>
        <v>24720</v>
      </c>
      <c r="M113" s="32">
        <f>M112*'Analisis Inputs Grales'!$D$24*12</f>
        <v>24720</v>
      </c>
      <c r="N113" s="32">
        <f>N112*'Analisis Inputs Grales'!$D$24*12</f>
        <v>24720</v>
      </c>
      <c r="O113" s="32">
        <f>O112*'Analisis Inputs Grales'!$D$24*12</f>
        <v>24720</v>
      </c>
      <c r="P113" s="32">
        <f>P112*'Analisis Inputs Grales'!$D$24*12</f>
        <v>24720</v>
      </c>
      <c r="Q113" s="32">
        <f>Q112*'Analisis Inputs Grales'!$D$24*12</f>
        <v>24720</v>
      </c>
      <c r="R113" s="32">
        <f>R112*'Analisis Inputs Grales'!$D$24*12</f>
        <v>24720</v>
      </c>
      <c r="S113" s="32">
        <f>S112*'Analisis Inputs Grales'!$D$24*12</f>
        <v>24720</v>
      </c>
      <c r="T113" s="32">
        <f>T112*'Analisis Inputs Grales'!$D$24*12</f>
        <v>24720</v>
      </c>
      <c r="U113" s="32">
        <f>U112*'Analisis Inputs Grales'!$D$24*12</f>
        <v>24720</v>
      </c>
      <c r="V113" s="32">
        <f>V112*'Analisis Inputs Grales'!$D$24*12</f>
        <v>24720</v>
      </c>
      <c r="W113" s="32">
        <f>W112*'Analisis Inputs Grales'!$D$24*12</f>
        <v>24720</v>
      </c>
    </row>
    <row r="114" spans="2:23" x14ac:dyDescent="0.2">
      <c r="B114" s="42" t="s">
        <v>122</v>
      </c>
      <c r="C114" s="43" t="s">
        <v>119</v>
      </c>
      <c r="D114" s="44">
        <f>D112+D110+D108</f>
        <v>0.19608410493827164</v>
      </c>
      <c r="E114" s="44">
        <f t="shared" ref="E114:G114" si="32">E112+E110+E108</f>
        <v>0.19608410493827164</v>
      </c>
      <c r="F114" s="44">
        <f t="shared" si="32"/>
        <v>0.19608410493827164</v>
      </c>
      <c r="G114" s="44">
        <f t="shared" si="32"/>
        <v>0.19608410493827164</v>
      </c>
      <c r="H114" s="44">
        <f t="shared" ref="H114:W114" si="33">H112+H110+H108</f>
        <v>0.19608410493827164</v>
      </c>
      <c r="I114" s="44">
        <f t="shared" si="33"/>
        <v>0.19608410493827164</v>
      </c>
      <c r="J114" s="44">
        <f t="shared" si="33"/>
        <v>0.19608410493827164</v>
      </c>
      <c r="K114" s="44">
        <f t="shared" si="33"/>
        <v>0.19608410493827164</v>
      </c>
      <c r="L114" s="44">
        <f t="shared" si="33"/>
        <v>0.19608410493827164</v>
      </c>
      <c r="M114" s="44">
        <f t="shared" si="33"/>
        <v>0.19608410493827164</v>
      </c>
      <c r="N114" s="44">
        <f t="shared" si="33"/>
        <v>0.19608410493827164</v>
      </c>
      <c r="O114" s="44">
        <f t="shared" si="33"/>
        <v>0.19608410493827164</v>
      </c>
      <c r="P114" s="44">
        <f t="shared" si="33"/>
        <v>0.19608410493827164</v>
      </c>
      <c r="Q114" s="44">
        <f t="shared" si="33"/>
        <v>0.19608410493827164</v>
      </c>
      <c r="R114" s="44">
        <f t="shared" si="33"/>
        <v>0.19608410493827164</v>
      </c>
      <c r="S114" s="44">
        <f t="shared" si="33"/>
        <v>0.19608410493827164</v>
      </c>
      <c r="T114" s="44">
        <f t="shared" si="33"/>
        <v>0.19608410493827164</v>
      </c>
      <c r="U114" s="44">
        <f t="shared" si="33"/>
        <v>0.19608410493827164</v>
      </c>
      <c r="V114" s="44">
        <f t="shared" si="33"/>
        <v>0.19608410493827164</v>
      </c>
      <c r="W114" s="44">
        <f t="shared" si="33"/>
        <v>0.19608410493827164</v>
      </c>
    </row>
    <row r="115" spans="2:23" x14ac:dyDescent="0.2">
      <c r="B115" s="45" t="s">
        <v>122</v>
      </c>
      <c r="C115" s="46" t="s">
        <v>72</v>
      </c>
      <c r="D115" s="32">
        <f>D113+D111+D109</f>
        <v>30495</v>
      </c>
      <c r="E115" s="32">
        <f t="shared" ref="E115:G115" si="34">E113+E111+E109</f>
        <v>30495</v>
      </c>
      <c r="F115" s="32">
        <f t="shared" si="34"/>
        <v>30495</v>
      </c>
      <c r="G115" s="32">
        <f t="shared" si="34"/>
        <v>30495</v>
      </c>
      <c r="H115" s="32">
        <f t="shared" ref="H115:W115" si="35">H113+H111+H109</f>
        <v>30495</v>
      </c>
      <c r="I115" s="32">
        <f t="shared" si="35"/>
        <v>30495</v>
      </c>
      <c r="J115" s="32">
        <f t="shared" si="35"/>
        <v>30495</v>
      </c>
      <c r="K115" s="32">
        <f t="shared" si="35"/>
        <v>30495</v>
      </c>
      <c r="L115" s="32">
        <f t="shared" si="35"/>
        <v>30495</v>
      </c>
      <c r="M115" s="32">
        <f t="shared" si="35"/>
        <v>30495</v>
      </c>
      <c r="N115" s="32">
        <f t="shared" si="35"/>
        <v>30495</v>
      </c>
      <c r="O115" s="32">
        <f t="shared" si="35"/>
        <v>30495</v>
      </c>
      <c r="P115" s="32">
        <f t="shared" si="35"/>
        <v>30495</v>
      </c>
      <c r="Q115" s="32">
        <f t="shared" si="35"/>
        <v>30495</v>
      </c>
      <c r="R115" s="32">
        <f t="shared" si="35"/>
        <v>30495</v>
      </c>
      <c r="S115" s="32">
        <f t="shared" si="35"/>
        <v>30495</v>
      </c>
      <c r="T115" s="32">
        <f t="shared" si="35"/>
        <v>30495</v>
      </c>
      <c r="U115" s="32">
        <f t="shared" si="35"/>
        <v>30495</v>
      </c>
      <c r="V115" s="32">
        <f t="shared" si="35"/>
        <v>30495</v>
      </c>
      <c r="W115" s="32">
        <f t="shared" si="35"/>
        <v>30495</v>
      </c>
    </row>
    <row r="116" spans="2:23" x14ac:dyDescent="0.2">
      <c r="C116" s="46"/>
    </row>
    <row r="117" spans="2:23" ht="15.75" x14ac:dyDescent="0.25">
      <c r="B117" s="110" t="s">
        <v>123</v>
      </c>
      <c r="C117" s="46"/>
    </row>
    <row r="118" spans="2:23" x14ac:dyDescent="0.2">
      <c r="B118" s="42" t="s">
        <v>124</v>
      </c>
      <c r="C118" s="43" t="s">
        <v>119</v>
      </c>
      <c r="D118" s="28">
        <f>'Analisis Inputs Grales'!$D$31/('Analisis Inputs Grales'!$D$29/('Analisis Inputs Grales'!$D$30/60))</f>
        <v>0.125</v>
      </c>
      <c r="E118" s="28">
        <f>'Analisis Inputs Grales'!$D$31/('Analisis Inputs Grales'!$D$29/('Analisis Inputs Grales'!$D$30/60))</f>
        <v>0.125</v>
      </c>
      <c r="F118" s="28">
        <f>'Analisis Inputs Grales'!$D$31/('Analisis Inputs Grales'!$D$29/('Analisis Inputs Grales'!$D$30/60))</f>
        <v>0.125</v>
      </c>
      <c r="G118" s="28">
        <f>'Analisis Inputs Grales'!$D$31/('Analisis Inputs Grales'!$D$29/('Analisis Inputs Grales'!$D$30/60))</f>
        <v>0.125</v>
      </c>
      <c r="H118" s="28">
        <f>'Analisis Inputs Grales'!$D$31/('Analisis Inputs Grales'!$D$29/('Analisis Inputs Grales'!$D$30/60))</f>
        <v>0.125</v>
      </c>
      <c r="I118" s="28">
        <f>'Analisis Inputs Grales'!$D$31/('Analisis Inputs Grales'!$D$29/('Analisis Inputs Grales'!$D$30/60))</f>
        <v>0.125</v>
      </c>
      <c r="J118" s="28">
        <f>'Analisis Inputs Grales'!$D$31/('Analisis Inputs Grales'!$D$29/('Analisis Inputs Grales'!$D$30/60))</f>
        <v>0.125</v>
      </c>
      <c r="K118" s="28">
        <f>'Analisis Inputs Grales'!$D$31/('Analisis Inputs Grales'!$D$29/('Analisis Inputs Grales'!$D$30/60))</f>
        <v>0.125</v>
      </c>
      <c r="L118" s="28">
        <f>'Analisis Inputs Grales'!$D$31/('Analisis Inputs Grales'!$D$29/('Analisis Inputs Grales'!$D$30/60))</f>
        <v>0.125</v>
      </c>
      <c r="M118" s="28">
        <f>'Analisis Inputs Grales'!$D$31/('Analisis Inputs Grales'!$D$29/('Analisis Inputs Grales'!$D$30/60))</f>
        <v>0.125</v>
      </c>
      <c r="N118" s="28">
        <f>'Analisis Inputs Grales'!$D$31/('Analisis Inputs Grales'!$D$29/('Analisis Inputs Grales'!$D$30/60))</f>
        <v>0.125</v>
      </c>
      <c r="O118" s="28">
        <f>'Analisis Inputs Grales'!$D$31/('Analisis Inputs Grales'!$D$29/('Analisis Inputs Grales'!$D$30/60))</f>
        <v>0.125</v>
      </c>
      <c r="P118" s="28">
        <f>'Analisis Inputs Grales'!$D$31/('Analisis Inputs Grales'!$D$29/('Analisis Inputs Grales'!$D$30/60))</f>
        <v>0.125</v>
      </c>
      <c r="Q118" s="28">
        <f>'Analisis Inputs Grales'!$D$31/('Analisis Inputs Grales'!$D$29/('Analisis Inputs Grales'!$D$30/60))</f>
        <v>0.125</v>
      </c>
      <c r="R118" s="28">
        <f>'Analisis Inputs Grales'!$D$31/('Analisis Inputs Grales'!$D$29/('Analisis Inputs Grales'!$D$30/60))</f>
        <v>0.125</v>
      </c>
      <c r="S118" s="28">
        <f>'Analisis Inputs Grales'!$D$31/('Analisis Inputs Grales'!$D$29/('Analisis Inputs Grales'!$D$30/60))</f>
        <v>0.125</v>
      </c>
      <c r="T118" s="28">
        <f>'Analisis Inputs Grales'!$D$31/('Analisis Inputs Grales'!$D$29/('Analisis Inputs Grales'!$D$30/60))</f>
        <v>0.125</v>
      </c>
      <c r="U118" s="28">
        <f>'Analisis Inputs Grales'!$D$31/('Analisis Inputs Grales'!$D$29/('Analisis Inputs Grales'!$D$30/60))</f>
        <v>0.125</v>
      </c>
      <c r="V118" s="28">
        <f>'Analisis Inputs Grales'!$D$31/('Analisis Inputs Grales'!$D$29/('Analisis Inputs Grales'!$D$30/60))</f>
        <v>0.125</v>
      </c>
      <c r="W118" s="28">
        <f>'Analisis Inputs Grales'!$D$31/('Analisis Inputs Grales'!$D$29/('Analisis Inputs Grales'!$D$30/60))</f>
        <v>0.125</v>
      </c>
    </row>
    <row r="119" spans="2:23" x14ac:dyDescent="0.2">
      <c r="B119" s="45" t="s">
        <v>124</v>
      </c>
      <c r="C119" s="46" t="s">
        <v>72</v>
      </c>
      <c r="D119" s="32">
        <f>D118*12*'Analisis Inputs Grales'!$D$24</f>
        <v>19440</v>
      </c>
      <c r="E119" s="32">
        <f>E118*12*'Analisis Inputs Grales'!$D$24</f>
        <v>19440</v>
      </c>
      <c r="F119" s="32">
        <f>F118*12*'Analisis Inputs Grales'!$D$24</f>
        <v>19440</v>
      </c>
      <c r="G119" s="32">
        <f>G118*12*'Analisis Inputs Grales'!$D$24</f>
        <v>19440</v>
      </c>
      <c r="H119" s="32">
        <f>H118*12*'Analisis Inputs Grales'!$D$24</f>
        <v>19440</v>
      </c>
      <c r="I119" s="32">
        <f>I118*12*'Analisis Inputs Grales'!$D$24</f>
        <v>19440</v>
      </c>
      <c r="J119" s="32">
        <f>J118*12*'Analisis Inputs Grales'!$D$24</f>
        <v>19440</v>
      </c>
      <c r="K119" s="32">
        <f>K118*12*'Analisis Inputs Grales'!$D$24</f>
        <v>19440</v>
      </c>
      <c r="L119" s="32">
        <f>L118*12*'Analisis Inputs Grales'!$D$24</f>
        <v>19440</v>
      </c>
      <c r="M119" s="32">
        <f>M118*12*'Analisis Inputs Grales'!$D$24</f>
        <v>19440</v>
      </c>
      <c r="N119" s="32">
        <f>N118*12*'Analisis Inputs Grales'!$D$24</f>
        <v>19440</v>
      </c>
      <c r="O119" s="32">
        <f>O118*12*'Analisis Inputs Grales'!$D$24</f>
        <v>19440</v>
      </c>
      <c r="P119" s="32">
        <f>P118*12*'Analisis Inputs Grales'!$D$24</f>
        <v>19440</v>
      </c>
      <c r="Q119" s="32">
        <f>Q118*12*'Analisis Inputs Grales'!$D$24</f>
        <v>19440</v>
      </c>
      <c r="R119" s="32">
        <f>R118*12*'Analisis Inputs Grales'!$D$24</f>
        <v>19440</v>
      </c>
      <c r="S119" s="32">
        <f>S118*12*'Analisis Inputs Grales'!$D$24</f>
        <v>19440</v>
      </c>
      <c r="T119" s="32">
        <f>T118*12*'Analisis Inputs Grales'!$D$24</f>
        <v>19440</v>
      </c>
      <c r="U119" s="32">
        <f>U118*12*'Analisis Inputs Grales'!$D$24</f>
        <v>19440</v>
      </c>
      <c r="V119" s="32">
        <f>V118*12*'Analisis Inputs Grales'!$D$24</f>
        <v>19440</v>
      </c>
      <c r="W119" s="32">
        <f>W118*12*'Analisis Inputs Grales'!$D$24</f>
        <v>19440</v>
      </c>
    </row>
    <row r="120" spans="2:23" x14ac:dyDescent="0.2">
      <c r="B120" s="42" t="s">
        <v>125</v>
      </c>
      <c r="C120" s="43" t="s">
        <v>119</v>
      </c>
      <c r="D120" s="44">
        <f>'Analisis Inputs Grales'!$D$32*'Analisis 20Años'!D118</f>
        <v>1.8749999999999999E-2</v>
      </c>
      <c r="E120" s="44">
        <f>'Analisis Inputs Grales'!$D$32*'Analisis 20Años'!E118</f>
        <v>1.8749999999999999E-2</v>
      </c>
      <c r="F120" s="44">
        <f>'Analisis Inputs Grales'!$D$32*'Analisis 20Años'!F118</f>
        <v>1.8749999999999999E-2</v>
      </c>
      <c r="G120" s="44">
        <f>'Analisis Inputs Grales'!$D$32*'Analisis 20Años'!G118</f>
        <v>1.8749999999999999E-2</v>
      </c>
      <c r="H120" s="44">
        <f>'Analisis Inputs Grales'!$D$32*'Analisis 20Años'!H118</f>
        <v>1.8749999999999999E-2</v>
      </c>
      <c r="I120" s="44">
        <f>'Analisis Inputs Grales'!$D$32*'Analisis 20Años'!I118</f>
        <v>1.8749999999999999E-2</v>
      </c>
      <c r="J120" s="44">
        <f>'Analisis Inputs Grales'!$D$32*'Analisis 20Años'!J118</f>
        <v>1.8749999999999999E-2</v>
      </c>
      <c r="K120" s="44">
        <f>'Analisis Inputs Grales'!$D$32*'Analisis 20Años'!K118</f>
        <v>1.8749999999999999E-2</v>
      </c>
      <c r="L120" s="44">
        <f>'Analisis Inputs Grales'!$D$32*'Analisis 20Años'!L118</f>
        <v>1.8749999999999999E-2</v>
      </c>
      <c r="M120" s="44">
        <f>'Analisis Inputs Grales'!$D$32*'Analisis 20Años'!M118</f>
        <v>1.8749999999999999E-2</v>
      </c>
      <c r="N120" s="44">
        <f>'Analisis Inputs Grales'!$D$32*'Analisis 20Años'!N118</f>
        <v>1.8749999999999999E-2</v>
      </c>
      <c r="O120" s="44">
        <f>'Analisis Inputs Grales'!$D$32*'Analisis 20Años'!O118</f>
        <v>1.8749999999999999E-2</v>
      </c>
      <c r="P120" s="44">
        <f>'Analisis Inputs Grales'!$D$32*'Analisis 20Años'!P118</f>
        <v>1.8749999999999999E-2</v>
      </c>
      <c r="Q120" s="44">
        <f>'Analisis Inputs Grales'!$D$32*'Analisis 20Años'!Q118</f>
        <v>1.8749999999999999E-2</v>
      </c>
      <c r="R120" s="44">
        <f>'Analisis Inputs Grales'!$D$32*'Analisis 20Años'!R118</f>
        <v>1.8749999999999999E-2</v>
      </c>
      <c r="S120" s="44">
        <f>'Analisis Inputs Grales'!$D$32*'Analisis 20Años'!S118</f>
        <v>1.8749999999999999E-2</v>
      </c>
      <c r="T120" s="44">
        <f>'Analisis Inputs Grales'!$D$32*'Analisis 20Años'!T118</f>
        <v>1.8749999999999999E-2</v>
      </c>
      <c r="U120" s="44">
        <f>'Analisis Inputs Grales'!$D$32*'Analisis 20Años'!U118</f>
        <v>1.8749999999999999E-2</v>
      </c>
      <c r="V120" s="44">
        <f>'Analisis Inputs Grales'!$D$32*'Analisis 20Años'!V118</f>
        <v>1.8749999999999999E-2</v>
      </c>
      <c r="W120" s="44">
        <f>'Analisis Inputs Grales'!$D$32*'Analisis 20Años'!W118</f>
        <v>1.8749999999999999E-2</v>
      </c>
    </row>
    <row r="121" spans="2:23" x14ac:dyDescent="0.2">
      <c r="B121" s="45" t="s">
        <v>125</v>
      </c>
      <c r="C121" s="46" t="s">
        <v>72</v>
      </c>
      <c r="D121" s="32">
        <f>D120*12*'Analisis Inputs Grales'!$D$24</f>
        <v>2915.9999999999995</v>
      </c>
      <c r="E121" s="32">
        <f>E120*12*'Analisis Inputs Grales'!$D$24</f>
        <v>2915.9999999999995</v>
      </c>
      <c r="F121" s="32">
        <f>F120*12*'Analisis Inputs Grales'!$D$24</f>
        <v>2915.9999999999995</v>
      </c>
      <c r="G121" s="32">
        <f>G120*12*'Analisis Inputs Grales'!$D$24</f>
        <v>2915.9999999999995</v>
      </c>
      <c r="H121" s="32">
        <f>H120*12*'Analisis Inputs Grales'!$D$24</f>
        <v>2915.9999999999995</v>
      </c>
      <c r="I121" s="32">
        <f>I120*12*'Analisis Inputs Grales'!$D$24</f>
        <v>2915.9999999999995</v>
      </c>
      <c r="J121" s="32">
        <f>J120*12*'Analisis Inputs Grales'!$D$24</f>
        <v>2915.9999999999995</v>
      </c>
      <c r="K121" s="32">
        <f>K120*12*'Analisis Inputs Grales'!$D$24</f>
        <v>2915.9999999999995</v>
      </c>
      <c r="L121" s="32">
        <f>L120*12*'Analisis Inputs Grales'!$D$24</f>
        <v>2915.9999999999995</v>
      </c>
      <c r="M121" s="32">
        <f>M120*12*'Analisis Inputs Grales'!$D$24</f>
        <v>2915.9999999999995</v>
      </c>
      <c r="N121" s="32">
        <f>N120*12*'Analisis Inputs Grales'!$D$24</f>
        <v>2915.9999999999995</v>
      </c>
      <c r="O121" s="32">
        <f>O120*12*'Analisis Inputs Grales'!$D$24</f>
        <v>2915.9999999999995</v>
      </c>
      <c r="P121" s="32">
        <f>P120*12*'Analisis Inputs Grales'!$D$24</f>
        <v>2915.9999999999995</v>
      </c>
      <c r="Q121" s="32">
        <f>Q120*12*'Analisis Inputs Grales'!$D$24</f>
        <v>2915.9999999999995</v>
      </c>
      <c r="R121" s="32">
        <f>R120*12*'Analisis Inputs Grales'!$D$24</f>
        <v>2915.9999999999995</v>
      </c>
      <c r="S121" s="32">
        <f>S120*12*'Analisis Inputs Grales'!$D$24</f>
        <v>2915.9999999999995</v>
      </c>
      <c r="T121" s="32">
        <f>T120*12*'Analisis Inputs Grales'!$D$24</f>
        <v>2915.9999999999995</v>
      </c>
      <c r="U121" s="32">
        <f>U120*12*'Analisis Inputs Grales'!$D$24</f>
        <v>2915.9999999999995</v>
      </c>
      <c r="V121" s="32">
        <f>V120*12*'Analisis Inputs Grales'!$D$24</f>
        <v>2915.9999999999995</v>
      </c>
      <c r="W121" s="32">
        <f>W120*12*'Analisis Inputs Grales'!$D$24</f>
        <v>2915.9999999999995</v>
      </c>
    </row>
    <row r="122" spans="2:23" x14ac:dyDescent="0.2">
      <c r="B122" s="42" t="s">
        <v>126</v>
      </c>
      <c r="C122" s="43" t="s">
        <v>119</v>
      </c>
      <c r="D122" s="44">
        <f>'Analisis Inputs Grales'!$D$33*('Analisis 20Años'!D120+'Analisis 20Años'!D118)</f>
        <v>5.7499999999999996E-2</v>
      </c>
      <c r="E122" s="44">
        <f>'Analisis Inputs Grales'!$D$33*('Analisis 20Años'!E120+'Analisis 20Años'!E118)</f>
        <v>5.7499999999999996E-2</v>
      </c>
      <c r="F122" s="44">
        <f>'Analisis Inputs Grales'!$D$33*('Analisis 20Años'!F120+'Analisis 20Años'!F118)</f>
        <v>5.7499999999999996E-2</v>
      </c>
      <c r="G122" s="44">
        <f>'Analisis Inputs Grales'!$D$33*('Analisis 20Años'!G120+'Analisis 20Años'!G118)</f>
        <v>5.7499999999999996E-2</v>
      </c>
      <c r="H122" s="44">
        <f>'Analisis Inputs Grales'!$D$33*('Analisis 20Años'!H120+'Analisis 20Años'!H118)</f>
        <v>5.7499999999999996E-2</v>
      </c>
      <c r="I122" s="44">
        <f>'Analisis Inputs Grales'!$D$33*('Analisis 20Años'!I120+'Analisis 20Años'!I118)</f>
        <v>5.7499999999999996E-2</v>
      </c>
      <c r="J122" s="44">
        <f>'Analisis Inputs Grales'!$D$33*('Analisis 20Años'!J120+'Analisis 20Años'!J118)</f>
        <v>5.7499999999999996E-2</v>
      </c>
      <c r="K122" s="44">
        <f>'Analisis Inputs Grales'!$D$33*('Analisis 20Años'!K120+'Analisis 20Años'!K118)</f>
        <v>5.7499999999999996E-2</v>
      </c>
      <c r="L122" s="44">
        <f>'Analisis Inputs Grales'!$D$33*('Analisis 20Años'!L120+'Analisis 20Años'!L118)</f>
        <v>5.7499999999999996E-2</v>
      </c>
      <c r="M122" s="44">
        <f>'Analisis Inputs Grales'!$D$33*('Analisis 20Años'!M120+'Analisis 20Años'!M118)</f>
        <v>5.7499999999999996E-2</v>
      </c>
      <c r="N122" s="44">
        <f>'Analisis Inputs Grales'!$D$33*('Analisis 20Años'!N120+'Analisis 20Años'!N118)</f>
        <v>5.7499999999999996E-2</v>
      </c>
      <c r="O122" s="44">
        <f>'Analisis Inputs Grales'!$D$33*('Analisis 20Años'!O120+'Analisis 20Años'!O118)</f>
        <v>5.7499999999999996E-2</v>
      </c>
      <c r="P122" s="44">
        <f>'Analisis Inputs Grales'!$D$33*('Analisis 20Años'!P120+'Analisis 20Años'!P118)</f>
        <v>5.7499999999999996E-2</v>
      </c>
      <c r="Q122" s="44">
        <f>'Analisis Inputs Grales'!$D$33*('Analisis 20Años'!Q120+'Analisis 20Años'!Q118)</f>
        <v>5.7499999999999996E-2</v>
      </c>
      <c r="R122" s="44">
        <f>'Analisis Inputs Grales'!$D$33*('Analisis 20Años'!R120+'Analisis 20Años'!R118)</f>
        <v>5.7499999999999996E-2</v>
      </c>
      <c r="S122" s="44">
        <f>'Analisis Inputs Grales'!$D$33*('Analisis 20Años'!S120+'Analisis 20Años'!S118)</f>
        <v>5.7499999999999996E-2</v>
      </c>
      <c r="T122" s="44">
        <f>'Analisis Inputs Grales'!$D$33*('Analisis 20Años'!T120+'Analisis 20Años'!T118)</f>
        <v>5.7499999999999996E-2</v>
      </c>
      <c r="U122" s="44">
        <f>'Analisis Inputs Grales'!$D$33*('Analisis 20Años'!U120+'Analisis 20Años'!U118)</f>
        <v>5.7499999999999996E-2</v>
      </c>
      <c r="V122" s="44">
        <f>'Analisis Inputs Grales'!$D$33*('Analisis 20Años'!V120+'Analisis 20Años'!V118)</f>
        <v>5.7499999999999996E-2</v>
      </c>
      <c r="W122" s="44">
        <f>'Analisis Inputs Grales'!$D$33*('Analisis 20Años'!W120+'Analisis 20Años'!W118)</f>
        <v>5.7499999999999996E-2</v>
      </c>
    </row>
    <row r="123" spans="2:23" x14ac:dyDescent="0.2">
      <c r="B123" s="45" t="s">
        <v>126</v>
      </c>
      <c r="C123" s="46" t="s">
        <v>72</v>
      </c>
      <c r="D123" s="32">
        <f>D122*12*'Analisis Inputs Grales'!$D$24</f>
        <v>8942.4</v>
      </c>
      <c r="E123" s="32">
        <f>E122*12*'Analisis Inputs Grales'!$D$24</f>
        <v>8942.4</v>
      </c>
      <c r="F123" s="32">
        <f>F122*12*'Analisis Inputs Grales'!$D$24</f>
        <v>8942.4</v>
      </c>
      <c r="G123" s="32">
        <f>G122*12*'Analisis Inputs Grales'!$D$24</f>
        <v>8942.4</v>
      </c>
      <c r="H123" s="32">
        <f>H122*12*'Analisis Inputs Grales'!$D$24</f>
        <v>8942.4</v>
      </c>
      <c r="I123" s="32">
        <f>I122*12*'Analisis Inputs Grales'!$D$24</f>
        <v>8942.4</v>
      </c>
      <c r="J123" s="32">
        <f>J122*12*'Analisis Inputs Grales'!$D$24</f>
        <v>8942.4</v>
      </c>
      <c r="K123" s="32">
        <f>K122*12*'Analisis Inputs Grales'!$D$24</f>
        <v>8942.4</v>
      </c>
      <c r="L123" s="32">
        <f>L122*12*'Analisis Inputs Grales'!$D$24</f>
        <v>8942.4</v>
      </c>
      <c r="M123" s="32">
        <f>M122*12*'Analisis Inputs Grales'!$D$24</f>
        <v>8942.4</v>
      </c>
      <c r="N123" s="32">
        <f>N122*12*'Analisis Inputs Grales'!$D$24</f>
        <v>8942.4</v>
      </c>
      <c r="O123" s="32">
        <f>O122*12*'Analisis Inputs Grales'!$D$24</f>
        <v>8942.4</v>
      </c>
      <c r="P123" s="32">
        <f>P122*12*'Analisis Inputs Grales'!$D$24</f>
        <v>8942.4</v>
      </c>
      <c r="Q123" s="32">
        <f>Q122*12*'Analisis Inputs Grales'!$D$24</f>
        <v>8942.4</v>
      </c>
      <c r="R123" s="32">
        <f>R122*12*'Analisis Inputs Grales'!$D$24</f>
        <v>8942.4</v>
      </c>
      <c r="S123" s="32">
        <f>S122*12*'Analisis Inputs Grales'!$D$24</f>
        <v>8942.4</v>
      </c>
      <c r="T123" s="32">
        <f>T122*12*'Analisis Inputs Grales'!$D$24</f>
        <v>8942.4</v>
      </c>
      <c r="U123" s="32">
        <f>U122*12*'Analisis Inputs Grales'!$D$24</f>
        <v>8942.4</v>
      </c>
      <c r="V123" s="32">
        <f>V122*12*'Analisis Inputs Grales'!$D$24</f>
        <v>8942.4</v>
      </c>
      <c r="W123" s="32">
        <f>W122*12*'Analisis Inputs Grales'!$D$24</f>
        <v>8942.4</v>
      </c>
    </row>
    <row r="124" spans="2:23" x14ac:dyDescent="0.2">
      <c r="B124" s="42" t="s">
        <v>127</v>
      </c>
      <c r="C124" s="43" t="s">
        <v>119</v>
      </c>
      <c r="D124" s="44">
        <f>D122+D120+D118</f>
        <v>0.20124999999999998</v>
      </c>
      <c r="E124" s="44">
        <f t="shared" ref="E124:G124" si="36">E122+E120+E118</f>
        <v>0.20124999999999998</v>
      </c>
      <c r="F124" s="44">
        <f t="shared" si="36"/>
        <v>0.20124999999999998</v>
      </c>
      <c r="G124" s="44">
        <f t="shared" si="36"/>
        <v>0.20124999999999998</v>
      </c>
      <c r="H124" s="44">
        <f t="shared" ref="H124:W124" si="37">H122+H120+H118</f>
        <v>0.20124999999999998</v>
      </c>
      <c r="I124" s="44">
        <f t="shared" si="37"/>
        <v>0.20124999999999998</v>
      </c>
      <c r="J124" s="44">
        <f t="shared" si="37"/>
        <v>0.20124999999999998</v>
      </c>
      <c r="K124" s="44">
        <f t="shared" si="37"/>
        <v>0.20124999999999998</v>
      </c>
      <c r="L124" s="44">
        <f t="shared" si="37"/>
        <v>0.20124999999999998</v>
      </c>
      <c r="M124" s="44">
        <f t="shared" si="37"/>
        <v>0.20124999999999998</v>
      </c>
      <c r="N124" s="44">
        <f t="shared" si="37"/>
        <v>0.20124999999999998</v>
      </c>
      <c r="O124" s="44">
        <f t="shared" si="37"/>
        <v>0.20124999999999998</v>
      </c>
      <c r="P124" s="44">
        <f t="shared" si="37"/>
        <v>0.20124999999999998</v>
      </c>
      <c r="Q124" s="44">
        <f t="shared" si="37"/>
        <v>0.20124999999999998</v>
      </c>
      <c r="R124" s="44">
        <f t="shared" si="37"/>
        <v>0.20124999999999998</v>
      </c>
      <c r="S124" s="44">
        <f t="shared" si="37"/>
        <v>0.20124999999999998</v>
      </c>
      <c r="T124" s="44">
        <f t="shared" si="37"/>
        <v>0.20124999999999998</v>
      </c>
      <c r="U124" s="44">
        <f t="shared" si="37"/>
        <v>0.20124999999999998</v>
      </c>
      <c r="V124" s="44">
        <f t="shared" si="37"/>
        <v>0.20124999999999998</v>
      </c>
      <c r="W124" s="44">
        <f t="shared" si="37"/>
        <v>0.20124999999999998</v>
      </c>
    </row>
    <row r="125" spans="2:23" x14ac:dyDescent="0.2">
      <c r="B125" s="48" t="s">
        <v>127</v>
      </c>
      <c r="C125" s="46" t="s">
        <v>72</v>
      </c>
      <c r="D125" s="32">
        <f>D123+D121+D119</f>
        <v>31298.400000000001</v>
      </c>
      <c r="E125" s="32">
        <f t="shared" ref="E125:G125" si="38">E123+E121+E119</f>
        <v>31298.400000000001</v>
      </c>
      <c r="F125" s="32">
        <f t="shared" si="38"/>
        <v>31298.400000000001</v>
      </c>
      <c r="G125" s="32">
        <f t="shared" si="38"/>
        <v>31298.400000000001</v>
      </c>
      <c r="H125" s="32">
        <f t="shared" ref="H125:W125" si="39">H123+H121+H119</f>
        <v>31298.400000000001</v>
      </c>
      <c r="I125" s="32">
        <f t="shared" si="39"/>
        <v>31298.400000000001</v>
      </c>
      <c r="J125" s="32">
        <f t="shared" si="39"/>
        <v>31298.400000000001</v>
      </c>
      <c r="K125" s="32">
        <f t="shared" si="39"/>
        <v>31298.400000000001</v>
      </c>
      <c r="L125" s="32">
        <f t="shared" si="39"/>
        <v>31298.400000000001</v>
      </c>
      <c r="M125" s="32">
        <f t="shared" si="39"/>
        <v>31298.400000000001</v>
      </c>
      <c r="N125" s="32">
        <f t="shared" si="39"/>
        <v>31298.400000000001</v>
      </c>
      <c r="O125" s="32">
        <f t="shared" si="39"/>
        <v>31298.400000000001</v>
      </c>
      <c r="P125" s="32">
        <f t="shared" si="39"/>
        <v>31298.400000000001</v>
      </c>
      <c r="Q125" s="32">
        <f t="shared" si="39"/>
        <v>31298.400000000001</v>
      </c>
      <c r="R125" s="32">
        <f t="shared" si="39"/>
        <v>31298.400000000001</v>
      </c>
      <c r="S125" s="32">
        <f t="shared" si="39"/>
        <v>31298.400000000001</v>
      </c>
      <c r="T125" s="32">
        <f t="shared" si="39"/>
        <v>31298.400000000001</v>
      </c>
      <c r="U125" s="32">
        <f t="shared" si="39"/>
        <v>31298.400000000001</v>
      </c>
      <c r="V125" s="32">
        <f t="shared" si="39"/>
        <v>31298.400000000001</v>
      </c>
      <c r="W125" s="32">
        <f t="shared" si="39"/>
        <v>31298.400000000001</v>
      </c>
    </row>
    <row r="126" spans="2:23" x14ac:dyDescent="0.2">
      <c r="B126" s="50"/>
    </row>
    <row r="127" spans="2:23" x14ac:dyDescent="0.2">
      <c r="B127" s="51" t="s">
        <v>128</v>
      </c>
      <c r="C127" s="52" t="s">
        <v>119</v>
      </c>
      <c r="D127" s="44">
        <f>+D114+D124</f>
        <v>0.39733410493827159</v>
      </c>
      <c r="E127" s="44">
        <f t="shared" ref="E127:G127" si="40">+E114+E124</f>
        <v>0.39733410493827159</v>
      </c>
      <c r="F127" s="44">
        <f t="shared" si="40"/>
        <v>0.39733410493827159</v>
      </c>
      <c r="G127" s="44">
        <f t="shared" si="40"/>
        <v>0.39733410493827159</v>
      </c>
      <c r="H127" s="44">
        <f t="shared" ref="H127:W127" si="41">+H114+H124</f>
        <v>0.39733410493827159</v>
      </c>
      <c r="I127" s="44">
        <f t="shared" si="41"/>
        <v>0.39733410493827159</v>
      </c>
      <c r="J127" s="44">
        <f t="shared" si="41"/>
        <v>0.39733410493827159</v>
      </c>
      <c r="K127" s="44">
        <f t="shared" si="41"/>
        <v>0.39733410493827159</v>
      </c>
      <c r="L127" s="44">
        <f t="shared" si="41"/>
        <v>0.39733410493827159</v>
      </c>
      <c r="M127" s="44">
        <f t="shared" si="41"/>
        <v>0.39733410493827159</v>
      </c>
      <c r="N127" s="44">
        <f t="shared" si="41"/>
        <v>0.39733410493827159</v>
      </c>
      <c r="O127" s="44">
        <f t="shared" si="41"/>
        <v>0.39733410493827159</v>
      </c>
      <c r="P127" s="44">
        <f t="shared" si="41"/>
        <v>0.39733410493827159</v>
      </c>
      <c r="Q127" s="44">
        <f t="shared" si="41"/>
        <v>0.39733410493827159</v>
      </c>
      <c r="R127" s="44">
        <f t="shared" si="41"/>
        <v>0.39733410493827159</v>
      </c>
      <c r="S127" s="44">
        <f t="shared" si="41"/>
        <v>0.39733410493827159</v>
      </c>
      <c r="T127" s="44">
        <f t="shared" si="41"/>
        <v>0.39733410493827159</v>
      </c>
      <c r="U127" s="44">
        <f t="shared" si="41"/>
        <v>0.39733410493827159</v>
      </c>
      <c r="V127" s="44">
        <f t="shared" si="41"/>
        <v>0.39733410493827159</v>
      </c>
      <c r="W127" s="44">
        <f t="shared" si="41"/>
        <v>0.39733410493827159</v>
      </c>
    </row>
    <row r="128" spans="2:23" x14ac:dyDescent="0.2">
      <c r="B128" s="53" t="s">
        <v>128</v>
      </c>
      <c r="C128" s="54" t="s">
        <v>72</v>
      </c>
      <c r="D128" s="32">
        <f>D127*12*'Analisis Inputs Grales'!$D$24</f>
        <v>61793.399999999994</v>
      </c>
      <c r="E128" s="32">
        <f>E127*12*'Analisis Inputs Grales'!$D$24</f>
        <v>61793.399999999994</v>
      </c>
      <c r="F128" s="32">
        <f>F127*12*'Analisis Inputs Grales'!$D$24</f>
        <v>61793.399999999994</v>
      </c>
      <c r="G128" s="32">
        <f>G127*12*'Analisis Inputs Grales'!$D$24</f>
        <v>61793.399999999994</v>
      </c>
      <c r="H128" s="32">
        <f>H127*12*'Analisis Inputs Grales'!$D$24</f>
        <v>61793.399999999994</v>
      </c>
      <c r="I128" s="32">
        <f>I127*12*'Analisis Inputs Grales'!$D$24</f>
        <v>61793.399999999994</v>
      </c>
      <c r="J128" s="32">
        <f>J127*12*'Analisis Inputs Grales'!$D$24</f>
        <v>61793.399999999994</v>
      </c>
      <c r="K128" s="32">
        <f>K127*12*'Analisis Inputs Grales'!$D$24</f>
        <v>61793.399999999994</v>
      </c>
      <c r="L128" s="32">
        <f>L127*12*'Analisis Inputs Grales'!$D$24</f>
        <v>61793.399999999994</v>
      </c>
      <c r="M128" s="32">
        <f>M127*12*'Analisis Inputs Grales'!$D$24</f>
        <v>61793.399999999994</v>
      </c>
      <c r="N128" s="32">
        <f>N127*12*'Analisis Inputs Grales'!$D$24</f>
        <v>61793.399999999994</v>
      </c>
      <c r="O128" s="32">
        <f>O127*12*'Analisis Inputs Grales'!$D$24</f>
        <v>61793.399999999994</v>
      </c>
      <c r="P128" s="32">
        <f>P127*12*'Analisis Inputs Grales'!$D$24</f>
        <v>61793.399999999994</v>
      </c>
      <c r="Q128" s="32">
        <f>Q127*12*'Analisis Inputs Grales'!$D$24</f>
        <v>61793.399999999994</v>
      </c>
      <c r="R128" s="32">
        <f>R127*12*'Analisis Inputs Grales'!$D$24</f>
        <v>61793.399999999994</v>
      </c>
      <c r="S128" s="32">
        <f>S127*12*'Analisis Inputs Grales'!$D$24</f>
        <v>61793.399999999994</v>
      </c>
      <c r="T128" s="32">
        <f>T127*12*'Analisis Inputs Grales'!$D$24</f>
        <v>61793.399999999994</v>
      </c>
      <c r="U128" s="32">
        <f>U127*12*'Analisis Inputs Grales'!$D$24</f>
        <v>61793.399999999994</v>
      </c>
      <c r="V128" s="32">
        <f>V127*12*'Analisis Inputs Grales'!$D$24</f>
        <v>61793.399999999994</v>
      </c>
      <c r="W128" s="32">
        <f>W127*12*'Analisis Inputs Grales'!$D$24</f>
        <v>61793.399999999994</v>
      </c>
    </row>
    <row r="129" spans="2:23" x14ac:dyDescent="0.2">
      <c r="B129" s="55"/>
      <c r="C129" s="56"/>
    </row>
    <row r="130" spans="2:23" x14ac:dyDescent="0.2">
      <c r="B130" s="57" t="s">
        <v>129</v>
      </c>
      <c r="C130" s="52" t="s">
        <v>130</v>
      </c>
      <c r="D130" s="44">
        <f>D127/'Analisis Inputs Grales'!$D$10</f>
        <v>6.622235082304527E-2</v>
      </c>
      <c r="E130" s="44">
        <f>E127/'Analisis Inputs Grales'!$D$10</f>
        <v>6.622235082304527E-2</v>
      </c>
      <c r="F130" s="44">
        <f>F127/'Analisis Inputs Grales'!$D$10</f>
        <v>6.622235082304527E-2</v>
      </c>
      <c r="G130" s="44">
        <f>G127/'Analisis Inputs Grales'!$D$10</f>
        <v>6.622235082304527E-2</v>
      </c>
      <c r="H130" s="44">
        <f>H127/'Analisis Inputs Grales'!$D$10</f>
        <v>6.622235082304527E-2</v>
      </c>
      <c r="I130" s="44">
        <f>I127/'Analisis Inputs Grales'!$D$10</f>
        <v>6.622235082304527E-2</v>
      </c>
      <c r="J130" s="44">
        <f>J127/'Analisis Inputs Grales'!$D$10</f>
        <v>6.622235082304527E-2</v>
      </c>
      <c r="K130" s="44">
        <f>K127/'Analisis Inputs Grales'!$D$10</f>
        <v>6.622235082304527E-2</v>
      </c>
      <c r="L130" s="44">
        <f>L127/'Analisis Inputs Grales'!$D$10</f>
        <v>6.622235082304527E-2</v>
      </c>
      <c r="M130" s="44">
        <f>M127/'Analisis Inputs Grales'!$D$10</f>
        <v>6.622235082304527E-2</v>
      </c>
      <c r="N130" s="44">
        <f>N127/'Analisis Inputs Grales'!$D$10</f>
        <v>6.622235082304527E-2</v>
      </c>
      <c r="O130" s="44">
        <f>O127/'Analisis Inputs Grales'!$D$10</f>
        <v>6.622235082304527E-2</v>
      </c>
      <c r="P130" s="44">
        <f>P127/'Analisis Inputs Grales'!$D$10</f>
        <v>6.622235082304527E-2</v>
      </c>
      <c r="Q130" s="44">
        <f>Q127/'Analisis Inputs Grales'!$D$10</f>
        <v>6.622235082304527E-2</v>
      </c>
      <c r="R130" s="44">
        <f>R127/'Analisis Inputs Grales'!$D$10</f>
        <v>6.622235082304527E-2</v>
      </c>
      <c r="S130" s="44">
        <f>S127/'Analisis Inputs Grales'!$D$10</f>
        <v>6.622235082304527E-2</v>
      </c>
      <c r="T130" s="44">
        <f>T127/'Analisis Inputs Grales'!$D$10</f>
        <v>6.622235082304527E-2</v>
      </c>
      <c r="U130" s="44">
        <f>U127/'Analisis Inputs Grales'!$D$10</f>
        <v>6.622235082304527E-2</v>
      </c>
      <c r="V130" s="44">
        <f>V127/'Analisis Inputs Grales'!$D$10</f>
        <v>6.622235082304527E-2</v>
      </c>
      <c r="W130" s="44">
        <f>W127/'Analisis Inputs Grales'!$D$10</f>
        <v>6.622235082304527E-2</v>
      </c>
    </row>
    <row r="131" spans="2:23" x14ac:dyDescent="0.2">
      <c r="B131" s="50" t="s">
        <v>131</v>
      </c>
      <c r="C131" s="46" t="s">
        <v>132</v>
      </c>
      <c r="D131" s="32">
        <f>D130*12*'Analisis Inputs Grales'!$D$24</f>
        <v>10298.9</v>
      </c>
      <c r="E131" s="32">
        <f>E130*12*'Analisis Inputs Grales'!$D$24</f>
        <v>10298.9</v>
      </c>
      <c r="F131" s="32">
        <f>F130*12*'Analisis Inputs Grales'!$D$24</f>
        <v>10298.9</v>
      </c>
      <c r="G131" s="32">
        <f>G130*12*'Analisis Inputs Grales'!$D$24</f>
        <v>10298.9</v>
      </c>
      <c r="H131" s="32">
        <f>H130*12*'Analisis Inputs Grales'!$D$24</f>
        <v>10298.9</v>
      </c>
      <c r="I131" s="32">
        <f>I130*12*'Analisis Inputs Grales'!$D$24</f>
        <v>10298.9</v>
      </c>
      <c r="J131" s="32">
        <f>J130*12*'Analisis Inputs Grales'!$D$24</f>
        <v>10298.9</v>
      </c>
      <c r="K131" s="32">
        <f>K130*12*'Analisis Inputs Grales'!$D$24</f>
        <v>10298.9</v>
      </c>
      <c r="L131" s="32">
        <f>L130*12*'Analisis Inputs Grales'!$D$24</f>
        <v>10298.9</v>
      </c>
      <c r="M131" s="32">
        <f>M130*12*'Analisis Inputs Grales'!$D$24</f>
        <v>10298.9</v>
      </c>
      <c r="N131" s="32">
        <f>N130*12*'Analisis Inputs Grales'!$D$24</f>
        <v>10298.9</v>
      </c>
      <c r="O131" s="32">
        <f>O130*12*'Analisis Inputs Grales'!$D$24</f>
        <v>10298.9</v>
      </c>
      <c r="P131" s="32">
        <f>P130*12*'Analisis Inputs Grales'!$D$24</f>
        <v>10298.9</v>
      </c>
      <c r="Q131" s="32">
        <f>Q130*12*'Analisis Inputs Grales'!$D$24</f>
        <v>10298.9</v>
      </c>
      <c r="R131" s="32">
        <f>R130*12*'Analisis Inputs Grales'!$D$24</f>
        <v>10298.9</v>
      </c>
      <c r="S131" s="32">
        <f>S130*12*'Analisis Inputs Grales'!$D$24</f>
        <v>10298.9</v>
      </c>
      <c r="T131" s="32">
        <f>T130*12*'Analisis Inputs Grales'!$D$24</f>
        <v>10298.9</v>
      </c>
      <c r="U131" s="32">
        <f>U130*12*'Analisis Inputs Grales'!$D$24</f>
        <v>10298.9</v>
      </c>
      <c r="V131" s="32">
        <f>V130*12*'Analisis Inputs Grales'!$D$24</f>
        <v>10298.9</v>
      </c>
      <c r="W131" s="32">
        <f>W130*12*'Analisis Inputs Grales'!$D$24</f>
        <v>10298.9</v>
      </c>
    </row>
    <row r="132" spans="2:23" x14ac:dyDescent="0.2">
      <c r="B132" s="50" t="s">
        <v>165</v>
      </c>
      <c r="C132" s="46" t="s">
        <v>166</v>
      </c>
      <c r="D132" s="44">
        <f>'Analisis Inputs Grales'!$D$30*'Analisis 20Años'!D130/60</f>
        <v>6.622235082304527E-2</v>
      </c>
      <c r="E132" s="44">
        <f>'Analisis Inputs Grales'!$D$30*'Analisis 20Años'!E130/60</f>
        <v>6.622235082304527E-2</v>
      </c>
      <c r="F132" s="44">
        <f>'Analisis Inputs Grales'!$D$30*'Analisis 20Años'!F130/60</f>
        <v>6.622235082304527E-2</v>
      </c>
      <c r="G132" s="44">
        <f>'Analisis Inputs Grales'!$D$30*'Analisis 20Años'!G130/60</f>
        <v>6.622235082304527E-2</v>
      </c>
      <c r="H132" s="44">
        <f>'Analisis Inputs Grales'!$D$30*'Analisis 20Años'!H130/60</f>
        <v>6.622235082304527E-2</v>
      </c>
      <c r="I132" s="44">
        <f>'Analisis Inputs Grales'!$D$30*'Analisis 20Años'!I130/60</f>
        <v>6.622235082304527E-2</v>
      </c>
      <c r="J132" s="44">
        <f>'Analisis Inputs Grales'!$D$30*'Analisis 20Años'!J130/60</f>
        <v>6.622235082304527E-2</v>
      </c>
      <c r="K132" s="44">
        <f>'Analisis Inputs Grales'!$D$30*'Analisis 20Años'!K130/60</f>
        <v>6.622235082304527E-2</v>
      </c>
      <c r="L132" s="44">
        <f>'Analisis Inputs Grales'!$D$30*'Analisis 20Años'!L130/60</f>
        <v>6.622235082304527E-2</v>
      </c>
      <c r="M132" s="44">
        <f>'Analisis Inputs Grales'!$D$30*'Analisis 20Años'!M130/60</f>
        <v>6.622235082304527E-2</v>
      </c>
      <c r="N132" s="44">
        <f>'Analisis Inputs Grales'!$D$30*'Analisis 20Años'!N130/60</f>
        <v>6.622235082304527E-2</v>
      </c>
      <c r="O132" s="44">
        <f>'Analisis Inputs Grales'!$D$30*'Analisis 20Años'!O130/60</f>
        <v>6.622235082304527E-2</v>
      </c>
      <c r="P132" s="44">
        <f>'Analisis Inputs Grales'!$D$30*'Analisis 20Años'!P130/60</f>
        <v>6.622235082304527E-2</v>
      </c>
      <c r="Q132" s="44">
        <f>'Analisis Inputs Grales'!$D$30*'Analisis 20Años'!Q130/60</f>
        <v>6.622235082304527E-2</v>
      </c>
      <c r="R132" s="44">
        <f>'Analisis Inputs Grales'!$D$30*'Analisis 20Años'!R130/60</f>
        <v>6.622235082304527E-2</v>
      </c>
      <c r="S132" s="44">
        <f>'Analisis Inputs Grales'!$D$30*'Analisis 20Años'!S130/60</f>
        <v>6.622235082304527E-2</v>
      </c>
      <c r="T132" s="44">
        <f>'Analisis Inputs Grales'!$D$30*'Analisis 20Años'!T130/60</f>
        <v>6.622235082304527E-2</v>
      </c>
      <c r="U132" s="44">
        <f>'Analisis Inputs Grales'!$D$30*'Analisis 20Años'!U130/60</f>
        <v>6.622235082304527E-2</v>
      </c>
      <c r="V132" s="44">
        <f>'Analisis Inputs Grales'!$D$30*'Analisis 20Años'!V130/60</f>
        <v>6.622235082304527E-2</v>
      </c>
      <c r="W132" s="44">
        <f>'Analisis Inputs Grales'!$D$30*'Analisis 20Años'!W130/60</f>
        <v>6.622235082304527E-2</v>
      </c>
    </row>
    <row r="133" spans="2:23" x14ac:dyDescent="0.2">
      <c r="B133" s="50"/>
      <c r="C133" s="46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</row>
    <row r="134" spans="2:23" x14ac:dyDescent="0.2">
      <c r="B134" s="116" t="s">
        <v>167</v>
      </c>
      <c r="C134" s="117" t="s">
        <v>23</v>
      </c>
      <c r="D134" s="44">
        <f>(1+'Analisis Inputs Grales'!$D$84)^'Analisis 20Años'!D$3</f>
        <v>1</v>
      </c>
      <c r="E134" s="44">
        <f>(1+'Analisis Inputs Grales'!$D$84)^'Analisis 20Años'!E$3</f>
        <v>1.1200000000000001</v>
      </c>
      <c r="F134" s="44">
        <f>(1+'Analisis Inputs Grales'!$D$84)^'Analisis 20Años'!F$3</f>
        <v>1.2544000000000002</v>
      </c>
      <c r="G134" s="44">
        <f>(1+'Analisis Inputs Grales'!$D$84)^'Analisis 20Años'!G$3</f>
        <v>1.4049280000000004</v>
      </c>
      <c r="H134" s="44">
        <f>(1+'Analisis Inputs Grales'!$D$84)^'Analisis 20Años'!H$3</f>
        <v>1.5735193600000004</v>
      </c>
      <c r="I134" s="44">
        <f>(1+'Analisis Inputs Grales'!$D$84)^'Analisis 20Años'!I$3</f>
        <v>1.7623416832000005</v>
      </c>
      <c r="J134" s="44">
        <f>(1+'Analisis Inputs Grales'!$D$84)^'Analisis 20Años'!J$3</f>
        <v>1.9738226851840008</v>
      </c>
      <c r="K134" s="44">
        <f>(1+'Analisis Inputs Grales'!$D$84)^'Analisis 20Años'!K$3</f>
        <v>2.210681407406081</v>
      </c>
      <c r="L134" s="44">
        <f>(1+'Analisis Inputs Grales'!$D$84)^'Analisis 20Años'!L$3</f>
        <v>2.4759631762948109</v>
      </c>
      <c r="M134" s="44">
        <f>(1+'Analisis Inputs Grales'!$D$84)^'Analisis 20Años'!M$3</f>
        <v>2.7730787574501883</v>
      </c>
      <c r="N134" s="44">
        <f>(1+'Analisis Inputs Grales'!$D$84)^'Analisis 20Años'!N$3</f>
        <v>3.1058482083442112</v>
      </c>
      <c r="O134" s="44">
        <f>(1+'Analisis Inputs Grales'!$D$84)^'Analisis 20Años'!O$3</f>
        <v>3.4785499933455171</v>
      </c>
      <c r="P134" s="44">
        <f>(1+'Analisis Inputs Grales'!$D$84)^'Analisis 20Años'!P$3</f>
        <v>3.8959759925469788</v>
      </c>
      <c r="Q134" s="44">
        <f>(1+'Analisis Inputs Grales'!$D$84)^'Analisis 20Años'!Q$3</f>
        <v>4.363493111652617</v>
      </c>
      <c r="R134" s="44">
        <f>(1+'Analisis Inputs Grales'!$D$84)^'Analisis 20Años'!R$3</f>
        <v>4.8871122850509314</v>
      </c>
      <c r="S134" s="44">
        <f>(1+'Analisis Inputs Grales'!$D$84)^'Analisis 20Años'!S$3</f>
        <v>5.4735657592570428</v>
      </c>
      <c r="T134" s="44">
        <f>(1+'Analisis Inputs Grales'!$D$84)^'Analisis 20Años'!T$3</f>
        <v>6.1303936503678891</v>
      </c>
      <c r="U134" s="44">
        <f>(1+'Analisis Inputs Grales'!$D$84)^'Analisis 20Años'!U$3</f>
        <v>6.8660408884120363</v>
      </c>
      <c r="V134" s="44">
        <f>(1+'Analisis Inputs Grales'!$D$84)^'Analisis 20Años'!V$3</f>
        <v>7.6899657950214815</v>
      </c>
      <c r="W134" s="44">
        <f>(1+'Analisis Inputs Grales'!$D$84)^'Analisis 20Años'!W$3</f>
        <v>8.61276169042406</v>
      </c>
    </row>
    <row r="135" spans="2:23" x14ac:dyDescent="0.2">
      <c r="B135" s="116" t="s">
        <v>168</v>
      </c>
      <c r="C135" s="117" t="s">
        <v>166</v>
      </c>
      <c r="D135" s="44">
        <f>D132*D134</f>
        <v>6.622235082304527E-2</v>
      </c>
      <c r="E135" s="44">
        <f t="shared" ref="E135:W135" si="42">E132*E134</f>
        <v>7.4169032921810707E-2</v>
      </c>
      <c r="F135" s="44">
        <f t="shared" si="42"/>
        <v>8.3069316872427995E-2</v>
      </c>
      <c r="G135" s="44">
        <f t="shared" si="42"/>
        <v>9.3037634897119373E-2</v>
      </c>
      <c r="H135" s="44">
        <f t="shared" si="42"/>
        <v>0.10420215108477369</v>
      </c>
      <c r="I135" s="44">
        <f t="shared" si="42"/>
        <v>0.11670640921494654</v>
      </c>
      <c r="J135" s="44">
        <f t="shared" si="42"/>
        <v>0.13071117832074014</v>
      </c>
      <c r="K135" s="44">
        <f t="shared" si="42"/>
        <v>0.14639651971922896</v>
      </c>
      <c r="L135" s="44">
        <f t="shared" si="42"/>
        <v>0.16396410208553644</v>
      </c>
      <c r="M135" s="44">
        <f t="shared" si="42"/>
        <v>0.18363979433580083</v>
      </c>
      <c r="N135" s="44">
        <f t="shared" si="42"/>
        <v>0.20567656965609696</v>
      </c>
      <c r="O135" s="44">
        <f t="shared" si="42"/>
        <v>0.23035775801482863</v>
      </c>
      <c r="P135" s="44">
        <f t="shared" si="42"/>
        <v>0.25800068897660805</v>
      </c>
      <c r="Q135" s="44">
        <f t="shared" si="42"/>
        <v>0.28896077165380107</v>
      </c>
      <c r="R135" s="44">
        <f t="shared" si="42"/>
        <v>0.32363606425225722</v>
      </c>
      <c r="S135" s="44">
        <f t="shared" si="42"/>
        <v>0.36247239196252806</v>
      </c>
      <c r="T135" s="44">
        <f t="shared" si="42"/>
        <v>0.40596907899803147</v>
      </c>
      <c r="U135" s="44">
        <f t="shared" si="42"/>
        <v>0.45468536847779528</v>
      </c>
      <c r="V135" s="44">
        <f t="shared" si="42"/>
        <v>0.50924761269513075</v>
      </c>
      <c r="W135" s="44">
        <f t="shared" si="42"/>
        <v>0.57035732621854651</v>
      </c>
    </row>
    <row r="136" spans="2:23" ht="15" x14ac:dyDescent="0.25">
      <c r="B136" s="118" t="s">
        <v>169</v>
      </c>
      <c r="C136" s="117" t="s">
        <v>166</v>
      </c>
      <c r="D136" s="113">
        <f>SUM(D135:W135)</f>
        <v>4.7714821211810543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</row>
    <row r="137" spans="2:23" x14ac:dyDescent="0.2">
      <c r="B137" s="50"/>
      <c r="C137" s="46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</row>
    <row r="138" spans="2:23" x14ac:dyDescent="0.2">
      <c r="B138" s="50"/>
      <c r="C138" s="46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</row>
    <row r="139" spans="2:23" x14ac:dyDescent="0.2">
      <c r="B139" s="50"/>
      <c r="C139" s="46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</row>
    <row r="140" spans="2:23" x14ac:dyDescent="0.2">
      <c r="B140" s="50"/>
      <c r="C140" s="46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</row>
    <row r="141" spans="2:23" x14ac:dyDescent="0.2">
      <c r="B141" s="50"/>
      <c r="C141" s="46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</row>
    <row r="142" spans="2:23" x14ac:dyDescent="0.2">
      <c r="B142" s="50"/>
      <c r="C142" s="46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</row>
    <row r="143" spans="2:23" x14ac:dyDescent="0.2">
      <c r="B143" s="50"/>
      <c r="C143" s="46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</row>
    <row r="144" spans="2:23" x14ac:dyDescent="0.2">
      <c r="B144" s="50"/>
      <c r="C144" s="46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</row>
    <row r="145" spans="2:23" x14ac:dyDescent="0.2">
      <c r="B145" s="50"/>
      <c r="C145" s="46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</row>
    <row r="146" spans="2:23" x14ac:dyDescent="0.2">
      <c r="B146" s="50"/>
      <c r="C146" s="46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</row>
    <row r="147" spans="2:23" x14ac:dyDescent="0.2">
      <c r="B147" s="50"/>
      <c r="C147" s="46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</row>
    <row r="150" spans="2:23" ht="15" x14ac:dyDescent="0.25">
      <c r="B150" s="27" t="s">
        <v>133</v>
      </c>
    </row>
    <row r="151" spans="2:23" ht="15" x14ac:dyDescent="0.25">
      <c r="B151" s="41" t="s">
        <v>117</v>
      </c>
    </row>
    <row r="152" spans="2:23" x14ac:dyDescent="0.2">
      <c r="B152" s="42" t="s">
        <v>118</v>
      </c>
      <c r="C152" s="43" t="s">
        <v>119</v>
      </c>
      <c r="D152" s="44">
        <f>+('Analisis Inputs Grales'!$E$57*'Analisis Inputs Grales'!$D$84/12)/'Analisis Inputs Grales'!$D$55</f>
        <v>0.11342592592592593</v>
      </c>
      <c r="E152" s="44">
        <f>+('Analisis Inputs Grales'!$E$57*'Analisis Inputs Grales'!$D$84/12)/'Analisis Inputs Grales'!$D$55</f>
        <v>0.11342592592592593</v>
      </c>
      <c r="F152" s="44">
        <f>+('Analisis Inputs Grales'!$E$57*'Analisis Inputs Grales'!$D$84/12)/'Analisis Inputs Grales'!$D$55</f>
        <v>0.11342592592592593</v>
      </c>
      <c r="G152" s="44">
        <f>+('Analisis Inputs Grales'!$E$57*'Analisis Inputs Grales'!$D$84/12)/'Analisis Inputs Grales'!$D$55</f>
        <v>0.11342592592592593</v>
      </c>
      <c r="H152" s="44">
        <f>+('Analisis Inputs Grales'!$E$57*'Analisis Inputs Grales'!$D$84/12)/'Analisis Inputs Grales'!$D$55</f>
        <v>0.11342592592592593</v>
      </c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</row>
    <row r="153" spans="2:23" x14ac:dyDescent="0.2">
      <c r="B153" s="45" t="s">
        <v>118</v>
      </c>
      <c r="C153" s="46" t="s">
        <v>72</v>
      </c>
      <c r="D153" s="32">
        <f>+('Analisis Inputs Grales'!$E$57*'Analisis Inputs Grales'!$D$84)</f>
        <v>17640</v>
      </c>
      <c r="E153" s="32">
        <f>+('Analisis Inputs Grales'!$E$57*'Analisis Inputs Grales'!$D$84)</f>
        <v>17640</v>
      </c>
      <c r="F153" s="32">
        <f>+('Analisis Inputs Grales'!$E$57*'Analisis Inputs Grales'!$D$84)</f>
        <v>17640</v>
      </c>
      <c r="G153" s="32">
        <f>+('Analisis Inputs Grales'!$E$57*'Analisis Inputs Grales'!$D$84)</f>
        <v>17640</v>
      </c>
      <c r="H153" s="32">
        <f>+('Analisis Inputs Grales'!$E$57*'Analisis Inputs Grales'!$D$84)</f>
        <v>17640</v>
      </c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</row>
    <row r="154" spans="2:23" x14ac:dyDescent="0.2">
      <c r="B154" s="42" t="s">
        <v>120</v>
      </c>
      <c r="C154" s="43" t="s">
        <v>119</v>
      </c>
      <c r="D154" s="44">
        <f>+('Analisis Inputs Grales'!$E$57-'Analisis Inputs Grales'!$D$59*'Analisis Inputs Grales'!$E$57)/('Analisis Inputs Grales'!$D$58*12*'Analisis Inputs Grales'!$D$54*'Analisis Inputs Grales'!$D$51*60)</f>
        <v>0.1701388888888889</v>
      </c>
      <c r="E154" s="44">
        <f>+('Analisis Inputs Grales'!$E$57-'Analisis Inputs Grales'!$D$59*'Analisis Inputs Grales'!$E$57)/('Analisis Inputs Grales'!$D$58*12*'Analisis Inputs Grales'!$D$54*'Analisis Inputs Grales'!$D$51*60)</f>
        <v>0.1701388888888889</v>
      </c>
      <c r="F154" s="44">
        <f>+('Analisis Inputs Grales'!$E$57-'Analisis Inputs Grales'!$D$59*'Analisis Inputs Grales'!$E$57)/('Analisis Inputs Grales'!$D$58*12*'Analisis Inputs Grales'!$D$54*'Analisis Inputs Grales'!$D$51*60)</f>
        <v>0.1701388888888889</v>
      </c>
      <c r="G154" s="44">
        <f>+('Analisis Inputs Grales'!$E$57-'Analisis Inputs Grales'!$D$59*'Analisis Inputs Grales'!$E$57)/('Analisis Inputs Grales'!$D$58*12*'Analisis Inputs Grales'!$D$54*'Analisis Inputs Grales'!$D$51*60)</f>
        <v>0.1701388888888889</v>
      </c>
      <c r="H154" s="44">
        <f>+('Analisis Inputs Grales'!$E$57-'Analisis Inputs Grales'!$D$59*'Analisis Inputs Grales'!$E$57)/('Analisis Inputs Grales'!$D$58*12*'Analisis Inputs Grales'!$D$54*'Analisis Inputs Grales'!$D$51*60)</f>
        <v>0.1701388888888889</v>
      </c>
      <c r="I154" s="47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</row>
    <row r="155" spans="2:23" x14ac:dyDescent="0.2">
      <c r="B155" s="45" t="s">
        <v>120</v>
      </c>
      <c r="C155" s="46" t="s">
        <v>72</v>
      </c>
      <c r="D155" s="32">
        <f>+('Analisis Inputs Grales'!$E$57-'Analisis Inputs Grales'!$D$59*'Analisis Inputs Grales'!$E$57)/('Analisis Inputs Grales'!$D$58)</f>
        <v>26460</v>
      </c>
      <c r="E155" s="32">
        <f>+('Analisis Inputs Grales'!$E$57-'Analisis Inputs Grales'!$D$59*'Analisis Inputs Grales'!$E$57)/('Analisis Inputs Grales'!$D$58)</f>
        <v>26460</v>
      </c>
      <c r="F155" s="32">
        <f>+('Analisis Inputs Grales'!$E$57-'Analisis Inputs Grales'!$D$59*'Analisis Inputs Grales'!$E$57)/('Analisis Inputs Grales'!$D$58)</f>
        <v>26460</v>
      </c>
      <c r="G155" s="32">
        <f>+('Analisis Inputs Grales'!$E$57-'Analisis Inputs Grales'!$D$59*'Analisis Inputs Grales'!$E$57)/('Analisis Inputs Grales'!$D$58)</f>
        <v>26460</v>
      </c>
      <c r="H155" s="32">
        <f>+('Analisis Inputs Grales'!$E$57-'Analisis Inputs Grales'!$D$59*'Analisis Inputs Grales'!$E$57)/('Analisis Inputs Grales'!$D$58)</f>
        <v>26460</v>
      </c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</row>
    <row r="156" spans="2:23" x14ac:dyDescent="0.2">
      <c r="B156" s="42" t="s">
        <v>121</v>
      </c>
      <c r="C156" s="43" t="s">
        <v>119</v>
      </c>
      <c r="D156" s="44" t="e">
        <f>+('Analisis Inputs Grales'!#REF!/12*'Analisis Inputs Grales'!$E$50)/('Analisis Inputs Grales'!$D$54*'Analisis Inputs Grales'!$D$51*60)</f>
        <v>#REF!</v>
      </c>
      <c r="E156" s="44" t="e">
        <f>+('Analisis Inputs Grales'!#REF!/12*'Analisis Inputs Grales'!$E$50)/('Analisis Inputs Grales'!$D$54*'Analisis Inputs Grales'!$D$51*60)</f>
        <v>#REF!</v>
      </c>
      <c r="F156" s="44" t="e">
        <f>+('Analisis Inputs Grales'!#REF!/12*'Analisis Inputs Grales'!$E$50)/('Analisis Inputs Grales'!$D$54*'Analisis Inputs Grales'!$D$51*60)</f>
        <v>#REF!</v>
      </c>
      <c r="G156" s="44" t="e">
        <f>+('Analisis Inputs Grales'!#REF!/12*'Analisis Inputs Grales'!$E$50)/('Analisis Inputs Grales'!$D$54*'Analisis Inputs Grales'!$D$51*60)</f>
        <v>#REF!</v>
      </c>
      <c r="H156" s="44" t="e">
        <f>+('Analisis Inputs Grales'!#REF!/12*'Analisis Inputs Grales'!$E$50)/('Analisis Inputs Grales'!$D$54*'Analisis Inputs Grales'!$D$51*60)</f>
        <v>#REF!</v>
      </c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</row>
    <row r="157" spans="2:23" x14ac:dyDescent="0.2">
      <c r="B157" s="48" t="s">
        <v>121</v>
      </c>
      <c r="C157" s="49" t="s">
        <v>72</v>
      </c>
      <c r="D157" s="32" t="e">
        <f>+('Analisis Inputs Grales'!#REF!*'Analisis Inputs Grales'!$E$50)</f>
        <v>#REF!</v>
      </c>
      <c r="E157" s="32" t="e">
        <f>+('Analisis Inputs Grales'!#REF!*'Analisis Inputs Grales'!$E$50)</f>
        <v>#REF!</v>
      </c>
      <c r="F157" s="32" t="e">
        <f>+('Analisis Inputs Grales'!#REF!*'Analisis Inputs Grales'!$E$50)</f>
        <v>#REF!</v>
      </c>
      <c r="G157" s="32" t="e">
        <f>+('Analisis Inputs Grales'!#REF!*'Analisis Inputs Grales'!$E$50)</f>
        <v>#REF!</v>
      </c>
      <c r="H157" s="32" t="e">
        <f>+('Analisis Inputs Grales'!#REF!*'Analisis Inputs Grales'!$E$50)</f>
        <v>#REF!</v>
      </c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</row>
    <row r="158" spans="2:23" x14ac:dyDescent="0.2">
      <c r="B158" s="42" t="s">
        <v>122</v>
      </c>
      <c r="C158" s="43" t="s">
        <v>119</v>
      </c>
      <c r="D158" s="44" t="e">
        <f>+D152+D154+D156</f>
        <v>#REF!</v>
      </c>
      <c r="E158" s="44" t="e">
        <f t="shared" ref="E158:H159" si="43">+E152+E154+E156</f>
        <v>#REF!</v>
      </c>
      <c r="F158" s="44" t="e">
        <f t="shared" si="43"/>
        <v>#REF!</v>
      </c>
      <c r="G158" s="44" t="e">
        <f t="shared" si="43"/>
        <v>#REF!</v>
      </c>
      <c r="H158" s="44" t="e">
        <f t="shared" si="43"/>
        <v>#REF!</v>
      </c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</row>
    <row r="159" spans="2:23" x14ac:dyDescent="0.2">
      <c r="B159" s="45" t="s">
        <v>122</v>
      </c>
      <c r="C159" s="46" t="s">
        <v>72</v>
      </c>
      <c r="D159" s="32" t="e">
        <f>+D153+D155+D157</f>
        <v>#REF!</v>
      </c>
      <c r="E159" s="32" t="e">
        <f t="shared" si="43"/>
        <v>#REF!</v>
      </c>
      <c r="F159" s="32" t="e">
        <f t="shared" si="43"/>
        <v>#REF!</v>
      </c>
      <c r="G159" s="32" t="e">
        <f t="shared" si="43"/>
        <v>#REF!</v>
      </c>
      <c r="H159" s="32" t="e">
        <f t="shared" si="43"/>
        <v>#REF!</v>
      </c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</row>
    <row r="160" spans="2:23" x14ac:dyDescent="0.2">
      <c r="C160" s="46"/>
    </row>
    <row r="161" spans="2:23" ht="15" x14ac:dyDescent="0.25">
      <c r="B161" s="41" t="s">
        <v>123</v>
      </c>
      <c r="C161" s="46"/>
    </row>
    <row r="162" spans="2:23" x14ac:dyDescent="0.2">
      <c r="B162" s="42" t="s">
        <v>124</v>
      </c>
      <c r="C162" s="43" t="s">
        <v>119</v>
      </c>
      <c r="D162" s="44">
        <f>+'Analisis Inputs Grales'!$D$62/('Analisis Inputs Grales'!$D$60/'Analisis Inputs Grales'!$D$61*60)</f>
        <v>0.15909090909090906</v>
      </c>
      <c r="E162" s="44">
        <f>+'Analisis Inputs Grales'!$D$62/('Analisis Inputs Grales'!$D$60/'Analisis Inputs Grales'!$D$61*60)</f>
        <v>0.15909090909090906</v>
      </c>
      <c r="F162" s="44">
        <f>+'Analisis Inputs Grales'!$D$62/('Analisis Inputs Grales'!$D$60/'Analisis Inputs Grales'!$D$61*60)</f>
        <v>0.15909090909090906</v>
      </c>
      <c r="G162" s="44">
        <f>+'Analisis Inputs Grales'!$D$62/('Analisis Inputs Grales'!$D$60/'Analisis Inputs Grales'!$D$61*60)</f>
        <v>0.15909090909090906</v>
      </c>
      <c r="H162" s="44">
        <f>+'Analisis Inputs Grales'!$D$62/('Analisis Inputs Grales'!$D$60/'Analisis Inputs Grales'!$D$61*60)</f>
        <v>0.15909090909090906</v>
      </c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</row>
    <row r="163" spans="2:23" x14ac:dyDescent="0.2">
      <c r="B163" s="45" t="s">
        <v>124</v>
      </c>
      <c r="C163" s="46" t="s">
        <v>72</v>
      </c>
      <c r="D163" s="32">
        <f>+'Analisis Inputs Grales'!$D$62/('Analisis Inputs Grales'!$D$60/'Analisis Inputs Grales'!$D$61)*'Analisis Inputs Grales'!$D$51*'Analisis Inputs Grales'!$D$54*12</f>
        <v>24741.818181818177</v>
      </c>
      <c r="E163" s="32">
        <f>+'Analisis Inputs Grales'!$D$62/('Analisis Inputs Grales'!$D$60/'Analisis Inputs Grales'!$D$61)*'Analisis Inputs Grales'!$D$51*'Analisis Inputs Grales'!$D$54*12</f>
        <v>24741.818181818177</v>
      </c>
      <c r="F163" s="32">
        <f>+'Analisis Inputs Grales'!$D$62/('Analisis Inputs Grales'!$D$60/'Analisis Inputs Grales'!$D$61)*'Analisis Inputs Grales'!$D$51*'Analisis Inputs Grales'!$D$54*12</f>
        <v>24741.818181818177</v>
      </c>
      <c r="G163" s="32">
        <f>+'Analisis Inputs Grales'!$D$62/('Analisis Inputs Grales'!$D$60/'Analisis Inputs Grales'!$D$61)*'Analisis Inputs Grales'!$D$51*'Analisis Inputs Grales'!$D$54*12</f>
        <v>24741.818181818177</v>
      </c>
      <c r="H163" s="32">
        <f>+'Analisis Inputs Grales'!$D$62/('Analisis Inputs Grales'!$D$60/'Analisis Inputs Grales'!$D$61)*'Analisis Inputs Grales'!$D$51*'Analisis Inputs Grales'!$D$54*12</f>
        <v>24741.818181818177</v>
      </c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</row>
    <row r="164" spans="2:23" x14ac:dyDescent="0.2">
      <c r="B164" s="42" t="s">
        <v>125</v>
      </c>
      <c r="C164" s="43" t="s">
        <v>119</v>
      </c>
      <c r="D164" s="44">
        <f>+D162*'Analisis Inputs Grales'!$D$63</f>
        <v>2.3863636363636358E-2</v>
      </c>
      <c r="E164" s="44">
        <f>+E162*'Analisis Inputs Grales'!$D$63</f>
        <v>2.3863636363636358E-2</v>
      </c>
      <c r="F164" s="44">
        <f>+F162*'Analisis Inputs Grales'!$D$63</f>
        <v>2.3863636363636358E-2</v>
      </c>
      <c r="G164" s="44">
        <f>+G162*'Analisis Inputs Grales'!$D$63</f>
        <v>2.3863636363636358E-2</v>
      </c>
      <c r="H164" s="44">
        <f>+H162*'Analisis Inputs Grales'!$D$63</f>
        <v>2.3863636363636358E-2</v>
      </c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</row>
    <row r="165" spans="2:23" x14ac:dyDescent="0.2">
      <c r="B165" s="45" t="s">
        <v>125</v>
      </c>
      <c r="C165" s="46" t="s">
        <v>72</v>
      </c>
      <c r="D165" s="32">
        <f>+D163*'Analisis Inputs Grales'!$D$63</f>
        <v>3711.2727272727261</v>
      </c>
      <c r="E165" s="32">
        <f>+E163*'Analisis Inputs Grales'!$D$63</f>
        <v>3711.2727272727261</v>
      </c>
      <c r="F165" s="32">
        <f>+F163*'Analisis Inputs Grales'!$D$63</f>
        <v>3711.2727272727261</v>
      </c>
      <c r="G165" s="32">
        <f>+G163*'Analisis Inputs Grales'!$D$63</f>
        <v>3711.2727272727261</v>
      </c>
      <c r="H165" s="32">
        <f>+H163*'Analisis Inputs Grales'!$D$63</f>
        <v>3711.2727272727261</v>
      </c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</row>
    <row r="166" spans="2:23" x14ac:dyDescent="0.2">
      <c r="B166" s="42" t="s">
        <v>126</v>
      </c>
      <c r="C166" s="43" t="s">
        <v>119</v>
      </c>
      <c r="D166" s="44">
        <f>+(D162+D164)*'Analisis Inputs Grales'!$D$64</f>
        <v>7.3181818181818167E-2</v>
      </c>
      <c r="E166" s="44">
        <f>+(E162+E164)*'Analisis Inputs Grales'!$D$64</f>
        <v>7.3181818181818167E-2</v>
      </c>
      <c r="F166" s="44">
        <f>+(F162+F164)*'Analisis Inputs Grales'!$D$64</f>
        <v>7.3181818181818167E-2</v>
      </c>
      <c r="G166" s="44">
        <f>+(G162+G164)*'Analisis Inputs Grales'!$D$64</f>
        <v>7.3181818181818167E-2</v>
      </c>
      <c r="H166" s="44">
        <f>+(H162+H164)*'Analisis Inputs Grales'!$D$64</f>
        <v>7.3181818181818167E-2</v>
      </c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</row>
    <row r="167" spans="2:23" x14ac:dyDescent="0.2">
      <c r="B167" s="45" t="s">
        <v>126</v>
      </c>
      <c r="C167" s="46" t="s">
        <v>72</v>
      </c>
      <c r="D167" s="32">
        <f>+(D163+D165)*'Analisis Inputs Grales'!$D$64</f>
        <v>11381.236363636363</v>
      </c>
      <c r="E167" s="32">
        <f>+(E163+E165)*'Analisis Inputs Grales'!$D$64</f>
        <v>11381.236363636363</v>
      </c>
      <c r="F167" s="32">
        <f>+(F163+F165)*'Analisis Inputs Grales'!$D$64</f>
        <v>11381.236363636363</v>
      </c>
      <c r="G167" s="32">
        <f>+(G163+G165)*'Analisis Inputs Grales'!$D$64</f>
        <v>11381.236363636363</v>
      </c>
      <c r="H167" s="32">
        <f>+(H163+H165)*'Analisis Inputs Grales'!$D$64</f>
        <v>11381.236363636363</v>
      </c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</row>
    <row r="168" spans="2:23" x14ac:dyDescent="0.2">
      <c r="B168" s="42" t="s">
        <v>127</v>
      </c>
      <c r="C168" s="43" t="s">
        <v>119</v>
      </c>
      <c r="D168" s="44">
        <f>+D162+D164+D166</f>
        <v>0.25613636363636361</v>
      </c>
      <c r="E168" s="44">
        <f t="shared" ref="E168:H169" si="44">+E162+E164+E166</f>
        <v>0.25613636363636361</v>
      </c>
      <c r="F168" s="44">
        <f t="shared" si="44"/>
        <v>0.25613636363636361</v>
      </c>
      <c r="G168" s="44">
        <f t="shared" si="44"/>
        <v>0.25613636363636361</v>
      </c>
      <c r="H168" s="44">
        <f t="shared" si="44"/>
        <v>0.25613636363636361</v>
      </c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</row>
    <row r="169" spans="2:23" x14ac:dyDescent="0.2">
      <c r="B169" s="48" t="s">
        <v>127</v>
      </c>
      <c r="C169" s="46" t="s">
        <v>72</v>
      </c>
      <c r="D169" s="32">
        <f>+D163+D165+D167</f>
        <v>39834.327272727271</v>
      </c>
      <c r="E169" s="32">
        <f t="shared" si="44"/>
        <v>39834.327272727271</v>
      </c>
      <c r="F169" s="32">
        <f t="shared" si="44"/>
        <v>39834.327272727271</v>
      </c>
      <c r="G169" s="32">
        <f t="shared" si="44"/>
        <v>39834.327272727271</v>
      </c>
      <c r="H169" s="32">
        <f t="shared" si="44"/>
        <v>39834.327272727271</v>
      </c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</row>
    <row r="170" spans="2:23" x14ac:dyDescent="0.2">
      <c r="B170" s="50"/>
    </row>
    <row r="171" spans="2:23" ht="28.5" x14ac:dyDescent="0.2">
      <c r="B171" s="51" t="s">
        <v>128</v>
      </c>
      <c r="C171" s="52" t="s">
        <v>119</v>
      </c>
      <c r="D171" s="44" t="e">
        <f>+D158+D168</f>
        <v>#REF!</v>
      </c>
      <c r="E171" s="44" t="e">
        <f t="shared" ref="E171:H172" si="45">+E158+E168</f>
        <v>#REF!</v>
      </c>
      <c r="F171" s="44" t="e">
        <f t="shared" si="45"/>
        <v>#REF!</v>
      </c>
      <c r="G171" s="44" t="e">
        <f t="shared" si="45"/>
        <v>#REF!</v>
      </c>
      <c r="H171" s="44" t="e">
        <f t="shared" si="45"/>
        <v>#REF!</v>
      </c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</row>
    <row r="172" spans="2:23" ht="28.5" x14ac:dyDescent="0.2">
      <c r="B172" s="53" t="s">
        <v>128</v>
      </c>
      <c r="C172" s="54" t="s">
        <v>72</v>
      </c>
      <c r="D172" s="32" t="e">
        <f>+D159+D169</f>
        <v>#REF!</v>
      </c>
      <c r="E172" s="32" t="e">
        <f t="shared" si="45"/>
        <v>#REF!</v>
      </c>
      <c r="F172" s="32" t="e">
        <f t="shared" si="45"/>
        <v>#REF!</v>
      </c>
      <c r="G172" s="32" t="e">
        <f t="shared" si="45"/>
        <v>#REF!</v>
      </c>
      <c r="H172" s="32" t="e">
        <f t="shared" si="45"/>
        <v>#REF!</v>
      </c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</row>
    <row r="173" spans="2:23" x14ac:dyDescent="0.2">
      <c r="B173" s="55"/>
      <c r="C173" s="56"/>
    </row>
    <row r="174" spans="2:23" x14ac:dyDescent="0.2">
      <c r="B174" s="57" t="s">
        <v>129</v>
      </c>
      <c r="C174" s="52" t="s">
        <v>130</v>
      </c>
      <c r="D174" s="44" t="e">
        <f>+D171/('Analisis Inputs Grales'!$E$41*'Analisis Inputs Grales'!$E$42)</f>
        <v>#REF!</v>
      </c>
      <c r="E174" s="44" t="e">
        <f>+E171/('Analisis Inputs Grales'!$E$41*'Analisis Inputs Grales'!$E$42)</f>
        <v>#REF!</v>
      </c>
      <c r="F174" s="44" t="e">
        <f>+F171/('Analisis Inputs Grales'!$E$41*'Analisis Inputs Grales'!$E$42)</f>
        <v>#REF!</v>
      </c>
      <c r="G174" s="44" t="e">
        <f>+G171/('Analisis Inputs Grales'!$E$41*'Analisis Inputs Grales'!$E$42)</f>
        <v>#REF!</v>
      </c>
      <c r="H174" s="44" t="e">
        <f>+H171/('Analisis Inputs Grales'!$E$41*'Analisis Inputs Grales'!$E$42)</f>
        <v>#REF!</v>
      </c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</row>
    <row r="175" spans="2:23" x14ac:dyDescent="0.2">
      <c r="B175" s="50" t="s">
        <v>131</v>
      </c>
      <c r="C175" s="46" t="s">
        <v>132</v>
      </c>
      <c r="D175" s="32" t="e">
        <f>+D172/('Analisis Inputs Grales'!$E$41*'Analisis Inputs Grales'!$E$42)</f>
        <v>#REF!</v>
      </c>
      <c r="E175" s="32" t="e">
        <f>+E172/('Analisis Inputs Grales'!$E$41*'Analisis Inputs Grales'!$E$42)</f>
        <v>#REF!</v>
      </c>
      <c r="F175" s="32" t="e">
        <f>+F172/('Analisis Inputs Grales'!$E$41*'Analisis Inputs Grales'!$E$42)</f>
        <v>#REF!</v>
      </c>
      <c r="G175" s="32" t="e">
        <f>+G172/('Analisis Inputs Grales'!$E$41*'Analisis Inputs Grales'!$E$42)</f>
        <v>#REF!</v>
      </c>
      <c r="H175" s="32" t="e">
        <f>+H172/('Analisis Inputs Grales'!$E$41*'Analisis Inputs Grales'!$E$42)</f>
        <v>#REF!</v>
      </c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</row>
    <row r="177" spans="2:23" ht="28.5" x14ac:dyDescent="0.2">
      <c r="B177" s="53" t="s">
        <v>134</v>
      </c>
      <c r="C177" s="54" t="s">
        <v>135</v>
      </c>
      <c r="D177" s="44" t="e">
        <f>+('Analisis Inputs Grales'!$D$67+'Analisis Inputs Grales'!$D$68)*'Analisis 20Años'!D158/('Analisis Inputs Grales'!$E$41*'Analisis Inputs Grales'!$E$42)</f>
        <v>#REF!</v>
      </c>
      <c r="E177" s="44" t="e">
        <f>+('Analisis Inputs Grales'!$D$67+'Analisis Inputs Grales'!$D$68)*'Analisis 20Años'!E158/('Analisis Inputs Grales'!$E$41*'Analisis Inputs Grales'!$E$42)</f>
        <v>#REF!</v>
      </c>
      <c r="F177" s="44" t="e">
        <f>+('Analisis Inputs Grales'!$D$67+'Analisis Inputs Grales'!$D$68)*'Analisis 20Años'!F158/('Analisis Inputs Grales'!$E$41*'Analisis Inputs Grales'!$E$42)</f>
        <v>#REF!</v>
      </c>
      <c r="G177" s="44" t="e">
        <f>+('Analisis Inputs Grales'!$D$67+'Analisis Inputs Grales'!$D$68)*'Analisis 20Años'!G158/('Analisis Inputs Grales'!$E$41*'Analisis Inputs Grales'!$E$42)</f>
        <v>#REF!</v>
      </c>
      <c r="H177" s="44" t="e">
        <f>+('Analisis Inputs Grales'!$D$67+'Analisis Inputs Grales'!$D$68)*'Analisis 20Años'!H158/('Analisis Inputs Grales'!$E$41*'Analisis Inputs Grales'!$E$42)</f>
        <v>#REF!</v>
      </c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</row>
    <row r="179" spans="2:23" ht="15" x14ac:dyDescent="0.25">
      <c r="B179" s="27" t="s">
        <v>102</v>
      </c>
    </row>
    <row r="180" spans="2:23" x14ac:dyDescent="0.2">
      <c r="B180" s="28" t="s">
        <v>107</v>
      </c>
    </row>
    <row r="183" spans="2:23" ht="15" x14ac:dyDescent="0.25">
      <c r="B183" s="41" t="s">
        <v>136</v>
      </c>
    </row>
    <row r="184" spans="2:23" x14ac:dyDescent="0.2">
      <c r="B184" s="45" t="s">
        <v>118</v>
      </c>
      <c r="C184" s="46" t="s">
        <v>137</v>
      </c>
      <c r="D184" s="47">
        <f>+('Analisis Inputs Grales'!$D$79*'Analisis Inputs Grales'!$D$84/12)/'Analisis Inputs Grales'!$D$78</f>
        <v>407.40740740740739</v>
      </c>
      <c r="E184" s="47">
        <f>+('Analisis Inputs Grales'!$D$79*'Analisis Inputs Grales'!$D$84/12)/'Analisis Inputs Grales'!$D$78</f>
        <v>407.40740740740739</v>
      </c>
      <c r="F184" s="47">
        <f>+('Analisis Inputs Grales'!$D$79*'Analisis Inputs Grales'!$D$84/12)/'Analisis Inputs Grales'!$D$78</f>
        <v>407.40740740740739</v>
      </c>
      <c r="G184" s="47">
        <f>+('Analisis Inputs Grales'!$D$79*'Analisis Inputs Grales'!$D$84/12)/'Analisis Inputs Grales'!$D$78</f>
        <v>407.40740740740739</v>
      </c>
      <c r="H184" s="47">
        <f>+('Analisis Inputs Grales'!$D$79*'Analisis Inputs Grales'!$D$84/12)/'Analisis Inputs Grales'!$D$78</f>
        <v>407.40740740740739</v>
      </c>
      <c r="I184" s="47">
        <f>+('Analisis Inputs Grales'!$D$79*'Analisis Inputs Grales'!$D$84/12)/'Analisis Inputs Grales'!$D$78</f>
        <v>407.40740740740739</v>
      </c>
      <c r="J184" s="47">
        <f>+('Analisis Inputs Grales'!$D$79*'Analisis Inputs Grales'!$D$84/12)/'Analisis Inputs Grales'!$D$78</f>
        <v>407.40740740740739</v>
      </c>
      <c r="K184" s="47">
        <f>+('Analisis Inputs Grales'!$D$79*'Analisis Inputs Grales'!$D$84/12)/'Analisis Inputs Grales'!$D$78</f>
        <v>407.40740740740739</v>
      </c>
      <c r="L184" s="47">
        <f>+('Analisis Inputs Grales'!$D$79*'Analisis Inputs Grales'!$D$84/12)/'Analisis Inputs Grales'!$D$78</f>
        <v>407.40740740740739</v>
      </c>
      <c r="M184" s="47">
        <f>+('Analisis Inputs Grales'!$D$79*'Analisis Inputs Grales'!$D$84/12)/'Analisis Inputs Grales'!$D$78</f>
        <v>407.40740740740739</v>
      </c>
      <c r="N184" s="47">
        <f>+('Analisis Inputs Grales'!$D$79*'Analisis Inputs Grales'!$D$84/12)/'Analisis Inputs Grales'!$D$78</f>
        <v>407.40740740740739</v>
      </c>
      <c r="O184" s="47">
        <f>+('Analisis Inputs Grales'!$D$79*'Analisis Inputs Grales'!$D$84/12)/'Analisis Inputs Grales'!$D$78</f>
        <v>407.40740740740739</v>
      </c>
      <c r="P184" s="47">
        <f>+('Analisis Inputs Grales'!$D$79*'Analisis Inputs Grales'!$D$84/12)/'Analisis Inputs Grales'!$D$78</f>
        <v>407.40740740740739</v>
      </c>
      <c r="Q184" s="47">
        <f>+('Analisis Inputs Grales'!$D$79*'Analisis Inputs Grales'!$D$84/12)/'Analisis Inputs Grales'!$D$78</f>
        <v>407.40740740740739</v>
      </c>
      <c r="R184" s="47">
        <f>+('Analisis Inputs Grales'!$D$79*'Analisis Inputs Grales'!$D$84/12)/'Analisis Inputs Grales'!$D$78</f>
        <v>407.40740740740739</v>
      </c>
      <c r="S184" s="47">
        <f>+('Analisis Inputs Grales'!$D$79*'Analisis Inputs Grales'!$D$84/12)/'Analisis Inputs Grales'!$D$78</f>
        <v>407.40740740740739</v>
      </c>
      <c r="T184" s="47">
        <f>+('Analisis Inputs Grales'!$D$79*'Analisis Inputs Grales'!$D$84/12)/'Analisis Inputs Grales'!$D$78</f>
        <v>407.40740740740739</v>
      </c>
      <c r="U184" s="47">
        <f>+('Analisis Inputs Grales'!$D$79*'Analisis Inputs Grales'!$D$84/12)/'Analisis Inputs Grales'!$D$78</f>
        <v>407.40740740740739</v>
      </c>
      <c r="V184" s="47">
        <f>+('Analisis Inputs Grales'!$D$79*'Analisis Inputs Grales'!$D$84/12)/'Analisis Inputs Grales'!$D$78</f>
        <v>407.40740740740739</v>
      </c>
      <c r="W184" s="47">
        <f>+('Analisis Inputs Grales'!$D$79*'Analisis Inputs Grales'!$D$84/12)/'Analisis Inputs Grales'!$D$78</f>
        <v>407.40740740740739</v>
      </c>
    </row>
    <row r="185" spans="2:23" x14ac:dyDescent="0.2">
      <c r="B185" s="45" t="s">
        <v>138</v>
      </c>
      <c r="C185" s="46" t="s">
        <v>137</v>
      </c>
      <c r="D185" s="32">
        <f>+'Analisis Inputs Grales'!$D$79/('Analisis Inputs Grales'!$D$75*52*'Analisis Inputs Grales'!$D$77)</f>
        <v>176.28205128205127</v>
      </c>
      <c r="E185" s="32">
        <f>+'Analisis Inputs Grales'!$D$79/('Analisis Inputs Grales'!$D$75*52*'Analisis Inputs Grales'!$D$77)</f>
        <v>176.28205128205127</v>
      </c>
      <c r="F185" s="32">
        <f>+'Analisis Inputs Grales'!$D$79/('Analisis Inputs Grales'!$D$75*52*'Analisis Inputs Grales'!$D$77)</f>
        <v>176.28205128205127</v>
      </c>
      <c r="G185" s="32">
        <f>+'Analisis Inputs Grales'!$D$79/('Analisis Inputs Grales'!$D$75*52*'Analisis Inputs Grales'!$D$77)</f>
        <v>176.28205128205127</v>
      </c>
      <c r="H185" s="32">
        <f>+'Analisis Inputs Grales'!$D$79/('Analisis Inputs Grales'!$D$75*52*'Analisis Inputs Grales'!$D$77)</f>
        <v>176.28205128205127</v>
      </c>
      <c r="I185" s="32">
        <f>+'Analisis Inputs Grales'!$D$79/('Analisis Inputs Grales'!$D$75*52*'Analisis Inputs Grales'!$D$77)</f>
        <v>176.28205128205127</v>
      </c>
      <c r="J185" s="32">
        <f>+'Analisis Inputs Grales'!$D$79/('Analisis Inputs Grales'!$D$75*52*'Analisis Inputs Grales'!$D$77)</f>
        <v>176.28205128205127</v>
      </c>
      <c r="K185" s="32">
        <f>+'Analisis Inputs Grales'!$D$79/('Analisis Inputs Grales'!$D$75*52*'Analisis Inputs Grales'!$D$77)</f>
        <v>176.28205128205127</v>
      </c>
      <c r="L185" s="32">
        <f>+'Analisis Inputs Grales'!$D$79/('Analisis Inputs Grales'!$D$75*52*'Analisis Inputs Grales'!$D$77)</f>
        <v>176.28205128205127</v>
      </c>
      <c r="M185" s="32">
        <f>+'Analisis Inputs Grales'!$D$79/('Analisis Inputs Grales'!$D$75*52*'Analisis Inputs Grales'!$D$77)</f>
        <v>176.28205128205127</v>
      </c>
      <c r="N185" s="32">
        <f>+'Analisis Inputs Grales'!$D$79/('Analisis Inputs Grales'!$D$75*52*'Analisis Inputs Grales'!$D$77)</f>
        <v>176.28205128205127</v>
      </c>
      <c r="O185" s="32">
        <f>+'Analisis Inputs Grales'!$D$79/('Analisis Inputs Grales'!$D$75*52*'Analisis Inputs Grales'!$D$77)</f>
        <v>176.28205128205127</v>
      </c>
      <c r="P185" s="32">
        <f>+'Analisis Inputs Grales'!$D$79/('Analisis Inputs Grales'!$D$75*52*'Analisis Inputs Grales'!$D$77)</f>
        <v>176.28205128205127</v>
      </c>
      <c r="Q185" s="32">
        <f>+'Analisis Inputs Grales'!$D$79/('Analisis Inputs Grales'!$D$75*52*'Analisis Inputs Grales'!$D$77)</f>
        <v>176.28205128205127</v>
      </c>
      <c r="R185" s="32">
        <f>+'Analisis Inputs Grales'!$D$79/('Analisis Inputs Grales'!$D$75*52*'Analisis Inputs Grales'!$D$77)</f>
        <v>176.28205128205127</v>
      </c>
      <c r="S185" s="32">
        <f>+'Analisis Inputs Grales'!$D$79/('Analisis Inputs Grales'!$D$75*52*'Analisis Inputs Grales'!$D$77)</f>
        <v>176.28205128205127</v>
      </c>
      <c r="T185" s="32">
        <f>+'Analisis Inputs Grales'!$D$79/('Analisis Inputs Grales'!$D$75*52*'Analisis Inputs Grales'!$D$77)</f>
        <v>176.28205128205127</v>
      </c>
      <c r="U185" s="32">
        <f>+'Analisis Inputs Grales'!$D$79/('Analisis Inputs Grales'!$D$75*52*'Analisis Inputs Grales'!$D$77)</f>
        <v>176.28205128205127</v>
      </c>
      <c r="V185" s="32">
        <f>+'Analisis Inputs Grales'!$D$79/('Analisis Inputs Grales'!$D$75*52*'Analisis Inputs Grales'!$D$77)</f>
        <v>176.28205128205127</v>
      </c>
      <c r="W185" s="32">
        <f>+'Analisis Inputs Grales'!$D$79/('Analisis Inputs Grales'!$D$75*52*'Analisis Inputs Grales'!$D$77)</f>
        <v>176.28205128205127</v>
      </c>
    </row>
    <row r="186" spans="2:23" x14ac:dyDescent="0.2">
      <c r="B186" s="45" t="s">
        <v>109</v>
      </c>
      <c r="C186" s="46" t="s">
        <v>137</v>
      </c>
      <c r="D186" s="32">
        <f>+'Analisis Inputs Grales'!$D$80/'Analisis Inputs Grales'!$D$78</f>
        <v>370.37407407407409</v>
      </c>
      <c r="E186" s="32">
        <f>+'Analisis Inputs Grales'!$D$80/'Analisis Inputs Grales'!$D$78</f>
        <v>370.37407407407409</v>
      </c>
      <c r="F186" s="32">
        <f>+'Analisis Inputs Grales'!$D$80/'Analisis Inputs Grales'!$D$78</f>
        <v>370.37407407407409</v>
      </c>
      <c r="G186" s="32">
        <f>+'Analisis Inputs Grales'!$D$80/'Analisis Inputs Grales'!$D$78</f>
        <v>370.37407407407409</v>
      </c>
      <c r="H186" s="32">
        <f>+'Analisis Inputs Grales'!$D$80/'Analisis Inputs Grales'!$D$78</f>
        <v>370.37407407407409</v>
      </c>
      <c r="I186" s="32">
        <f>+'Analisis Inputs Grales'!$D$80/'Analisis Inputs Grales'!$D$78</f>
        <v>370.37407407407409</v>
      </c>
      <c r="J186" s="32">
        <f>+'Analisis Inputs Grales'!$D$80/'Analisis Inputs Grales'!$D$78</f>
        <v>370.37407407407409</v>
      </c>
      <c r="K186" s="32">
        <f>+'Analisis Inputs Grales'!$D$80/'Analisis Inputs Grales'!$D$78</f>
        <v>370.37407407407409</v>
      </c>
      <c r="L186" s="32">
        <f>+'Analisis Inputs Grales'!$D$80/'Analisis Inputs Grales'!$D$78</f>
        <v>370.37407407407409</v>
      </c>
      <c r="M186" s="32">
        <f>+'Analisis Inputs Grales'!$D$80/'Analisis Inputs Grales'!$D$78</f>
        <v>370.37407407407409</v>
      </c>
      <c r="N186" s="32">
        <f>+'Analisis Inputs Grales'!$D$80/'Analisis Inputs Grales'!$D$78</f>
        <v>370.37407407407409</v>
      </c>
      <c r="O186" s="32">
        <f>+'Analisis Inputs Grales'!$D$80/'Analisis Inputs Grales'!$D$78</f>
        <v>370.37407407407409</v>
      </c>
      <c r="P186" s="32">
        <f>+'Analisis Inputs Grales'!$D$80/'Analisis Inputs Grales'!$D$78</f>
        <v>370.37407407407409</v>
      </c>
      <c r="Q186" s="32">
        <f>+'Analisis Inputs Grales'!$D$80/'Analisis Inputs Grales'!$D$78</f>
        <v>370.37407407407409</v>
      </c>
      <c r="R186" s="32">
        <f>+'Analisis Inputs Grales'!$D$80/'Analisis Inputs Grales'!$D$78</f>
        <v>370.37407407407409</v>
      </c>
      <c r="S186" s="32">
        <f>+'Analisis Inputs Grales'!$D$80/'Analisis Inputs Grales'!$D$78</f>
        <v>370.37407407407409</v>
      </c>
      <c r="T186" s="32">
        <f>+'Analisis Inputs Grales'!$D$80/'Analisis Inputs Grales'!$D$78</f>
        <v>370.37407407407409</v>
      </c>
      <c r="U186" s="32">
        <f>+'Analisis Inputs Grales'!$D$80/'Analisis Inputs Grales'!$D$78</f>
        <v>370.37407407407409</v>
      </c>
      <c r="V186" s="32">
        <f>+'Analisis Inputs Grales'!$D$80/'Analisis Inputs Grales'!$D$78</f>
        <v>370.37407407407409</v>
      </c>
      <c r="W186" s="32">
        <f>+'Analisis Inputs Grales'!$D$80/'Analisis Inputs Grales'!$D$78</f>
        <v>370.37407407407409</v>
      </c>
    </row>
    <row r="187" spans="2:23" ht="28.5" x14ac:dyDescent="0.2">
      <c r="B187" s="58" t="s">
        <v>139</v>
      </c>
      <c r="C187" s="46" t="s">
        <v>135</v>
      </c>
      <c r="D187" s="44">
        <f>+(SUM(D184:D186)/'Analisis Inputs Grales'!$D$73)</f>
        <v>1.9081270655270655</v>
      </c>
      <c r="E187" s="44">
        <f>+(SUM(E184:E186)/'Analisis Inputs Grales'!$D$73)</f>
        <v>1.9081270655270655</v>
      </c>
      <c r="F187" s="44">
        <f>+(SUM(F184:F186)/'Analisis Inputs Grales'!$D$73)</f>
        <v>1.9081270655270655</v>
      </c>
      <c r="G187" s="44">
        <f>+(SUM(G184:G186)/'Analisis Inputs Grales'!$D$73)</f>
        <v>1.9081270655270655</v>
      </c>
      <c r="H187" s="44">
        <f>+(SUM(H184:H186)/'Analisis Inputs Grales'!$D$73)</f>
        <v>1.9081270655270655</v>
      </c>
      <c r="I187" s="44">
        <f>+(SUM(I184:I186)/'Analisis Inputs Grales'!$D$73)</f>
        <v>1.9081270655270655</v>
      </c>
      <c r="J187" s="44">
        <f>+(SUM(J184:J186)/'Analisis Inputs Grales'!$D$73)</f>
        <v>1.9081270655270655</v>
      </c>
      <c r="K187" s="44">
        <f>+(SUM(K184:K186)/'Analisis Inputs Grales'!$D$73)</f>
        <v>1.9081270655270655</v>
      </c>
      <c r="L187" s="44">
        <f>+(SUM(L184:L186)/'Analisis Inputs Grales'!$D$73)</f>
        <v>1.9081270655270655</v>
      </c>
      <c r="M187" s="44">
        <f>+(SUM(M184:M186)/'Analisis Inputs Grales'!$D$73)</f>
        <v>1.9081270655270655</v>
      </c>
      <c r="N187" s="44">
        <f>+(SUM(N184:N186)/'Analisis Inputs Grales'!$D$73)</f>
        <v>1.9081270655270655</v>
      </c>
      <c r="O187" s="44">
        <f>+(SUM(O184:O186)/'Analisis Inputs Grales'!$D$73)</f>
        <v>1.9081270655270655</v>
      </c>
      <c r="P187" s="44">
        <f>+(SUM(P184:P186)/'Analisis Inputs Grales'!$D$73)</f>
        <v>1.9081270655270655</v>
      </c>
      <c r="Q187" s="44">
        <f>+(SUM(Q184:Q186)/'Analisis Inputs Grales'!$D$73)</f>
        <v>1.9081270655270655</v>
      </c>
      <c r="R187" s="44">
        <f>+(SUM(R184:R186)/'Analisis Inputs Grales'!$D$73)</f>
        <v>1.9081270655270655</v>
      </c>
      <c r="S187" s="44">
        <f>+(SUM(S184:S186)/'Analisis Inputs Grales'!$D$73)</f>
        <v>1.9081270655270655</v>
      </c>
      <c r="T187" s="44">
        <f>+(SUM(T184:T186)/'Analisis Inputs Grales'!$D$73)</f>
        <v>1.9081270655270655</v>
      </c>
      <c r="U187" s="44">
        <f>+(SUM(U184:U186)/'Analisis Inputs Grales'!$D$73)</f>
        <v>1.9081270655270655</v>
      </c>
      <c r="V187" s="44">
        <f>+(SUM(V184:V186)/'Analisis Inputs Grales'!$D$73)</f>
        <v>1.9081270655270655</v>
      </c>
      <c r="W187" s="44">
        <f>+(SUM(W184:W186)/'Analisis Inputs Grales'!$D$73)</f>
        <v>1.9081270655270655</v>
      </c>
    </row>
  </sheetData>
  <pageMargins left="0.7" right="0.7" top="0.75" bottom="0.75" header="0.3" footer="0.3"/>
  <ignoredErrors>
    <ignoredError sqref="D13:H13 D21:H21 D23:H23 D54:G56 H54:H56 D45:H4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2F48B-181A-416D-BCE4-B4BDE74E672A}">
  <sheetPr>
    <tabColor rgb="FFFF0000"/>
  </sheetPr>
  <dimension ref="A3:I25"/>
  <sheetViews>
    <sheetView zoomScale="85" zoomScaleNormal="85" workbookViewId="0">
      <selection activeCell="M8" sqref="M8"/>
    </sheetView>
  </sheetViews>
  <sheetFormatPr baseColWidth="10" defaultRowHeight="14.25" x14ac:dyDescent="0.2"/>
  <cols>
    <col min="1" max="16384" width="11.42578125" style="28"/>
  </cols>
  <sheetData>
    <row r="3" spans="2:9" ht="60" x14ac:dyDescent="0.2">
      <c r="B3" s="59" t="s">
        <v>140</v>
      </c>
      <c r="C3" s="59" t="s">
        <v>141</v>
      </c>
      <c r="D3" s="59" t="s">
        <v>142</v>
      </c>
      <c r="E3" s="59" t="s">
        <v>143</v>
      </c>
      <c r="F3" s="59" t="s">
        <v>144</v>
      </c>
      <c r="G3" s="59" t="s">
        <v>145</v>
      </c>
      <c r="H3" s="59"/>
    </row>
    <row r="4" spans="2:9" x14ac:dyDescent="0.2">
      <c r="B4" s="60">
        <v>1</v>
      </c>
      <c r="C4" s="28" t="s">
        <v>146</v>
      </c>
      <c r="D4" s="28">
        <v>10</v>
      </c>
      <c r="E4" s="28">
        <v>15</v>
      </c>
      <c r="I4" s="28" t="s">
        <v>147</v>
      </c>
    </row>
    <row r="5" spans="2:9" x14ac:dyDescent="0.2">
      <c r="B5" s="60">
        <v>2</v>
      </c>
      <c r="C5" s="28" t="s">
        <v>148</v>
      </c>
      <c r="D5" s="28">
        <v>200</v>
      </c>
      <c r="E5" s="28">
        <v>216</v>
      </c>
    </row>
    <row r="6" spans="2:9" x14ac:dyDescent="0.2">
      <c r="B6" s="60">
        <v>3</v>
      </c>
      <c r="C6" s="28" t="s">
        <v>149</v>
      </c>
      <c r="D6" s="28">
        <v>220</v>
      </c>
      <c r="E6" s="28">
        <v>269</v>
      </c>
    </row>
    <row r="7" spans="2:9" x14ac:dyDescent="0.2">
      <c r="B7" s="60">
        <v>4</v>
      </c>
    </row>
    <row r="8" spans="2:9" x14ac:dyDescent="0.2">
      <c r="B8" s="60">
        <v>5</v>
      </c>
    </row>
    <row r="9" spans="2:9" x14ac:dyDescent="0.2">
      <c r="B9" s="60">
        <v>6</v>
      </c>
    </row>
    <row r="10" spans="2:9" x14ac:dyDescent="0.2">
      <c r="B10" s="60">
        <v>7</v>
      </c>
    </row>
    <row r="11" spans="2:9" x14ac:dyDescent="0.2">
      <c r="B11" s="60">
        <v>8</v>
      </c>
    </row>
    <row r="12" spans="2:9" x14ac:dyDescent="0.2">
      <c r="B12" s="60">
        <v>9</v>
      </c>
    </row>
    <row r="13" spans="2:9" x14ac:dyDescent="0.2">
      <c r="B13" s="60">
        <v>10</v>
      </c>
    </row>
    <row r="14" spans="2:9" x14ac:dyDescent="0.2">
      <c r="B14" s="60">
        <v>11</v>
      </c>
    </row>
    <row r="15" spans="2:9" x14ac:dyDescent="0.2">
      <c r="B15" s="60">
        <v>12</v>
      </c>
    </row>
    <row r="16" spans="2:9" x14ac:dyDescent="0.2">
      <c r="B16" s="60">
        <v>13</v>
      </c>
    </row>
    <row r="17" spans="1:5" x14ac:dyDescent="0.2">
      <c r="B17" s="60">
        <v>14</v>
      </c>
    </row>
    <row r="18" spans="1:5" x14ac:dyDescent="0.2">
      <c r="B18" s="60">
        <v>15</v>
      </c>
    </row>
    <row r="19" spans="1:5" x14ac:dyDescent="0.2">
      <c r="B19" s="60">
        <v>16</v>
      </c>
    </row>
    <row r="20" spans="1:5" x14ac:dyDescent="0.2">
      <c r="B20" s="60">
        <v>17</v>
      </c>
    </row>
    <row r="21" spans="1:5" x14ac:dyDescent="0.2">
      <c r="B21" s="60">
        <v>18</v>
      </c>
    </row>
    <row r="22" spans="1:5" x14ac:dyDescent="0.2">
      <c r="B22" s="60">
        <v>19</v>
      </c>
    </row>
    <row r="23" spans="1:5" x14ac:dyDescent="0.2">
      <c r="B23" s="60">
        <v>20</v>
      </c>
    </row>
    <row r="25" spans="1:5" ht="15" x14ac:dyDescent="0.25">
      <c r="A25" s="40" t="s">
        <v>150</v>
      </c>
      <c r="B25" s="40"/>
      <c r="C25" s="40"/>
      <c r="D25" s="40">
        <f>SUM(D4:D23)</f>
        <v>430</v>
      </c>
      <c r="E25" s="40">
        <f>SUM(E4:E23)</f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INPUTS_Generales</vt:lpstr>
      <vt:lpstr>Gen-Cap</vt:lpstr>
      <vt:lpstr>Datos_Loc_ETs</vt:lpstr>
      <vt:lpstr>Datos_ETs_CAs</vt:lpstr>
      <vt:lpstr>Datos_Loc_CAs</vt:lpstr>
      <vt:lpstr>Analisis Inputs Grales</vt:lpstr>
      <vt:lpstr>Analisis 20Años</vt:lpstr>
      <vt:lpstr>Análisis Generación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Federico Ariel Andrada Frau</cp:lastModifiedBy>
  <dcterms:created xsi:type="dcterms:W3CDTF">2015-06-05T18:19:34Z</dcterms:created>
  <dcterms:modified xsi:type="dcterms:W3CDTF">2023-12-20T19:47:45Z</dcterms:modified>
</cp:coreProperties>
</file>