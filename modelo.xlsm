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_rels/sheet1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_rels/drawing3.xml.rels" ContentType="application/vnd.openxmlformats-package.relationship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INPUTS_Generales" sheetId="1" state="visible" r:id="rId3"/>
    <sheet name="Gen-Cap" sheetId="2" state="visible" r:id="rId4"/>
    <sheet name="Datos_Loc_ETs" sheetId="3" state="visible" r:id="rId5"/>
    <sheet name="Datos_ETs_CAs" sheetId="4" state="visible" r:id="rId6"/>
    <sheet name="Datos_Loc_CAs" sheetId="5" state="visible" r:id="rId7"/>
    <sheet name="Analisis_Inputs_Grales" sheetId="6" state="visible" r:id="rId8"/>
    <sheet name="Analisis 20Años" sheetId="7" state="visible" r:id="rId9"/>
    <sheet name="Análisis Generación" sheetId="8" state="visible" r:id="rId10"/>
  </sheets>
  <definedNames>
    <definedName function="false" hidden="false" name="MIN" vbProcedure="false">inputs_generales!#ref!</definedName>
    <definedName function="false" hidden="false" name="WBBINRango0" vbProcedure="false">inputs_generales!#ref!</definedName>
    <definedName function="false" hidden="false" name="WBBINRango1" vbProcedure="false">inputs_generales!#ref!</definedName>
    <definedName function="false" hidden="false" name="WBBINRango10" vbProcedure="false">inputs_generales!#ref!</definedName>
    <definedName function="false" hidden="false" name="WBBINRango11" vbProcedure="false">inputs_generales!#ref!</definedName>
    <definedName function="false" hidden="false" name="WBBINRango12" vbProcedure="false">inputs_generales!#ref!</definedName>
    <definedName function="false" hidden="false" name="WBBINRango13" vbProcedure="false">inputs_generales!#ref!</definedName>
    <definedName function="false" hidden="false" name="WBBINRango14" vbProcedure="false">inputs_generales!#ref!</definedName>
    <definedName function="false" hidden="false" name="WBBINRango15" vbProcedure="false">inputs_generales!#ref!</definedName>
    <definedName function="false" hidden="false" name="WBBINRango16" vbProcedure="false">inputs_generales!#ref!</definedName>
    <definedName function="false" hidden="false" name="WBBINRango17" vbProcedure="false">inputs_generales!#ref!</definedName>
    <definedName function="false" hidden="false" name="WBBINRango18" vbProcedure="false">inputs_generales!#ref!</definedName>
    <definedName function="false" hidden="false" name="WBBINRango19" vbProcedure="false">inputs_generales!#ref!</definedName>
    <definedName function="false" hidden="false" name="WBBINRango2" vbProcedure="false">inputs_generales!#ref!</definedName>
    <definedName function="false" hidden="false" name="WBBINRango20" vbProcedure="false">inputs_generales!#ref!</definedName>
    <definedName function="false" hidden="false" name="WBBINRango21" vbProcedure="false">inputs_generales!#ref!</definedName>
    <definedName function="false" hidden="false" name="WBBINRango22" vbProcedure="false">inputs_generales!#ref!</definedName>
    <definedName function="false" hidden="false" name="WBBINRango23" vbProcedure="false">inputs_generales!#ref!</definedName>
    <definedName function="false" hidden="false" name="WBBINRango24" vbProcedure="false">inputs_generales!#ref!</definedName>
    <definedName function="false" hidden="false" name="WBBINRango25" vbProcedure="false">inputs_generales!#ref!</definedName>
    <definedName function="false" hidden="false" name="WBBINRango26" vbProcedure="false">inputs_generales!#ref!</definedName>
    <definedName function="false" hidden="false" name="WBBINRango27" vbProcedure="false">inputs_generales!#ref!</definedName>
    <definedName function="false" hidden="false" name="WBBINRango28" vbProcedure="false">inputs_generales!#ref!</definedName>
    <definedName function="false" hidden="false" name="WBBINRango29" vbProcedure="false">inputs_generales!#ref!</definedName>
    <definedName function="false" hidden="false" name="WBBINRango3" vbProcedure="false">inputs_generales!#ref!</definedName>
    <definedName function="false" hidden="false" name="WBBINRango4" vbProcedure="false">inputs_generales!#ref!</definedName>
    <definedName function="false" hidden="false" name="WBBINRango5" vbProcedure="false">inputs_generales!#ref!</definedName>
    <definedName function="false" hidden="false" name="WBBINRango6" vbProcedure="false">inputs_generales!#ref!</definedName>
    <definedName function="false" hidden="false" name="WBBINRango7" vbProcedure="false">inputs_generales!#ref!</definedName>
    <definedName function="false" hidden="false" name="WBBINRango8" vbProcedure="false">inputs_generales!#ref!</definedName>
    <definedName function="false" hidden="false" name="WBBINRango9" vbProcedure="false">inputs_generales!#ref!</definedName>
    <definedName function="false" hidden="false" name="WBIPHECUCR" vbProcedure="false">2</definedName>
    <definedName function="false" hidden="false" name="WBITERSLW" vbProcedure="false">150</definedName>
    <definedName function="false" hidden="false" name="WBMIN" vbProcedure="false">inputs_generales!#ref!</definedName>
    <definedName function="false" hidden="false" name="WBNOPTTOL" vbProcedure="false">1</definedName>
    <definedName function="false" hidden="false" name="WBRELATIVELIMIT" vbProcedure="false">75</definedName>
    <definedName function="false" hidden="false" localSheetId="0" name="solver_adj" vbProcedure="false">inputs_generales!#ref!,inputs_generales!#ref!,inputs_generales!#ref!</definedName>
    <definedName function="false" hidden="false" localSheetId="0" name="solver_cvg" vbProcedure="false">"0.0001"</definedName>
    <definedName function="false" hidden="false" localSheetId="0" name="solver_drv" vbProcedure="false">1</definedName>
    <definedName function="false" hidden="false" localSheetId="0" name="solver_eng" vbProcedure="false">1</definedName>
    <definedName function="false" hidden="false" localSheetId="0" name="solver_est" vbProcedure="false">1</definedName>
    <definedName function="false" hidden="false" localSheetId="0" name="solver_itr" vbProcedure="false">2147483647</definedName>
    <definedName function="false" hidden="false" localSheetId="0" name="solver_lhs1" vbProcedure="false">inputs_generales!#ref!</definedName>
    <definedName function="false" hidden="false" localSheetId="0" name="solver_lhs10" vbProcedure="false">inputs_generales!#ref!</definedName>
    <definedName function="false" hidden="false" localSheetId="0" name="solver_lhs100" vbProcedure="false">inputs_generales!#ref!</definedName>
    <definedName function="false" hidden="false" localSheetId="0" name="solver_lhs101" vbProcedure="false">inputs_generales!#ref!</definedName>
    <definedName function="false" hidden="false" localSheetId="0" name="solver_lhs102" vbProcedure="false">inputs_generales!#ref!</definedName>
    <definedName function="false" hidden="false" localSheetId="0" name="solver_lhs103" vbProcedure="false">inputs_generales!#ref!</definedName>
    <definedName function="false" hidden="false" localSheetId="0" name="solver_lhs104" vbProcedure="false">inputs_generales!#ref!</definedName>
    <definedName function="false" hidden="false" localSheetId="0" name="solver_lhs105" vbProcedure="false">inputs_generales!#ref!</definedName>
    <definedName function="false" hidden="false" localSheetId="0" name="solver_lhs106" vbProcedure="false">inputs_generales!#ref!</definedName>
    <definedName function="false" hidden="false" localSheetId="0" name="solver_lhs107" vbProcedure="false">inputs_generales!#ref!</definedName>
    <definedName function="false" hidden="false" localSheetId="0" name="solver_lhs108" vbProcedure="false">inputs_generales!#ref!</definedName>
    <definedName function="false" hidden="false" localSheetId="0" name="solver_lhs109" vbProcedure="false">inputs_generales!#ref!</definedName>
    <definedName function="false" hidden="false" localSheetId="0" name="solver_lhs11" vbProcedure="false">inputs_generales!#ref!</definedName>
    <definedName function="false" hidden="false" localSheetId="0" name="solver_lhs110" vbProcedure="false">inputs_generales!#ref!</definedName>
    <definedName function="false" hidden="false" localSheetId="0" name="solver_lhs111" vbProcedure="false">inputs_generales!#ref!</definedName>
    <definedName function="false" hidden="false" localSheetId="0" name="solver_lhs112" vbProcedure="false">inputs_generales!#ref!</definedName>
    <definedName function="false" hidden="false" localSheetId="0" name="solver_lhs113" vbProcedure="false">inputs_generales!#ref!</definedName>
    <definedName function="false" hidden="false" localSheetId="0" name="solver_lhs114" vbProcedure="false">inputs_generales!#ref!</definedName>
    <definedName function="false" hidden="false" localSheetId="0" name="solver_lhs115" vbProcedure="false">inputs_generales!#ref!</definedName>
    <definedName function="false" hidden="false" localSheetId="0" name="solver_lhs116" vbProcedure="false">inputs_generales!#ref!</definedName>
    <definedName function="false" hidden="false" localSheetId="0" name="solver_lhs12" vbProcedure="false">inputs_generales!#ref!</definedName>
    <definedName function="false" hidden="false" localSheetId="0" name="solver_lhs13" vbProcedure="false">inputs_generales!#ref!</definedName>
    <definedName function="false" hidden="false" localSheetId="0" name="solver_lhs14" vbProcedure="false">inputs_generales!#ref!</definedName>
    <definedName function="false" hidden="false" localSheetId="0" name="solver_lhs15" vbProcedure="false">inputs_generales!#ref!</definedName>
    <definedName function="false" hidden="false" localSheetId="0" name="solver_lhs16" vbProcedure="false">inputs_generales!#ref!</definedName>
    <definedName function="false" hidden="false" localSheetId="0" name="solver_lhs17" vbProcedure="false">inputs_generales!#ref!</definedName>
    <definedName function="false" hidden="false" localSheetId="0" name="solver_lhs18" vbProcedure="false">inputs_generales!#ref!</definedName>
    <definedName function="false" hidden="false" localSheetId="0" name="solver_lhs19" vbProcedure="false">inputs_generales!#ref!</definedName>
    <definedName function="false" hidden="false" localSheetId="0" name="solver_lhs2" vbProcedure="false">inputs_generales!#ref!</definedName>
    <definedName function="false" hidden="false" localSheetId="0" name="solver_lhs20" vbProcedure="false">inputs_generales!#ref!</definedName>
    <definedName function="false" hidden="false" localSheetId="0" name="solver_lhs21" vbProcedure="false">inputs_generales!#ref!</definedName>
    <definedName function="false" hidden="false" localSheetId="0" name="solver_lhs22" vbProcedure="false">inputs_generales!#ref!</definedName>
    <definedName function="false" hidden="false" localSheetId="0" name="solver_lhs23" vbProcedure="false">inputs_generales!#ref!</definedName>
    <definedName function="false" hidden="false" localSheetId="0" name="solver_lhs24" vbProcedure="false">inputs_generales!#ref!</definedName>
    <definedName function="false" hidden="false" localSheetId="0" name="solver_lhs25" vbProcedure="false">inputs_generales!#ref!</definedName>
    <definedName function="false" hidden="false" localSheetId="0" name="solver_lhs26" vbProcedure="false">inputs_generales!#ref!</definedName>
    <definedName function="false" hidden="false" localSheetId="0" name="solver_lhs27" vbProcedure="false">inputs_generales!#ref!</definedName>
    <definedName function="false" hidden="false" localSheetId="0" name="solver_lhs28" vbProcedure="false">inputs_generales!#ref!</definedName>
    <definedName function="false" hidden="false" localSheetId="0" name="solver_lhs29" vbProcedure="false">inputs_generales!#ref!</definedName>
    <definedName function="false" hidden="false" localSheetId="0" name="solver_lhs3" vbProcedure="false">inputs_generales!#ref!</definedName>
    <definedName function="false" hidden="false" localSheetId="0" name="solver_lhs30" vbProcedure="false">inputs_generales!#ref!</definedName>
    <definedName function="false" hidden="false" localSheetId="0" name="solver_lhs31" vbProcedure="false">inputs_generales!#ref!</definedName>
    <definedName function="false" hidden="false" localSheetId="0" name="solver_lhs32" vbProcedure="false">inputs_generales!#ref!</definedName>
    <definedName function="false" hidden="false" localSheetId="0" name="solver_lhs33" vbProcedure="false">inputs_generales!#ref!</definedName>
    <definedName function="false" hidden="false" localSheetId="0" name="solver_lhs34" vbProcedure="false">inputs_generales!#ref!</definedName>
    <definedName function="false" hidden="false" localSheetId="0" name="solver_lhs35" vbProcedure="false">inputs_generales!#ref!</definedName>
    <definedName function="false" hidden="false" localSheetId="0" name="solver_lhs36" vbProcedure="false">inputs_generales!#ref!</definedName>
    <definedName function="false" hidden="false" localSheetId="0" name="solver_lhs37" vbProcedure="false">inputs_generales!#ref!</definedName>
    <definedName function="false" hidden="false" localSheetId="0" name="solver_lhs38" vbProcedure="false">inputs_generales!#ref!</definedName>
    <definedName function="false" hidden="false" localSheetId="0" name="solver_lhs39" vbProcedure="false">inputs_generales!#ref!</definedName>
    <definedName function="false" hidden="false" localSheetId="0" name="solver_lhs4" vbProcedure="false">inputs_generales!#ref!</definedName>
    <definedName function="false" hidden="false" localSheetId="0" name="solver_lhs40" vbProcedure="false">inputs_generales!#ref!</definedName>
    <definedName function="false" hidden="false" localSheetId="0" name="solver_lhs41" vbProcedure="false">inputs_generales!#ref!</definedName>
    <definedName function="false" hidden="false" localSheetId="0" name="solver_lhs42" vbProcedure="false">inputs_generales!#ref!</definedName>
    <definedName function="false" hidden="false" localSheetId="0" name="solver_lhs43" vbProcedure="false">inputs_generales!#ref!</definedName>
    <definedName function="false" hidden="false" localSheetId="0" name="solver_lhs44" vbProcedure="false">inputs_generales!#ref!</definedName>
    <definedName function="false" hidden="false" localSheetId="0" name="solver_lhs45" vbProcedure="false">inputs_generales!#ref!</definedName>
    <definedName function="false" hidden="false" localSheetId="0" name="solver_lhs46" vbProcedure="false">inputs_generales!#ref!</definedName>
    <definedName function="false" hidden="false" localSheetId="0" name="solver_lhs47" vbProcedure="false">inputs_generales!#ref!</definedName>
    <definedName function="false" hidden="false" localSheetId="0" name="solver_lhs48" vbProcedure="false">inputs_generales!#ref!</definedName>
    <definedName function="false" hidden="false" localSheetId="0" name="solver_lhs49" vbProcedure="false">inputs_generales!#ref!</definedName>
    <definedName function="false" hidden="false" localSheetId="0" name="solver_lhs5" vbProcedure="false">inputs_generales!#ref!</definedName>
    <definedName function="false" hidden="false" localSheetId="0" name="solver_lhs50" vbProcedure="false">inputs_generales!#ref!</definedName>
    <definedName function="false" hidden="false" localSheetId="0" name="solver_lhs51" vbProcedure="false">inputs_generales!#ref!</definedName>
    <definedName function="false" hidden="false" localSheetId="0" name="solver_lhs52" vbProcedure="false">inputs_generales!#ref!</definedName>
    <definedName function="false" hidden="false" localSheetId="0" name="solver_lhs53" vbProcedure="false">inputs_generales!#ref!</definedName>
    <definedName function="false" hidden="false" localSheetId="0" name="solver_lhs54" vbProcedure="false">inputs_generales!#ref!</definedName>
    <definedName function="false" hidden="false" localSheetId="0" name="solver_lhs55" vbProcedure="false">inputs_generales!#ref!</definedName>
    <definedName function="false" hidden="false" localSheetId="0" name="solver_lhs56" vbProcedure="false">inputs_generales!#ref!</definedName>
    <definedName function="false" hidden="false" localSheetId="0" name="solver_lhs57" vbProcedure="false">inputs_generales!#ref!</definedName>
    <definedName function="false" hidden="false" localSheetId="0" name="solver_lhs58" vbProcedure="false">inputs_generales!#ref!</definedName>
    <definedName function="false" hidden="false" localSheetId="0" name="solver_lhs59" vbProcedure="false">inputs_generales!#ref!</definedName>
    <definedName function="false" hidden="false" localSheetId="0" name="solver_lhs6" vbProcedure="false">inputs_generales!#ref!</definedName>
    <definedName function="false" hidden="false" localSheetId="0" name="solver_lhs60" vbProcedure="false">inputs_generales!#ref!</definedName>
    <definedName function="false" hidden="false" localSheetId="0" name="solver_lhs61" vbProcedure="false">inputs_generales!#ref!</definedName>
    <definedName function="false" hidden="false" localSheetId="0" name="solver_lhs62" vbProcedure="false">inputs_generales!#ref!</definedName>
    <definedName function="false" hidden="false" localSheetId="0" name="solver_lhs63" vbProcedure="false">inputs_generales!#ref!</definedName>
    <definedName function="false" hidden="false" localSheetId="0" name="solver_lhs64" vbProcedure="false">inputs_generales!#ref!</definedName>
    <definedName function="false" hidden="false" localSheetId="0" name="solver_lhs65" vbProcedure="false">inputs_generales!#ref!</definedName>
    <definedName function="false" hidden="false" localSheetId="0" name="solver_lhs66" vbProcedure="false">inputs_generales!#ref!</definedName>
    <definedName function="false" hidden="false" localSheetId="0" name="solver_lhs67" vbProcedure="false">inputs_generales!#ref!</definedName>
    <definedName function="false" hidden="false" localSheetId="0" name="solver_lhs68" vbProcedure="false">inputs_generales!#ref!</definedName>
    <definedName function="false" hidden="false" localSheetId="0" name="solver_lhs69" vbProcedure="false">inputs_generales!#ref!</definedName>
    <definedName function="false" hidden="false" localSheetId="0" name="solver_lhs7" vbProcedure="false">inputs_generales!#ref!</definedName>
    <definedName function="false" hidden="false" localSheetId="0" name="solver_lhs70" vbProcedure="false">inputs_generales!#ref!</definedName>
    <definedName function="false" hidden="false" localSheetId="0" name="solver_lhs71" vbProcedure="false">inputs_generales!#ref!</definedName>
    <definedName function="false" hidden="false" localSheetId="0" name="solver_lhs72" vbProcedure="false">inputs_generales!#ref!</definedName>
    <definedName function="false" hidden="false" localSheetId="0" name="solver_lhs73" vbProcedure="false">inputs_generales!#ref!</definedName>
    <definedName function="false" hidden="false" localSheetId="0" name="solver_lhs74" vbProcedure="false">inputs_generales!#ref!</definedName>
    <definedName function="false" hidden="false" localSheetId="0" name="solver_lhs75" vbProcedure="false">inputs_generales!#ref!</definedName>
    <definedName function="false" hidden="false" localSheetId="0" name="solver_lhs76" vbProcedure="false">inputs_generales!#ref!</definedName>
    <definedName function="false" hidden="false" localSheetId="0" name="solver_lhs77" vbProcedure="false">inputs_generales!#ref!</definedName>
    <definedName function="false" hidden="false" localSheetId="0" name="solver_lhs78" vbProcedure="false">inputs_generales!#ref!</definedName>
    <definedName function="false" hidden="false" localSheetId="0" name="solver_lhs79" vbProcedure="false">inputs_generales!#ref!</definedName>
    <definedName function="false" hidden="false" localSheetId="0" name="solver_lhs8" vbProcedure="false">inputs_generales!#ref!</definedName>
    <definedName function="false" hidden="false" localSheetId="0" name="solver_lhs80" vbProcedure="false">inputs_generales!#ref!</definedName>
    <definedName function="false" hidden="false" localSheetId="0" name="solver_lhs81" vbProcedure="false">inputs_generales!#ref!</definedName>
    <definedName function="false" hidden="false" localSheetId="0" name="solver_lhs82" vbProcedure="false">inputs_generales!#ref!</definedName>
    <definedName function="false" hidden="false" localSheetId="0" name="solver_lhs83" vbProcedure="false">inputs_generales!#ref!</definedName>
    <definedName function="false" hidden="false" localSheetId="0" name="solver_lhs84" vbProcedure="false">inputs_generales!#ref!</definedName>
    <definedName function="false" hidden="false" localSheetId="0" name="solver_lhs85" vbProcedure="false">inputs_generales!#ref!</definedName>
    <definedName function="false" hidden="false" localSheetId="0" name="solver_lhs86" vbProcedure="false">inputs_generales!#ref!</definedName>
    <definedName function="false" hidden="false" localSheetId="0" name="solver_lhs87" vbProcedure="false">inputs_generales!#ref!</definedName>
    <definedName function="false" hidden="false" localSheetId="0" name="solver_lhs88" vbProcedure="false">inputs_generales!#ref!</definedName>
    <definedName function="false" hidden="false" localSheetId="0" name="solver_lhs89" vbProcedure="false">inputs_generales!#ref!</definedName>
    <definedName function="false" hidden="false" localSheetId="0" name="solver_lhs9" vbProcedure="false">inputs_generales!#ref!</definedName>
    <definedName function="false" hidden="false" localSheetId="0" name="solver_lhs90" vbProcedure="false">inputs_generales!#ref!</definedName>
    <definedName function="false" hidden="false" localSheetId="0" name="solver_lhs91" vbProcedure="false">inputs_generales!#ref!</definedName>
    <definedName function="false" hidden="false" localSheetId="0" name="solver_lhs92" vbProcedure="false">inputs_generales!#ref!</definedName>
    <definedName function="false" hidden="false" localSheetId="0" name="solver_lhs93" vbProcedure="false">inputs_generales!#ref!</definedName>
    <definedName function="false" hidden="false" localSheetId="0" name="solver_lhs94" vbProcedure="false">inputs_generales!#ref!</definedName>
    <definedName function="false" hidden="false" localSheetId="0" name="solver_lhs95" vbProcedure="false">inputs_generales!#ref!</definedName>
    <definedName function="false" hidden="false" localSheetId="0" name="solver_lhs96" vbProcedure="false">inputs_generales!#ref!</definedName>
    <definedName function="false" hidden="false" localSheetId="0" name="solver_lhs97" vbProcedure="false">inputs_generales!#ref!</definedName>
    <definedName function="false" hidden="false" localSheetId="0" name="solver_lhs98" vbProcedure="false">inputs_generales!#ref!</definedName>
    <definedName function="false" hidden="false" localSheetId="0" name="solver_lhs99" vbProcedure="false">inputs_generales!#ref!</definedName>
    <definedName function="false" hidden="false" localSheetId="0" name="solver_mip" vbProcedure="false">2147483647</definedName>
    <definedName function="false" hidden="false" localSheetId="0" name="solver_mni" vbProcedure="false">30</definedName>
    <definedName function="false" hidden="false" localSheetId="0" name="solver_mrt" vbProcedure="false">"0.075"</definedName>
    <definedName function="false" hidden="false" localSheetId="0" name="solver_msl" vbProcedure="false">2</definedName>
    <definedName function="false" hidden="false" localSheetId="0" name="solver_neg" vbProcedure="false">1</definedName>
    <definedName function="false" hidden="false" localSheetId="0" name="solver_nod" vbProcedure="false">2147483647</definedName>
    <definedName function="false" hidden="false" localSheetId="0" name="solver_num" vbProcedure="false">52</definedName>
    <definedName function="false" hidden="false" localSheetId="0" name="solver_nwt" vbProcedure="false">1</definedName>
    <definedName function="false" hidden="false" localSheetId="0" name="solver_opt" vbProcedure="false">inputs_generales!#ref!</definedName>
    <definedName function="false" hidden="false" localSheetId="0" name="solver_pre" vbProcedure="false">"0.000001"</definedName>
    <definedName function="false" hidden="false" localSheetId="0" name="solver_rbv" vbProcedure="false">2</definedName>
    <definedName function="false" hidden="false" localSheetId="0" name="solver_rel1" vbProcedure="false">5</definedName>
    <definedName function="false" hidden="false" localSheetId="0" name="solver_rel10" vbProcedure="false">5</definedName>
    <definedName function="false" hidden="false" localSheetId="0" name="solver_rel100" vbProcedure="false">4</definedName>
    <definedName function="false" hidden="false" localSheetId="0" name="solver_rel101" vbProcedure="false">4</definedName>
    <definedName function="false" hidden="false" localSheetId="0" name="solver_rel102" vbProcedure="false">4</definedName>
    <definedName function="false" hidden="false" localSheetId="0" name="solver_rel103" vbProcedure="false">4</definedName>
    <definedName function="false" hidden="false" localSheetId="0" name="solver_rel104" vbProcedure="false">4</definedName>
    <definedName function="false" hidden="false" localSheetId="0" name="solver_rel105" vbProcedure="false">4</definedName>
    <definedName function="false" hidden="false" localSheetId="0" name="solver_rel106" vbProcedure="false">4</definedName>
    <definedName function="false" hidden="false" localSheetId="0" name="solver_rel107" vbProcedure="false">4</definedName>
    <definedName function="false" hidden="false" localSheetId="0" name="solver_rel108" vbProcedure="false">4</definedName>
    <definedName function="false" hidden="false" localSheetId="0" name="solver_rel109" vbProcedure="false">4</definedName>
    <definedName function="false" hidden="false" localSheetId="0" name="solver_rel11" vbProcedure="false">5</definedName>
    <definedName function="false" hidden="false" localSheetId="0" name="solver_rel110" vbProcedure="false">4</definedName>
    <definedName function="false" hidden="false" localSheetId="0" name="solver_rel111" vbProcedure="false">4</definedName>
    <definedName function="false" hidden="false" localSheetId="0" name="solver_rel112" vbProcedure="false">4</definedName>
    <definedName function="false" hidden="false" localSheetId="0" name="solver_rel113" vbProcedure="false">1</definedName>
    <definedName function="false" hidden="false" localSheetId="0" name="solver_rel114" vbProcedure="false">1</definedName>
    <definedName function="false" hidden="false" localSheetId="0" name="solver_rel115" vbProcedure="false">1</definedName>
    <definedName function="false" hidden="false" localSheetId="0" name="solver_rel116" vbProcedure="false">1</definedName>
    <definedName function="false" hidden="false" localSheetId="0" name="solver_rel12" vbProcedure="false">5</definedName>
    <definedName function="false" hidden="false" localSheetId="0" name="solver_rel13" vbProcedure="false">5</definedName>
    <definedName function="false" hidden="false" localSheetId="0" name="solver_rel14" vbProcedure="false">5</definedName>
    <definedName function="false" hidden="false" localSheetId="0" name="solver_rel15" vbProcedure="false">5</definedName>
    <definedName function="false" hidden="false" localSheetId="0" name="solver_rel16" vbProcedure="false">5</definedName>
    <definedName function="false" hidden="false" localSheetId="0" name="solver_rel17" vbProcedure="false">5</definedName>
    <definedName function="false" hidden="false" localSheetId="0" name="solver_rel18" vbProcedure="false">5</definedName>
    <definedName function="false" hidden="false" localSheetId="0" name="solver_rel19" vbProcedure="false">5</definedName>
    <definedName function="false" hidden="false" localSheetId="0" name="solver_rel2" vbProcedure="false">5</definedName>
    <definedName function="false" hidden="false" localSheetId="0" name="solver_rel20" vbProcedure="false">5</definedName>
    <definedName function="false" hidden="false" localSheetId="0" name="solver_rel21" vbProcedure="false">5</definedName>
    <definedName function="false" hidden="false" localSheetId="0" name="solver_rel22" vbProcedure="false">5</definedName>
    <definedName function="false" hidden="false" localSheetId="0" name="solver_rel23" vbProcedure="false">5</definedName>
    <definedName function="false" hidden="false" localSheetId="0" name="solver_rel24" vbProcedure="false">5</definedName>
    <definedName function="false" hidden="false" localSheetId="0" name="solver_rel25" vbProcedure="false">5</definedName>
    <definedName function="false" hidden="false" localSheetId="0" name="solver_rel26" vbProcedure="false">5</definedName>
    <definedName function="false" hidden="false" localSheetId="0" name="solver_rel27" vbProcedure="false">5</definedName>
    <definedName function="false" hidden="false" localSheetId="0" name="solver_rel28" vbProcedure="false">5</definedName>
    <definedName function="false" hidden="false" localSheetId="0" name="solver_rel29" vbProcedure="false">5</definedName>
    <definedName function="false" hidden="false" localSheetId="0" name="solver_rel3" vbProcedure="false">5</definedName>
    <definedName function="false" hidden="false" localSheetId="0" name="solver_rel30" vbProcedure="false">5</definedName>
    <definedName function="false" hidden="false" localSheetId="0" name="solver_rel31" vbProcedure="false">5</definedName>
    <definedName function="false" hidden="false" localSheetId="0" name="solver_rel32" vbProcedure="false">5</definedName>
    <definedName function="false" hidden="false" localSheetId="0" name="solver_rel33" vbProcedure="false">2</definedName>
    <definedName function="false" hidden="false" localSheetId="0" name="solver_rel34" vbProcedure="false">2</definedName>
    <definedName function="false" hidden="false" localSheetId="0" name="solver_rel35" vbProcedure="false">2</definedName>
    <definedName function="false" hidden="false" localSheetId="0" name="solver_rel36" vbProcedure="false">2</definedName>
    <definedName function="false" hidden="false" localSheetId="0" name="solver_rel37" vbProcedure="false">2</definedName>
    <definedName function="false" hidden="false" localSheetId="0" name="solver_rel38" vbProcedure="false">2</definedName>
    <definedName function="false" hidden="false" localSheetId="0" name="solver_rel39" vbProcedure="false">2</definedName>
    <definedName function="false" hidden="false" localSheetId="0" name="solver_rel4" vbProcedure="false">5</definedName>
    <definedName function="false" hidden="false" localSheetId="0" name="solver_rel40" vbProcedure="false">2</definedName>
    <definedName function="false" hidden="false" localSheetId="0" name="solver_rel41" vbProcedure="false">3</definedName>
    <definedName function="false" hidden="false" localSheetId="0" name="solver_rel42" vbProcedure="false">1</definedName>
    <definedName function="false" hidden="false" localSheetId="0" name="solver_rel43" vbProcedure="false">1</definedName>
    <definedName function="false" hidden="false" localSheetId="0" name="solver_rel44" vbProcedure="false">1</definedName>
    <definedName function="false" hidden="false" localSheetId="0" name="solver_rel45" vbProcedure="false">1</definedName>
    <definedName function="false" hidden="false" localSheetId="0" name="solver_rel46" vbProcedure="false">3</definedName>
    <definedName function="false" hidden="false" localSheetId="0" name="solver_rel47" vbProcedure="false">1</definedName>
    <definedName function="false" hidden="false" localSheetId="0" name="solver_rel48" vbProcedure="false">1</definedName>
    <definedName function="false" hidden="false" localSheetId="0" name="solver_rel49" vbProcedure="false">1</definedName>
    <definedName function="false" hidden="false" localSheetId="0" name="solver_rel5" vbProcedure="false">5</definedName>
    <definedName function="false" hidden="false" localSheetId="0" name="solver_rel50" vbProcedure="false">1</definedName>
    <definedName function="false" hidden="false" localSheetId="0" name="solver_rel51" vbProcedure="false">3</definedName>
    <definedName function="false" hidden="false" localSheetId="0" name="solver_rel52" vbProcedure="false">1</definedName>
    <definedName function="false" hidden="false" localSheetId="0" name="solver_rel53" vbProcedure="false">3</definedName>
    <definedName function="false" hidden="false" localSheetId="0" name="solver_rel54" vbProcedure="false">3</definedName>
    <definedName function="false" hidden="false" localSheetId="0" name="solver_rel55" vbProcedure="false">4</definedName>
    <definedName function="false" hidden="false" localSheetId="0" name="solver_rel56" vbProcedure="false">1</definedName>
    <definedName function="false" hidden="false" localSheetId="0" name="solver_rel57" vbProcedure="false">1</definedName>
    <definedName function="false" hidden="false" localSheetId="0" name="solver_rel58" vbProcedure="false">1</definedName>
    <definedName function="false" hidden="false" localSheetId="0" name="solver_rel59" vbProcedure="false">4</definedName>
    <definedName function="false" hidden="false" localSheetId="0" name="solver_rel6" vbProcedure="false">5</definedName>
    <definedName function="false" hidden="false" localSheetId="0" name="solver_rel60" vbProcedure="false">4</definedName>
    <definedName function="false" hidden="false" localSheetId="0" name="solver_rel61" vbProcedure="false">1</definedName>
    <definedName function="false" hidden="false" localSheetId="0" name="solver_rel62" vbProcedure="false">4</definedName>
    <definedName function="false" hidden="false" localSheetId="0" name="solver_rel63" vbProcedure="false">1</definedName>
    <definedName function="false" hidden="false" localSheetId="0" name="solver_rel64" vbProcedure="false">4</definedName>
    <definedName function="false" hidden="false" localSheetId="0" name="solver_rel65" vbProcedure="false">4</definedName>
    <definedName function="false" hidden="false" localSheetId="0" name="solver_rel66" vbProcedure="false">1</definedName>
    <definedName function="false" hidden="false" localSheetId="0" name="solver_rel67" vbProcedure="false">4</definedName>
    <definedName function="false" hidden="false" localSheetId="0" name="solver_rel68" vbProcedure="false">1</definedName>
    <definedName function="false" hidden="false" localSheetId="0" name="solver_rel69" vbProcedure="false">4</definedName>
    <definedName function="false" hidden="false" localSheetId="0" name="solver_rel7" vbProcedure="false">5</definedName>
    <definedName function="false" hidden="false" localSheetId="0" name="solver_rel70" vbProcedure="false">4</definedName>
    <definedName function="false" hidden="false" localSheetId="0" name="solver_rel71" vbProcedure="false">1</definedName>
    <definedName function="false" hidden="false" localSheetId="0" name="solver_rel72" vbProcedure="false">1</definedName>
    <definedName function="false" hidden="false" localSheetId="0" name="solver_rel73" vbProcedure="false">4</definedName>
    <definedName function="false" hidden="false" localSheetId="0" name="solver_rel74" vbProcedure="false">4</definedName>
    <definedName function="false" hidden="false" localSheetId="0" name="solver_rel75" vbProcedure="false">1</definedName>
    <definedName function="false" hidden="false" localSheetId="0" name="solver_rel76" vbProcedure="false">1</definedName>
    <definedName function="false" hidden="false" localSheetId="0" name="solver_rel77" vbProcedure="false">4</definedName>
    <definedName function="false" hidden="false" localSheetId="0" name="solver_rel78" vbProcedure="false">4</definedName>
    <definedName function="false" hidden="false" localSheetId="0" name="solver_rel79" vbProcedure="false">1</definedName>
    <definedName function="false" hidden="false" localSheetId="0" name="solver_rel8" vbProcedure="false">5</definedName>
    <definedName function="false" hidden="false" localSheetId="0" name="solver_rel80" vbProcedure="false">1</definedName>
    <definedName function="false" hidden="false" localSheetId="0" name="solver_rel81" vbProcedure="false">4</definedName>
    <definedName function="false" hidden="false" localSheetId="0" name="solver_rel82" vbProcedure="false">4</definedName>
    <definedName function="false" hidden="false" localSheetId="0" name="solver_rel83" vbProcedure="false">4</definedName>
    <definedName function="false" hidden="false" localSheetId="0" name="solver_rel84" vbProcedure="false">4</definedName>
    <definedName function="false" hidden="false" localSheetId="0" name="solver_rel85" vbProcedure="false">4</definedName>
    <definedName function="false" hidden="false" localSheetId="0" name="solver_rel86" vbProcedure="false">4</definedName>
    <definedName function="false" hidden="false" localSheetId="0" name="solver_rel87" vbProcedure="false">4</definedName>
    <definedName function="false" hidden="false" localSheetId="0" name="solver_rel88" vbProcedure="false">4</definedName>
    <definedName function="false" hidden="false" localSheetId="0" name="solver_rel89" vbProcedure="false">4</definedName>
    <definedName function="false" hidden="false" localSheetId="0" name="solver_rel9" vbProcedure="false">5</definedName>
    <definedName function="false" hidden="false" localSheetId="0" name="solver_rel90" vbProcedure="false">4</definedName>
    <definedName function="false" hidden="false" localSheetId="0" name="solver_rel91" vbProcedure="false">4</definedName>
    <definedName function="false" hidden="false" localSheetId="0" name="solver_rel92" vbProcedure="false">4</definedName>
    <definedName function="false" hidden="false" localSheetId="0" name="solver_rel93" vbProcedure="false">4</definedName>
    <definedName function="false" hidden="false" localSheetId="0" name="solver_rel94" vbProcedure="false">4</definedName>
    <definedName function="false" hidden="false" localSheetId="0" name="solver_rel95" vbProcedure="false">4</definedName>
    <definedName function="false" hidden="false" localSheetId="0" name="solver_rel96" vbProcedure="false">4</definedName>
    <definedName function="false" hidden="false" localSheetId="0" name="solver_rel97" vbProcedure="false">4</definedName>
    <definedName function="false" hidden="false" localSheetId="0" name="solver_rel98" vbProcedure="false">4</definedName>
    <definedName function="false" hidden="false" localSheetId="0" name="solver_rel99" vbProcedure="false">4</definedName>
    <definedName function="false" hidden="false" localSheetId="0" name="solver_rhs1" vbProcedure="false">"binario"</definedName>
    <definedName function="false" hidden="false" localSheetId="0" name="solver_rhs10" vbProcedure="false">"binario"</definedName>
    <definedName function="false" hidden="false" localSheetId="0" name="solver_rhs100" vbProcedure="false">"entero"</definedName>
    <definedName function="false" hidden="false" localSheetId="0" name="solver_rhs101" vbProcedure="false">"entero"</definedName>
    <definedName function="false" hidden="false" localSheetId="0" name="solver_rhs102" vbProcedure="false">"entero"</definedName>
    <definedName function="false" hidden="false" localSheetId="0" name="solver_rhs103" vbProcedure="false">"entero"</definedName>
    <definedName function="false" hidden="false" localSheetId="0" name="solver_rhs104" vbProcedure="false">"entero"</definedName>
    <definedName function="false" hidden="false" localSheetId="0" name="solver_rhs105" vbProcedure="false">"entero"</definedName>
    <definedName function="false" hidden="false" localSheetId="0" name="solver_rhs106" vbProcedure="false">"entero"</definedName>
    <definedName function="false" hidden="false" localSheetId="0" name="solver_rhs107" vbProcedure="false">"entero"</definedName>
    <definedName function="false" hidden="false" localSheetId="0" name="solver_rhs108" vbProcedure="false">"entero"</definedName>
    <definedName function="false" hidden="false" localSheetId="0" name="solver_rhs109" vbProcedure="false">"entero"</definedName>
    <definedName function="false" hidden="false" localSheetId="0" name="solver_rhs11" vbProcedure="false">"binario"</definedName>
    <definedName function="false" hidden="false" localSheetId="0" name="solver_rhs110" vbProcedure="false">"entero"</definedName>
    <definedName function="false" hidden="false" localSheetId="0" name="solver_rhs111" vbProcedure="false">"entero"</definedName>
    <definedName function="false" hidden="false" localSheetId="0" name="solver_rhs112" vbProcedure="false">"entero"</definedName>
    <definedName function="false" hidden="false" localSheetId="0" name="solver_rhs113" vbProcedure="false">1</definedName>
    <definedName function="false" hidden="false" localSheetId="0" name="solver_rhs114" vbProcedure="false">1</definedName>
    <definedName function="false" hidden="false" localSheetId="0" name="solver_rhs115" vbProcedure="false">1</definedName>
    <definedName function="false" hidden="false" localSheetId="0" name="solver_rhs116" vbProcedure="false">1</definedName>
    <definedName function="false" hidden="false" localSheetId="0" name="solver_rhs12" vbProcedure="false">"binario"</definedName>
    <definedName function="false" hidden="false" localSheetId="0" name="solver_rhs13" vbProcedure="false">"binario"</definedName>
    <definedName function="false" hidden="false" localSheetId="0" name="solver_rhs14" vbProcedure="false">"binario"</definedName>
    <definedName function="false" hidden="false" localSheetId="0" name="solver_rhs15" vbProcedure="false">"binario"</definedName>
    <definedName function="false" hidden="false" localSheetId="0" name="solver_rhs16" vbProcedure="false">"binario"</definedName>
    <definedName function="false" hidden="false" localSheetId="0" name="solver_rhs17" vbProcedure="false">"binario"</definedName>
    <definedName function="false" hidden="false" localSheetId="0" name="solver_rhs18" vbProcedure="false">"binario"</definedName>
    <definedName function="false" hidden="false" localSheetId="0" name="solver_rhs19" vbProcedure="false">"binario"</definedName>
    <definedName function="false" hidden="false" localSheetId="0" name="solver_rhs2" vbProcedure="false">"binario"</definedName>
    <definedName function="false" hidden="false" localSheetId="0" name="solver_rhs20" vbProcedure="false">"binario"</definedName>
    <definedName function="false" hidden="false" localSheetId="0" name="solver_rhs21" vbProcedure="false">"binario"</definedName>
    <definedName function="false" hidden="false" localSheetId="0" name="solver_rhs22" vbProcedure="false">"binario"</definedName>
    <definedName function="false" hidden="false" localSheetId="0" name="solver_rhs23" vbProcedure="false">"binario"</definedName>
    <definedName function="false" hidden="false" localSheetId="0" name="solver_rhs24" vbProcedure="false">"binario"</definedName>
    <definedName function="false" hidden="false" localSheetId="0" name="solver_rhs25" vbProcedure="false">"binario"</definedName>
    <definedName function="false" hidden="false" localSheetId="0" name="solver_rhs26" vbProcedure="false">"binario"</definedName>
    <definedName function="false" hidden="false" localSheetId="0" name="solver_rhs27" vbProcedure="false">"binario"</definedName>
    <definedName function="false" hidden="false" localSheetId="0" name="solver_rhs28" vbProcedure="false">"binario"</definedName>
    <definedName function="false" hidden="false" localSheetId="0" name="solver_rhs29" vbProcedure="false">"binario"</definedName>
    <definedName function="false" hidden="false" localSheetId="0" name="solver_rhs3" vbProcedure="false">"binario"</definedName>
    <definedName function="false" hidden="false" localSheetId="0" name="solver_rhs30" vbProcedure="false">"binario"</definedName>
    <definedName function="false" hidden="false" localSheetId="0" name="solver_rhs31" vbProcedure="false">"binario"</definedName>
    <definedName function="false" hidden="false" localSheetId="0" name="solver_rhs32" vbProcedure="false">"binario"</definedName>
    <definedName function="false" hidden="false" localSheetId="0" name="solver_rhs33" vbProcedure="false">1</definedName>
    <definedName function="false" hidden="false" localSheetId="0" name="solver_rhs34" vbProcedure="false">1</definedName>
    <definedName function="false" hidden="false" localSheetId="0" name="solver_rhs35" vbProcedure="false">1</definedName>
    <definedName function="false" hidden="false" localSheetId="0" name="solver_rhs36" vbProcedure="false">1</definedName>
    <definedName function="false" hidden="false" localSheetId="0" name="solver_rhs37" vbProcedure="false">inputs_generales!#ref!</definedName>
    <definedName function="false" hidden="false" localSheetId="0" name="solver_rhs38" vbProcedure="false">inputs_generales!#ref!</definedName>
    <definedName function="false" hidden="false" localSheetId="0" name="solver_rhs39" vbProcedure="false">inputs_generales!#ref!</definedName>
    <definedName function="false" hidden="false" localSheetId="0" name="solver_rhs4" vbProcedure="false">"binario"</definedName>
    <definedName function="false" hidden="false" localSheetId="0" name="solver_rhs40" vbProcedure="false">inputs_generales!#ref!</definedName>
    <definedName function="false" hidden="false" localSheetId="0" name="solver_rhs41" vbProcedure="false">0</definedName>
    <definedName function="false" hidden="false" localSheetId="0" name="solver_rhs42" vbProcedure="false">1</definedName>
    <definedName function="false" hidden="false" localSheetId="0" name="solver_rhs43" vbProcedure="false">1</definedName>
    <definedName function="false" hidden="false" localSheetId="0" name="solver_rhs44" vbProcedure="false">1</definedName>
    <definedName function="false" hidden="false" localSheetId="0" name="solver_rhs45" vbProcedure="false">1</definedName>
    <definedName function="false" hidden="false" localSheetId="0" name="solver_rhs46" vbProcedure="false">0</definedName>
    <definedName function="false" hidden="false" localSheetId="0" name="solver_rhs47" vbProcedure="false">1</definedName>
    <definedName function="false" hidden="false" localSheetId="0" name="solver_rhs48" vbProcedure="false">1</definedName>
    <definedName function="false" hidden="false" localSheetId="0" name="solver_rhs49" vbProcedure="false">1</definedName>
    <definedName function="false" hidden="false" localSheetId="0" name="solver_rhs5" vbProcedure="false">"binario"</definedName>
    <definedName function="false" hidden="false" localSheetId="0" name="solver_rhs50" vbProcedure="false">1</definedName>
    <definedName function="false" hidden="false" localSheetId="0" name="solver_rhs51" vbProcedure="false">0</definedName>
    <definedName function="false" hidden="false" localSheetId="0" name="solver_rhs52" vbProcedure="false">inputs_generales!#ref!</definedName>
    <definedName function="false" hidden="false" localSheetId="0" name="solver_rhs53" vbProcedure="false">0</definedName>
    <definedName function="false" hidden="false" localSheetId="0" name="solver_rhs54" vbProcedure="false">0</definedName>
    <definedName function="false" hidden="false" localSheetId="0" name="solver_rhs55" vbProcedure="false">"entero"</definedName>
    <definedName function="false" hidden="false" localSheetId="0" name="solver_rhs56" vbProcedure="false">1</definedName>
    <definedName function="false" hidden="false" localSheetId="0" name="solver_rhs57" vbProcedure="false">1</definedName>
    <definedName function="false" hidden="false" localSheetId="0" name="solver_rhs58" vbProcedure="false">1</definedName>
    <definedName function="false" hidden="false" localSheetId="0" name="solver_rhs59" vbProcedure="false">"entero"</definedName>
    <definedName function="false" hidden="false" localSheetId="0" name="solver_rhs6" vbProcedure="false">"binario"</definedName>
    <definedName function="false" hidden="false" localSheetId="0" name="solver_rhs60" vbProcedure="false">"entero"</definedName>
    <definedName function="false" hidden="false" localSheetId="0" name="solver_rhs61" vbProcedure="false">1</definedName>
    <definedName function="false" hidden="false" localSheetId="0" name="solver_rhs62" vbProcedure="false">"entero"</definedName>
    <definedName function="false" hidden="false" localSheetId="0" name="solver_rhs63" vbProcedure="false">1</definedName>
    <definedName function="false" hidden="false" localSheetId="0" name="solver_rhs64" vbProcedure="false">"entero"</definedName>
    <definedName function="false" hidden="false" localSheetId="0" name="solver_rhs65" vbProcedure="false">"entero"</definedName>
    <definedName function="false" hidden="false" localSheetId="0" name="solver_rhs66" vbProcedure="false">1</definedName>
    <definedName function="false" hidden="false" localSheetId="0" name="solver_rhs67" vbProcedure="false">"entero"</definedName>
    <definedName function="false" hidden="false" localSheetId="0" name="solver_rhs68" vbProcedure="false">1</definedName>
    <definedName function="false" hidden="false" localSheetId="0" name="solver_rhs69" vbProcedure="false">"entero"</definedName>
    <definedName function="false" hidden="false" localSheetId="0" name="solver_rhs7" vbProcedure="false">"binario"</definedName>
    <definedName function="false" hidden="false" localSheetId="0" name="solver_rhs70" vbProcedure="false">"entero"</definedName>
    <definedName function="false" hidden="false" localSheetId="0" name="solver_rhs71" vbProcedure="false">1</definedName>
    <definedName function="false" hidden="false" localSheetId="0" name="solver_rhs72" vbProcedure="false">1</definedName>
    <definedName function="false" hidden="false" localSheetId="0" name="solver_rhs73" vbProcedure="false">"entero"</definedName>
    <definedName function="false" hidden="false" localSheetId="0" name="solver_rhs74" vbProcedure="false">"entero"</definedName>
    <definedName function="false" hidden="false" localSheetId="0" name="solver_rhs75" vbProcedure="false">1</definedName>
    <definedName function="false" hidden="false" localSheetId="0" name="solver_rhs76" vbProcedure="false">1</definedName>
    <definedName function="false" hidden="false" localSheetId="0" name="solver_rhs77" vbProcedure="false">"entero"</definedName>
    <definedName function="false" hidden="false" localSheetId="0" name="solver_rhs78" vbProcedure="false">"entero"</definedName>
    <definedName function="false" hidden="false" localSheetId="0" name="solver_rhs79" vbProcedure="false">1</definedName>
    <definedName function="false" hidden="false" localSheetId="0" name="solver_rhs8" vbProcedure="false">"binario"</definedName>
    <definedName function="false" hidden="false" localSheetId="0" name="solver_rhs80" vbProcedure="false">1</definedName>
    <definedName function="false" hidden="false" localSheetId="0" name="solver_rhs81" vbProcedure="false">"entero"</definedName>
    <definedName function="false" hidden="false" localSheetId="0" name="solver_rhs82" vbProcedure="false">"entero"</definedName>
    <definedName function="false" hidden="false" localSheetId="0" name="solver_rhs83" vbProcedure="false">"entero"</definedName>
    <definedName function="false" hidden="false" localSheetId="0" name="solver_rhs84" vbProcedure="false">"entero"</definedName>
    <definedName function="false" hidden="false" localSheetId="0" name="solver_rhs85" vbProcedure="false">"entero"</definedName>
    <definedName function="false" hidden="false" localSheetId="0" name="solver_rhs86" vbProcedure="false">"entero"</definedName>
    <definedName function="false" hidden="false" localSheetId="0" name="solver_rhs87" vbProcedure="false">"entero"</definedName>
    <definedName function="false" hidden="false" localSheetId="0" name="solver_rhs88" vbProcedure="false">"entero"</definedName>
    <definedName function="false" hidden="false" localSheetId="0" name="solver_rhs89" vbProcedure="false">"entero"</definedName>
    <definedName function="false" hidden="false" localSheetId="0" name="solver_rhs9" vbProcedure="false">"binario"</definedName>
    <definedName function="false" hidden="false" localSheetId="0" name="solver_rhs90" vbProcedure="false">"entero"</definedName>
    <definedName function="false" hidden="false" localSheetId="0" name="solver_rhs91" vbProcedure="false">"entero"</definedName>
    <definedName function="false" hidden="false" localSheetId="0" name="solver_rhs92" vbProcedure="false">"entero"</definedName>
    <definedName function="false" hidden="false" localSheetId="0" name="solver_rhs93" vbProcedure="false">"entero"</definedName>
    <definedName function="false" hidden="false" localSheetId="0" name="solver_rhs94" vbProcedure="false">"entero"</definedName>
    <definedName function="false" hidden="false" localSheetId="0" name="solver_rhs95" vbProcedure="false">"entero"</definedName>
    <definedName function="false" hidden="false" localSheetId="0" name="solver_rhs96" vbProcedure="false">"entero"</definedName>
    <definedName function="false" hidden="false" localSheetId="0" name="solver_rhs97" vbProcedure="false">"entero"</definedName>
    <definedName function="false" hidden="false" localSheetId="0" name="solver_rhs98" vbProcedure="false">"entero"</definedName>
    <definedName function="false" hidden="false" localSheetId="0" name="solver_rhs99" vbProcedure="false">"entero"</definedName>
    <definedName function="false" hidden="false" localSheetId="0" name="solver_rlx" vbProcedure="false">2</definedName>
    <definedName function="false" hidden="false" localSheetId="0" name="solver_rsd" vbProcedure="false">0</definedName>
    <definedName function="false" hidden="false" localSheetId="0" name="solver_scl" vbProcedure="false">2</definedName>
    <definedName function="false" hidden="false" localSheetId="0" name="solver_sho" vbProcedure="false">2</definedName>
    <definedName function="false" hidden="false" localSheetId="0" name="solver_ssz" vbProcedure="false">0</definedName>
    <definedName function="false" hidden="false" localSheetId="0" name="solver_tim" vbProcedure="false">2147483647</definedName>
    <definedName function="false" hidden="false" localSheetId="0" name="solver_tol" vbProcedure="false">1</definedName>
    <definedName function="false" hidden="false" localSheetId="0" name="solver_typ" vbProcedure="false">2</definedName>
    <definedName function="false" hidden="false" localSheetId="0" name="solver_val" vbProcedure="false">0</definedName>
    <definedName function="false" hidden="false" localSheetId="0" name="solver_ver" vbProcedure="false">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<sst xmlns="http://schemas.openxmlformats.org/spreadsheetml/2006/main" count="828" uniqueCount="240">
  <si>
    <t xml:space="preserve">Título del Escenario:</t>
  </si>
  <si>
    <t xml:space="preserve">DATOS GENERALES</t>
  </si>
  <si>
    <t xml:space="preserve">SI</t>
  </si>
  <si>
    <t xml:space="preserve">Region_CASARES</t>
  </si>
  <si>
    <t xml:space="preserve">NO</t>
  </si>
  <si>
    <t xml:space="preserve">Recolectores</t>
  </si>
  <si>
    <t xml:space="preserve">De Transferencia</t>
  </si>
  <si>
    <t xml:space="preserve">Horas de Trabajo</t>
  </si>
  <si>
    <t xml:space="preserve">h</t>
  </si>
  <si>
    <t xml:space="preserve">Horas de preparación</t>
  </si>
  <si>
    <t xml:space="preserve">min</t>
  </si>
  <si>
    <t xml:space="preserve">Horas de limpieza</t>
  </si>
  <si>
    <t xml:space="preserve">Horas de Carga</t>
  </si>
  <si>
    <t xml:space="preserve">Horas de Descarga</t>
  </si>
  <si>
    <t xml:space="preserve">Velocidad</t>
  </si>
  <si>
    <t xml:space="preserve">km/h</t>
  </si>
  <si>
    <t xml:space="preserve">Capacidad</t>
  </si>
  <si>
    <t xml:space="preserve">m³</t>
  </si>
  <si>
    <t xml:space="preserve">Eficiencia</t>
  </si>
  <si>
    <t xml:space="preserve">-</t>
  </si>
  <si>
    <t xml:space="preserve">Densidad de RSU</t>
  </si>
  <si>
    <t xml:space="preserve">ton/m³</t>
  </si>
  <si>
    <t xml:space="preserve">Definir</t>
  </si>
  <si>
    <t xml:space="preserve">Factor de compactación</t>
  </si>
  <si>
    <t xml:space="preserve">Densidad de RSU en vehículos</t>
  </si>
  <si>
    <t xml:space="preserve">Tasa de reserva</t>
  </si>
  <si>
    <t xml:space="preserve">Costo de transporte</t>
  </si>
  <si>
    <t xml:space="preserve">USD/ton/km</t>
  </si>
  <si>
    <t xml:space="preserve">KPL</t>
  </si>
  <si>
    <t xml:space="preserve">km/l</t>
  </si>
  <si>
    <t xml:space="preserve">Tipo de combustible</t>
  </si>
  <si>
    <t xml:space="preserve">Nafta</t>
  </si>
  <si>
    <t xml:space="preserve">u</t>
  </si>
  <si>
    <t xml:space="preserve">kgCO2eq/l</t>
  </si>
  <si>
    <t xml:space="preserve">Costos de Inversión y de Operación de CA y ET</t>
  </si>
  <si>
    <t xml:space="preserve">Parámetro</t>
  </si>
  <si>
    <t xml:space="preserve">Valor</t>
  </si>
  <si>
    <t xml:space="preserve">Unidad</t>
  </si>
  <si>
    <t xml:space="preserve">Costo de Inversión ET</t>
  </si>
  <si>
    <t xml:space="preserve">USD/ton</t>
  </si>
  <si>
    <t xml:space="preserve">Costo Operativo ET</t>
  </si>
  <si>
    <t xml:space="preserve">Tasa de material recuperado ET</t>
  </si>
  <si>
    <t xml:space="preserve">¿PS en ET?</t>
  </si>
  <si>
    <t xml:space="preserve">Costo de venta de material recuperado ET</t>
  </si>
  <si>
    <t xml:space="preserve">Vida util ET</t>
  </si>
  <si>
    <t xml:space="preserve">Años</t>
  </si>
  <si>
    <t xml:space="preserve">Costo de inversión de CA</t>
  </si>
  <si>
    <t xml:space="preserve">Costo operativo de CA</t>
  </si>
  <si>
    <t xml:space="preserve">Tasa de material recuperado CA</t>
  </si>
  <si>
    <t xml:space="preserve">¿PS en CA?</t>
  </si>
  <si>
    <t xml:space="preserve">Costo de venta de material recuperado CA</t>
  </si>
  <si>
    <t xml:space="preserve">Vida util CA</t>
  </si>
  <si>
    <t xml:space="preserve">Localidades a analizar</t>
  </si>
  <si>
    <t xml:space="preserve">U</t>
  </si>
  <si>
    <t xml:space="preserve">ETs a analizar</t>
  </si>
  <si>
    <t xml:space="preserve">CAs a analizar</t>
  </si>
  <si>
    <t xml:space="preserve">Parámetros específicos del modelo</t>
  </si>
  <si>
    <t xml:space="preserve">N° de iteraciones máximas a realizar</t>
  </si>
  <si>
    <t xml:space="preserve">% de generación como límite de iteración - ET</t>
  </si>
  <si>
    <t xml:space="preserve">%</t>
  </si>
  <si>
    <t xml:space="preserve">% de generación como límite de iteración - CA</t>
  </si>
  <si>
    <t xml:space="preserve">Punto de quiebre entre ET de 1 Piso y de 2 Pisos</t>
  </si>
  <si>
    <t xml:space="preserve">t/d</t>
  </si>
  <si>
    <t xml:space="preserve">Generación de localidades</t>
  </si>
  <si>
    <t xml:space="preserve">I1</t>
  </si>
  <si>
    <t xml:space="preserve">I2</t>
  </si>
  <si>
    <t xml:space="preserve">I3</t>
  </si>
  <si>
    <t xml:space="preserve">[t/d]</t>
  </si>
  <si>
    <t xml:space="preserve">Capacidad de ETs</t>
  </si>
  <si>
    <t xml:space="preserve">J1</t>
  </si>
  <si>
    <t xml:space="preserve">J2</t>
  </si>
  <si>
    <t xml:space="preserve">J3</t>
  </si>
  <si>
    <t xml:space="preserve">Capacidad de CAs</t>
  </si>
  <si>
    <t xml:space="preserve">K1</t>
  </si>
  <si>
    <t xml:space="preserve">K2</t>
  </si>
  <si>
    <t xml:space="preserve">K3</t>
  </si>
  <si>
    <t xml:space="preserve">Distancia Loc - ETs</t>
  </si>
  <si>
    <t xml:space="preserve">Distancia ETs - CAs</t>
  </si>
  <si>
    <t xml:space="preserve">Distancia Loc - CAs</t>
  </si>
  <si>
    <t xml:space="preserve">VIDA UTIL DE CADA CAMIÓN RECOLECTOR</t>
  </si>
  <si>
    <t xml:space="preserve">VIDA UTIL DE CADA CAMIÓN DE TRANSFERENCIA</t>
  </si>
  <si>
    <t xml:space="preserve">Titulo de archivo Macroruteo a leer</t>
  </si>
  <si>
    <t xml:space="preserve">Macroruteo_V3.0-Loc101-Pehuajó_ALT B (reg)_.xlsm</t>
  </si>
  <si>
    <t xml:space="preserve">Vehículos recolectores</t>
  </si>
  <si>
    <t xml:space="preserve">Mano de obra (chofer + ayudantes)</t>
  </si>
  <si>
    <t xml:space="preserve">Sueldo mensual Chofer</t>
  </si>
  <si>
    <t xml:space="preserve">$/mes</t>
  </si>
  <si>
    <t xml:space="preserve">Datos</t>
  </si>
  <si>
    <t xml:space="preserve">D93</t>
  </si>
  <si>
    <t xml:space="preserve">Sueldo mensual ayudante</t>
  </si>
  <si>
    <t xml:space="preserve">D96</t>
  </si>
  <si>
    <t xml:space="preserve">Número de ayudantes</t>
  </si>
  <si>
    <t xml:space="preserve">MANO DE OBRA</t>
  </si>
  <si>
    <t xml:space="preserve">D43</t>
  </si>
  <si>
    <t xml:space="preserve">Sueldo Total Mensual</t>
  </si>
  <si>
    <t xml:space="preserve">Sueldo Total Anual por camión</t>
  </si>
  <si>
    <t xml:space="preserve">$/año</t>
  </si>
  <si>
    <t xml:space="preserve">Sueldo Total Anual total Flota</t>
  </si>
  <si>
    <t xml:space="preserve">Duración turno</t>
  </si>
  <si>
    <t xml:space="preserve">hs</t>
  </si>
  <si>
    <t xml:space="preserve">DATOS</t>
  </si>
  <si>
    <t xml:space="preserve">D36</t>
  </si>
  <si>
    <t xml:space="preserve">Cantidad de turnos</t>
  </si>
  <si>
    <t xml:space="preserve">EVALUACION EC</t>
  </si>
  <si>
    <t xml:space="preserve">Q25</t>
  </si>
  <si>
    <t xml:space="preserve">Días trabajados</t>
  </si>
  <si>
    <t xml:space="preserve">días/semana</t>
  </si>
  <si>
    <t xml:space="preserve">D44</t>
  </si>
  <si>
    <t xml:space="preserve">Semanas trabajadas al mes</t>
  </si>
  <si>
    <t xml:space="preserve">semanas/mes</t>
  </si>
  <si>
    <t xml:space="preserve">días/mes</t>
  </si>
  <si>
    <t xml:space="preserve">Minutos trabajados por mes</t>
  </si>
  <si>
    <t xml:space="preserve">minutos</t>
  </si>
  <si>
    <t xml:space="preserve">Características del camión</t>
  </si>
  <si>
    <t xml:space="preserve">Costos camión recolector</t>
  </si>
  <si>
    <t xml:space="preserve">m3</t>
  </si>
  <si>
    <t xml:space="preserve">EVALUACION</t>
  </si>
  <si>
    <t xml:space="preserve">R25</t>
  </si>
  <si>
    <t xml:space="preserve">Capacidad (m3)</t>
  </si>
  <si>
    <t xml:space="preserve">Costo S/Coef. De Pase</t>
  </si>
  <si>
    <t xml:space="preserve">Compactación</t>
  </si>
  <si>
    <t xml:space="preserve">t/m3</t>
  </si>
  <si>
    <t xml:space="preserve">D47</t>
  </si>
  <si>
    <t xml:space="preserve">t</t>
  </si>
  <si>
    <t xml:space="preserve">Cantidad de vehículos</t>
  </si>
  <si>
    <t xml:space="preserve">Nro.</t>
  </si>
  <si>
    <t xml:space="preserve">Precio recolector</t>
  </si>
  <si>
    <t xml:space="preserve">$/unidad</t>
  </si>
  <si>
    <t xml:space="preserve">Costo total flota</t>
  </si>
  <si>
    <t xml:space="preserve">$</t>
  </si>
  <si>
    <t xml:space="preserve">Vida útil</t>
  </si>
  <si>
    <t xml:space="preserve">años</t>
  </si>
  <si>
    <t xml:space="preserve">Valor residual (% de reventa respecto al precio de compra)</t>
  </si>
  <si>
    <t xml:space="preserve">D77</t>
  </si>
  <si>
    <t xml:space="preserve">Rendimiento combustible</t>
  </si>
  <si>
    <t xml:space="preserve">km/L</t>
  </si>
  <si>
    <t xml:space="preserve">D76</t>
  </si>
  <si>
    <t xml:space="preserve">Velocidad desplazamiento</t>
  </si>
  <si>
    <t xml:space="preserve">D16</t>
  </si>
  <si>
    <t xml:space="preserve">Costo combustible</t>
  </si>
  <si>
    <t xml:space="preserve">$/L</t>
  </si>
  <si>
    <t xml:space="preserve">D68</t>
  </si>
  <si>
    <t xml:space="preserve">% costo lubricante s/ costo combustible</t>
  </si>
  <si>
    <t xml:space="preserve">Costo mantenimiento (% combustible + lubricantes)</t>
  </si>
  <si>
    <t xml:space="preserve">Emisión de GEI por litro de combustible</t>
  </si>
  <si>
    <t xml:space="preserve">Tiempo improductivo</t>
  </si>
  <si>
    <t xml:space="preserve">Tiempo para carga del camión recolector</t>
  </si>
  <si>
    <t xml:space="preserve">Tiempo para descarga del camión recolector</t>
  </si>
  <si>
    <t xml:space="preserve">D27</t>
  </si>
  <si>
    <t xml:space="preserve">Tiempo para preparación</t>
  </si>
  <si>
    <t xml:space="preserve">D33*60/2</t>
  </si>
  <si>
    <t xml:space="preserve">Tiempo para limpieza</t>
  </si>
  <si>
    <t xml:space="preserve">Vehículos transferencia</t>
  </si>
  <si>
    <t xml:space="preserve">d96</t>
  </si>
  <si>
    <t xml:space="preserve">D70</t>
  </si>
  <si>
    <t xml:space="preserve">ta_evaluacion</t>
  </si>
  <si>
    <t xml:space="preserve">Q19</t>
  </si>
  <si>
    <t xml:space="preserve">Costos camión transferencia</t>
  </si>
  <si>
    <t xml:space="preserve">R19</t>
  </si>
  <si>
    <t xml:space="preserve">TA_datos</t>
  </si>
  <si>
    <t xml:space="preserve">D29</t>
  </si>
  <si>
    <t xml:space="preserve">Precio vehículo transferencia</t>
  </si>
  <si>
    <t xml:space="preserve">TA_DATOS</t>
  </si>
  <si>
    <t xml:space="preserve">D9</t>
  </si>
  <si>
    <t xml:space="preserve">Tiempo para carga del camión de transfererencia</t>
  </si>
  <si>
    <t xml:space="preserve">D17*60</t>
  </si>
  <si>
    <t xml:space="preserve">Tiempo para descarga del camión de transfererencia</t>
  </si>
  <si>
    <t xml:space="preserve">D18*60</t>
  </si>
  <si>
    <t xml:space="preserve">D22*60/2</t>
  </si>
  <si>
    <t xml:space="preserve">Estación de Transferencia</t>
  </si>
  <si>
    <t xml:space="preserve">Punto de quiebre entre ET1 piso y 2 pisos</t>
  </si>
  <si>
    <t xml:space="preserve">Generación total / n° de localidades</t>
  </si>
  <si>
    <t xml:space="preserve">Generación total anual</t>
  </si>
  <si>
    <t xml:space="preserve">t/año</t>
  </si>
  <si>
    <t xml:space="preserve">Costo de inversión para vida útil</t>
  </si>
  <si>
    <t xml:space="preserve">USD</t>
  </si>
  <si>
    <t xml:space="preserve">Costo de inversión para un año</t>
  </si>
  <si>
    <t xml:space="preserve">Costo de inversión en t/d para un año</t>
  </si>
  <si>
    <t xml:space="preserve">USD/t</t>
  </si>
  <si>
    <t xml:space="preserve">Costo de operación</t>
  </si>
  <si>
    <t xml:space="preserve">Capacidad </t>
  </si>
  <si>
    <t xml:space="preserve">t/turno</t>
  </si>
  <si>
    <t xml:space="preserve">Semanas trabajadas por año</t>
  </si>
  <si>
    <t xml:space="preserve">semanas/año</t>
  </si>
  <si>
    <t xml:space="preserve">Tasa de interes mensual</t>
  </si>
  <si>
    <t xml:space="preserve">Valor residual</t>
  </si>
  <si>
    <t xml:space="preserve">Vida útil </t>
  </si>
  <si>
    <t xml:space="preserve">Costo de inversión</t>
  </si>
  <si>
    <t xml:space="preserve">Centros Ambientales</t>
  </si>
  <si>
    <t xml:space="preserve">Generación total / n° de CAs</t>
  </si>
  <si>
    <t xml:space="preserve">Cargar todas las curvas y colocar para seleccionar el componente a considerar</t>
  </si>
  <si>
    <t xml:space="preserve">Criterios generales</t>
  </si>
  <si>
    <t xml:space="preserve">Tasa de interés anual</t>
  </si>
  <si>
    <t xml:space="preserve">Concepto</t>
  </si>
  <si>
    <t xml:space="preserve">Vehículo recolector</t>
  </si>
  <si>
    <t xml:space="preserve">Costos fijos por minuto/año</t>
  </si>
  <si>
    <t xml:space="preserve">Costo del capital</t>
  </si>
  <si>
    <t xml:space="preserve">$/min</t>
  </si>
  <si>
    <t xml:space="preserve">Amortización</t>
  </si>
  <si>
    <t xml:space="preserve">Mano de obra</t>
  </si>
  <si>
    <t xml:space="preserve">Costo fijo total</t>
  </si>
  <si>
    <t xml:space="preserve">Costos variables por minuto/año</t>
  </si>
  <si>
    <t xml:space="preserve">Costo de combustible</t>
  </si>
  <si>
    <t xml:space="preserve">Costo de lubricante</t>
  </si>
  <si>
    <t xml:space="preserve">Costo de mantenimiento</t>
  </si>
  <si>
    <t xml:space="preserve">Costo variable total</t>
  </si>
  <si>
    <t xml:space="preserve">Costo de operación en desplazamiento</t>
  </si>
  <si>
    <t xml:space="preserve">Costo por tonelada-minuto</t>
  </si>
  <si>
    <t xml:space="preserve">$/(t-min)</t>
  </si>
  <si>
    <t xml:space="preserve">Costo por tonelada-año</t>
  </si>
  <si>
    <t xml:space="preserve">$/(t-año)</t>
  </si>
  <si>
    <t xml:space="preserve">Costo por tonelada - kilómetro</t>
  </si>
  <si>
    <t xml:space="preserve">$/(t-km)</t>
  </si>
  <si>
    <t xml:space="preserve">Coeficiente de descuento</t>
  </si>
  <si>
    <t xml:space="preserve">Flujo descontado</t>
  </si>
  <si>
    <t xml:space="preserve">VA - 5 años</t>
  </si>
  <si>
    <t xml:space="preserve">VA - 15 años</t>
  </si>
  <si>
    <t xml:space="preserve">VA - 20 años</t>
  </si>
  <si>
    <t xml:space="preserve">Valor Actual Neto a:</t>
  </si>
  <si>
    <t xml:space="preserve">Vehículo de Transferencia</t>
  </si>
  <si>
    <t xml:space="preserve">Costo del Tiempo improductivo por tonelada</t>
  </si>
  <si>
    <t xml:space="preserve">$/t</t>
  </si>
  <si>
    <t xml:space="preserve">VA - 10 años</t>
  </si>
  <si>
    <t xml:space="preserve">$/dia</t>
  </si>
  <si>
    <t xml:space="preserve">Costo de Amortización</t>
  </si>
  <si>
    <t xml:space="preserve">Costo de transferencia</t>
  </si>
  <si>
    <t xml:space="preserve">Tiempo de viaje (min) o  Distancia (Km)</t>
  </si>
  <si>
    <t xml:space="preserve">Costo de Vehiculo Recolector</t>
  </si>
  <si>
    <t xml:space="preserve">Costo Vehiculo de Transferencia </t>
  </si>
  <si>
    <t xml:space="preserve">ID Localidad</t>
  </si>
  <si>
    <t xml:space="preserve">Localidad</t>
  </si>
  <si>
    <t xml:space="preserve">Generación neta Año 10
(t/d)</t>
  </si>
  <si>
    <t xml:space="preserve">Generación neta Año 20
(t/d)</t>
  </si>
  <si>
    <t xml:space="preserve">Distancia a CDF
(km)</t>
  </si>
  <si>
    <t xml:space="preserve">Distancia a ET
(km)</t>
  </si>
  <si>
    <t xml:space="preserve">AAAA</t>
  </si>
  <si>
    <t xml:space="preserve">Automatizar para que tome de una tabla de datos</t>
  </si>
  <si>
    <t xml:space="preserve">BBB</t>
  </si>
  <si>
    <t xml:space="preserve">CCC</t>
  </si>
  <si>
    <t xml:space="preserve">Totales</t>
  </si>
</sst>
</file>

<file path=xl/styles.xml><?xml version="1.0" encoding="utf-8"?>
<styleSheet xmlns="http://schemas.openxmlformats.org/spreadsheetml/2006/main">
  <numFmts count="16">
    <numFmt numFmtId="164" formatCode="General"/>
    <numFmt numFmtId="165" formatCode="_ &quot;$ &quot;* #,##0.00_ ;_ &quot;$ &quot;* \-#,##0.00_ ;_ &quot;$ &quot;* \-??_ ;_ @_ "/>
    <numFmt numFmtId="166" formatCode="_-* #,##0.00_-;\-* #,##0.00_-;_-* \-??_-;_-@_-"/>
    <numFmt numFmtId="167" formatCode="0\ %"/>
    <numFmt numFmtId="168" formatCode="0.00"/>
    <numFmt numFmtId="169" formatCode="0.000"/>
    <numFmt numFmtId="170" formatCode="#,##0.00"/>
    <numFmt numFmtId="171" formatCode="0&quot; Años&quot;"/>
    <numFmt numFmtId="172" formatCode="#,##0"/>
    <numFmt numFmtId="173" formatCode="0.0"/>
    <numFmt numFmtId="174" formatCode="General"/>
    <numFmt numFmtId="175" formatCode="_-[$USD]\ * #,##0_-;\-[$USD]\ * #,##0_-;_-[$USD]\ * \-_-;_-@_-"/>
    <numFmt numFmtId="176" formatCode="0.00\ %"/>
    <numFmt numFmtId="177" formatCode="#,##0.0"/>
    <numFmt numFmtId="178" formatCode="0"/>
    <numFmt numFmtId="179" formatCode="#,##0.000"/>
  </numFmts>
  <fonts count="2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8"/>
      <color rgb="FF000000"/>
      <name val="Calibri"/>
      <family val="2"/>
      <charset val="1"/>
    </font>
    <font>
      <u val="single"/>
      <sz val="11"/>
      <color rgb="FF000000"/>
      <name val="Calibri"/>
      <family val="2"/>
      <charset val="1"/>
    </font>
    <font>
      <u val="single"/>
      <sz val="11"/>
      <color rgb="FF0563C1"/>
      <name val="Calibri"/>
      <family val="2"/>
      <charset val="1"/>
    </font>
    <font>
      <sz val="10"/>
      <color rgb="FF000000"/>
      <name val="Arial"/>
      <family val="2"/>
      <charset val="1"/>
    </font>
    <font>
      <b val="true"/>
      <sz val="18"/>
      <color rgb="FF000000"/>
      <name val="Calibri"/>
      <family val="0"/>
    </font>
    <font>
      <b val="true"/>
      <sz val="11"/>
      <color rgb="FF000000"/>
      <name val="Arial"/>
      <family val="2"/>
      <charset val="1"/>
    </font>
    <font>
      <b val="true"/>
      <sz val="14"/>
      <color rgb="FF0070C0"/>
      <name val="Arial"/>
      <family val="2"/>
      <charset val="1"/>
    </font>
    <font>
      <u val="single"/>
      <sz val="11"/>
      <color rgb="FF000000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sz val="11"/>
      <color rgb="FFFF0000"/>
      <name val="Arial"/>
      <family val="2"/>
      <charset val="1"/>
    </font>
    <font>
      <sz val="11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99CCFF"/>
        <bgColor rgb="FFBDD7EE"/>
      </patternFill>
    </fill>
    <fill>
      <patternFill patternType="solid">
        <fgColor rgb="FFD0CECE"/>
        <bgColor rgb="FFD9D9D9"/>
      </patternFill>
    </fill>
    <fill>
      <patternFill patternType="solid">
        <fgColor rgb="FF2E75B6"/>
        <bgColor rgb="FF0070C0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D0CECE"/>
      </patternFill>
    </fill>
    <fill>
      <patternFill patternType="solid">
        <fgColor rgb="FFFFFFFF"/>
        <bgColor rgb="FFFFF2CC"/>
      </patternFill>
    </fill>
    <fill>
      <patternFill patternType="solid">
        <fgColor rgb="FFF4B183"/>
        <bgColor rgb="FFFF99CC"/>
      </patternFill>
    </fill>
    <fill>
      <patternFill patternType="solid">
        <fgColor rgb="FFFFF2CC"/>
        <bgColor rgb="FFFFFFFF"/>
      </patternFill>
    </fill>
    <fill>
      <patternFill patternType="solid">
        <fgColor rgb="FFFF0000"/>
        <bgColor rgb="FFCC0000"/>
      </patternFill>
    </fill>
    <fill>
      <patternFill patternType="solid">
        <fgColor rgb="FFFFC000"/>
        <bgColor rgb="FFFF9900"/>
      </patternFill>
    </fill>
  </fills>
  <borders count="40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/>
      <top style="medium">
        <color rgb="FFCC0000"/>
      </top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>
        <color rgb="FFCC0000"/>
      </right>
      <top style="medium">
        <color rgb="FFCC0000"/>
      </top>
      <bottom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medium">
        <color rgb="FFCC0000"/>
      </right>
      <top/>
      <bottom/>
      <diagonal/>
    </border>
    <border diagonalUp="false" diagonalDown="false">
      <left style="medium">
        <color rgb="FFCC0000"/>
      </left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medium">
        <color rgb="FFCC0000"/>
      </left>
      <right/>
      <top/>
      <bottom style="medium">
        <color rgb="FFCC0000"/>
      </bottom>
      <diagonal/>
    </border>
    <border diagonalUp="false" diagonalDown="false">
      <left/>
      <right/>
      <top/>
      <bottom style="medium">
        <color rgb="FFCC0000"/>
      </bottom>
      <diagonal/>
    </border>
    <border diagonalUp="false" diagonalDown="false">
      <left/>
      <right style="medium">
        <color rgb="FFCC0000"/>
      </right>
      <top/>
      <bottom style="medium">
        <color rgb="FFCC0000"/>
      </bottom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</borders>
  <cellStyleXfs count="2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5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6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6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6" borderId="1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0" fillId="0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5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5" borderId="12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0" fillId="0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6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0" fillId="7" borderId="9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0" fillId="7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7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9" fillId="5" borderId="19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0" fillId="7" borderId="2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0" fillId="3" borderId="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3" borderId="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0" fillId="7" borderId="24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5" borderId="9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5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5" borderId="24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6" borderId="2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0" fillId="0" borderId="24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2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28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2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2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30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1" fillId="5" borderId="31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32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1" fillId="5" borderId="33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31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0" xfId="25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2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2" fontId="4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4" fillId="8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25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0" fontId="4" fillId="5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0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1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1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3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8" borderId="1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25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76" fontId="4" fillId="8" borderId="0" xfId="2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25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5" fontId="0" fillId="8" borderId="25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4" fillId="5" borderId="0" xfId="2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" fillId="0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1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6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9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3" xfId="25" applyFont="true" applyBorder="true" applyAlignment="true" applyProtection="false">
      <alignment horizontal="right" vertical="bottom" textRotation="0" wrapText="false" indent="1" shrinkToFit="false"/>
      <protection locked="true" hidden="false"/>
    </xf>
    <xf numFmtId="171" fontId="14" fillId="0" borderId="31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0" xfId="25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15" fillId="0" borderId="0" xfId="25" applyFont="true" applyBorder="false" applyAlignment="true" applyProtection="false">
      <alignment horizontal="left" vertical="bottom" textRotation="0" wrapText="false" indent="2" shrinkToFit="false"/>
      <protection locked="true" hidden="false"/>
    </xf>
    <xf numFmtId="164" fontId="15" fillId="0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25" applyFont="true" applyBorder="false" applyAlignment="true" applyProtection="false">
      <alignment horizontal="left" vertical="bottom" textRotation="0" wrapText="false" indent="2" shrinkToFit="false"/>
      <protection locked="true" hidden="false"/>
    </xf>
    <xf numFmtId="172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8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25" applyFont="true" applyBorder="false" applyAlignment="true" applyProtection="false">
      <alignment horizontal="left" vertical="bottom" textRotation="0" wrapText="false" indent="2" shrinkToFit="false"/>
      <protection locked="true" hidden="false"/>
    </xf>
    <xf numFmtId="164" fontId="16" fillId="0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25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15" fillId="0" borderId="0" xfId="25" applyFont="true" applyBorder="false" applyAlignment="true" applyProtection="false">
      <alignment horizontal="left" vertical="bottom" textRotation="0" wrapText="true" indent="1" shrinkToFit="false"/>
      <protection locked="true" hidden="false"/>
    </xf>
    <xf numFmtId="164" fontId="15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25" applyFont="true" applyBorder="false" applyAlignment="true" applyProtection="false">
      <alignment horizontal="left" vertical="bottom" textRotation="0" wrapText="true" indent="1" shrinkToFit="false"/>
      <protection locked="true" hidden="false"/>
    </xf>
    <xf numFmtId="164" fontId="16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25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16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5" applyFont="true" applyBorder="false" applyAlignment="true" applyProtection="false">
      <alignment horizontal="left" vertical="center" textRotation="0" wrapText="true" indent="1" shrinkToFit="false"/>
      <protection locked="true" hidden="false"/>
    </xf>
    <xf numFmtId="164" fontId="4" fillId="10" borderId="0" xfId="25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4" fillId="10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10" borderId="0" xfId="25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79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34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7" fillId="0" borderId="9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4" fillId="0" borderId="10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7" fillId="0" borderId="12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4" fillId="0" borderId="13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7" fillId="0" borderId="24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4" fillId="0" borderId="25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25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13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" fillId="11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5" applyFont="true" applyBorder="false" applyAlignment="true" applyProtection="false">
      <alignment horizontal="right" vertical="bottom" textRotation="0" wrapText="false" indent="1" shrinkToFit="false"/>
      <protection locked="true" hidden="false"/>
    </xf>
    <xf numFmtId="171" fontId="1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11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11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11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34" xfId="2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35" xfId="2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36" xfId="2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37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38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39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1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12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13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5" borderId="11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5" borderId="12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5" borderId="13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23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24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25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5" xfId="2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16" xfId="2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17" xfId="2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8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9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10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25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4" fillId="9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1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Adjustable" xfId="21"/>
    <cellStyle name="Best" xfId="22"/>
    <cellStyle name="Euro 2" xfId="23"/>
    <cellStyle name="Millares 2" xfId="24"/>
    <cellStyle name="Normal 2" xfId="25"/>
    <cellStyle name="Porcentaje 2" xfId="26"/>
    <cellStyle name="*unknown*" xfId="20" builtinId="8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C0000"/>
      <rgbColor rgb="FF008000"/>
      <rgbColor rgb="FF000080"/>
      <rgbColor rgb="FF808000"/>
      <rgbColor rgb="FF800080"/>
      <rgbColor rgb="FF0070C0"/>
      <rgbColor rgb="FFBFBFBF"/>
      <rgbColor rgb="FF808080"/>
      <rgbColor rgb="FF5B9BD5"/>
      <rgbColor rgb="FF993366"/>
      <rgbColor rgb="FFFFF2CC"/>
      <rgbColor rgb="FFD0CECE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D9D9"/>
      <rgbColor rgb="FFFFFF99"/>
      <rgbColor rgb="FF99CCFF"/>
      <rgbColor rgb="FFFF99CC"/>
      <rgbColor rgb="FFCC99FF"/>
      <rgbColor rgb="FFF4B183"/>
      <rgbColor rgb="FF2E75B6"/>
      <rgbColor rgb="FF33CCCC"/>
      <rgbColor rgb="FF99CC00"/>
      <rgbColor rgb="FFFFC000"/>
      <rgbColor rgb="FFFF9900"/>
      <rgbColor rgb="FFED7D31"/>
      <rgbColor rgb="FF59595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Costo de Transporte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"Vehiculo Recolector"</c:f>
              <c:strCache>
                <c:ptCount val="1"/>
                <c:pt idx="0">
                  <c:v>Vehiculo Recolector</c:v>
                </c:pt>
              </c:strCache>
            </c:strRef>
          </c:tx>
          <c:spPr>
            <a:solidFill>
              <a:srgbClr val="5b9bd5"/>
            </a:solidFill>
            <a:ln cap="rnd" w="19080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'Analisis 20Años'!$E$299:$E$312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</c:numCache>
            </c:numRef>
          </c:xVal>
          <c:yVal>
            <c:numRef>
              <c:f>'Analisis 20Años'!$F$299:$F$312</c:f>
              <c:numCache>
                <c:formatCode>General</c:formatCode>
                <c:ptCount val="14"/>
                <c:pt idx="0">
                  <c:v>0</c:v>
                </c:pt>
                <c:pt idx="1">
                  <c:v>1.68187122245578</c:v>
                </c:pt>
                <c:pt idx="2">
                  <c:v>2.52280683368367</c:v>
                </c:pt>
                <c:pt idx="3">
                  <c:v>3.36374244491156</c:v>
                </c:pt>
                <c:pt idx="4">
                  <c:v>5.04561366736734</c:v>
                </c:pt>
                <c:pt idx="5">
                  <c:v>6.72748488982312</c:v>
                </c:pt>
                <c:pt idx="6">
                  <c:v>7.56842050105101</c:v>
                </c:pt>
                <c:pt idx="7">
                  <c:v>8.4093561122789</c:v>
                </c:pt>
                <c:pt idx="8">
                  <c:v>10.0912273347347</c:v>
                </c:pt>
                <c:pt idx="9">
                  <c:v>11.7730985571905</c:v>
                </c:pt>
                <c:pt idx="10">
                  <c:v>13.4549697796462</c:v>
                </c:pt>
                <c:pt idx="11">
                  <c:v>15.136841002102</c:v>
                </c:pt>
                <c:pt idx="12">
                  <c:v>16.8187122245578</c:v>
                </c:pt>
                <c:pt idx="13">
                  <c:v>18.5005834470136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"Vehiculo de Transferencia"</c:f>
              <c:strCache>
                <c:ptCount val="1"/>
                <c:pt idx="0">
                  <c:v>Vehiculo de Transferencia</c:v>
                </c:pt>
              </c:strCache>
            </c:strRef>
          </c:tx>
          <c:spPr>
            <a:solidFill>
              <a:srgbClr val="ed7d31"/>
            </a:solidFill>
            <a:ln cap="rnd" w="19080">
              <a:solidFill>
                <a:srgbClr val="ed7d31"/>
              </a:solidFill>
              <a:round/>
            </a:ln>
          </c:spPr>
          <c:marker>
            <c:symbol val="circle"/>
            <c:size val="5"/>
            <c:spPr>
              <a:solidFill>
                <a:srgbClr val="ed7d31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'Analisis 20Años'!$E$299:$E$312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</c:numCache>
            </c:numRef>
          </c:xVal>
          <c:yVal>
            <c:numRef>
              <c:f>'Analisis 20Años'!$G$299:$G$312</c:f>
              <c:numCache>
                <c:formatCode>General</c:formatCode>
                <c:ptCount val="14"/>
                <c:pt idx="0">
                  <c:v>4.84802422565776</c:v>
                </c:pt>
                <c:pt idx="1">
                  <c:v>5.7901321905568</c:v>
                </c:pt>
                <c:pt idx="2">
                  <c:v>6.26118617300632</c:v>
                </c:pt>
                <c:pt idx="3">
                  <c:v>6.73224015545585</c:v>
                </c:pt>
                <c:pt idx="4">
                  <c:v>7.67434812035489</c:v>
                </c:pt>
                <c:pt idx="5">
                  <c:v>8.61645608525393</c:v>
                </c:pt>
                <c:pt idx="6">
                  <c:v>9.08751006770345</c:v>
                </c:pt>
                <c:pt idx="7">
                  <c:v>9.55856405015297</c:v>
                </c:pt>
                <c:pt idx="8">
                  <c:v>10.500672015052</c:v>
                </c:pt>
                <c:pt idx="9">
                  <c:v>11.4427799799511</c:v>
                </c:pt>
                <c:pt idx="10">
                  <c:v>12.3848879448501</c:v>
                </c:pt>
                <c:pt idx="11">
                  <c:v>13.3269959097491</c:v>
                </c:pt>
                <c:pt idx="12">
                  <c:v>14.2691038746482</c:v>
                </c:pt>
                <c:pt idx="13">
                  <c:v>15.2112118395472</c:v>
                </c:pt>
              </c:numCache>
            </c:numRef>
          </c:yVal>
          <c:smooth val="1"/>
        </c:ser>
        <c:axId val="1580897"/>
        <c:axId val="34927856"/>
      </c:scatterChart>
      <c:valAx>
        <c:axId val="1580897"/>
        <c:scaling>
          <c:orientation val="minMax"/>
          <c:max val="100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s-AR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s-AR" sz="1000" spc="-1" strike="noStrike">
                    <a:solidFill>
                      <a:srgbClr val="595959"/>
                    </a:solidFill>
                    <a:latin typeface="Calibri"/>
                  </a:rPr>
                  <a:t>Tiempo de viaje (min) o Distancia (Km)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4927856"/>
        <c:crosses val="autoZero"/>
        <c:crossBetween val="midCat"/>
        <c:majorUnit val="10"/>
      </c:valAx>
      <c:valAx>
        <c:axId val="34927856"/>
        <c:scaling>
          <c:orientation val="minMax"/>
          <c:max val="15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s-AR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s-AR" sz="1000" spc="-1" strike="noStrike">
                    <a:solidFill>
                      <a:srgbClr val="595959"/>
                    </a:solidFill>
                    <a:latin typeface="Calibri"/>
                  </a:rPr>
                  <a:t>Cosro US$/Ton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580897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Costo de Transporte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spPr>
            <a:solidFill>
              <a:srgbClr val="5b9bd5"/>
            </a:solidFill>
            <a:ln cap="rnd" w="19080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'Analisis 20Años'!$E$320:$E$341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  <c:pt idx="14">
                  <c:v>120</c:v>
                </c:pt>
                <c:pt idx="15">
                  <c:v>130</c:v>
                </c:pt>
                <c:pt idx="16">
                  <c:v>140</c:v>
                </c:pt>
                <c:pt idx="17">
                  <c:v>150</c:v>
                </c:pt>
                <c:pt idx="18">
                  <c:v>160</c:v>
                </c:pt>
                <c:pt idx="19">
                  <c:v>170</c:v>
                </c:pt>
                <c:pt idx="20">
                  <c:v>180</c:v>
                </c:pt>
                <c:pt idx="21">
                  <c:v>190</c:v>
                </c:pt>
              </c:numCache>
            </c:numRef>
          </c:xVal>
          <c:yVal>
            <c:numRef>
              <c:f>'Analisis 20Años'!$F$320:$F$341</c:f>
              <c:numCache>
                <c:formatCode>General</c:formatCode>
                <c:ptCount val="22"/>
                <c:pt idx="0">
                  <c:v>0</c:v>
                </c:pt>
                <c:pt idx="1">
                  <c:v>1.68187122245578</c:v>
                </c:pt>
                <c:pt idx="2">
                  <c:v>2.52280683368367</c:v>
                </c:pt>
                <c:pt idx="3">
                  <c:v>3.36374244491156</c:v>
                </c:pt>
                <c:pt idx="4">
                  <c:v>5.04561366736734</c:v>
                </c:pt>
                <c:pt idx="5">
                  <c:v>6.72748488982312</c:v>
                </c:pt>
                <c:pt idx="6">
                  <c:v>7.56842050105101</c:v>
                </c:pt>
                <c:pt idx="7">
                  <c:v>8.4093561122789</c:v>
                </c:pt>
                <c:pt idx="8">
                  <c:v>10.0912273347347</c:v>
                </c:pt>
                <c:pt idx="9">
                  <c:v>11.7730985571905</c:v>
                </c:pt>
                <c:pt idx="10">
                  <c:v>13.4549697796462</c:v>
                </c:pt>
                <c:pt idx="11">
                  <c:v>15.136841002102</c:v>
                </c:pt>
                <c:pt idx="12">
                  <c:v>16.8187122245578</c:v>
                </c:pt>
                <c:pt idx="13">
                  <c:v>18.5005834470136</c:v>
                </c:pt>
                <c:pt idx="14">
                  <c:v>20.1824546694694</c:v>
                </c:pt>
                <c:pt idx="15">
                  <c:v>21.8643258919251</c:v>
                </c:pt>
                <c:pt idx="16">
                  <c:v>23.5461971143809</c:v>
                </c:pt>
                <c:pt idx="17">
                  <c:v>25.2280683368367</c:v>
                </c:pt>
                <c:pt idx="18">
                  <c:v>26.9099395592925</c:v>
                </c:pt>
                <c:pt idx="19">
                  <c:v>28.5918107817483</c:v>
                </c:pt>
                <c:pt idx="20">
                  <c:v>30.273682004204</c:v>
                </c:pt>
                <c:pt idx="21">
                  <c:v>31.9555532266598</c:v>
                </c:pt>
              </c:numCache>
            </c:numRef>
          </c:yVal>
          <c:smooth val="1"/>
        </c:ser>
        <c:ser>
          <c:idx val="1"/>
          <c:order val="1"/>
          <c:spPr>
            <a:solidFill>
              <a:srgbClr val="ed7d31"/>
            </a:solidFill>
            <a:ln cap="rnd" w="19080">
              <a:solidFill>
                <a:srgbClr val="ed7d31"/>
              </a:solidFill>
              <a:round/>
            </a:ln>
          </c:spPr>
          <c:marker>
            <c:symbol val="circle"/>
            <c:size val="5"/>
            <c:spPr>
              <a:solidFill>
                <a:srgbClr val="ed7d31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'Analisis 20Años'!$E$320:$E$341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  <c:pt idx="14">
                  <c:v>120</c:v>
                </c:pt>
                <c:pt idx="15">
                  <c:v>130</c:v>
                </c:pt>
                <c:pt idx="16">
                  <c:v>140</c:v>
                </c:pt>
                <c:pt idx="17">
                  <c:v>150</c:v>
                </c:pt>
                <c:pt idx="18">
                  <c:v>160</c:v>
                </c:pt>
                <c:pt idx="19">
                  <c:v>170</c:v>
                </c:pt>
                <c:pt idx="20">
                  <c:v>180</c:v>
                </c:pt>
                <c:pt idx="21">
                  <c:v>190</c:v>
                </c:pt>
              </c:numCache>
            </c:numRef>
          </c:xVal>
          <c:yVal>
            <c:numRef>
              <c:f>'Analisis 20Años'!$G$320:$G$341</c:f>
              <c:numCache>
                <c:formatCode>General</c:formatCode>
                <c:ptCount val="22"/>
                <c:pt idx="0">
                  <c:v>9.43173608833751</c:v>
                </c:pt>
                <c:pt idx="1">
                  <c:v>10.4995099630732</c:v>
                </c:pt>
                <c:pt idx="2">
                  <c:v>11.033396900441</c:v>
                </c:pt>
                <c:pt idx="3">
                  <c:v>11.5672838378088</c:v>
                </c:pt>
                <c:pt idx="4">
                  <c:v>12.6350577125445</c:v>
                </c:pt>
                <c:pt idx="5">
                  <c:v>13.7028315872801</c:v>
                </c:pt>
                <c:pt idx="6">
                  <c:v>14.2367185246479</c:v>
                </c:pt>
                <c:pt idx="7">
                  <c:v>14.7706054620157</c:v>
                </c:pt>
                <c:pt idx="8">
                  <c:v>15.8383793367514</c:v>
                </c:pt>
                <c:pt idx="9">
                  <c:v>16.906153211487</c:v>
                </c:pt>
                <c:pt idx="10">
                  <c:v>17.9739270862227</c:v>
                </c:pt>
                <c:pt idx="11">
                  <c:v>19.0417009609583</c:v>
                </c:pt>
                <c:pt idx="12">
                  <c:v>20.109474835694</c:v>
                </c:pt>
                <c:pt idx="13">
                  <c:v>21.1772487104296</c:v>
                </c:pt>
                <c:pt idx="14">
                  <c:v>22.2450225851653</c:v>
                </c:pt>
                <c:pt idx="15">
                  <c:v>23.3127964599009</c:v>
                </c:pt>
                <c:pt idx="16">
                  <c:v>24.3805703346366</c:v>
                </c:pt>
                <c:pt idx="17">
                  <c:v>25.4483442093722</c:v>
                </c:pt>
                <c:pt idx="18">
                  <c:v>26.5161180841079</c:v>
                </c:pt>
                <c:pt idx="19">
                  <c:v>27.5838919588435</c:v>
                </c:pt>
                <c:pt idx="20">
                  <c:v>28.6516658335792</c:v>
                </c:pt>
                <c:pt idx="21">
                  <c:v>29.7194397083148</c:v>
                </c:pt>
              </c:numCache>
            </c:numRef>
          </c:yVal>
          <c:smooth val="1"/>
        </c:ser>
        <c:axId val="98050770"/>
        <c:axId val="98757772"/>
      </c:scatterChart>
      <c:valAx>
        <c:axId val="98050770"/>
        <c:scaling>
          <c:orientation val="minMax"/>
          <c:max val="180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s-AR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s-AR" sz="1000" spc="-1" strike="noStrike">
                    <a:solidFill>
                      <a:srgbClr val="595959"/>
                    </a:solidFill>
                    <a:latin typeface="Calibri"/>
                  </a:rPr>
                  <a:t>Tiempo de viaje (min) o Distancia (Km)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8757772"/>
        <c:crosses val="autoZero"/>
        <c:crossBetween val="midCat"/>
        <c:majorUnit val="10"/>
      </c:valAx>
      <c:valAx>
        <c:axId val="98757772"/>
        <c:scaling>
          <c:orientation val="minMax"/>
          <c:max val="50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s-AR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s-AR" sz="1000" spc="-1" strike="noStrike">
                    <a:solidFill>
                      <a:srgbClr val="595959"/>
                    </a:solidFill>
                    <a:latin typeface="Calibri"/>
                  </a:rPr>
                  <a:t>Cosro US$/Ton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8050770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99360</xdr:colOff>
      <xdr:row>4</xdr:row>
      <xdr:rowOff>169200</xdr:rowOff>
    </xdr:from>
    <xdr:to>
      <xdr:col>1</xdr:col>
      <xdr:colOff>706680</xdr:colOff>
      <xdr:row>14</xdr:row>
      <xdr:rowOff>52560</xdr:rowOff>
    </xdr:to>
    <xdr:sp>
      <xdr:nvSpPr>
        <xdr:cNvPr id="0" name="Elipse 1"/>
        <xdr:cNvSpPr/>
      </xdr:nvSpPr>
      <xdr:spPr>
        <a:xfrm>
          <a:off x="99360" y="940680"/>
          <a:ext cx="2469600" cy="1969560"/>
        </a:xfrm>
        <a:prstGeom prst="ellipse">
          <a:avLst/>
        </a:prstGeom>
        <a:solidFill>
          <a:srgbClr val="5b9bd5"/>
        </a:solidFill>
        <a:ln w="38100">
          <a:solidFill>
            <a:srgbClr val="000000"/>
          </a:solidFill>
          <a:prstDash val="dashDot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1" lang="es-AR" sz="1800" spc="-1" strike="noStrike">
              <a:solidFill>
                <a:srgbClr val="000000"/>
              </a:solidFill>
              <a:latin typeface="Calibri"/>
            </a:rPr>
            <a:t>Correr antes de completar datos en solapas</a:t>
          </a:r>
          <a:endParaRPr b="0" lang="es-AR" sz="1800" spc="-1" strike="noStrike">
            <a:latin typeface="Times New Roman"/>
          </a:endParaRPr>
        </a:p>
      </xdr:txBody>
    </xdr:sp>
    <xdr:clientData/>
  </xdr:twoCellAnchor>
  <xdr:twoCellAnchor editAs="twoCell">
    <xdr:from>
      <xdr:col>8</xdr:col>
      <xdr:colOff>50760</xdr:colOff>
      <xdr:row>23</xdr:row>
      <xdr:rowOff>95040</xdr:rowOff>
    </xdr:from>
    <xdr:to>
      <xdr:col>8</xdr:col>
      <xdr:colOff>758160</xdr:colOff>
      <xdr:row>23</xdr:row>
      <xdr:rowOff>95040</xdr:rowOff>
    </xdr:to>
    <xdr:cxnSp>
      <xdr:nvCxnSpPr>
        <xdr:cNvPr id="1" name="Conector recto de flecha 4"/>
        <xdr:cNvCxnSpPr/>
      </xdr:nvCxnSpPr>
      <xdr:spPr>
        <a:xfrm>
          <a:off x="9434880" y="4686120"/>
          <a:ext cx="707760" cy="360"/>
        </a:xfrm>
        <a:prstGeom prst="straightConnector1">
          <a:avLst/>
        </a:prstGeom>
        <a:ln w="38100">
          <a:solidFill>
            <a:srgbClr val="0070c0"/>
          </a:solidFill>
          <a:tailEnd len="med" type="triangle" w="med"/>
        </a:ln>
      </xdr:spPr>
    </xdr:cxnSp>
    <xdr:clientData/>
  </xdr:twoCellAnchor>
  <xdr:twoCellAnchor editAs="twoCell">
    <xdr:from>
      <xdr:col>8</xdr:col>
      <xdr:colOff>54360</xdr:colOff>
      <xdr:row>28</xdr:row>
      <xdr:rowOff>121680</xdr:rowOff>
    </xdr:from>
    <xdr:to>
      <xdr:col>8</xdr:col>
      <xdr:colOff>761760</xdr:colOff>
      <xdr:row>28</xdr:row>
      <xdr:rowOff>121680</xdr:rowOff>
    </xdr:to>
    <xdr:cxnSp>
      <xdr:nvCxnSpPr>
        <xdr:cNvPr id="2" name="Conector recto de flecha 5"/>
        <xdr:cNvCxnSpPr/>
      </xdr:nvCxnSpPr>
      <xdr:spPr>
        <a:xfrm>
          <a:off x="9438480" y="5674680"/>
          <a:ext cx="707760" cy="360"/>
        </a:xfrm>
        <a:prstGeom prst="straightConnector1">
          <a:avLst/>
        </a:prstGeom>
        <a:ln w="38100">
          <a:solidFill>
            <a:srgbClr val="0070c0"/>
          </a:solidFill>
          <a:tailEnd len="med" type="triangle" w="med"/>
        </a:ln>
      </xdr:spPr>
    </xdr:cxnSp>
    <xdr:clientData/>
  </xdr:twoCellAnchor>
  <xdr:twoCellAnchor editAs="twoCell">
    <xdr:from>
      <xdr:col>8</xdr:col>
      <xdr:colOff>130320</xdr:colOff>
      <xdr:row>3</xdr:row>
      <xdr:rowOff>60120</xdr:rowOff>
    </xdr:from>
    <xdr:to>
      <xdr:col>8</xdr:col>
      <xdr:colOff>601200</xdr:colOff>
      <xdr:row>18</xdr:row>
      <xdr:rowOff>160200</xdr:rowOff>
    </xdr:to>
    <xdr:sp>
      <xdr:nvSpPr>
        <xdr:cNvPr id="3" name="Cerrar llave 2"/>
        <xdr:cNvSpPr/>
      </xdr:nvSpPr>
      <xdr:spPr>
        <a:xfrm>
          <a:off x="9514440" y="641160"/>
          <a:ext cx="470880" cy="3138480"/>
        </a:xfrm>
        <a:prstGeom prst="rightBrace">
          <a:avLst>
            <a:gd name="adj1" fmla="val 8333"/>
            <a:gd name="adj2" fmla="val 50000"/>
          </a:avLst>
        </a:prstGeom>
        <a:noFill/>
        <a:ln w="38100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7</xdr:col>
      <xdr:colOff>133200</xdr:colOff>
      <xdr:row>2</xdr:row>
      <xdr:rowOff>123840</xdr:rowOff>
    </xdr:from>
    <xdr:to>
      <xdr:col>7</xdr:col>
      <xdr:colOff>1113840</xdr:colOff>
      <xdr:row>6</xdr:row>
      <xdr:rowOff>161640</xdr:rowOff>
    </xdr:to>
    <xdr:sp>
      <xdr:nvSpPr>
        <xdr:cNvPr id="4" name="Triángulo isósceles 2"/>
        <xdr:cNvSpPr/>
      </xdr:nvSpPr>
      <xdr:spPr>
        <a:xfrm>
          <a:off x="9848880" y="514440"/>
          <a:ext cx="980640" cy="799560"/>
        </a:xfrm>
        <a:prstGeom prst="triangle">
          <a:avLst>
            <a:gd name="adj" fmla="val 50000"/>
          </a:avLst>
        </a:prstGeom>
        <a:solidFill>
          <a:srgbClr val="5b9bd5"/>
        </a:solidFill>
        <a:ln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22320</xdr:colOff>
      <xdr:row>292</xdr:row>
      <xdr:rowOff>67320</xdr:rowOff>
    </xdr:from>
    <xdr:to>
      <xdr:col>16</xdr:col>
      <xdr:colOff>506160</xdr:colOff>
      <xdr:row>316</xdr:row>
      <xdr:rowOff>23040</xdr:rowOff>
    </xdr:to>
    <xdr:graphicFrame>
      <xdr:nvGraphicFramePr>
        <xdr:cNvPr id="5" name="Gráfico 1"/>
        <xdr:cNvGraphicFramePr/>
      </xdr:nvGraphicFramePr>
      <xdr:xfrm>
        <a:off x="8145720" y="54350280"/>
        <a:ext cx="6925320" cy="5051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526680</xdr:colOff>
      <xdr:row>318</xdr:row>
      <xdr:rowOff>672480</xdr:rowOff>
    </xdr:from>
    <xdr:to>
      <xdr:col>17</xdr:col>
      <xdr:colOff>248400</xdr:colOff>
      <xdr:row>346</xdr:row>
      <xdr:rowOff>157680</xdr:rowOff>
    </xdr:to>
    <xdr:graphicFrame>
      <xdr:nvGraphicFramePr>
        <xdr:cNvPr id="6" name="Gráfico 2"/>
        <xdr:cNvGraphicFramePr/>
      </xdr:nvGraphicFramePr>
      <xdr:xfrm>
        <a:off x="8650080" y="60422760"/>
        <a:ext cx="6968520" cy="5295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75B6"/>
    <pageSetUpPr fitToPage="false"/>
  </sheetPr>
  <dimension ref="A1:AU383"/>
  <sheetViews>
    <sheetView showFormulas="false" showGridLines="false" showRowColHeaders="true" showZeros="true" rightToLeft="false" tabSelected="false" showOutlineSymbols="true" defaultGridColor="true" view="normal" topLeftCell="B1" colorId="64" zoomScale="95" zoomScaleNormal="95" zoomScalePageLayoutView="100" workbookViewId="0">
      <selection pane="topLeft" activeCell="G36" activeCellId="0" sqref="G36"/>
    </sheetView>
  </sheetViews>
  <sheetFormatPr defaultColWidth="10.6796875" defaultRowHeight="15" zeroHeight="false" outlineLevelRow="0" outlineLevelCol="0"/>
  <cols>
    <col collapsed="false" customWidth="true" hidden="false" outlineLevel="0" max="1" min="1" style="1" width="26.42"/>
    <col collapsed="false" customWidth="true" hidden="false" outlineLevel="0" max="4" min="2" style="1" width="12.29"/>
    <col collapsed="false" customWidth="true" hidden="false" outlineLevel="0" max="5" min="5" style="1" width="13.86"/>
    <col collapsed="false" customWidth="true" hidden="false" outlineLevel="0" max="6" min="6" style="1" width="19.71"/>
    <col collapsed="false" customWidth="true" hidden="false" outlineLevel="0" max="7" min="7" style="0" width="21.43"/>
    <col collapsed="false" customWidth="true" hidden="false" outlineLevel="0" max="8" min="8" style="0" width="14.86"/>
    <col collapsed="false" customWidth="true" hidden="false" outlineLevel="0" max="12" min="9" style="0" width="12.29"/>
    <col collapsed="false" customWidth="true" hidden="false" outlineLevel="0" max="13" min="13" style="2" width="2"/>
    <col collapsed="false" customWidth="true" hidden="false" outlineLevel="0" max="14" min="14" style="2" width="11.85"/>
    <col collapsed="false" customWidth="true" hidden="false" outlineLevel="0" max="16" min="15" style="3" width="7.57"/>
    <col collapsed="false" customWidth="true" hidden="false" outlineLevel="0" max="18" min="17" style="3" width="11.43"/>
    <col collapsed="false" customWidth="true" hidden="false" outlineLevel="0" max="45" min="19" style="2" width="11.43"/>
    <col collapsed="false" customWidth="true" hidden="true" outlineLevel="0" max="46" min="46" style="2" width="11.53"/>
    <col collapsed="false" customWidth="true" hidden="true" outlineLevel="0" max="47" min="47" style="0" width="11.53"/>
  </cols>
  <sheetData>
    <row r="1" customFormat="false" ht="15" hidden="false" customHeight="true" outlineLevel="0" collapsed="false">
      <c r="A1" s="4" t="s">
        <v>0</v>
      </c>
      <c r="B1" s="5"/>
      <c r="C1" s="5"/>
      <c r="D1" s="6" t="s">
        <v>1</v>
      </c>
      <c r="E1" s="6"/>
      <c r="F1" s="6"/>
      <c r="G1" s="6"/>
      <c r="H1" s="6"/>
      <c r="I1" s="7"/>
      <c r="J1" s="2"/>
      <c r="K1" s="7"/>
      <c r="L1" s="7"/>
      <c r="M1" s="8"/>
      <c r="AT1" s="2" t="s">
        <v>2</v>
      </c>
      <c r="AU1" s="0" t="s">
        <v>2</v>
      </c>
    </row>
    <row r="2" customFormat="false" ht="15.75" hidden="false" customHeight="true" outlineLevel="0" collapsed="false">
      <c r="A2" s="9" t="s">
        <v>3</v>
      </c>
      <c r="B2" s="3"/>
      <c r="C2" s="3"/>
      <c r="D2" s="6"/>
      <c r="E2" s="6"/>
      <c r="F2" s="6"/>
      <c r="G2" s="6"/>
      <c r="H2" s="6"/>
      <c r="I2" s="2"/>
      <c r="J2" s="2"/>
      <c r="K2" s="2"/>
      <c r="L2" s="2"/>
      <c r="M2" s="10"/>
      <c r="AT2" s="2" t="s">
        <v>4</v>
      </c>
      <c r="AU2" s="0" t="s">
        <v>4</v>
      </c>
    </row>
    <row r="3" customFormat="false" ht="15" hidden="false" customHeight="false" outlineLevel="0" collapsed="false">
      <c r="A3" s="11"/>
      <c r="B3" s="3"/>
      <c r="C3" s="3"/>
      <c r="D3" s="12"/>
      <c r="E3" s="12"/>
      <c r="F3" s="13" t="s">
        <v>5</v>
      </c>
      <c r="G3" s="13" t="s">
        <v>6</v>
      </c>
      <c r="H3" s="14"/>
      <c r="I3" s="2"/>
      <c r="J3" s="2"/>
      <c r="K3" s="2"/>
      <c r="L3" s="2"/>
      <c r="M3" s="10"/>
    </row>
    <row r="4" customFormat="false" ht="15" hidden="false" customHeight="false" outlineLevel="0" collapsed="false">
      <c r="A4" s="11"/>
      <c r="B4" s="3"/>
      <c r="C4" s="3"/>
      <c r="D4" s="15" t="s">
        <v>7</v>
      </c>
      <c r="E4" s="15"/>
      <c r="F4" s="16" t="n">
        <v>8</v>
      </c>
      <c r="G4" s="16" t="n">
        <v>8</v>
      </c>
      <c r="H4" s="17" t="s">
        <v>8</v>
      </c>
      <c r="I4" s="2"/>
      <c r="J4" s="2"/>
      <c r="K4" s="2"/>
      <c r="L4" s="2"/>
      <c r="M4" s="10"/>
    </row>
    <row r="5" customFormat="false" ht="15" hidden="false" customHeight="false" outlineLevel="0" collapsed="false">
      <c r="A5" s="11"/>
      <c r="B5" s="3"/>
      <c r="C5" s="3"/>
      <c r="D5" s="15" t="s">
        <v>9</v>
      </c>
      <c r="E5" s="15"/>
      <c r="F5" s="16" t="n">
        <v>30</v>
      </c>
      <c r="G5" s="16" t="n">
        <v>30</v>
      </c>
      <c r="H5" s="17" t="s">
        <v>10</v>
      </c>
      <c r="I5" s="2"/>
      <c r="J5" s="2"/>
      <c r="K5" s="2"/>
      <c r="L5" s="2"/>
      <c r="M5" s="10"/>
    </row>
    <row r="6" customFormat="false" ht="15" hidden="false" customHeight="false" outlineLevel="0" collapsed="false">
      <c r="A6" s="11"/>
      <c r="B6" s="3"/>
      <c r="C6" s="3"/>
      <c r="D6" s="15" t="s">
        <v>11</v>
      </c>
      <c r="E6" s="15"/>
      <c r="F6" s="16" t="n">
        <v>30</v>
      </c>
      <c r="G6" s="16" t="n">
        <v>30</v>
      </c>
      <c r="H6" s="17" t="s">
        <v>10</v>
      </c>
      <c r="I6" s="2"/>
      <c r="J6" s="2"/>
      <c r="K6" s="2"/>
      <c r="L6" s="2"/>
      <c r="M6" s="10"/>
    </row>
    <row r="7" customFormat="false" ht="15" hidden="false" customHeight="false" outlineLevel="0" collapsed="false">
      <c r="A7" s="11"/>
      <c r="B7" s="3"/>
      <c r="C7" s="3"/>
      <c r="D7" s="15" t="s">
        <v>12</v>
      </c>
      <c r="E7" s="15"/>
      <c r="F7" s="16" t="n">
        <v>1.5</v>
      </c>
      <c r="G7" s="16" t="n">
        <v>4</v>
      </c>
      <c r="H7" s="17" t="s">
        <v>8</v>
      </c>
      <c r="I7" s="2"/>
      <c r="J7" s="2"/>
      <c r="K7" s="18"/>
      <c r="L7" s="2"/>
      <c r="M7" s="10"/>
    </row>
    <row r="8" customFormat="false" ht="15" hidden="false" customHeight="false" outlineLevel="0" collapsed="false">
      <c r="A8" s="11"/>
      <c r="B8" s="3"/>
      <c r="C8" s="3"/>
      <c r="D8" s="15" t="s">
        <v>13</v>
      </c>
      <c r="E8" s="15"/>
      <c r="F8" s="16" t="n">
        <v>12</v>
      </c>
      <c r="G8" s="16" t="n">
        <v>12</v>
      </c>
      <c r="H8" s="17" t="s">
        <v>10</v>
      </c>
      <c r="I8" s="2"/>
      <c r="J8" s="2"/>
      <c r="K8" s="2"/>
      <c r="L8" s="2"/>
      <c r="M8" s="10"/>
    </row>
    <row r="9" customFormat="false" ht="15" hidden="false" customHeight="false" outlineLevel="0" collapsed="false">
      <c r="A9" s="11"/>
      <c r="B9" s="3"/>
      <c r="C9" s="3"/>
      <c r="D9" s="15" t="s">
        <v>14</v>
      </c>
      <c r="E9" s="15"/>
      <c r="F9" s="16" t="n">
        <v>40</v>
      </c>
      <c r="G9" s="16" t="n">
        <v>50</v>
      </c>
      <c r="H9" s="17" t="s">
        <v>15</v>
      </c>
      <c r="I9" s="2"/>
      <c r="J9" s="2"/>
      <c r="K9" s="2"/>
      <c r="L9" s="2"/>
      <c r="M9" s="10"/>
    </row>
    <row r="10" customFormat="false" ht="15" hidden="false" customHeight="false" outlineLevel="0" collapsed="false">
      <c r="A10" s="11"/>
      <c r="B10" s="3"/>
      <c r="C10" s="3"/>
      <c r="D10" s="15" t="s">
        <v>16</v>
      </c>
      <c r="E10" s="15"/>
      <c r="F10" s="16" t="n">
        <v>10</v>
      </c>
      <c r="G10" s="16" t="n">
        <v>40</v>
      </c>
      <c r="H10" s="17" t="s">
        <v>17</v>
      </c>
      <c r="I10" s="2"/>
      <c r="J10" s="2"/>
      <c r="K10" s="2"/>
      <c r="L10" s="2"/>
      <c r="M10" s="10"/>
    </row>
    <row r="11" customFormat="false" ht="15" hidden="false" customHeight="false" outlineLevel="0" collapsed="false">
      <c r="A11" s="11"/>
      <c r="B11" s="3"/>
      <c r="C11" s="3"/>
      <c r="D11" s="15" t="s">
        <v>18</v>
      </c>
      <c r="E11" s="15"/>
      <c r="F11" s="16" t="n">
        <v>0.8</v>
      </c>
      <c r="G11" s="16" t="n">
        <v>0.8</v>
      </c>
      <c r="H11" s="17" t="s">
        <v>19</v>
      </c>
      <c r="I11" s="2"/>
      <c r="J11" s="2"/>
      <c r="K11" s="2"/>
      <c r="L11" s="2"/>
      <c r="M11" s="10"/>
    </row>
    <row r="12" customFormat="false" ht="15" hidden="false" customHeight="true" outlineLevel="0" collapsed="false">
      <c r="A12" s="11"/>
      <c r="B12" s="3"/>
      <c r="C12" s="3"/>
      <c r="D12" s="15" t="s">
        <v>20</v>
      </c>
      <c r="E12" s="15"/>
      <c r="F12" s="19" t="n">
        <v>0.2</v>
      </c>
      <c r="G12" s="19" t="n">
        <v>0.2</v>
      </c>
      <c r="H12" s="17" t="s">
        <v>21</v>
      </c>
      <c r="I12" s="2"/>
      <c r="J12" s="20" t="s">
        <v>22</v>
      </c>
      <c r="K12" s="2"/>
      <c r="L12" s="2"/>
      <c r="M12" s="10"/>
    </row>
    <row r="13" customFormat="false" ht="15" hidden="false" customHeight="false" outlineLevel="0" collapsed="false">
      <c r="A13" s="11"/>
      <c r="B13" s="3"/>
      <c r="C13" s="3"/>
      <c r="D13" s="15" t="s">
        <v>23</v>
      </c>
      <c r="E13" s="15"/>
      <c r="F13" s="16" t="n">
        <v>1</v>
      </c>
      <c r="G13" s="16" t="n">
        <v>1</v>
      </c>
      <c r="H13" s="17" t="s">
        <v>19</v>
      </c>
      <c r="I13" s="2"/>
      <c r="J13" s="2"/>
      <c r="K13" s="2"/>
      <c r="L13" s="2"/>
      <c r="M13" s="10"/>
    </row>
    <row r="14" customFormat="false" ht="29.25" hidden="false" customHeight="true" outlineLevel="0" collapsed="false">
      <c r="A14" s="11"/>
      <c r="B14" s="3"/>
      <c r="C14" s="3"/>
      <c r="D14" s="21" t="s">
        <v>24</v>
      </c>
      <c r="E14" s="21"/>
      <c r="F14" s="16" t="n">
        <f aca="false">F13*F12</f>
        <v>0.2</v>
      </c>
      <c r="G14" s="16" t="n">
        <f aca="false">G13*G12</f>
        <v>0.2</v>
      </c>
      <c r="H14" s="17" t="s">
        <v>21</v>
      </c>
      <c r="I14" s="2"/>
      <c r="J14" s="2"/>
      <c r="K14" s="2"/>
      <c r="L14" s="2"/>
      <c r="M14" s="10"/>
    </row>
    <row r="15" customFormat="false" ht="15" hidden="false" customHeight="false" outlineLevel="0" collapsed="false">
      <c r="A15" s="11"/>
      <c r="B15" s="3"/>
      <c r="C15" s="3"/>
      <c r="D15" s="15" t="s">
        <v>25</v>
      </c>
      <c r="E15" s="15"/>
      <c r="F15" s="16" t="n">
        <f aca="false">Analisis_Inputs_Grales!D28</f>
        <v>0.1</v>
      </c>
      <c r="G15" s="16" t="n">
        <f aca="false">Analisis_Inputs_Grales!D66</f>
        <v>0.1</v>
      </c>
      <c r="H15" s="17" t="s">
        <v>19</v>
      </c>
      <c r="I15" s="2"/>
      <c r="J15" s="2"/>
      <c r="K15" s="2"/>
      <c r="L15" s="2"/>
      <c r="M15" s="10"/>
    </row>
    <row r="16" customFormat="false" ht="15" hidden="false" customHeight="false" outlineLevel="0" collapsed="false">
      <c r="A16" s="11"/>
      <c r="B16" s="3"/>
      <c r="C16" s="3"/>
      <c r="D16" s="15" t="s">
        <v>26</v>
      </c>
      <c r="E16" s="15"/>
      <c r="F16" s="22" t="n">
        <v>5</v>
      </c>
      <c r="G16" s="16" t="n">
        <v>2</v>
      </c>
      <c r="H16" s="17" t="s">
        <v>27</v>
      </c>
      <c r="I16" s="2"/>
      <c r="J16" s="2"/>
      <c r="K16" s="2"/>
      <c r="L16" s="2"/>
      <c r="M16" s="10"/>
    </row>
    <row r="17" customFormat="false" ht="15" hidden="false" customHeight="false" outlineLevel="0" collapsed="false">
      <c r="A17" s="11"/>
      <c r="B17" s="3"/>
      <c r="C17" s="3"/>
      <c r="D17" s="15" t="s">
        <v>28</v>
      </c>
      <c r="E17" s="15"/>
      <c r="F17" s="23" t="n">
        <v>2.5</v>
      </c>
      <c r="G17" s="16" t="n">
        <v>2.5</v>
      </c>
      <c r="H17" s="17" t="s">
        <v>29</v>
      </c>
      <c r="I17" s="2"/>
      <c r="J17" s="2"/>
      <c r="K17" s="2"/>
      <c r="L17" s="2"/>
      <c r="M17" s="10"/>
      <c r="R17" s="24"/>
    </row>
    <row r="18" customFormat="false" ht="15" hidden="false" customHeight="false" outlineLevel="0" collapsed="false">
      <c r="A18" s="11"/>
      <c r="B18" s="3"/>
      <c r="C18" s="3"/>
      <c r="D18" s="15" t="s">
        <v>30</v>
      </c>
      <c r="E18" s="15"/>
      <c r="F18" s="16" t="s">
        <v>31</v>
      </c>
      <c r="G18" s="16" t="s">
        <v>31</v>
      </c>
      <c r="H18" s="17" t="s">
        <v>19</v>
      </c>
      <c r="I18" s="2"/>
      <c r="J18" s="2"/>
      <c r="K18" s="2"/>
      <c r="L18" s="2"/>
      <c r="M18" s="10"/>
    </row>
    <row r="19" customFormat="false" ht="15" hidden="false" customHeight="false" outlineLevel="0" collapsed="false">
      <c r="A19" s="11"/>
      <c r="B19" s="3"/>
      <c r="C19" s="3"/>
      <c r="D19" s="15" t="s">
        <v>32</v>
      </c>
      <c r="E19" s="15"/>
      <c r="F19" s="16" t="n">
        <f aca="false">Analisis_Inputs_Grales!D38</f>
        <v>2.35</v>
      </c>
      <c r="G19" s="16" t="n">
        <f aca="false">Analisis_Inputs_Grales!D76</f>
        <v>2.35</v>
      </c>
      <c r="H19" s="17" t="s">
        <v>33</v>
      </c>
      <c r="I19" s="2"/>
      <c r="J19" s="2"/>
      <c r="K19" s="2"/>
      <c r="L19" s="2"/>
      <c r="M19" s="10"/>
    </row>
    <row r="20" customFormat="false" ht="15.75" hidden="false" customHeight="false" outlineLevel="0" collapsed="false">
      <c r="A20" s="11"/>
      <c r="B20" s="3"/>
      <c r="C20" s="3"/>
      <c r="D20" s="25" t="s">
        <v>34</v>
      </c>
      <c r="E20" s="25"/>
      <c r="F20" s="25"/>
      <c r="G20" s="25"/>
      <c r="H20" s="25"/>
      <c r="I20" s="2"/>
      <c r="J20" s="2"/>
      <c r="K20" s="2"/>
      <c r="L20" s="2"/>
      <c r="M20" s="10"/>
    </row>
    <row r="21" customFormat="false" ht="15.75" hidden="false" customHeight="false" outlineLevel="0" collapsed="false">
      <c r="A21" s="11"/>
      <c r="B21" s="3"/>
      <c r="C21" s="3"/>
      <c r="D21" s="26" t="s">
        <v>35</v>
      </c>
      <c r="E21" s="26"/>
      <c r="F21" s="26"/>
      <c r="G21" s="27" t="s">
        <v>36</v>
      </c>
      <c r="H21" s="28" t="s">
        <v>37</v>
      </c>
      <c r="I21" s="2"/>
      <c r="J21" s="2"/>
      <c r="K21" s="2"/>
      <c r="L21" s="2"/>
      <c r="M21" s="10"/>
    </row>
    <row r="22" customFormat="false" ht="15" hidden="false" customHeight="false" outlineLevel="0" collapsed="false">
      <c r="A22" s="11"/>
      <c r="B22" s="3"/>
      <c r="C22" s="3"/>
      <c r="D22" s="29" t="s">
        <v>38</v>
      </c>
      <c r="E22" s="29"/>
      <c r="F22" s="29"/>
      <c r="G22" s="30" t="n">
        <v>30</v>
      </c>
      <c r="H22" s="31" t="s">
        <v>39</v>
      </c>
      <c r="I22" s="2"/>
      <c r="J22" s="2"/>
      <c r="K22" s="2"/>
      <c r="L22" s="2"/>
      <c r="M22" s="10"/>
    </row>
    <row r="23" customFormat="false" ht="15" hidden="false" customHeight="false" outlineLevel="0" collapsed="false">
      <c r="A23" s="11"/>
      <c r="B23" s="3"/>
      <c r="C23" s="3"/>
      <c r="D23" s="32" t="s">
        <v>40</v>
      </c>
      <c r="E23" s="32"/>
      <c r="F23" s="32"/>
      <c r="G23" s="33" t="n">
        <v>10</v>
      </c>
      <c r="H23" s="34" t="s">
        <v>39</v>
      </c>
      <c r="I23" s="2"/>
      <c r="J23" s="2"/>
      <c r="K23" s="2"/>
      <c r="L23" s="2"/>
      <c r="M23" s="10"/>
    </row>
    <row r="24" customFormat="false" ht="15" hidden="false" customHeight="false" outlineLevel="0" collapsed="false">
      <c r="A24" s="11"/>
      <c r="B24" s="3"/>
      <c r="C24" s="3"/>
      <c r="D24" s="32" t="s">
        <v>41</v>
      </c>
      <c r="E24" s="32"/>
      <c r="F24" s="32"/>
      <c r="G24" s="35" t="n">
        <v>0</v>
      </c>
      <c r="H24" s="34" t="s">
        <v>39</v>
      </c>
      <c r="I24" s="2"/>
      <c r="J24" s="36" t="s">
        <v>42</v>
      </c>
      <c r="K24" s="37" t="s">
        <v>4</v>
      </c>
      <c r="L24" s="2"/>
      <c r="M24" s="10"/>
    </row>
    <row r="25" customFormat="false" ht="15" hidden="false" customHeight="false" outlineLevel="0" collapsed="false">
      <c r="A25" s="11"/>
      <c r="B25" s="3"/>
      <c r="C25" s="3"/>
      <c r="D25" s="32" t="s">
        <v>43</v>
      </c>
      <c r="E25" s="32"/>
      <c r="F25" s="32"/>
      <c r="G25" s="35" t="n">
        <v>0</v>
      </c>
      <c r="H25" s="34" t="s">
        <v>39</v>
      </c>
      <c r="I25" s="2"/>
      <c r="J25" s="2"/>
      <c r="K25" s="2"/>
      <c r="L25" s="2"/>
      <c r="M25" s="10"/>
    </row>
    <row r="26" customFormat="false" ht="15.75" hidden="false" customHeight="false" outlineLevel="0" collapsed="false">
      <c r="A26" s="11"/>
      <c r="B26" s="3"/>
      <c r="C26" s="3"/>
      <c r="D26" s="38" t="s">
        <v>44</v>
      </c>
      <c r="E26" s="38"/>
      <c r="F26" s="38"/>
      <c r="G26" s="39" t="n">
        <f aca="false">Analisis_Inputs_Grales!D86</f>
        <v>20</v>
      </c>
      <c r="H26" s="40" t="s">
        <v>45</v>
      </c>
      <c r="I26" s="2"/>
      <c r="J26" s="2"/>
      <c r="K26" s="2"/>
      <c r="L26" s="2"/>
      <c r="M26" s="10"/>
    </row>
    <row r="27" customFormat="false" ht="15" hidden="false" customHeight="false" outlineLevel="0" collapsed="false">
      <c r="A27" s="11"/>
      <c r="B27" s="3"/>
      <c r="C27" s="3"/>
      <c r="D27" s="29" t="s">
        <v>46</v>
      </c>
      <c r="E27" s="29"/>
      <c r="F27" s="29"/>
      <c r="G27" s="30" t="n">
        <v>90</v>
      </c>
      <c r="H27" s="31" t="s">
        <v>39</v>
      </c>
      <c r="I27" s="2"/>
      <c r="J27" s="2"/>
      <c r="K27" s="2"/>
      <c r="L27" s="2"/>
      <c r="M27" s="10"/>
    </row>
    <row r="28" customFormat="false" ht="15" hidden="false" customHeight="false" outlineLevel="0" collapsed="false">
      <c r="A28" s="11"/>
      <c r="B28" s="3"/>
      <c r="C28" s="3"/>
      <c r="D28" s="32" t="s">
        <v>47</v>
      </c>
      <c r="E28" s="32"/>
      <c r="F28" s="32"/>
      <c r="G28" s="33" t="n">
        <v>135</v>
      </c>
      <c r="H28" s="34" t="s">
        <v>39</v>
      </c>
      <c r="I28" s="2"/>
      <c r="J28" s="2"/>
      <c r="K28" s="2"/>
      <c r="L28" s="2"/>
      <c r="M28" s="10"/>
    </row>
    <row r="29" customFormat="false" ht="15" hidden="false" customHeight="false" outlineLevel="0" collapsed="false">
      <c r="A29" s="11"/>
      <c r="B29" s="3"/>
      <c r="C29" s="3"/>
      <c r="D29" s="32" t="s">
        <v>48</v>
      </c>
      <c r="E29" s="32"/>
      <c r="F29" s="32"/>
      <c r="G29" s="35" t="n">
        <v>0</v>
      </c>
      <c r="H29" s="34" t="s">
        <v>39</v>
      </c>
      <c r="I29" s="2"/>
      <c r="J29" s="36" t="s">
        <v>49</v>
      </c>
      <c r="K29" s="37" t="s">
        <v>4</v>
      </c>
      <c r="L29" s="2"/>
      <c r="M29" s="10"/>
    </row>
    <row r="30" customFormat="false" ht="15" hidden="false" customHeight="false" outlineLevel="0" collapsed="false">
      <c r="A30" s="41"/>
      <c r="B30" s="3"/>
      <c r="C30" s="3"/>
      <c r="D30" s="32" t="s">
        <v>50</v>
      </c>
      <c r="E30" s="32"/>
      <c r="F30" s="32"/>
      <c r="G30" s="35" t="n">
        <v>0</v>
      </c>
      <c r="H30" s="34" t="s">
        <v>39</v>
      </c>
      <c r="I30" s="2"/>
      <c r="J30" s="2"/>
      <c r="K30" s="2"/>
      <c r="L30" s="2"/>
      <c r="M30" s="10"/>
    </row>
    <row r="31" customFormat="false" ht="15.75" hidden="false" customHeight="false" outlineLevel="0" collapsed="false">
      <c r="A31" s="42"/>
      <c r="B31" s="3"/>
      <c r="C31" s="3"/>
      <c r="D31" s="43" t="s">
        <v>51</v>
      </c>
      <c r="E31" s="43"/>
      <c r="F31" s="43"/>
      <c r="G31" s="44" t="n">
        <v>20</v>
      </c>
      <c r="H31" s="45" t="s">
        <v>45</v>
      </c>
      <c r="I31" s="2"/>
      <c r="J31" s="2"/>
      <c r="K31" s="2"/>
      <c r="L31" s="2"/>
      <c r="M31" s="10"/>
    </row>
    <row r="32" customFormat="false" ht="15.75" hidden="false" customHeight="false" outlineLevel="0" collapsed="false">
      <c r="A32" s="42"/>
      <c r="B32" s="3"/>
      <c r="C32" s="3"/>
      <c r="D32" s="3"/>
      <c r="E32" s="3"/>
      <c r="F32" s="3"/>
      <c r="G32" s="3"/>
      <c r="H32" s="3"/>
      <c r="I32" s="2"/>
      <c r="J32" s="2"/>
      <c r="K32" s="2"/>
      <c r="L32" s="2"/>
      <c r="M32" s="10"/>
    </row>
    <row r="33" customFormat="false" ht="15" hidden="false" customHeight="false" outlineLevel="0" collapsed="false">
      <c r="A33" s="42"/>
      <c r="B33" s="3"/>
      <c r="C33" s="3"/>
      <c r="D33" s="29" t="s">
        <v>52</v>
      </c>
      <c r="E33" s="29"/>
      <c r="F33" s="29"/>
      <c r="G33" s="46" t="n">
        <v>3</v>
      </c>
      <c r="H33" s="31" t="s">
        <v>53</v>
      </c>
      <c r="I33" s="2"/>
      <c r="J33" s="2"/>
      <c r="K33" s="2"/>
      <c r="L33" s="2"/>
      <c r="M33" s="10"/>
    </row>
    <row r="34" customFormat="false" ht="15" hidden="false" customHeight="false" outlineLevel="0" collapsed="false">
      <c r="A34" s="42"/>
      <c r="B34" s="3"/>
      <c r="C34" s="3"/>
      <c r="D34" s="32" t="s">
        <v>54</v>
      </c>
      <c r="E34" s="32"/>
      <c r="F34" s="32"/>
      <c r="G34" s="47" t="n">
        <v>3</v>
      </c>
      <c r="H34" s="34" t="s">
        <v>53</v>
      </c>
      <c r="I34" s="2"/>
      <c r="J34" s="2"/>
      <c r="K34" s="2"/>
      <c r="L34" s="2"/>
      <c r="M34" s="10"/>
    </row>
    <row r="35" customFormat="false" ht="15.75" hidden="false" customHeight="false" outlineLevel="0" collapsed="false">
      <c r="A35" s="42"/>
      <c r="B35" s="3"/>
      <c r="C35" s="3"/>
      <c r="D35" s="43" t="s">
        <v>55</v>
      </c>
      <c r="E35" s="43"/>
      <c r="F35" s="43"/>
      <c r="G35" s="48" t="n">
        <v>3</v>
      </c>
      <c r="H35" s="45" t="s">
        <v>53</v>
      </c>
      <c r="I35" s="2"/>
      <c r="J35" s="2"/>
      <c r="K35" s="2"/>
      <c r="L35" s="2"/>
      <c r="M35" s="10"/>
    </row>
    <row r="36" customFormat="false" ht="15" hidden="false" customHeight="false" outlineLevel="0" collapsed="false">
      <c r="A36" s="42"/>
      <c r="B36" s="3"/>
      <c r="C36" s="3"/>
      <c r="D36" s="3"/>
      <c r="E36" s="3"/>
      <c r="F36" s="3"/>
      <c r="G36" s="3"/>
      <c r="H36" s="3"/>
      <c r="I36" s="2"/>
      <c r="J36" s="2"/>
      <c r="K36" s="2"/>
      <c r="L36" s="2"/>
      <c r="M36" s="10"/>
    </row>
    <row r="37" customFormat="false" ht="15" hidden="false" customHeight="false" outlineLevel="0" collapsed="false">
      <c r="A37" s="42"/>
      <c r="B37" s="3"/>
      <c r="C37" s="3"/>
      <c r="D37" s="49" t="s">
        <v>56</v>
      </c>
      <c r="E37" s="49"/>
      <c r="F37" s="49"/>
      <c r="G37" s="49"/>
      <c r="H37" s="49"/>
      <c r="I37" s="2"/>
      <c r="J37" s="2"/>
      <c r="K37" s="2"/>
      <c r="L37" s="2"/>
      <c r="M37" s="10"/>
    </row>
    <row r="38" customFormat="false" ht="15.75" hidden="false" customHeight="false" outlineLevel="0" collapsed="false">
      <c r="A38" s="42"/>
      <c r="B38" s="3"/>
      <c r="C38" s="3"/>
      <c r="D38" s="3"/>
      <c r="E38" s="3"/>
      <c r="F38" s="3"/>
      <c r="G38" s="3"/>
      <c r="H38" s="3"/>
      <c r="I38" s="2"/>
      <c r="J38" s="2"/>
      <c r="K38" s="2"/>
      <c r="L38" s="2"/>
      <c r="M38" s="10"/>
    </row>
    <row r="39" customFormat="false" ht="15" hidden="false" customHeight="false" outlineLevel="0" collapsed="false">
      <c r="A39" s="42"/>
      <c r="B39" s="3"/>
      <c r="C39" s="3"/>
      <c r="D39" s="29" t="s">
        <v>57</v>
      </c>
      <c r="E39" s="29"/>
      <c r="F39" s="29"/>
      <c r="G39" s="46" t="n">
        <v>4</v>
      </c>
      <c r="H39" s="31" t="s">
        <v>19</v>
      </c>
      <c r="I39" s="2"/>
      <c r="J39" s="2"/>
      <c r="K39" s="2"/>
      <c r="L39" s="2"/>
      <c r="M39" s="10"/>
    </row>
    <row r="40" customFormat="false" ht="15" hidden="false" customHeight="false" outlineLevel="0" collapsed="false">
      <c r="A40" s="42"/>
      <c r="B40" s="3"/>
      <c r="C40" s="3"/>
      <c r="D40" s="32" t="s">
        <v>58</v>
      </c>
      <c r="E40" s="32"/>
      <c r="F40" s="32"/>
      <c r="G40" s="47" t="n">
        <v>25</v>
      </c>
      <c r="H40" s="34" t="s">
        <v>59</v>
      </c>
      <c r="I40" s="2"/>
      <c r="J40" s="2"/>
      <c r="K40" s="2"/>
      <c r="L40" s="2"/>
      <c r="M40" s="10"/>
    </row>
    <row r="41" customFormat="false" ht="15" hidden="false" customHeight="false" outlineLevel="0" collapsed="false">
      <c r="A41" s="42"/>
      <c r="B41" s="3"/>
      <c r="C41" s="3"/>
      <c r="D41" s="32" t="s">
        <v>60</v>
      </c>
      <c r="E41" s="32"/>
      <c r="F41" s="32"/>
      <c r="G41" s="47" t="n">
        <v>25</v>
      </c>
      <c r="H41" s="34" t="s">
        <v>59</v>
      </c>
      <c r="I41" s="2"/>
      <c r="J41" s="2"/>
      <c r="K41" s="2"/>
      <c r="L41" s="2"/>
      <c r="M41" s="10"/>
    </row>
    <row r="42" customFormat="false" ht="15.75" hidden="false" customHeight="false" outlineLevel="0" collapsed="false">
      <c r="A42" s="42"/>
      <c r="B42" s="3"/>
      <c r="C42" s="3"/>
      <c r="D42" s="43" t="s">
        <v>61</v>
      </c>
      <c r="E42" s="43"/>
      <c r="F42" s="43"/>
      <c r="G42" s="50" t="n">
        <f aca="false">Analisis_Inputs_Grales!D87</f>
        <v>100</v>
      </c>
      <c r="H42" s="45" t="s">
        <v>62</v>
      </c>
      <c r="I42" s="2"/>
      <c r="J42" s="2"/>
      <c r="K42" s="2"/>
      <c r="L42" s="2"/>
      <c r="M42" s="10"/>
    </row>
    <row r="43" customFormat="false" ht="15" hidden="false" customHeight="false" outlineLevel="0" collapsed="false">
      <c r="A43" s="42"/>
      <c r="B43" s="3"/>
      <c r="C43" s="3"/>
      <c r="D43" s="3"/>
      <c r="E43" s="3"/>
      <c r="F43" s="3"/>
      <c r="G43" s="3"/>
      <c r="H43" s="3"/>
      <c r="I43" s="2"/>
      <c r="J43" s="2"/>
      <c r="K43" s="2"/>
      <c r="L43" s="2"/>
      <c r="M43" s="10"/>
    </row>
    <row r="44" customFormat="false" ht="15" hidden="false" customHeight="true" outlineLevel="0" collapsed="false">
      <c r="A44" s="51"/>
      <c r="B44" s="52"/>
      <c r="C44" s="52"/>
      <c r="D44" s="52"/>
      <c r="E44" s="52"/>
      <c r="F44" s="52"/>
      <c r="G44" s="53"/>
      <c r="H44" s="53"/>
      <c r="I44" s="53"/>
      <c r="J44" s="53"/>
      <c r="K44" s="53"/>
      <c r="L44" s="53"/>
      <c r="M44" s="54"/>
    </row>
    <row r="45" s="2" customFormat="true" ht="15" hidden="false" customHeight="false" outlineLevel="0" collapsed="false">
      <c r="A45" s="3"/>
      <c r="B45" s="3"/>
      <c r="C45" s="3"/>
      <c r="D45" s="3"/>
      <c r="E45" s="3"/>
      <c r="F45" s="3"/>
      <c r="O45" s="3"/>
      <c r="P45" s="3"/>
      <c r="Q45" s="3"/>
      <c r="R45" s="3"/>
    </row>
    <row r="46" s="2" customFormat="true" ht="15" hidden="false" customHeight="false" outlineLevel="0" collapsed="false">
      <c r="A46" s="3"/>
      <c r="B46" s="3"/>
      <c r="C46" s="3"/>
      <c r="D46" s="3"/>
      <c r="E46" s="3"/>
      <c r="F46" s="3"/>
      <c r="O46" s="3"/>
      <c r="P46" s="3"/>
      <c r="Q46" s="3"/>
      <c r="R46" s="3"/>
    </row>
    <row r="47" s="2" customFormat="true" ht="15" hidden="false" customHeight="false" outlineLevel="0" collapsed="false">
      <c r="A47" s="3"/>
      <c r="B47" s="3"/>
      <c r="C47" s="3"/>
      <c r="D47" s="3"/>
      <c r="E47" s="3"/>
      <c r="F47" s="3"/>
      <c r="O47" s="3"/>
      <c r="P47" s="3"/>
      <c r="Q47" s="3"/>
      <c r="R47" s="3"/>
    </row>
    <row r="48" s="2" customFormat="true" ht="15" hidden="false" customHeight="false" outlineLevel="0" collapsed="false">
      <c r="A48" s="3"/>
      <c r="B48" s="3"/>
      <c r="C48" s="3"/>
      <c r="D48" s="3"/>
      <c r="E48" s="3"/>
      <c r="F48" s="3"/>
      <c r="O48" s="3"/>
      <c r="P48" s="3"/>
      <c r="Q48" s="3"/>
      <c r="R48" s="3"/>
    </row>
    <row r="49" s="2" customFormat="true" ht="15" hidden="false" customHeight="false" outlineLevel="0" collapsed="false">
      <c r="A49" s="3"/>
      <c r="B49" s="3"/>
      <c r="C49" s="3"/>
      <c r="D49" s="3"/>
      <c r="E49" s="3"/>
      <c r="F49" s="3"/>
      <c r="O49" s="3"/>
      <c r="P49" s="3"/>
      <c r="Q49" s="3"/>
      <c r="R49" s="3"/>
    </row>
    <row r="50" s="2" customFormat="true" ht="15" hidden="false" customHeight="false" outlineLevel="0" collapsed="false">
      <c r="A50" s="3"/>
      <c r="B50" s="3"/>
      <c r="C50" s="3"/>
      <c r="D50" s="3"/>
      <c r="E50" s="3"/>
      <c r="F50" s="3"/>
      <c r="O50" s="3"/>
      <c r="P50" s="3"/>
      <c r="Q50" s="3"/>
      <c r="R50" s="3"/>
    </row>
    <row r="51" s="2" customFormat="true" ht="15" hidden="false" customHeight="false" outlineLevel="0" collapsed="false">
      <c r="A51" s="3"/>
      <c r="B51" s="3"/>
      <c r="C51" s="3"/>
      <c r="D51" s="3"/>
      <c r="E51" s="3"/>
      <c r="F51" s="3"/>
      <c r="O51" s="3"/>
      <c r="P51" s="3"/>
      <c r="Q51" s="3"/>
      <c r="R51" s="3"/>
    </row>
    <row r="52" s="2" customFormat="true" ht="15" hidden="false" customHeight="false" outlineLevel="0" collapsed="false">
      <c r="A52" s="3"/>
      <c r="B52" s="3"/>
      <c r="C52" s="3"/>
      <c r="D52" s="3"/>
      <c r="E52" s="3"/>
      <c r="F52" s="3"/>
      <c r="O52" s="3"/>
      <c r="P52" s="3"/>
      <c r="Q52" s="3"/>
      <c r="R52" s="3"/>
    </row>
    <row r="53" s="2" customFormat="true" ht="15" hidden="false" customHeight="false" outlineLevel="0" collapsed="false">
      <c r="A53" s="3"/>
      <c r="B53" s="3"/>
      <c r="C53" s="3"/>
      <c r="D53" s="3"/>
      <c r="E53" s="3"/>
      <c r="F53" s="3"/>
      <c r="O53" s="3"/>
      <c r="P53" s="3"/>
      <c r="Q53" s="3"/>
      <c r="R53" s="3"/>
    </row>
    <row r="54" s="2" customFormat="true" ht="15" hidden="false" customHeight="false" outlineLevel="0" collapsed="false">
      <c r="A54" s="3"/>
      <c r="B54" s="3"/>
      <c r="C54" s="3"/>
      <c r="D54" s="3"/>
      <c r="E54" s="3"/>
      <c r="F54" s="3"/>
      <c r="O54" s="3"/>
      <c r="P54" s="3"/>
      <c r="Q54" s="3"/>
      <c r="R54" s="3"/>
    </row>
    <row r="55" s="2" customFormat="true" ht="15" hidden="false" customHeight="false" outlineLevel="0" collapsed="false">
      <c r="A55" s="3"/>
      <c r="B55" s="3"/>
      <c r="C55" s="3"/>
      <c r="D55" s="3"/>
      <c r="E55" s="3"/>
      <c r="F55" s="3"/>
      <c r="O55" s="3"/>
      <c r="P55" s="3"/>
      <c r="Q55" s="3"/>
      <c r="R55" s="3"/>
    </row>
    <row r="56" s="2" customFormat="true" ht="15" hidden="false" customHeight="false" outlineLevel="0" collapsed="false">
      <c r="A56" s="3"/>
      <c r="B56" s="3"/>
      <c r="C56" s="3"/>
      <c r="D56" s="3"/>
      <c r="E56" s="3"/>
      <c r="F56" s="3"/>
      <c r="O56" s="3"/>
      <c r="P56" s="3"/>
      <c r="Q56" s="3"/>
      <c r="R56" s="3"/>
    </row>
    <row r="57" s="2" customFormat="true" ht="15" hidden="false" customHeight="false" outlineLevel="0" collapsed="false">
      <c r="A57" s="3"/>
      <c r="B57" s="3"/>
      <c r="C57" s="3"/>
      <c r="D57" s="3"/>
      <c r="E57" s="3"/>
      <c r="F57" s="3"/>
      <c r="O57" s="3"/>
      <c r="P57" s="3"/>
      <c r="Q57" s="3"/>
      <c r="R57" s="3"/>
    </row>
    <row r="58" s="2" customFormat="true" ht="15" hidden="false" customHeight="false" outlineLevel="0" collapsed="false">
      <c r="A58" s="3"/>
      <c r="B58" s="3"/>
      <c r="C58" s="3"/>
      <c r="D58" s="3"/>
      <c r="E58" s="3"/>
      <c r="F58" s="3"/>
      <c r="O58" s="3"/>
      <c r="P58" s="3"/>
      <c r="Q58" s="3"/>
      <c r="R58" s="3"/>
    </row>
    <row r="59" s="2" customFormat="true" ht="15" hidden="false" customHeight="false" outlineLevel="0" collapsed="false">
      <c r="A59" s="3"/>
      <c r="B59" s="3"/>
      <c r="C59" s="3"/>
      <c r="D59" s="3"/>
      <c r="E59" s="3"/>
      <c r="F59" s="3"/>
      <c r="O59" s="3"/>
      <c r="P59" s="3"/>
      <c r="Q59" s="3"/>
      <c r="R59" s="3"/>
    </row>
    <row r="60" s="2" customFormat="true" ht="15" hidden="false" customHeight="false" outlineLevel="0" collapsed="false">
      <c r="A60" s="3"/>
      <c r="B60" s="3"/>
      <c r="C60" s="3"/>
      <c r="D60" s="3"/>
      <c r="E60" s="3"/>
      <c r="F60" s="3"/>
      <c r="O60" s="3"/>
      <c r="P60" s="3"/>
      <c r="Q60" s="3"/>
      <c r="R60" s="3"/>
    </row>
    <row r="61" s="2" customFormat="true" ht="15" hidden="false" customHeight="false" outlineLevel="0" collapsed="false">
      <c r="A61" s="3"/>
      <c r="B61" s="3"/>
      <c r="C61" s="3"/>
      <c r="D61" s="3"/>
      <c r="E61" s="3"/>
      <c r="F61" s="3"/>
      <c r="O61" s="3"/>
      <c r="P61" s="3"/>
      <c r="Q61" s="3"/>
      <c r="R61" s="3"/>
    </row>
    <row r="62" s="2" customFormat="true" ht="15" hidden="false" customHeight="false" outlineLevel="0" collapsed="false">
      <c r="A62" s="3"/>
      <c r="B62" s="3"/>
      <c r="C62" s="3"/>
      <c r="D62" s="3"/>
      <c r="E62" s="3"/>
      <c r="F62" s="3"/>
      <c r="O62" s="3"/>
      <c r="P62" s="3"/>
      <c r="Q62" s="3"/>
      <c r="R62" s="3"/>
    </row>
    <row r="63" s="2" customFormat="true" ht="15" hidden="false" customHeight="false" outlineLevel="0" collapsed="false">
      <c r="A63" s="3"/>
      <c r="B63" s="3"/>
      <c r="C63" s="3"/>
      <c r="D63" s="3"/>
      <c r="E63" s="3"/>
      <c r="F63" s="3"/>
      <c r="O63" s="3"/>
      <c r="P63" s="3"/>
      <c r="Q63" s="3"/>
      <c r="R63" s="3"/>
    </row>
    <row r="64" s="2" customFormat="true" ht="15" hidden="false" customHeight="false" outlineLevel="0" collapsed="false">
      <c r="A64" s="3"/>
      <c r="B64" s="3"/>
      <c r="C64" s="3"/>
      <c r="D64" s="3"/>
      <c r="E64" s="3"/>
      <c r="F64" s="3"/>
      <c r="O64" s="3"/>
      <c r="P64" s="3"/>
      <c r="Q64" s="3"/>
      <c r="R64" s="3"/>
    </row>
    <row r="65" s="2" customFormat="true" ht="15" hidden="false" customHeight="false" outlineLevel="0" collapsed="false">
      <c r="A65" s="3"/>
      <c r="B65" s="3"/>
      <c r="C65" s="3"/>
      <c r="D65" s="3"/>
      <c r="E65" s="3"/>
      <c r="F65" s="3"/>
      <c r="O65" s="3"/>
      <c r="P65" s="3"/>
      <c r="Q65" s="3"/>
      <c r="R65" s="3"/>
    </row>
    <row r="66" s="2" customFormat="true" ht="15" hidden="false" customHeight="false" outlineLevel="0" collapsed="false">
      <c r="A66" s="3"/>
      <c r="B66" s="3"/>
      <c r="C66" s="3"/>
      <c r="D66" s="3"/>
      <c r="E66" s="3"/>
      <c r="F66" s="3"/>
      <c r="O66" s="3"/>
      <c r="P66" s="3"/>
      <c r="Q66" s="3"/>
      <c r="R66" s="3"/>
    </row>
    <row r="67" s="2" customFormat="true" ht="15" hidden="false" customHeight="false" outlineLevel="0" collapsed="false">
      <c r="A67" s="3"/>
      <c r="B67" s="3"/>
      <c r="C67" s="3"/>
      <c r="D67" s="3"/>
      <c r="E67" s="3"/>
      <c r="F67" s="3"/>
      <c r="O67" s="3"/>
      <c r="P67" s="3"/>
      <c r="Q67" s="3"/>
      <c r="R67" s="3"/>
    </row>
    <row r="68" s="2" customFormat="true" ht="15" hidden="false" customHeight="false" outlineLevel="0" collapsed="false">
      <c r="A68" s="3"/>
      <c r="B68" s="3"/>
      <c r="C68" s="3"/>
      <c r="D68" s="3"/>
      <c r="E68" s="3"/>
      <c r="F68" s="3"/>
      <c r="O68" s="3"/>
      <c r="P68" s="3"/>
      <c r="Q68" s="3"/>
      <c r="R68" s="3"/>
    </row>
    <row r="69" s="2" customFormat="true" ht="15" hidden="false" customHeight="false" outlineLevel="0" collapsed="false">
      <c r="A69" s="3"/>
      <c r="B69" s="3"/>
      <c r="C69" s="3"/>
      <c r="D69" s="3"/>
      <c r="E69" s="3"/>
      <c r="F69" s="3"/>
      <c r="O69" s="3"/>
      <c r="P69" s="3"/>
      <c r="Q69" s="3"/>
      <c r="R69" s="3"/>
    </row>
    <row r="70" s="2" customFormat="true" ht="15" hidden="false" customHeight="false" outlineLevel="0" collapsed="false">
      <c r="A70" s="3"/>
      <c r="B70" s="3"/>
      <c r="C70" s="3"/>
      <c r="D70" s="3"/>
      <c r="E70" s="3"/>
      <c r="F70" s="3"/>
      <c r="O70" s="3"/>
      <c r="P70" s="3"/>
      <c r="Q70" s="3"/>
      <c r="R70" s="3"/>
    </row>
    <row r="71" s="2" customFormat="true" ht="15" hidden="false" customHeight="false" outlineLevel="0" collapsed="false">
      <c r="A71" s="3"/>
      <c r="B71" s="3"/>
      <c r="C71" s="3"/>
      <c r="D71" s="3"/>
      <c r="E71" s="3"/>
      <c r="F71" s="3"/>
      <c r="O71" s="3"/>
      <c r="P71" s="3"/>
      <c r="Q71" s="3"/>
      <c r="R71" s="3"/>
    </row>
    <row r="72" s="2" customFormat="true" ht="15" hidden="false" customHeight="false" outlineLevel="0" collapsed="false">
      <c r="A72" s="3"/>
      <c r="B72" s="3"/>
      <c r="C72" s="3"/>
      <c r="D72" s="3"/>
      <c r="E72" s="3"/>
      <c r="F72" s="3"/>
      <c r="O72" s="3"/>
      <c r="P72" s="3"/>
      <c r="Q72" s="3"/>
      <c r="R72" s="3"/>
    </row>
    <row r="73" s="2" customFormat="true" ht="15" hidden="false" customHeight="false" outlineLevel="0" collapsed="false">
      <c r="A73" s="3"/>
      <c r="B73" s="3"/>
      <c r="C73" s="3"/>
      <c r="D73" s="3"/>
      <c r="E73" s="3"/>
      <c r="F73" s="3"/>
      <c r="O73" s="3"/>
      <c r="P73" s="3"/>
      <c r="Q73" s="3"/>
      <c r="R73" s="3"/>
    </row>
    <row r="74" s="2" customFormat="true" ht="15" hidden="false" customHeight="false" outlineLevel="0" collapsed="false">
      <c r="A74" s="3"/>
      <c r="B74" s="3"/>
      <c r="C74" s="3"/>
      <c r="D74" s="3"/>
      <c r="E74" s="3"/>
      <c r="F74" s="3"/>
      <c r="O74" s="3"/>
      <c r="P74" s="3"/>
      <c r="Q74" s="3"/>
      <c r="R74" s="3"/>
    </row>
    <row r="75" s="2" customFormat="true" ht="15" hidden="false" customHeight="false" outlineLevel="0" collapsed="false">
      <c r="A75" s="3"/>
      <c r="B75" s="3"/>
      <c r="C75" s="3"/>
      <c r="D75" s="3"/>
      <c r="E75" s="3"/>
      <c r="F75" s="3"/>
      <c r="O75" s="3"/>
      <c r="P75" s="3"/>
      <c r="Q75" s="3"/>
      <c r="R75" s="3"/>
    </row>
    <row r="76" s="2" customFormat="true" ht="15" hidden="false" customHeight="false" outlineLevel="0" collapsed="false">
      <c r="A76" s="3"/>
      <c r="B76" s="3"/>
      <c r="C76" s="3"/>
      <c r="D76" s="3"/>
      <c r="E76" s="3"/>
      <c r="F76" s="3"/>
      <c r="O76" s="3"/>
      <c r="P76" s="3"/>
      <c r="Q76" s="3"/>
      <c r="R76" s="3"/>
    </row>
    <row r="77" s="2" customFormat="true" ht="15" hidden="false" customHeight="false" outlineLevel="0" collapsed="false">
      <c r="A77" s="3"/>
      <c r="B77" s="3"/>
      <c r="C77" s="3"/>
      <c r="D77" s="3"/>
      <c r="E77" s="3"/>
      <c r="F77" s="3"/>
      <c r="O77" s="3"/>
      <c r="P77" s="3"/>
      <c r="Q77" s="3"/>
      <c r="R77" s="3"/>
    </row>
    <row r="78" s="2" customFormat="true" ht="15" hidden="false" customHeight="false" outlineLevel="0" collapsed="false">
      <c r="A78" s="3"/>
      <c r="B78" s="3"/>
      <c r="C78" s="3"/>
      <c r="D78" s="3"/>
      <c r="E78" s="3"/>
      <c r="F78" s="3"/>
      <c r="O78" s="3"/>
      <c r="P78" s="3"/>
      <c r="Q78" s="3"/>
      <c r="R78" s="3"/>
    </row>
    <row r="79" s="2" customFormat="true" ht="15" hidden="false" customHeight="false" outlineLevel="0" collapsed="false">
      <c r="A79" s="3"/>
      <c r="B79" s="3"/>
      <c r="C79" s="3"/>
      <c r="D79" s="3"/>
      <c r="E79" s="3"/>
      <c r="F79" s="3"/>
      <c r="O79" s="3"/>
      <c r="P79" s="3"/>
      <c r="Q79" s="3"/>
      <c r="R79" s="3"/>
    </row>
    <row r="80" s="2" customFormat="true" ht="15" hidden="false" customHeight="false" outlineLevel="0" collapsed="false">
      <c r="A80" s="3"/>
      <c r="B80" s="3"/>
      <c r="C80" s="3"/>
      <c r="D80" s="3"/>
      <c r="E80" s="3"/>
      <c r="F80" s="3"/>
      <c r="O80" s="3"/>
      <c r="P80" s="3"/>
      <c r="Q80" s="3"/>
      <c r="R80" s="3"/>
    </row>
    <row r="81" s="2" customFormat="true" ht="15" hidden="false" customHeight="false" outlineLevel="0" collapsed="false">
      <c r="A81" s="3"/>
      <c r="B81" s="3"/>
      <c r="C81" s="3"/>
      <c r="D81" s="3"/>
      <c r="E81" s="3"/>
      <c r="F81" s="3"/>
      <c r="O81" s="3"/>
      <c r="P81" s="3"/>
      <c r="Q81" s="3"/>
      <c r="R81" s="3"/>
    </row>
    <row r="82" s="2" customFormat="true" ht="15" hidden="false" customHeight="false" outlineLevel="0" collapsed="false">
      <c r="A82" s="3"/>
      <c r="B82" s="3"/>
      <c r="C82" s="3"/>
      <c r="D82" s="3"/>
      <c r="E82" s="3"/>
      <c r="F82" s="3"/>
      <c r="O82" s="3"/>
      <c r="P82" s="3"/>
      <c r="Q82" s="3"/>
      <c r="R82" s="3"/>
    </row>
    <row r="83" s="2" customFormat="true" ht="15" hidden="false" customHeight="false" outlineLevel="0" collapsed="false">
      <c r="A83" s="3"/>
      <c r="B83" s="3"/>
      <c r="C83" s="3"/>
      <c r="D83" s="3"/>
      <c r="E83" s="3"/>
      <c r="F83" s="3"/>
      <c r="O83" s="3"/>
      <c r="P83" s="3"/>
      <c r="Q83" s="3"/>
      <c r="R83" s="3"/>
    </row>
    <row r="84" s="2" customFormat="true" ht="15" hidden="false" customHeight="false" outlineLevel="0" collapsed="false">
      <c r="A84" s="3"/>
      <c r="B84" s="3"/>
      <c r="C84" s="3"/>
      <c r="D84" s="3"/>
      <c r="E84" s="3"/>
      <c r="F84" s="3"/>
      <c r="O84" s="3"/>
      <c r="P84" s="3"/>
      <c r="Q84" s="3"/>
      <c r="R84" s="3"/>
    </row>
    <row r="85" s="2" customFormat="true" ht="15" hidden="false" customHeight="false" outlineLevel="0" collapsed="false">
      <c r="A85" s="3"/>
      <c r="B85" s="3"/>
      <c r="C85" s="3"/>
      <c r="D85" s="3"/>
      <c r="E85" s="3"/>
      <c r="F85" s="3"/>
      <c r="O85" s="3"/>
      <c r="P85" s="3"/>
      <c r="Q85" s="3"/>
      <c r="R85" s="3"/>
    </row>
    <row r="86" s="2" customFormat="true" ht="15" hidden="false" customHeight="false" outlineLevel="0" collapsed="false">
      <c r="A86" s="3"/>
      <c r="B86" s="3"/>
      <c r="C86" s="3"/>
      <c r="D86" s="3"/>
      <c r="E86" s="3"/>
      <c r="F86" s="3"/>
      <c r="O86" s="3"/>
      <c r="P86" s="3"/>
      <c r="Q86" s="3"/>
      <c r="R86" s="3"/>
    </row>
    <row r="87" s="2" customFormat="true" ht="15" hidden="false" customHeight="false" outlineLevel="0" collapsed="false">
      <c r="A87" s="3"/>
      <c r="B87" s="3"/>
      <c r="C87" s="3"/>
      <c r="D87" s="3"/>
      <c r="E87" s="3"/>
      <c r="F87" s="3"/>
      <c r="O87" s="3"/>
      <c r="P87" s="3"/>
      <c r="Q87" s="3"/>
      <c r="R87" s="3"/>
    </row>
    <row r="88" s="2" customFormat="true" ht="15" hidden="false" customHeight="false" outlineLevel="0" collapsed="false">
      <c r="A88" s="3"/>
      <c r="B88" s="3"/>
      <c r="C88" s="3"/>
      <c r="D88" s="3"/>
      <c r="E88" s="3"/>
      <c r="F88" s="3"/>
      <c r="O88" s="3"/>
      <c r="P88" s="3"/>
      <c r="Q88" s="3"/>
      <c r="R88" s="3"/>
    </row>
    <row r="89" s="2" customFormat="true" ht="15" hidden="false" customHeight="false" outlineLevel="0" collapsed="false">
      <c r="A89" s="3"/>
      <c r="B89" s="3"/>
      <c r="C89" s="3"/>
      <c r="D89" s="3"/>
      <c r="E89" s="3"/>
      <c r="F89" s="3"/>
      <c r="O89" s="3"/>
      <c r="P89" s="3"/>
      <c r="Q89" s="3"/>
      <c r="R89" s="3"/>
    </row>
    <row r="90" s="2" customFormat="true" ht="15" hidden="false" customHeight="false" outlineLevel="0" collapsed="false">
      <c r="A90" s="3"/>
      <c r="B90" s="3"/>
      <c r="C90" s="3"/>
      <c r="D90" s="3"/>
      <c r="E90" s="3"/>
      <c r="F90" s="3"/>
      <c r="O90" s="3"/>
      <c r="P90" s="3"/>
      <c r="Q90" s="3"/>
      <c r="R90" s="3"/>
    </row>
    <row r="91" s="2" customFormat="true" ht="15" hidden="false" customHeight="false" outlineLevel="0" collapsed="false">
      <c r="A91" s="3"/>
      <c r="B91" s="3"/>
      <c r="C91" s="3"/>
      <c r="D91" s="3"/>
      <c r="E91" s="3"/>
      <c r="F91" s="3"/>
      <c r="O91" s="3"/>
      <c r="P91" s="3"/>
      <c r="Q91" s="3"/>
      <c r="R91" s="3"/>
    </row>
    <row r="92" s="2" customFormat="true" ht="15" hidden="false" customHeight="false" outlineLevel="0" collapsed="false">
      <c r="A92" s="3"/>
      <c r="B92" s="3"/>
      <c r="C92" s="3"/>
      <c r="D92" s="3"/>
      <c r="E92" s="3"/>
      <c r="F92" s="3"/>
      <c r="O92" s="3"/>
      <c r="P92" s="3"/>
      <c r="Q92" s="3"/>
      <c r="R92" s="3"/>
    </row>
    <row r="93" s="2" customFormat="true" ht="15" hidden="false" customHeight="false" outlineLevel="0" collapsed="false">
      <c r="A93" s="3"/>
      <c r="B93" s="3"/>
      <c r="C93" s="3"/>
      <c r="D93" s="3"/>
      <c r="E93" s="3"/>
      <c r="F93" s="3"/>
      <c r="O93" s="3"/>
      <c r="P93" s="3"/>
      <c r="Q93" s="3"/>
      <c r="R93" s="3"/>
    </row>
    <row r="94" s="2" customFormat="true" ht="15" hidden="false" customHeight="false" outlineLevel="0" collapsed="false">
      <c r="A94" s="3"/>
      <c r="B94" s="3"/>
      <c r="C94" s="3"/>
      <c r="D94" s="3"/>
      <c r="E94" s="3"/>
      <c r="F94" s="3"/>
      <c r="O94" s="3"/>
      <c r="P94" s="3"/>
      <c r="Q94" s="3"/>
      <c r="R94" s="3"/>
    </row>
    <row r="95" s="2" customFormat="true" ht="15" hidden="false" customHeight="false" outlineLevel="0" collapsed="false">
      <c r="A95" s="3"/>
      <c r="B95" s="3"/>
      <c r="C95" s="3"/>
      <c r="D95" s="3"/>
      <c r="E95" s="3"/>
      <c r="F95" s="3"/>
      <c r="O95" s="3"/>
      <c r="P95" s="3"/>
      <c r="Q95" s="3"/>
      <c r="R95" s="3"/>
    </row>
    <row r="96" s="2" customFormat="true" ht="15" hidden="false" customHeight="false" outlineLevel="0" collapsed="false">
      <c r="A96" s="3"/>
      <c r="B96" s="3"/>
      <c r="C96" s="3"/>
      <c r="D96" s="3"/>
      <c r="E96" s="3"/>
      <c r="F96" s="3"/>
      <c r="O96" s="3"/>
      <c r="P96" s="3"/>
      <c r="Q96" s="3"/>
      <c r="R96" s="3"/>
    </row>
    <row r="97" s="2" customFormat="true" ht="15" hidden="false" customHeight="false" outlineLevel="0" collapsed="false">
      <c r="A97" s="3"/>
      <c r="B97" s="3"/>
      <c r="C97" s="3"/>
      <c r="D97" s="3"/>
      <c r="E97" s="3"/>
      <c r="F97" s="3"/>
      <c r="O97" s="3"/>
      <c r="P97" s="3"/>
      <c r="Q97" s="3"/>
      <c r="R97" s="3"/>
    </row>
    <row r="98" s="2" customFormat="true" ht="15" hidden="false" customHeight="false" outlineLevel="0" collapsed="false">
      <c r="A98" s="3"/>
      <c r="B98" s="3"/>
      <c r="C98" s="3"/>
      <c r="D98" s="3"/>
      <c r="E98" s="3"/>
      <c r="F98" s="3"/>
      <c r="O98" s="3"/>
      <c r="P98" s="3"/>
      <c r="Q98" s="3"/>
      <c r="R98" s="3"/>
    </row>
    <row r="99" s="2" customFormat="true" ht="15" hidden="false" customHeight="false" outlineLevel="0" collapsed="false">
      <c r="A99" s="3"/>
      <c r="B99" s="3"/>
      <c r="C99" s="3"/>
      <c r="D99" s="3"/>
      <c r="E99" s="3"/>
      <c r="F99" s="3"/>
      <c r="O99" s="3"/>
      <c r="P99" s="3"/>
      <c r="Q99" s="3"/>
      <c r="R99" s="3"/>
    </row>
    <row r="100" s="2" customFormat="true" ht="15" hidden="false" customHeight="false" outlineLevel="0" collapsed="false">
      <c r="A100" s="3"/>
      <c r="B100" s="3"/>
      <c r="C100" s="3"/>
      <c r="D100" s="3"/>
      <c r="E100" s="3"/>
      <c r="F100" s="3"/>
      <c r="O100" s="3"/>
      <c r="P100" s="3"/>
      <c r="Q100" s="3"/>
      <c r="R100" s="3"/>
    </row>
    <row r="101" s="2" customFormat="true" ht="15" hidden="false" customHeight="false" outlineLevel="0" collapsed="false">
      <c r="A101" s="3"/>
      <c r="B101" s="3"/>
      <c r="C101" s="3"/>
      <c r="D101" s="3"/>
      <c r="E101" s="3"/>
      <c r="F101" s="3"/>
      <c r="O101" s="3"/>
      <c r="P101" s="3"/>
      <c r="Q101" s="3"/>
      <c r="R101" s="3"/>
    </row>
    <row r="102" s="2" customFormat="true" ht="15" hidden="false" customHeight="false" outlineLevel="0" collapsed="false">
      <c r="A102" s="3"/>
      <c r="B102" s="3"/>
      <c r="C102" s="3"/>
      <c r="D102" s="3"/>
      <c r="E102" s="3"/>
      <c r="F102" s="3"/>
      <c r="O102" s="3"/>
      <c r="P102" s="3"/>
      <c r="Q102" s="3"/>
      <c r="R102" s="3"/>
    </row>
    <row r="103" s="2" customFormat="true" ht="15" hidden="false" customHeight="false" outlineLevel="0" collapsed="false">
      <c r="A103" s="3"/>
      <c r="B103" s="3"/>
      <c r="C103" s="3"/>
      <c r="D103" s="3"/>
      <c r="E103" s="3"/>
      <c r="F103" s="3"/>
      <c r="O103" s="3"/>
      <c r="P103" s="3"/>
      <c r="Q103" s="3"/>
      <c r="R103" s="3"/>
    </row>
    <row r="104" s="2" customFormat="true" ht="15" hidden="false" customHeight="false" outlineLevel="0" collapsed="false">
      <c r="A104" s="3"/>
      <c r="B104" s="3"/>
      <c r="C104" s="3"/>
      <c r="D104" s="3"/>
      <c r="E104" s="3"/>
      <c r="F104" s="3"/>
      <c r="O104" s="3"/>
      <c r="P104" s="3"/>
      <c r="Q104" s="3"/>
      <c r="R104" s="3"/>
    </row>
    <row r="105" s="2" customFormat="true" ht="15" hidden="false" customHeight="false" outlineLevel="0" collapsed="false">
      <c r="A105" s="3"/>
      <c r="B105" s="3"/>
      <c r="C105" s="3"/>
      <c r="D105" s="3"/>
      <c r="E105" s="3"/>
      <c r="F105" s="3"/>
      <c r="O105" s="3"/>
      <c r="P105" s="3"/>
      <c r="Q105" s="3"/>
      <c r="R105" s="3"/>
    </row>
    <row r="106" s="2" customFormat="true" ht="15" hidden="false" customHeight="false" outlineLevel="0" collapsed="false">
      <c r="A106" s="3"/>
      <c r="B106" s="3"/>
      <c r="C106" s="3"/>
      <c r="D106" s="3"/>
      <c r="E106" s="3"/>
      <c r="F106" s="3"/>
      <c r="O106" s="3"/>
      <c r="P106" s="3"/>
      <c r="Q106" s="3"/>
      <c r="R106" s="3"/>
    </row>
    <row r="107" s="2" customFormat="true" ht="15" hidden="false" customHeight="false" outlineLevel="0" collapsed="false">
      <c r="A107" s="3"/>
      <c r="B107" s="3"/>
      <c r="C107" s="3"/>
      <c r="D107" s="3"/>
      <c r="E107" s="3"/>
      <c r="F107" s="3"/>
      <c r="O107" s="3"/>
      <c r="P107" s="3"/>
      <c r="Q107" s="3"/>
      <c r="R107" s="3"/>
    </row>
    <row r="108" s="2" customFormat="true" ht="15" hidden="false" customHeight="false" outlineLevel="0" collapsed="false">
      <c r="A108" s="3"/>
      <c r="B108" s="3"/>
      <c r="C108" s="3"/>
      <c r="D108" s="3"/>
      <c r="E108" s="3"/>
      <c r="F108" s="3"/>
      <c r="O108" s="3"/>
      <c r="P108" s="3"/>
      <c r="Q108" s="3"/>
      <c r="R108" s="3"/>
    </row>
    <row r="109" s="2" customFormat="true" ht="15" hidden="false" customHeight="false" outlineLevel="0" collapsed="false">
      <c r="A109" s="3"/>
      <c r="B109" s="3"/>
      <c r="C109" s="3"/>
      <c r="D109" s="3"/>
      <c r="E109" s="3"/>
      <c r="F109" s="3"/>
      <c r="O109" s="3"/>
      <c r="P109" s="3"/>
      <c r="Q109" s="3"/>
      <c r="R109" s="3"/>
    </row>
    <row r="110" s="2" customFormat="true" ht="15" hidden="false" customHeight="false" outlineLevel="0" collapsed="false">
      <c r="A110" s="3"/>
      <c r="B110" s="3"/>
      <c r="C110" s="3"/>
      <c r="D110" s="3"/>
      <c r="E110" s="3"/>
      <c r="F110" s="3"/>
      <c r="O110" s="3"/>
      <c r="P110" s="3"/>
      <c r="Q110" s="3"/>
      <c r="R110" s="3"/>
    </row>
    <row r="111" s="2" customFormat="true" ht="15" hidden="false" customHeight="false" outlineLevel="0" collapsed="false">
      <c r="A111" s="3"/>
      <c r="B111" s="3"/>
      <c r="C111" s="3"/>
      <c r="D111" s="3"/>
      <c r="E111" s="3"/>
      <c r="F111" s="3"/>
      <c r="O111" s="3"/>
      <c r="P111" s="3"/>
      <c r="Q111" s="3"/>
      <c r="R111" s="3"/>
    </row>
    <row r="112" s="2" customFormat="true" ht="15" hidden="false" customHeight="false" outlineLevel="0" collapsed="false">
      <c r="A112" s="3"/>
      <c r="B112" s="3"/>
      <c r="C112" s="3"/>
      <c r="D112" s="3"/>
      <c r="E112" s="3"/>
      <c r="F112" s="3"/>
      <c r="O112" s="3"/>
      <c r="P112" s="3"/>
      <c r="Q112" s="3"/>
      <c r="R112" s="3"/>
    </row>
    <row r="113" s="2" customFormat="true" ht="15" hidden="false" customHeight="false" outlineLevel="0" collapsed="false">
      <c r="A113" s="3"/>
      <c r="B113" s="3"/>
      <c r="C113" s="3"/>
      <c r="D113" s="3"/>
      <c r="E113" s="3"/>
      <c r="F113" s="3"/>
      <c r="O113" s="3"/>
      <c r="P113" s="3"/>
      <c r="Q113" s="3"/>
      <c r="R113" s="3"/>
    </row>
    <row r="114" s="2" customFormat="true" ht="15" hidden="false" customHeight="false" outlineLevel="0" collapsed="false">
      <c r="A114" s="3"/>
      <c r="B114" s="3"/>
      <c r="C114" s="3"/>
      <c r="D114" s="3"/>
      <c r="E114" s="3"/>
      <c r="F114" s="3"/>
      <c r="O114" s="3"/>
      <c r="P114" s="3"/>
      <c r="Q114" s="3"/>
      <c r="R114" s="3"/>
    </row>
    <row r="115" s="2" customFormat="true" ht="15" hidden="false" customHeight="false" outlineLevel="0" collapsed="false">
      <c r="A115" s="3"/>
      <c r="B115" s="3"/>
      <c r="C115" s="3"/>
      <c r="D115" s="3"/>
      <c r="E115" s="3"/>
      <c r="F115" s="3"/>
      <c r="O115" s="3"/>
      <c r="P115" s="3"/>
      <c r="Q115" s="3"/>
      <c r="R115" s="3"/>
    </row>
    <row r="116" s="2" customFormat="true" ht="15" hidden="false" customHeight="false" outlineLevel="0" collapsed="false">
      <c r="A116" s="3"/>
      <c r="B116" s="3"/>
      <c r="C116" s="3"/>
      <c r="D116" s="3"/>
      <c r="E116" s="3"/>
      <c r="F116" s="3"/>
      <c r="O116" s="3"/>
      <c r="P116" s="3"/>
      <c r="Q116" s="3"/>
      <c r="R116" s="3"/>
    </row>
    <row r="117" s="2" customFormat="true" ht="15" hidden="false" customHeight="false" outlineLevel="0" collapsed="false">
      <c r="A117" s="3"/>
      <c r="B117" s="3"/>
      <c r="C117" s="3"/>
      <c r="D117" s="3"/>
      <c r="E117" s="3"/>
      <c r="F117" s="3"/>
      <c r="O117" s="3"/>
      <c r="P117" s="3"/>
      <c r="Q117" s="3"/>
      <c r="R117" s="3"/>
    </row>
    <row r="118" s="2" customFormat="true" ht="15" hidden="false" customHeight="false" outlineLevel="0" collapsed="false">
      <c r="A118" s="3"/>
      <c r="B118" s="3"/>
      <c r="C118" s="3"/>
      <c r="D118" s="3"/>
      <c r="E118" s="3"/>
      <c r="F118" s="3"/>
      <c r="O118" s="3"/>
      <c r="P118" s="3"/>
      <c r="Q118" s="3"/>
      <c r="R118" s="3"/>
    </row>
    <row r="119" s="2" customFormat="true" ht="15" hidden="false" customHeight="false" outlineLevel="0" collapsed="false">
      <c r="A119" s="3"/>
      <c r="B119" s="3"/>
      <c r="C119" s="3"/>
      <c r="D119" s="3"/>
      <c r="E119" s="3"/>
      <c r="F119" s="3"/>
      <c r="O119" s="3"/>
      <c r="P119" s="3"/>
      <c r="Q119" s="3"/>
      <c r="R119" s="3"/>
    </row>
    <row r="120" s="2" customFormat="true" ht="15" hidden="false" customHeight="false" outlineLevel="0" collapsed="false">
      <c r="A120" s="3"/>
      <c r="B120" s="3"/>
      <c r="C120" s="3"/>
      <c r="D120" s="3"/>
      <c r="E120" s="3"/>
      <c r="F120" s="3"/>
      <c r="O120" s="3"/>
      <c r="P120" s="3"/>
      <c r="Q120" s="3"/>
      <c r="R120" s="3"/>
    </row>
    <row r="121" s="2" customFormat="true" ht="15" hidden="false" customHeight="false" outlineLevel="0" collapsed="false">
      <c r="A121" s="3"/>
      <c r="B121" s="3"/>
      <c r="C121" s="3"/>
      <c r="D121" s="3"/>
      <c r="E121" s="3"/>
      <c r="F121" s="3"/>
      <c r="O121" s="3"/>
      <c r="P121" s="3"/>
      <c r="Q121" s="3"/>
      <c r="R121" s="3"/>
    </row>
    <row r="122" s="2" customFormat="true" ht="15" hidden="false" customHeight="false" outlineLevel="0" collapsed="false">
      <c r="A122" s="3"/>
      <c r="B122" s="3"/>
      <c r="C122" s="3"/>
      <c r="D122" s="3"/>
      <c r="E122" s="3"/>
      <c r="F122" s="3"/>
      <c r="O122" s="3"/>
      <c r="P122" s="3"/>
      <c r="Q122" s="3"/>
      <c r="R122" s="3"/>
    </row>
    <row r="123" s="2" customFormat="true" ht="15" hidden="false" customHeight="false" outlineLevel="0" collapsed="false">
      <c r="A123" s="3"/>
      <c r="B123" s="3"/>
      <c r="C123" s="3"/>
      <c r="D123" s="3"/>
      <c r="E123" s="3"/>
      <c r="F123" s="3"/>
      <c r="O123" s="3"/>
      <c r="P123" s="3"/>
      <c r="Q123" s="3"/>
      <c r="R123" s="3"/>
    </row>
    <row r="124" s="2" customFormat="true" ht="15" hidden="false" customHeight="false" outlineLevel="0" collapsed="false">
      <c r="A124" s="3"/>
      <c r="B124" s="3"/>
      <c r="C124" s="3"/>
      <c r="D124" s="3"/>
      <c r="E124" s="3"/>
      <c r="F124" s="3"/>
      <c r="O124" s="3"/>
      <c r="P124" s="3"/>
      <c r="Q124" s="3"/>
      <c r="R124" s="3"/>
    </row>
    <row r="125" s="2" customFormat="true" ht="15" hidden="false" customHeight="false" outlineLevel="0" collapsed="false">
      <c r="A125" s="3"/>
      <c r="B125" s="3"/>
      <c r="C125" s="3"/>
      <c r="D125" s="3"/>
      <c r="E125" s="3"/>
      <c r="F125" s="3"/>
      <c r="O125" s="3"/>
      <c r="P125" s="3"/>
      <c r="Q125" s="3"/>
      <c r="R125" s="3"/>
    </row>
    <row r="126" s="2" customFormat="true" ht="15" hidden="false" customHeight="false" outlineLevel="0" collapsed="false">
      <c r="A126" s="3"/>
      <c r="B126" s="3"/>
      <c r="C126" s="3"/>
      <c r="D126" s="3"/>
      <c r="E126" s="3"/>
      <c r="F126" s="3"/>
      <c r="O126" s="3"/>
      <c r="P126" s="3"/>
      <c r="Q126" s="3"/>
      <c r="R126" s="3"/>
    </row>
    <row r="127" s="2" customFormat="true" ht="15" hidden="false" customHeight="false" outlineLevel="0" collapsed="false">
      <c r="A127" s="3"/>
      <c r="B127" s="3"/>
      <c r="C127" s="3"/>
      <c r="D127" s="3"/>
      <c r="E127" s="3"/>
      <c r="F127" s="3"/>
      <c r="O127" s="3"/>
      <c r="P127" s="3"/>
      <c r="Q127" s="3"/>
      <c r="R127" s="3"/>
    </row>
    <row r="128" s="2" customFormat="true" ht="15" hidden="false" customHeight="false" outlineLevel="0" collapsed="false">
      <c r="A128" s="3"/>
      <c r="B128" s="3"/>
      <c r="C128" s="3"/>
      <c r="D128" s="3"/>
      <c r="E128" s="3"/>
      <c r="F128" s="3"/>
      <c r="O128" s="3"/>
      <c r="P128" s="3"/>
      <c r="Q128" s="3"/>
      <c r="R128" s="3"/>
    </row>
    <row r="129" s="2" customFormat="true" ht="15" hidden="false" customHeight="false" outlineLevel="0" collapsed="false">
      <c r="A129" s="3"/>
      <c r="B129" s="3"/>
      <c r="C129" s="3"/>
      <c r="D129" s="3"/>
      <c r="E129" s="3"/>
      <c r="F129" s="3"/>
      <c r="O129" s="3"/>
      <c r="P129" s="3"/>
      <c r="Q129" s="3"/>
      <c r="R129" s="3"/>
    </row>
    <row r="130" s="2" customFormat="true" ht="15" hidden="false" customHeight="false" outlineLevel="0" collapsed="false">
      <c r="A130" s="3"/>
      <c r="B130" s="3"/>
      <c r="C130" s="3"/>
      <c r="D130" s="3"/>
      <c r="E130" s="3"/>
      <c r="F130" s="3"/>
      <c r="O130" s="3"/>
      <c r="P130" s="3"/>
      <c r="Q130" s="3"/>
      <c r="R130" s="3"/>
    </row>
    <row r="131" s="2" customFormat="true" ht="15" hidden="false" customHeight="false" outlineLevel="0" collapsed="false">
      <c r="A131" s="3"/>
      <c r="B131" s="3"/>
      <c r="C131" s="3"/>
      <c r="D131" s="3"/>
      <c r="E131" s="3"/>
      <c r="F131" s="3"/>
      <c r="O131" s="3"/>
      <c r="P131" s="3"/>
      <c r="Q131" s="3"/>
      <c r="R131" s="3"/>
    </row>
    <row r="132" s="2" customFormat="true" ht="15" hidden="false" customHeight="false" outlineLevel="0" collapsed="false">
      <c r="A132" s="3"/>
      <c r="B132" s="3"/>
      <c r="C132" s="3"/>
      <c r="D132" s="3"/>
      <c r="E132" s="3"/>
      <c r="F132" s="3"/>
      <c r="O132" s="3"/>
      <c r="P132" s="3"/>
      <c r="Q132" s="3"/>
      <c r="R132" s="3"/>
    </row>
    <row r="133" s="2" customFormat="true" ht="15" hidden="false" customHeight="false" outlineLevel="0" collapsed="false">
      <c r="A133" s="3"/>
      <c r="B133" s="3"/>
      <c r="C133" s="3"/>
      <c r="D133" s="3"/>
      <c r="E133" s="3"/>
      <c r="F133" s="3"/>
      <c r="O133" s="3"/>
      <c r="P133" s="3"/>
      <c r="Q133" s="3"/>
      <c r="R133" s="3"/>
    </row>
    <row r="134" s="2" customFormat="true" ht="15" hidden="false" customHeight="false" outlineLevel="0" collapsed="false">
      <c r="A134" s="3"/>
      <c r="B134" s="3"/>
      <c r="C134" s="3"/>
      <c r="D134" s="3"/>
      <c r="E134" s="3"/>
      <c r="F134" s="3"/>
      <c r="O134" s="3"/>
      <c r="P134" s="3"/>
      <c r="Q134" s="3"/>
      <c r="R134" s="3"/>
    </row>
    <row r="135" s="2" customFormat="true" ht="15" hidden="false" customHeight="false" outlineLevel="0" collapsed="false">
      <c r="A135" s="3"/>
      <c r="B135" s="3"/>
      <c r="C135" s="3"/>
      <c r="D135" s="3"/>
      <c r="E135" s="3"/>
      <c r="F135" s="3"/>
      <c r="O135" s="3"/>
      <c r="P135" s="3"/>
      <c r="Q135" s="3"/>
      <c r="R135" s="3"/>
    </row>
    <row r="136" s="2" customFormat="true" ht="15" hidden="false" customHeight="false" outlineLevel="0" collapsed="false">
      <c r="A136" s="3"/>
      <c r="B136" s="3"/>
      <c r="C136" s="3"/>
      <c r="D136" s="3"/>
      <c r="E136" s="3"/>
      <c r="F136" s="3"/>
      <c r="O136" s="3"/>
      <c r="P136" s="3"/>
      <c r="Q136" s="3"/>
      <c r="R136" s="3"/>
    </row>
    <row r="137" s="2" customFormat="true" ht="15" hidden="false" customHeight="false" outlineLevel="0" collapsed="false">
      <c r="A137" s="3"/>
      <c r="B137" s="3"/>
      <c r="C137" s="3"/>
      <c r="D137" s="3"/>
      <c r="E137" s="3"/>
      <c r="F137" s="3"/>
      <c r="O137" s="3"/>
      <c r="P137" s="3"/>
      <c r="Q137" s="3"/>
      <c r="R137" s="3"/>
    </row>
    <row r="138" s="2" customFormat="true" ht="15" hidden="false" customHeight="false" outlineLevel="0" collapsed="false">
      <c r="A138" s="3"/>
      <c r="B138" s="3"/>
      <c r="C138" s="3"/>
      <c r="D138" s="3"/>
      <c r="E138" s="3"/>
      <c r="F138" s="3"/>
      <c r="O138" s="3"/>
      <c r="P138" s="3"/>
      <c r="Q138" s="3"/>
      <c r="R138" s="3"/>
    </row>
    <row r="139" s="2" customFormat="true" ht="15" hidden="false" customHeight="false" outlineLevel="0" collapsed="false">
      <c r="A139" s="3"/>
      <c r="B139" s="3"/>
      <c r="C139" s="3"/>
      <c r="D139" s="3"/>
      <c r="E139" s="3"/>
      <c r="F139" s="3"/>
      <c r="O139" s="3"/>
      <c r="P139" s="3"/>
      <c r="Q139" s="3"/>
      <c r="R139" s="3"/>
    </row>
    <row r="140" s="2" customFormat="true" ht="15" hidden="false" customHeight="false" outlineLevel="0" collapsed="false">
      <c r="A140" s="3"/>
      <c r="B140" s="3"/>
      <c r="C140" s="3"/>
      <c r="D140" s="3"/>
      <c r="E140" s="3"/>
      <c r="F140" s="3"/>
      <c r="O140" s="3"/>
      <c r="P140" s="3"/>
      <c r="Q140" s="3"/>
      <c r="R140" s="3"/>
    </row>
    <row r="141" s="2" customFormat="true" ht="15" hidden="false" customHeight="false" outlineLevel="0" collapsed="false">
      <c r="A141" s="3"/>
      <c r="B141" s="3"/>
      <c r="C141" s="3"/>
      <c r="D141" s="3"/>
      <c r="E141" s="3"/>
      <c r="F141" s="3"/>
      <c r="O141" s="3"/>
      <c r="P141" s="3"/>
      <c r="Q141" s="3"/>
      <c r="R141" s="3"/>
    </row>
    <row r="142" s="2" customFormat="true" ht="15" hidden="false" customHeight="false" outlineLevel="0" collapsed="false">
      <c r="A142" s="3"/>
      <c r="B142" s="3"/>
      <c r="C142" s="3"/>
      <c r="D142" s="3"/>
      <c r="E142" s="3"/>
      <c r="F142" s="3"/>
      <c r="O142" s="3"/>
      <c r="P142" s="3"/>
      <c r="Q142" s="3"/>
      <c r="R142" s="3"/>
    </row>
    <row r="143" s="2" customFormat="true" ht="15" hidden="false" customHeight="false" outlineLevel="0" collapsed="false">
      <c r="A143" s="3"/>
      <c r="B143" s="3"/>
      <c r="C143" s="3"/>
      <c r="D143" s="3"/>
      <c r="E143" s="3"/>
      <c r="F143" s="3"/>
      <c r="O143" s="3"/>
      <c r="P143" s="3"/>
      <c r="Q143" s="3"/>
      <c r="R143" s="3"/>
    </row>
    <row r="144" s="2" customFormat="true" ht="15" hidden="false" customHeight="false" outlineLevel="0" collapsed="false">
      <c r="A144" s="3"/>
      <c r="B144" s="3"/>
      <c r="C144" s="3"/>
      <c r="D144" s="3"/>
      <c r="E144" s="3"/>
      <c r="F144" s="3"/>
      <c r="O144" s="3"/>
      <c r="P144" s="3"/>
      <c r="Q144" s="3"/>
      <c r="R144" s="3"/>
    </row>
    <row r="145" s="2" customFormat="true" ht="15" hidden="false" customHeight="false" outlineLevel="0" collapsed="false">
      <c r="A145" s="3"/>
      <c r="B145" s="3"/>
      <c r="C145" s="3"/>
      <c r="D145" s="3"/>
      <c r="E145" s="3"/>
      <c r="F145" s="3"/>
      <c r="O145" s="3"/>
      <c r="P145" s="3"/>
      <c r="Q145" s="3"/>
      <c r="R145" s="3"/>
    </row>
    <row r="146" s="2" customFormat="true" ht="15" hidden="false" customHeight="false" outlineLevel="0" collapsed="false">
      <c r="A146" s="3"/>
      <c r="B146" s="3"/>
      <c r="C146" s="3"/>
      <c r="D146" s="3"/>
      <c r="E146" s="3"/>
      <c r="F146" s="3"/>
      <c r="O146" s="3"/>
      <c r="P146" s="3"/>
      <c r="Q146" s="3"/>
      <c r="R146" s="3"/>
    </row>
    <row r="147" s="2" customFormat="true" ht="15" hidden="false" customHeight="false" outlineLevel="0" collapsed="false">
      <c r="A147" s="3"/>
      <c r="B147" s="3"/>
      <c r="C147" s="3"/>
      <c r="D147" s="3"/>
      <c r="E147" s="3"/>
      <c r="F147" s="3"/>
      <c r="O147" s="3"/>
      <c r="P147" s="3"/>
      <c r="Q147" s="3"/>
      <c r="R147" s="3"/>
    </row>
    <row r="148" s="2" customFormat="true" ht="15" hidden="false" customHeight="false" outlineLevel="0" collapsed="false">
      <c r="A148" s="3"/>
      <c r="B148" s="3"/>
      <c r="C148" s="3"/>
      <c r="D148" s="3"/>
      <c r="E148" s="3"/>
      <c r="F148" s="3"/>
      <c r="O148" s="3"/>
      <c r="P148" s="3"/>
      <c r="Q148" s="3"/>
      <c r="R148" s="3"/>
    </row>
    <row r="149" s="2" customFormat="true" ht="15" hidden="false" customHeight="false" outlineLevel="0" collapsed="false">
      <c r="A149" s="3"/>
      <c r="B149" s="3"/>
      <c r="C149" s="3"/>
      <c r="D149" s="3"/>
      <c r="E149" s="3"/>
      <c r="F149" s="3"/>
      <c r="O149" s="3"/>
      <c r="P149" s="3"/>
      <c r="Q149" s="3"/>
      <c r="R149" s="3"/>
    </row>
    <row r="150" s="2" customFormat="true" ht="15" hidden="false" customHeight="false" outlineLevel="0" collapsed="false">
      <c r="A150" s="3"/>
      <c r="B150" s="3"/>
      <c r="C150" s="3"/>
      <c r="D150" s="3"/>
      <c r="E150" s="3"/>
      <c r="F150" s="3"/>
      <c r="O150" s="3"/>
      <c r="P150" s="3"/>
      <c r="Q150" s="3"/>
      <c r="R150" s="3"/>
    </row>
    <row r="151" s="2" customFormat="true" ht="15" hidden="false" customHeight="false" outlineLevel="0" collapsed="false">
      <c r="A151" s="3"/>
      <c r="B151" s="3"/>
      <c r="C151" s="3"/>
      <c r="D151" s="3"/>
      <c r="E151" s="3"/>
      <c r="F151" s="3"/>
      <c r="O151" s="3"/>
      <c r="P151" s="3"/>
      <c r="Q151" s="3"/>
      <c r="R151" s="3"/>
    </row>
    <row r="152" s="2" customFormat="true" ht="15" hidden="false" customHeight="false" outlineLevel="0" collapsed="false">
      <c r="A152" s="3"/>
      <c r="B152" s="3"/>
      <c r="C152" s="3"/>
      <c r="D152" s="3"/>
      <c r="E152" s="3"/>
      <c r="F152" s="3"/>
      <c r="O152" s="3"/>
      <c r="P152" s="3"/>
      <c r="Q152" s="3"/>
      <c r="R152" s="3"/>
    </row>
    <row r="153" s="2" customFormat="true" ht="15" hidden="false" customHeight="false" outlineLevel="0" collapsed="false">
      <c r="A153" s="3"/>
      <c r="B153" s="3"/>
      <c r="C153" s="3"/>
      <c r="D153" s="3"/>
      <c r="E153" s="3"/>
      <c r="F153" s="3"/>
      <c r="O153" s="3"/>
      <c r="P153" s="3"/>
      <c r="Q153" s="3"/>
      <c r="R153" s="3"/>
    </row>
    <row r="154" s="2" customFormat="true" ht="15" hidden="false" customHeight="false" outlineLevel="0" collapsed="false">
      <c r="A154" s="3"/>
      <c r="B154" s="3"/>
      <c r="C154" s="3"/>
      <c r="D154" s="3"/>
      <c r="E154" s="3"/>
      <c r="F154" s="3"/>
      <c r="O154" s="3"/>
      <c r="P154" s="3"/>
      <c r="Q154" s="3"/>
      <c r="R154" s="3"/>
    </row>
    <row r="155" s="2" customFormat="true" ht="15" hidden="false" customHeight="false" outlineLevel="0" collapsed="false">
      <c r="A155" s="3"/>
      <c r="B155" s="3"/>
      <c r="C155" s="3"/>
      <c r="D155" s="3"/>
      <c r="E155" s="3"/>
      <c r="F155" s="3"/>
      <c r="O155" s="3"/>
      <c r="P155" s="3"/>
      <c r="Q155" s="3"/>
      <c r="R155" s="3"/>
    </row>
    <row r="156" s="2" customFormat="true" ht="15" hidden="false" customHeight="false" outlineLevel="0" collapsed="false">
      <c r="A156" s="3"/>
      <c r="B156" s="3"/>
      <c r="C156" s="3"/>
      <c r="D156" s="3"/>
      <c r="E156" s="3"/>
      <c r="F156" s="3"/>
      <c r="O156" s="3"/>
      <c r="P156" s="3"/>
      <c r="Q156" s="3"/>
      <c r="R156" s="3"/>
    </row>
    <row r="157" s="2" customFormat="true" ht="15" hidden="false" customHeight="false" outlineLevel="0" collapsed="false">
      <c r="A157" s="3"/>
      <c r="B157" s="3"/>
      <c r="C157" s="3"/>
      <c r="D157" s="3"/>
      <c r="E157" s="3"/>
      <c r="F157" s="3"/>
      <c r="O157" s="3"/>
      <c r="P157" s="3"/>
      <c r="Q157" s="3"/>
      <c r="R157" s="3"/>
    </row>
    <row r="158" s="2" customFormat="true" ht="15" hidden="false" customHeight="false" outlineLevel="0" collapsed="false">
      <c r="A158" s="3"/>
      <c r="B158" s="3"/>
      <c r="C158" s="3"/>
      <c r="D158" s="3"/>
      <c r="E158" s="3"/>
      <c r="F158" s="3"/>
      <c r="O158" s="3"/>
      <c r="P158" s="3"/>
      <c r="Q158" s="3"/>
      <c r="R158" s="3"/>
    </row>
    <row r="159" s="2" customFormat="true" ht="15" hidden="false" customHeight="false" outlineLevel="0" collapsed="false">
      <c r="A159" s="3"/>
      <c r="B159" s="3"/>
      <c r="C159" s="3"/>
      <c r="D159" s="3"/>
      <c r="E159" s="3"/>
      <c r="F159" s="3"/>
      <c r="O159" s="3"/>
      <c r="P159" s="3"/>
      <c r="Q159" s="3"/>
      <c r="R159" s="3"/>
    </row>
    <row r="160" s="2" customFormat="true" ht="15" hidden="false" customHeight="false" outlineLevel="0" collapsed="false">
      <c r="A160" s="3"/>
      <c r="B160" s="3"/>
      <c r="C160" s="3"/>
      <c r="D160" s="3"/>
      <c r="E160" s="3"/>
      <c r="F160" s="3"/>
      <c r="O160" s="3"/>
      <c r="P160" s="3"/>
      <c r="Q160" s="3"/>
      <c r="R160" s="3"/>
    </row>
    <row r="161" s="2" customFormat="true" ht="15" hidden="false" customHeight="false" outlineLevel="0" collapsed="false">
      <c r="A161" s="3"/>
      <c r="B161" s="3"/>
      <c r="C161" s="3"/>
      <c r="D161" s="3"/>
      <c r="E161" s="3"/>
      <c r="F161" s="3"/>
      <c r="O161" s="3"/>
      <c r="P161" s="3"/>
      <c r="Q161" s="3"/>
      <c r="R161" s="3"/>
    </row>
    <row r="162" s="2" customFormat="true" ht="15" hidden="false" customHeight="false" outlineLevel="0" collapsed="false">
      <c r="A162" s="3"/>
      <c r="B162" s="3"/>
      <c r="C162" s="3"/>
      <c r="D162" s="3"/>
      <c r="E162" s="3"/>
      <c r="F162" s="3"/>
      <c r="O162" s="3"/>
      <c r="P162" s="3"/>
      <c r="Q162" s="3"/>
      <c r="R162" s="3"/>
    </row>
    <row r="163" s="2" customFormat="true" ht="15" hidden="false" customHeight="false" outlineLevel="0" collapsed="false">
      <c r="A163" s="3"/>
      <c r="B163" s="3"/>
      <c r="C163" s="3"/>
      <c r="D163" s="3"/>
      <c r="E163" s="3"/>
      <c r="F163" s="3"/>
      <c r="O163" s="3"/>
      <c r="P163" s="3"/>
      <c r="Q163" s="3"/>
      <c r="R163" s="3"/>
    </row>
    <row r="164" s="2" customFormat="true" ht="15" hidden="false" customHeight="false" outlineLevel="0" collapsed="false">
      <c r="A164" s="3"/>
      <c r="B164" s="3"/>
      <c r="C164" s="3"/>
      <c r="D164" s="3"/>
      <c r="E164" s="3"/>
      <c r="F164" s="3"/>
      <c r="O164" s="3"/>
      <c r="P164" s="3"/>
      <c r="Q164" s="3"/>
      <c r="R164" s="3"/>
    </row>
    <row r="165" s="2" customFormat="true" ht="15" hidden="false" customHeight="false" outlineLevel="0" collapsed="false">
      <c r="A165" s="3"/>
      <c r="B165" s="3"/>
      <c r="C165" s="3"/>
      <c r="D165" s="3"/>
      <c r="E165" s="3"/>
      <c r="F165" s="3"/>
      <c r="O165" s="3"/>
      <c r="P165" s="3"/>
      <c r="Q165" s="3"/>
      <c r="R165" s="3"/>
    </row>
    <row r="166" s="2" customFormat="true" ht="15" hidden="false" customHeight="false" outlineLevel="0" collapsed="false">
      <c r="A166" s="3"/>
      <c r="B166" s="3"/>
      <c r="C166" s="3"/>
      <c r="D166" s="3"/>
      <c r="E166" s="3"/>
      <c r="F166" s="3"/>
      <c r="O166" s="3"/>
      <c r="P166" s="3"/>
      <c r="Q166" s="3"/>
      <c r="R166" s="3"/>
    </row>
    <row r="167" s="2" customFormat="true" ht="15" hidden="false" customHeight="false" outlineLevel="0" collapsed="false">
      <c r="A167" s="3"/>
      <c r="B167" s="3"/>
      <c r="C167" s="3"/>
      <c r="D167" s="3"/>
      <c r="E167" s="3"/>
      <c r="F167" s="3"/>
      <c r="O167" s="3"/>
      <c r="P167" s="3"/>
      <c r="Q167" s="3"/>
      <c r="R167" s="3"/>
    </row>
    <row r="168" s="2" customFormat="true" ht="15" hidden="false" customHeight="false" outlineLevel="0" collapsed="false">
      <c r="A168" s="3"/>
      <c r="B168" s="3"/>
      <c r="C168" s="3"/>
      <c r="D168" s="3"/>
      <c r="E168" s="3"/>
      <c r="F168" s="3"/>
      <c r="O168" s="3"/>
      <c r="P168" s="3"/>
      <c r="Q168" s="3"/>
      <c r="R168" s="3"/>
    </row>
    <row r="169" s="2" customFormat="true" ht="15" hidden="false" customHeight="false" outlineLevel="0" collapsed="false">
      <c r="A169" s="3"/>
      <c r="B169" s="3"/>
      <c r="C169" s="3"/>
      <c r="D169" s="3"/>
      <c r="E169" s="3"/>
      <c r="F169" s="3"/>
      <c r="O169" s="3"/>
      <c r="P169" s="3"/>
      <c r="Q169" s="3"/>
      <c r="R169" s="3"/>
    </row>
    <row r="170" s="2" customFormat="true" ht="15" hidden="false" customHeight="false" outlineLevel="0" collapsed="false">
      <c r="A170" s="3"/>
      <c r="B170" s="3"/>
      <c r="C170" s="3"/>
      <c r="D170" s="3"/>
      <c r="E170" s="3"/>
      <c r="F170" s="3"/>
      <c r="O170" s="3"/>
      <c r="P170" s="3"/>
      <c r="Q170" s="3"/>
      <c r="R170" s="3"/>
    </row>
    <row r="171" s="2" customFormat="true" ht="15" hidden="false" customHeight="false" outlineLevel="0" collapsed="false">
      <c r="A171" s="3"/>
      <c r="B171" s="3"/>
      <c r="C171" s="3"/>
      <c r="D171" s="3"/>
      <c r="E171" s="3"/>
      <c r="F171" s="3"/>
      <c r="O171" s="3"/>
      <c r="P171" s="3"/>
      <c r="Q171" s="3"/>
      <c r="R171" s="3"/>
    </row>
    <row r="172" s="2" customFormat="true" ht="15" hidden="false" customHeight="false" outlineLevel="0" collapsed="false">
      <c r="A172" s="3"/>
      <c r="B172" s="3"/>
      <c r="C172" s="3"/>
      <c r="D172" s="3"/>
      <c r="E172" s="3"/>
      <c r="F172" s="3"/>
      <c r="O172" s="3"/>
      <c r="P172" s="3"/>
      <c r="Q172" s="3"/>
      <c r="R172" s="3"/>
    </row>
    <row r="173" s="2" customFormat="true" ht="15" hidden="false" customHeight="false" outlineLevel="0" collapsed="false">
      <c r="A173" s="3"/>
      <c r="B173" s="3"/>
      <c r="C173" s="3"/>
      <c r="D173" s="3"/>
      <c r="E173" s="3"/>
      <c r="F173" s="3"/>
      <c r="O173" s="3"/>
      <c r="P173" s="3"/>
      <c r="Q173" s="3"/>
      <c r="R173" s="3"/>
    </row>
    <row r="174" s="2" customFormat="true" ht="15" hidden="false" customHeight="false" outlineLevel="0" collapsed="false">
      <c r="A174" s="3"/>
      <c r="B174" s="3"/>
      <c r="C174" s="3"/>
      <c r="D174" s="3"/>
      <c r="E174" s="3"/>
      <c r="F174" s="3"/>
      <c r="O174" s="3"/>
      <c r="P174" s="3"/>
      <c r="Q174" s="3"/>
      <c r="R174" s="3"/>
    </row>
    <row r="175" s="2" customFormat="true" ht="15" hidden="false" customHeight="false" outlineLevel="0" collapsed="false">
      <c r="A175" s="3"/>
      <c r="B175" s="3"/>
      <c r="C175" s="3"/>
      <c r="D175" s="3"/>
      <c r="E175" s="3"/>
      <c r="F175" s="3"/>
      <c r="O175" s="3"/>
      <c r="P175" s="3"/>
      <c r="Q175" s="3"/>
      <c r="R175" s="3"/>
    </row>
    <row r="176" s="2" customFormat="true" ht="15" hidden="false" customHeight="false" outlineLevel="0" collapsed="false">
      <c r="A176" s="3"/>
      <c r="B176" s="3"/>
      <c r="C176" s="3"/>
      <c r="D176" s="3"/>
      <c r="E176" s="3"/>
      <c r="F176" s="3"/>
      <c r="O176" s="3"/>
      <c r="P176" s="3"/>
      <c r="Q176" s="3"/>
      <c r="R176" s="3"/>
    </row>
    <row r="177" s="2" customFormat="true" ht="15" hidden="false" customHeight="false" outlineLevel="0" collapsed="false">
      <c r="A177" s="3"/>
      <c r="B177" s="3"/>
      <c r="C177" s="3"/>
      <c r="D177" s="3"/>
      <c r="E177" s="3"/>
      <c r="F177" s="3"/>
      <c r="O177" s="3"/>
      <c r="P177" s="3"/>
      <c r="Q177" s="3"/>
      <c r="R177" s="3"/>
    </row>
    <row r="178" s="2" customFormat="true" ht="15" hidden="false" customHeight="false" outlineLevel="0" collapsed="false">
      <c r="A178" s="3"/>
      <c r="B178" s="3"/>
      <c r="C178" s="3"/>
      <c r="D178" s="3"/>
      <c r="E178" s="3"/>
      <c r="F178" s="3"/>
      <c r="O178" s="3"/>
      <c r="P178" s="3"/>
      <c r="Q178" s="3"/>
      <c r="R178" s="3"/>
    </row>
    <row r="179" s="2" customFormat="true" ht="15" hidden="false" customHeight="false" outlineLevel="0" collapsed="false">
      <c r="A179" s="3"/>
      <c r="B179" s="3"/>
      <c r="C179" s="3"/>
      <c r="D179" s="3"/>
      <c r="E179" s="3"/>
      <c r="F179" s="3"/>
      <c r="O179" s="3"/>
      <c r="P179" s="3"/>
      <c r="Q179" s="3"/>
      <c r="R179" s="3"/>
    </row>
    <row r="180" s="2" customFormat="true" ht="15" hidden="false" customHeight="false" outlineLevel="0" collapsed="false">
      <c r="A180" s="3"/>
      <c r="B180" s="3"/>
      <c r="C180" s="3"/>
      <c r="D180" s="3"/>
      <c r="E180" s="3"/>
      <c r="F180" s="3"/>
      <c r="O180" s="3"/>
      <c r="P180" s="3"/>
      <c r="Q180" s="3"/>
      <c r="R180" s="3"/>
    </row>
    <row r="181" s="2" customFormat="true" ht="15" hidden="false" customHeight="false" outlineLevel="0" collapsed="false">
      <c r="A181" s="3"/>
      <c r="B181" s="3"/>
      <c r="C181" s="3"/>
      <c r="D181" s="3"/>
      <c r="E181" s="3"/>
      <c r="F181" s="3"/>
      <c r="O181" s="3"/>
      <c r="P181" s="3"/>
      <c r="Q181" s="3"/>
      <c r="R181" s="3"/>
    </row>
    <row r="182" s="2" customFormat="true" ht="15" hidden="false" customHeight="false" outlineLevel="0" collapsed="false">
      <c r="A182" s="3"/>
      <c r="B182" s="3"/>
      <c r="C182" s="3"/>
      <c r="D182" s="3"/>
      <c r="E182" s="3"/>
      <c r="F182" s="3"/>
      <c r="O182" s="3"/>
      <c r="P182" s="3"/>
      <c r="Q182" s="3"/>
      <c r="R182" s="3"/>
    </row>
    <row r="183" s="2" customFormat="true" ht="15" hidden="false" customHeight="false" outlineLevel="0" collapsed="false">
      <c r="A183" s="3"/>
      <c r="B183" s="3"/>
      <c r="C183" s="3"/>
      <c r="D183" s="3"/>
      <c r="E183" s="3"/>
      <c r="F183" s="3"/>
      <c r="O183" s="3"/>
      <c r="P183" s="3"/>
      <c r="Q183" s="3"/>
      <c r="R183" s="3"/>
    </row>
    <row r="184" s="2" customFormat="true" ht="15" hidden="false" customHeight="false" outlineLevel="0" collapsed="false">
      <c r="A184" s="3"/>
      <c r="B184" s="3"/>
      <c r="C184" s="3"/>
      <c r="D184" s="3"/>
      <c r="E184" s="3"/>
      <c r="F184" s="3"/>
      <c r="O184" s="3"/>
      <c r="P184" s="3"/>
      <c r="Q184" s="3"/>
      <c r="R184" s="3"/>
    </row>
    <row r="185" s="2" customFormat="true" ht="15" hidden="false" customHeight="false" outlineLevel="0" collapsed="false">
      <c r="A185" s="3"/>
      <c r="B185" s="3"/>
      <c r="C185" s="3"/>
      <c r="D185" s="3"/>
      <c r="E185" s="3"/>
      <c r="F185" s="3"/>
      <c r="O185" s="3"/>
      <c r="P185" s="3"/>
      <c r="Q185" s="3"/>
      <c r="R185" s="3"/>
    </row>
    <row r="186" s="2" customFormat="true" ht="15" hidden="false" customHeight="false" outlineLevel="0" collapsed="false">
      <c r="A186" s="3"/>
      <c r="B186" s="3"/>
      <c r="C186" s="3"/>
      <c r="D186" s="3"/>
      <c r="E186" s="3"/>
      <c r="F186" s="3"/>
      <c r="O186" s="3"/>
      <c r="P186" s="3"/>
      <c r="Q186" s="3"/>
      <c r="R186" s="3"/>
    </row>
    <row r="187" s="2" customFormat="true" ht="15" hidden="false" customHeight="false" outlineLevel="0" collapsed="false">
      <c r="A187" s="3"/>
      <c r="B187" s="3"/>
      <c r="C187" s="3"/>
      <c r="D187" s="3"/>
      <c r="E187" s="3"/>
      <c r="F187" s="3"/>
      <c r="O187" s="3"/>
      <c r="P187" s="3"/>
      <c r="Q187" s="3"/>
      <c r="R187" s="3"/>
    </row>
    <row r="188" s="2" customFormat="true" ht="15" hidden="false" customHeight="false" outlineLevel="0" collapsed="false">
      <c r="A188" s="3"/>
      <c r="B188" s="3"/>
      <c r="C188" s="3"/>
      <c r="D188" s="3"/>
      <c r="E188" s="3"/>
      <c r="F188" s="3"/>
      <c r="O188" s="3"/>
      <c r="P188" s="3"/>
      <c r="Q188" s="3"/>
      <c r="R188" s="3"/>
    </row>
    <row r="189" s="2" customFormat="true" ht="15" hidden="false" customHeight="false" outlineLevel="0" collapsed="false">
      <c r="A189" s="3"/>
      <c r="B189" s="3"/>
      <c r="C189" s="3"/>
      <c r="D189" s="3"/>
      <c r="E189" s="3"/>
      <c r="F189" s="3"/>
      <c r="O189" s="3"/>
      <c r="P189" s="3"/>
      <c r="Q189" s="3"/>
      <c r="R189" s="3"/>
    </row>
    <row r="190" s="2" customFormat="true" ht="15" hidden="false" customHeight="false" outlineLevel="0" collapsed="false">
      <c r="A190" s="3"/>
      <c r="B190" s="3"/>
      <c r="C190" s="3"/>
      <c r="D190" s="3"/>
      <c r="E190" s="3"/>
      <c r="F190" s="3"/>
      <c r="O190" s="3"/>
      <c r="P190" s="3"/>
      <c r="Q190" s="3"/>
      <c r="R190" s="3"/>
    </row>
    <row r="191" s="2" customFormat="true" ht="15" hidden="false" customHeight="false" outlineLevel="0" collapsed="false">
      <c r="A191" s="3"/>
      <c r="B191" s="3"/>
      <c r="C191" s="3"/>
      <c r="D191" s="3"/>
      <c r="E191" s="3"/>
      <c r="F191" s="3"/>
      <c r="O191" s="3"/>
      <c r="P191" s="3"/>
      <c r="Q191" s="3"/>
      <c r="R191" s="3"/>
    </row>
    <row r="192" s="2" customFormat="true" ht="15" hidden="false" customHeight="false" outlineLevel="0" collapsed="false">
      <c r="A192" s="3"/>
      <c r="B192" s="3"/>
      <c r="C192" s="3"/>
      <c r="D192" s="3"/>
      <c r="E192" s="3"/>
      <c r="F192" s="3"/>
      <c r="O192" s="3"/>
      <c r="P192" s="3"/>
      <c r="Q192" s="3"/>
      <c r="R192" s="3"/>
    </row>
    <row r="193" s="2" customFormat="true" ht="15" hidden="false" customHeight="false" outlineLevel="0" collapsed="false">
      <c r="A193" s="3"/>
      <c r="B193" s="3"/>
      <c r="C193" s="3"/>
      <c r="D193" s="3"/>
      <c r="E193" s="3"/>
      <c r="F193" s="3"/>
      <c r="O193" s="3"/>
      <c r="P193" s="3"/>
      <c r="Q193" s="3"/>
      <c r="R193" s="3"/>
    </row>
    <row r="194" s="2" customFormat="true" ht="15" hidden="false" customHeight="false" outlineLevel="0" collapsed="false">
      <c r="A194" s="3"/>
      <c r="B194" s="3"/>
      <c r="C194" s="3"/>
      <c r="D194" s="3"/>
      <c r="E194" s="3"/>
      <c r="F194" s="3"/>
      <c r="O194" s="3"/>
      <c r="P194" s="3"/>
      <c r="Q194" s="3"/>
      <c r="R194" s="3"/>
    </row>
    <row r="195" s="2" customFormat="true" ht="15" hidden="false" customHeight="false" outlineLevel="0" collapsed="false">
      <c r="A195" s="3"/>
      <c r="B195" s="3"/>
      <c r="C195" s="3"/>
      <c r="D195" s="3"/>
      <c r="E195" s="3"/>
      <c r="F195" s="3"/>
      <c r="O195" s="3"/>
      <c r="P195" s="3"/>
      <c r="Q195" s="3"/>
      <c r="R195" s="3"/>
    </row>
    <row r="196" s="2" customFormat="true" ht="15" hidden="false" customHeight="false" outlineLevel="0" collapsed="false">
      <c r="A196" s="3"/>
      <c r="B196" s="3"/>
      <c r="C196" s="3"/>
      <c r="D196" s="3"/>
      <c r="E196" s="3"/>
      <c r="F196" s="3"/>
      <c r="O196" s="3"/>
      <c r="P196" s="3"/>
      <c r="Q196" s="3"/>
      <c r="R196" s="3"/>
    </row>
    <row r="197" s="2" customFormat="true" ht="15" hidden="false" customHeight="false" outlineLevel="0" collapsed="false">
      <c r="A197" s="3"/>
      <c r="B197" s="3"/>
      <c r="C197" s="3"/>
      <c r="D197" s="3"/>
      <c r="E197" s="3"/>
      <c r="F197" s="3"/>
      <c r="O197" s="3"/>
      <c r="P197" s="3"/>
      <c r="Q197" s="3"/>
      <c r="R197" s="3"/>
    </row>
    <row r="198" s="2" customFormat="true" ht="15" hidden="false" customHeight="false" outlineLevel="0" collapsed="false">
      <c r="A198" s="3"/>
      <c r="B198" s="3"/>
      <c r="C198" s="3"/>
      <c r="D198" s="3"/>
      <c r="E198" s="3"/>
      <c r="F198" s="3"/>
      <c r="O198" s="3"/>
      <c r="P198" s="3"/>
      <c r="Q198" s="3"/>
      <c r="R198" s="3"/>
    </row>
    <row r="199" s="2" customFormat="true" ht="15" hidden="false" customHeight="false" outlineLevel="0" collapsed="false">
      <c r="A199" s="3"/>
      <c r="B199" s="3"/>
      <c r="C199" s="3"/>
      <c r="D199" s="3"/>
      <c r="E199" s="3"/>
      <c r="F199" s="3"/>
      <c r="O199" s="3"/>
      <c r="P199" s="3"/>
      <c r="Q199" s="3"/>
      <c r="R199" s="3"/>
    </row>
    <row r="200" s="2" customFormat="true" ht="15" hidden="false" customHeight="false" outlineLevel="0" collapsed="false">
      <c r="A200" s="3"/>
      <c r="B200" s="3"/>
      <c r="C200" s="3"/>
      <c r="D200" s="3"/>
      <c r="E200" s="3"/>
      <c r="F200" s="3"/>
      <c r="O200" s="3"/>
      <c r="P200" s="3"/>
      <c r="Q200" s="3"/>
      <c r="R200" s="3"/>
    </row>
    <row r="201" s="2" customFormat="true" ht="15" hidden="false" customHeight="false" outlineLevel="0" collapsed="false">
      <c r="A201" s="3"/>
      <c r="B201" s="3"/>
      <c r="C201" s="3"/>
      <c r="D201" s="3"/>
      <c r="E201" s="3"/>
      <c r="F201" s="3"/>
      <c r="O201" s="3"/>
      <c r="P201" s="3"/>
      <c r="Q201" s="3"/>
      <c r="R201" s="3"/>
    </row>
    <row r="202" s="2" customFormat="true" ht="15" hidden="false" customHeight="false" outlineLevel="0" collapsed="false">
      <c r="A202" s="3"/>
      <c r="B202" s="3"/>
      <c r="C202" s="3"/>
      <c r="D202" s="3"/>
      <c r="E202" s="3"/>
      <c r="F202" s="3"/>
      <c r="O202" s="3"/>
      <c r="P202" s="3"/>
      <c r="Q202" s="3"/>
      <c r="R202" s="3"/>
    </row>
    <row r="203" s="2" customFormat="true" ht="15" hidden="false" customHeight="false" outlineLevel="0" collapsed="false">
      <c r="A203" s="3"/>
      <c r="B203" s="3"/>
      <c r="C203" s="3"/>
      <c r="D203" s="3"/>
      <c r="E203" s="3"/>
      <c r="F203" s="3"/>
      <c r="O203" s="3"/>
      <c r="P203" s="3"/>
      <c r="Q203" s="3"/>
      <c r="R203" s="3"/>
    </row>
    <row r="204" s="2" customFormat="true" ht="15" hidden="false" customHeight="false" outlineLevel="0" collapsed="false">
      <c r="A204" s="3"/>
      <c r="B204" s="3"/>
      <c r="C204" s="3"/>
      <c r="D204" s="3"/>
      <c r="E204" s="3"/>
      <c r="F204" s="3"/>
      <c r="O204" s="3"/>
      <c r="P204" s="3"/>
      <c r="Q204" s="3"/>
      <c r="R204" s="3"/>
    </row>
    <row r="205" s="2" customFormat="true" ht="15" hidden="false" customHeight="false" outlineLevel="0" collapsed="false">
      <c r="A205" s="3"/>
      <c r="B205" s="3"/>
      <c r="C205" s="3"/>
      <c r="D205" s="3"/>
      <c r="E205" s="3"/>
      <c r="F205" s="3"/>
      <c r="O205" s="3"/>
      <c r="P205" s="3"/>
      <c r="Q205" s="3"/>
      <c r="R205" s="3"/>
    </row>
    <row r="206" s="2" customFormat="true" ht="15" hidden="false" customHeight="false" outlineLevel="0" collapsed="false">
      <c r="A206" s="3"/>
      <c r="B206" s="3"/>
      <c r="C206" s="3"/>
      <c r="D206" s="3"/>
      <c r="E206" s="3"/>
      <c r="F206" s="3"/>
      <c r="O206" s="3"/>
      <c r="P206" s="3"/>
      <c r="Q206" s="3"/>
      <c r="R206" s="3"/>
    </row>
    <row r="207" s="2" customFormat="true" ht="15" hidden="false" customHeight="false" outlineLevel="0" collapsed="false">
      <c r="A207" s="3"/>
      <c r="B207" s="3"/>
      <c r="C207" s="3"/>
      <c r="D207" s="3"/>
      <c r="E207" s="3"/>
      <c r="F207" s="3"/>
      <c r="O207" s="3"/>
      <c r="P207" s="3"/>
      <c r="Q207" s="3"/>
      <c r="R207" s="3"/>
    </row>
    <row r="208" s="2" customFormat="true" ht="15" hidden="false" customHeight="false" outlineLevel="0" collapsed="false">
      <c r="A208" s="3"/>
      <c r="B208" s="3"/>
      <c r="C208" s="3"/>
      <c r="D208" s="3"/>
      <c r="E208" s="3"/>
      <c r="F208" s="3"/>
      <c r="O208" s="3"/>
      <c r="P208" s="3"/>
      <c r="Q208" s="3"/>
      <c r="R208" s="3"/>
    </row>
    <row r="209" s="2" customFormat="true" ht="15" hidden="false" customHeight="false" outlineLevel="0" collapsed="false">
      <c r="A209" s="3"/>
      <c r="B209" s="3"/>
      <c r="C209" s="3"/>
      <c r="D209" s="3"/>
      <c r="E209" s="3"/>
      <c r="F209" s="3"/>
      <c r="O209" s="3"/>
      <c r="P209" s="3"/>
      <c r="Q209" s="3"/>
      <c r="R209" s="3"/>
    </row>
    <row r="210" s="2" customFormat="true" ht="15" hidden="false" customHeight="false" outlineLevel="0" collapsed="false">
      <c r="A210" s="3"/>
      <c r="B210" s="3"/>
      <c r="C210" s="3"/>
      <c r="D210" s="3"/>
      <c r="E210" s="3"/>
      <c r="F210" s="3"/>
      <c r="O210" s="3"/>
      <c r="P210" s="3"/>
      <c r="Q210" s="3"/>
      <c r="R210" s="3"/>
    </row>
    <row r="211" s="2" customFormat="true" ht="15" hidden="false" customHeight="false" outlineLevel="0" collapsed="false">
      <c r="A211" s="3"/>
      <c r="B211" s="3"/>
      <c r="C211" s="3"/>
      <c r="D211" s="3"/>
      <c r="E211" s="3"/>
      <c r="F211" s="3"/>
      <c r="O211" s="3"/>
      <c r="P211" s="3"/>
      <c r="Q211" s="3"/>
      <c r="R211" s="3"/>
    </row>
    <row r="212" s="2" customFormat="true" ht="15" hidden="false" customHeight="false" outlineLevel="0" collapsed="false">
      <c r="A212" s="3"/>
      <c r="B212" s="3"/>
      <c r="C212" s="3"/>
      <c r="D212" s="3"/>
      <c r="E212" s="3"/>
      <c r="F212" s="3"/>
      <c r="O212" s="3"/>
      <c r="P212" s="3"/>
      <c r="Q212" s="3"/>
      <c r="R212" s="3"/>
    </row>
    <row r="213" s="2" customFormat="true" ht="15" hidden="false" customHeight="false" outlineLevel="0" collapsed="false">
      <c r="A213" s="3"/>
      <c r="B213" s="3"/>
      <c r="C213" s="3"/>
      <c r="D213" s="3"/>
      <c r="E213" s="3"/>
      <c r="F213" s="3"/>
      <c r="O213" s="3"/>
      <c r="P213" s="3"/>
      <c r="Q213" s="3"/>
      <c r="R213" s="3"/>
    </row>
    <row r="214" s="2" customFormat="true" ht="15" hidden="false" customHeight="false" outlineLevel="0" collapsed="false">
      <c r="A214" s="3"/>
      <c r="B214" s="3"/>
      <c r="C214" s="3"/>
      <c r="D214" s="3"/>
      <c r="E214" s="3"/>
      <c r="F214" s="3"/>
      <c r="O214" s="3"/>
      <c r="P214" s="3"/>
      <c r="Q214" s="3"/>
      <c r="R214" s="3"/>
    </row>
    <row r="215" s="2" customFormat="true" ht="15" hidden="false" customHeight="false" outlineLevel="0" collapsed="false">
      <c r="A215" s="3"/>
      <c r="B215" s="3"/>
      <c r="C215" s="3"/>
      <c r="D215" s="3"/>
      <c r="E215" s="3"/>
      <c r="F215" s="3"/>
      <c r="O215" s="3"/>
      <c r="P215" s="3"/>
      <c r="Q215" s="3"/>
      <c r="R215" s="3"/>
    </row>
    <row r="216" s="2" customFormat="true" ht="15" hidden="false" customHeight="false" outlineLevel="0" collapsed="false">
      <c r="A216" s="3"/>
      <c r="B216" s="3"/>
      <c r="C216" s="3"/>
      <c r="D216" s="3"/>
      <c r="E216" s="3"/>
      <c r="F216" s="3"/>
      <c r="O216" s="3"/>
      <c r="P216" s="3"/>
      <c r="Q216" s="3"/>
      <c r="R216" s="3"/>
    </row>
    <row r="217" s="2" customFormat="true" ht="15" hidden="false" customHeight="false" outlineLevel="0" collapsed="false">
      <c r="A217" s="3"/>
      <c r="B217" s="3"/>
      <c r="C217" s="3"/>
      <c r="D217" s="3"/>
      <c r="E217" s="3"/>
      <c r="F217" s="3"/>
      <c r="O217" s="3"/>
      <c r="P217" s="3"/>
      <c r="Q217" s="3"/>
      <c r="R217" s="3"/>
    </row>
    <row r="218" s="2" customFormat="true" ht="15" hidden="false" customHeight="false" outlineLevel="0" collapsed="false">
      <c r="A218" s="3"/>
      <c r="B218" s="3"/>
      <c r="C218" s="3"/>
      <c r="D218" s="3"/>
      <c r="E218" s="3"/>
      <c r="F218" s="3"/>
      <c r="O218" s="3"/>
      <c r="P218" s="3"/>
      <c r="Q218" s="3"/>
      <c r="R218" s="3"/>
    </row>
    <row r="219" s="2" customFormat="true" ht="15" hidden="false" customHeight="false" outlineLevel="0" collapsed="false">
      <c r="A219" s="3"/>
      <c r="B219" s="3"/>
      <c r="C219" s="3"/>
      <c r="D219" s="3"/>
      <c r="E219" s="3"/>
      <c r="F219" s="3"/>
      <c r="O219" s="3"/>
      <c r="P219" s="3"/>
      <c r="Q219" s="3"/>
      <c r="R219" s="3"/>
    </row>
    <row r="220" s="2" customFormat="true" ht="15" hidden="false" customHeight="false" outlineLevel="0" collapsed="false">
      <c r="A220" s="3"/>
      <c r="B220" s="3"/>
      <c r="C220" s="3"/>
      <c r="D220" s="3"/>
      <c r="E220" s="3"/>
      <c r="F220" s="3"/>
      <c r="O220" s="3"/>
      <c r="P220" s="3"/>
      <c r="Q220" s="3"/>
      <c r="R220" s="3"/>
    </row>
    <row r="221" s="2" customFormat="true" ht="15" hidden="false" customHeight="false" outlineLevel="0" collapsed="false">
      <c r="A221" s="3"/>
      <c r="B221" s="3"/>
      <c r="C221" s="3"/>
      <c r="D221" s="3"/>
      <c r="E221" s="3"/>
      <c r="F221" s="3"/>
      <c r="O221" s="3"/>
      <c r="P221" s="3"/>
      <c r="Q221" s="3"/>
      <c r="R221" s="3"/>
    </row>
    <row r="222" s="2" customFormat="true" ht="15" hidden="false" customHeight="false" outlineLevel="0" collapsed="false">
      <c r="A222" s="3"/>
      <c r="B222" s="3"/>
      <c r="C222" s="3"/>
      <c r="D222" s="3"/>
      <c r="E222" s="3"/>
      <c r="F222" s="3"/>
      <c r="O222" s="3"/>
      <c r="P222" s="3"/>
      <c r="Q222" s="3"/>
      <c r="R222" s="3"/>
    </row>
    <row r="223" s="2" customFormat="true" ht="15" hidden="false" customHeight="false" outlineLevel="0" collapsed="false">
      <c r="A223" s="3"/>
      <c r="B223" s="3"/>
      <c r="C223" s="3"/>
      <c r="D223" s="3"/>
      <c r="E223" s="3"/>
      <c r="F223" s="3"/>
      <c r="O223" s="3"/>
      <c r="P223" s="3"/>
      <c r="Q223" s="3"/>
      <c r="R223" s="3"/>
    </row>
    <row r="224" s="2" customFormat="true" ht="15" hidden="false" customHeight="false" outlineLevel="0" collapsed="false">
      <c r="A224" s="3"/>
      <c r="B224" s="3"/>
      <c r="C224" s="3"/>
      <c r="D224" s="3"/>
      <c r="E224" s="3"/>
      <c r="F224" s="3"/>
      <c r="O224" s="3"/>
      <c r="P224" s="3"/>
      <c r="Q224" s="3"/>
      <c r="R224" s="3"/>
    </row>
    <row r="225" s="2" customFormat="true" ht="15" hidden="false" customHeight="false" outlineLevel="0" collapsed="false">
      <c r="A225" s="3"/>
      <c r="B225" s="3"/>
      <c r="C225" s="3"/>
      <c r="D225" s="3"/>
      <c r="E225" s="3"/>
      <c r="F225" s="3"/>
      <c r="O225" s="3"/>
      <c r="P225" s="3"/>
      <c r="Q225" s="3"/>
      <c r="R225" s="3"/>
    </row>
    <row r="226" s="2" customFormat="true" ht="15" hidden="false" customHeight="false" outlineLevel="0" collapsed="false">
      <c r="A226" s="3"/>
      <c r="B226" s="3"/>
      <c r="C226" s="3"/>
      <c r="D226" s="3"/>
      <c r="E226" s="3"/>
      <c r="F226" s="3"/>
      <c r="O226" s="3"/>
      <c r="P226" s="3"/>
      <c r="Q226" s="3"/>
      <c r="R226" s="3"/>
    </row>
    <row r="227" s="2" customFormat="true" ht="15" hidden="false" customHeight="false" outlineLevel="0" collapsed="false">
      <c r="A227" s="3"/>
      <c r="B227" s="3"/>
      <c r="C227" s="3"/>
      <c r="D227" s="3"/>
      <c r="E227" s="3"/>
      <c r="F227" s="3"/>
      <c r="O227" s="3"/>
      <c r="P227" s="3"/>
      <c r="Q227" s="3"/>
      <c r="R227" s="3"/>
    </row>
    <row r="228" s="2" customFormat="true" ht="15" hidden="false" customHeight="false" outlineLevel="0" collapsed="false">
      <c r="A228" s="3"/>
      <c r="B228" s="3"/>
      <c r="C228" s="3"/>
      <c r="D228" s="3"/>
      <c r="E228" s="3"/>
      <c r="F228" s="3"/>
      <c r="O228" s="3"/>
      <c r="P228" s="3"/>
      <c r="Q228" s="3"/>
      <c r="R228" s="3"/>
    </row>
    <row r="229" s="2" customFormat="true" ht="15" hidden="false" customHeight="false" outlineLevel="0" collapsed="false">
      <c r="A229" s="3"/>
      <c r="B229" s="3"/>
      <c r="C229" s="3"/>
      <c r="D229" s="3"/>
      <c r="E229" s="3"/>
      <c r="F229" s="3"/>
      <c r="O229" s="3"/>
      <c r="P229" s="3"/>
      <c r="Q229" s="3"/>
      <c r="R229" s="3"/>
    </row>
    <row r="230" s="2" customFormat="true" ht="15" hidden="false" customHeight="false" outlineLevel="0" collapsed="false">
      <c r="A230" s="3"/>
      <c r="B230" s="3"/>
      <c r="C230" s="3"/>
      <c r="D230" s="3"/>
      <c r="E230" s="3"/>
      <c r="F230" s="3"/>
      <c r="O230" s="3"/>
      <c r="P230" s="3"/>
      <c r="Q230" s="3"/>
      <c r="R230" s="3"/>
    </row>
    <row r="231" s="2" customFormat="true" ht="15" hidden="false" customHeight="false" outlineLevel="0" collapsed="false">
      <c r="A231" s="3"/>
      <c r="B231" s="3"/>
      <c r="C231" s="3"/>
      <c r="D231" s="3"/>
      <c r="E231" s="3"/>
      <c r="F231" s="3"/>
      <c r="O231" s="3"/>
      <c r="P231" s="3"/>
      <c r="Q231" s="3"/>
      <c r="R231" s="3"/>
    </row>
    <row r="232" s="2" customFormat="true" ht="15" hidden="false" customHeight="false" outlineLevel="0" collapsed="false">
      <c r="A232" s="3"/>
      <c r="B232" s="3"/>
      <c r="C232" s="3"/>
      <c r="D232" s="3"/>
      <c r="E232" s="3"/>
      <c r="F232" s="3"/>
      <c r="O232" s="3"/>
      <c r="P232" s="3"/>
      <c r="Q232" s="3"/>
      <c r="R232" s="3"/>
    </row>
    <row r="233" s="2" customFormat="true" ht="15" hidden="false" customHeight="false" outlineLevel="0" collapsed="false">
      <c r="A233" s="3"/>
      <c r="B233" s="3"/>
      <c r="C233" s="3"/>
      <c r="D233" s="3"/>
      <c r="E233" s="3"/>
      <c r="F233" s="3"/>
      <c r="O233" s="3"/>
      <c r="P233" s="3"/>
      <c r="Q233" s="3"/>
      <c r="R233" s="3"/>
    </row>
    <row r="234" s="2" customFormat="true" ht="15" hidden="false" customHeight="false" outlineLevel="0" collapsed="false">
      <c r="A234" s="3"/>
      <c r="B234" s="3"/>
      <c r="C234" s="3"/>
      <c r="D234" s="3"/>
      <c r="E234" s="3"/>
      <c r="F234" s="3"/>
      <c r="O234" s="3"/>
      <c r="P234" s="3"/>
      <c r="Q234" s="3"/>
      <c r="R234" s="3"/>
    </row>
    <row r="235" s="2" customFormat="true" ht="15" hidden="false" customHeight="false" outlineLevel="0" collapsed="false">
      <c r="A235" s="3"/>
      <c r="B235" s="3"/>
      <c r="C235" s="3"/>
      <c r="D235" s="3"/>
      <c r="E235" s="3"/>
      <c r="F235" s="3"/>
      <c r="O235" s="3"/>
      <c r="P235" s="3"/>
      <c r="Q235" s="3"/>
      <c r="R235" s="3"/>
    </row>
    <row r="236" s="2" customFormat="true" ht="15" hidden="false" customHeight="false" outlineLevel="0" collapsed="false">
      <c r="A236" s="3"/>
      <c r="B236" s="3"/>
      <c r="C236" s="3"/>
      <c r="D236" s="3"/>
      <c r="E236" s="3"/>
      <c r="F236" s="3"/>
      <c r="O236" s="3"/>
      <c r="P236" s="3"/>
      <c r="Q236" s="3"/>
      <c r="R236" s="3"/>
    </row>
    <row r="237" s="2" customFormat="true" ht="15" hidden="false" customHeight="false" outlineLevel="0" collapsed="false">
      <c r="A237" s="3"/>
      <c r="B237" s="3"/>
      <c r="C237" s="3"/>
      <c r="D237" s="3"/>
      <c r="E237" s="3"/>
      <c r="F237" s="3"/>
      <c r="O237" s="3"/>
      <c r="P237" s="3"/>
      <c r="Q237" s="3"/>
      <c r="R237" s="3"/>
    </row>
    <row r="238" s="2" customFormat="true" ht="15" hidden="false" customHeight="false" outlineLevel="0" collapsed="false">
      <c r="A238" s="3"/>
      <c r="B238" s="3"/>
      <c r="C238" s="3"/>
      <c r="D238" s="3"/>
      <c r="E238" s="3"/>
      <c r="F238" s="3"/>
      <c r="O238" s="3"/>
      <c r="P238" s="3"/>
      <c r="Q238" s="3"/>
      <c r="R238" s="3"/>
    </row>
    <row r="239" s="2" customFormat="true" ht="15" hidden="false" customHeight="false" outlineLevel="0" collapsed="false">
      <c r="A239" s="3"/>
      <c r="B239" s="3"/>
      <c r="C239" s="3"/>
      <c r="D239" s="3"/>
      <c r="E239" s="3"/>
      <c r="F239" s="3"/>
      <c r="O239" s="3"/>
      <c r="P239" s="3"/>
      <c r="Q239" s="3"/>
      <c r="R239" s="3"/>
    </row>
    <row r="240" s="2" customFormat="true" ht="15" hidden="false" customHeight="false" outlineLevel="0" collapsed="false">
      <c r="A240" s="3"/>
      <c r="B240" s="3"/>
      <c r="C240" s="3"/>
      <c r="D240" s="3"/>
      <c r="E240" s="3"/>
      <c r="F240" s="3"/>
      <c r="O240" s="3"/>
      <c r="P240" s="3"/>
      <c r="Q240" s="3"/>
      <c r="R240" s="3"/>
    </row>
    <row r="241" s="2" customFormat="true" ht="15" hidden="false" customHeight="false" outlineLevel="0" collapsed="false">
      <c r="A241" s="3"/>
      <c r="B241" s="3"/>
      <c r="C241" s="3"/>
      <c r="D241" s="3"/>
      <c r="E241" s="3"/>
      <c r="F241" s="3"/>
      <c r="O241" s="3"/>
      <c r="P241" s="3"/>
      <c r="Q241" s="3"/>
      <c r="R241" s="3"/>
    </row>
    <row r="242" s="2" customFormat="true" ht="15" hidden="false" customHeight="false" outlineLevel="0" collapsed="false">
      <c r="A242" s="3"/>
      <c r="B242" s="3"/>
      <c r="C242" s="3"/>
      <c r="D242" s="3"/>
      <c r="E242" s="3"/>
      <c r="F242" s="3"/>
      <c r="O242" s="3"/>
      <c r="P242" s="3"/>
      <c r="Q242" s="3"/>
      <c r="R242" s="3"/>
    </row>
    <row r="243" s="2" customFormat="true" ht="15" hidden="false" customHeight="false" outlineLevel="0" collapsed="false">
      <c r="A243" s="3"/>
      <c r="B243" s="3"/>
      <c r="C243" s="3"/>
      <c r="D243" s="3"/>
      <c r="E243" s="3"/>
      <c r="F243" s="3"/>
      <c r="O243" s="3"/>
      <c r="P243" s="3"/>
      <c r="Q243" s="3"/>
      <c r="R243" s="3"/>
    </row>
    <row r="244" s="2" customFormat="true" ht="15" hidden="false" customHeight="false" outlineLevel="0" collapsed="false">
      <c r="A244" s="3"/>
      <c r="B244" s="3"/>
      <c r="C244" s="3"/>
      <c r="D244" s="3"/>
      <c r="E244" s="3"/>
      <c r="F244" s="3"/>
      <c r="O244" s="3"/>
      <c r="P244" s="3"/>
      <c r="Q244" s="3"/>
      <c r="R244" s="3"/>
    </row>
    <row r="245" s="2" customFormat="true" ht="15" hidden="false" customHeight="false" outlineLevel="0" collapsed="false">
      <c r="A245" s="3"/>
      <c r="B245" s="3"/>
      <c r="C245" s="3"/>
      <c r="D245" s="3"/>
      <c r="E245" s="3"/>
      <c r="F245" s="3"/>
      <c r="O245" s="3"/>
      <c r="P245" s="3"/>
      <c r="Q245" s="3"/>
      <c r="R245" s="3"/>
    </row>
    <row r="246" s="2" customFormat="true" ht="15" hidden="false" customHeight="false" outlineLevel="0" collapsed="false">
      <c r="A246" s="3"/>
      <c r="B246" s="3"/>
      <c r="C246" s="3"/>
      <c r="D246" s="3"/>
      <c r="E246" s="3"/>
      <c r="F246" s="3"/>
      <c r="O246" s="3"/>
      <c r="P246" s="3"/>
      <c r="Q246" s="3"/>
      <c r="R246" s="3"/>
    </row>
    <row r="247" s="2" customFormat="true" ht="15" hidden="false" customHeight="false" outlineLevel="0" collapsed="false">
      <c r="A247" s="3"/>
      <c r="B247" s="3"/>
      <c r="C247" s="3"/>
      <c r="D247" s="3"/>
      <c r="E247" s="3"/>
      <c r="F247" s="3"/>
      <c r="O247" s="3"/>
      <c r="P247" s="3"/>
      <c r="Q247" s="3"/>
      <c r="R247" s="3"/>
    </row>
    <row r="248" s="2" customFormat="true" ht="15" hidden="false" customHeight="false" outlineLevel="0" collapsed="false">
      <c r="A248" s="3"/>
      <c r="B248" s="3"/>
      <c r="C248" s="3"/>
      <c r="D248" s="3"/>
      <c r="E248" s="3"/>
      <c r="F248" s="3"/>
      <c r="O248" s="3"/>
      <c r="P248" s="3"/>
      <c r="Q248" s="3"/>
      <c r="R248" s="3"/>
    </row>
    <row r="249" s="2" customFormat="true" ht="15" hidden="false" customHeight="false" outlineLevel="0" collapsed="false">
      <c r="A249" s="3"/>
      <c r="B249" s="3"/>
      <c r="C249" s="3"/>
      <c r="D249" s="3"/>
      <c r="E249" s="3"/>
      <c r="F249" s="3"/>
      <c r="O249" s="3"/>
      <c r="P249" s="3"/>
      <c r="Q249" s="3"/>
      <c r="R249" s="3"/>
    </row>
    <row r="250" s="2" customFormat="true" ht="15" hidden="false" customHeight="false" outlineLevel="0" collapsed="false">
      <c r="A250" s="3"/>
      <c r="B250" s="3"/>
      <c r="C250" s="3"/>
      <c r="D250" s="3"/>
      <c r="E250" s="3"/>
      <c r="F250" s="3"/>
      <c r="O250" s="3"/>
      <c r="P250" s="3"/>
      <c r="Q250" s="3"/>
      <c r="R250" s="3"/>
    </row>
    <row r="251" s="2" customFormat="true" ht="15" hidden="false" customHeight="false" outlineLevel="0" collapsed="false">
      <c r="A251" s="3"/>
      <c r="B251" s="3"/>
      <c r="C251" s="3"/>
      <c r="D251" s="3"/>
      <c r="E251" s="3"/>
      <c r="F251" s="3"/>
      <c r="O251" s="3"/>
      <c r="P251" s="3"/>
      <c r="Q251" s="3"/>
      <c r="R251" s="3"/>
    </row>
    <row r="252" s="2" customFormat="true" ht="15" hidden="false" customHeight="false" outlineLevel="0" collapsed="false">
      <c r="A252" s="3"/>
      <c r="B252" s="3"/>
      <c r="C252" s="3"/>
      <c r="D252" s="3"/>
      <c r="E252" s="3"/>
      <c r="F252" s="3"/>
      <c r="O252" s="3"/>
      <c r="P252" s="3"/>
      <c r="Q252" s="3"/>
      <c r="R252" s="3"/>
    </row>
    <row r="253" s="2" customFormat="true" ht="15" hidden="false" customHeight="false" outlineLevel="0" collapsed="false">
      <c r="A253" s="3"/>
      <c r="B253" s="3"/>
      <c r="C253" s="3"/>
      <c r="D253" s="3"/>
      <c r="E253" s="3"/>
      <c r="F253" s="3"/>
      <c r="O253" s="3"/>
      <c r="P253" s="3"/>
      <c r="Q253" s="3"/>
      <c r="R253" s="3"/>
    </row>
    <row r="254" s="2" customFormat="true" ht="15" hidden="false" customHeight="false" outlineLevel="0" collapsed="false">
      <c r="A254" s="3"/>
      <c r="B254" s="3"/>
      <c r="C254" s="3"/>
      <c r="D254" s="3"/>
      <c r="E254" s="3"/>
      <c r="F254" s="3"/>
      <c r="O254" s="3"/>
      <c r="P254" s="3"/>
      <c r="Q254" s="3"/>
      <c r="R254" s="3"/>
    </row>
    <row r="255" s="2" customFormat="true" ht="15" hidden="false" customHeight="false" outlineLevel="0" collapsed="false">
      <c r="A255" s="3"/>
      <c r="B255" s="3"/>
      <c r="C255" s="3"/>
      <c r="D255" s="3"/>
      <c r="E255" s="3"/>
      <c r="F255" s="3"/>
      <c r="O255" s="3"/>
      <c r="P255" s="3"/>
      <c r="Q255" s="3"/>
      <c r="R255" s="3"/>
    </row>
    <row r="256" s="2" customFormat="true" ht="15" hidden="false" customHeight="false" outlineLevel="0" collapsed="false">
      <c r="A256" s="3"/>
      <c r="B256" s="3"/>
      <c r="C256" s="3"/>
      <c r="D256" s="3"/>
      <c r="E256" s="3"/>
      <c r="F256" s="3"/>
      <c r="O256" s="3"/>
      <c r="P256" s="3"/>
      <c r="Q256" s="3"/>
      <c r="R256" s="3"/>
    </row>
    <row r="257" s="2" customFormat="true" ht="15" hidden="false" customHeight="false" outlineLevel="0" collapsed="false">
      <c r="A257" s="3"/>
      <c r="B257" s="3"/>
      <c r="C257" s="3"/>
      <c r="D257" s="3"/>
      <c r="E257" s="3"/>
      <c r="F257" s="3"/>
      <c r="O257" s="3"/>
      <c r="P257" s="3"/>
      <c r="Q257" s="3"/>
      <c r="R257" s="3"/>
    </row>
    <row r="258" s="2" customFormat="true" ht="15" hidden="false" customHeight="false" outlineLevel="0" collapsed="false">
      <c r="A258" s="3"/>
      <c r="B258" s="3"/>
      <c r="C258" s="3"/>
      <c r="D258" s="3"/>
      <c r="E258" s="3"/>
      <c r="F258" s="3"/>
      <c r="O258" s="3"/>
      <c r="P258" s="3"/>
      <c r="Q258" s="3"/>
      <c r="R258" s="3"/>
    </row>
    <row r="259" s="2" customFormat="true" ht="15" hidden="false" customHeight="false" outlineLevel="0" collapsed="false">
      <c r="A259" s="3"/>
      <c r="B259" s="3"/>
      <c r="C259" s="3"/>
      <c r="D259" s="3"/>
      <c r="E259" s="3"/>
      <c r="F259" s="3"/>
      <c r="O259" s="3"/>
      <c r="P259" s="3"/>
      <c r="Q259" s="3"/>
      <c r="R259" s="3"/>
    </row>
    <row r="260" s="2" customFormat="true" ht="15" hidden="false" customHeight="false" outlineLevel="0" collapsed="false">
      <c r="A260" s="3"/>
      <c r="B260" s="3"/>
      <c r="C260" s="3"/>
      <c r="D260" s="3"/>
      <c r="E260" s="3"/>
      <c r="F260" s="3"/>
      <c r="O260" s="3"/>
      <c r="P260" s="3"/>
      <c r="Q260" s="3"/>
      <c r="R260" s="3"/>
    </row>
    <row r="261" s="2" customFormat="true" ht="15" hidden="false" customHeight="false" outlineLevel="0" collapsed="false">
      <c r="A261" s="3"/>
      <c r="B261" s="3"/>
      <c r="C261" s="3"/>
      <c r="D261" s="3"/>
      <c r="E261" s="3"/>
      <c r="F261" s="3"/>
      <c r="O261" s="3"/>
      <c r="P261" s="3"/>
      <c r="Q261" s="3"/>
      <c r="R261" s="3"/>
    </row>
    <row r="262" s="2" customFormat="true" ht="15" hidden="false" customHeight="false" outlineLevel="0" collapsed="false">
      <c r="A262" s="3"/>
      <c r="B262" s="3"/>
      <c r="C262" s="3"/>
      <c r="D262" s="3"/>
      <c r="E262" s="3"/>
      <c r="F262" s="3"/>
      <c r="O262" s="3"/>
      <c r="P262" s="3"/>
      <c r="Q262" s="3"/>
      <c r="R262" s="3"/>
    </row>
    <row r="263" s="2" customFormat="true" ht="15" hidden="false" customHeight="false" outlineLevel="0" collapsed="false">
      <c r="A263" s="3"/>
      <c r="B263" s="3"/>
      <c r="C263" s="3"/>
      <c r="D263" s="3"/>
      <c r="E263" s="3"/>
      <c r="F263" s="3"/>
      <c r="O263" s="3"/>
      <c r="P263" s="3"/>
      <c r="Q263" s="3"/>
      <c r="R263" s="3"/>
    </row>
    <row r="264" s="2" customFormat="true" ht="15" hidden="false" customHeight="false" outlineLevel="0" collapsed="false">
      <c r="A264" s="3"/>
      <c r="B264" s="3"/>
      <c r="C264" s="3"/>
      <c r="D264" s="3"/>
      <c r="E264" s="3"/>
      <c r="F264" s="3"/>
      <c r="O264" s="3"/>
      <c r="P264" s="3"/>
      <c r="Q264" s="3"/>
      <c r="R264" s="3"/>
    </row>
    <row r="265" s="2" customFormat="true" ht="15" hidden="false" customHeight="false" outlineLevel="0" collapsed="false">
      <c r="A265" s="3"/>
      <c r="B265" s="3"/>
      <c r="C265" s="3"/>
      <c r="D265" s="3"/>
      <c r="E265" s="3"/>
      <c r="F265" s="3"/>
      <c r="O265" s="3"/>
      <c r="P265" s="3"/>
      <c r="Q265" s="3"/>
      <c r="R265" s="3"/>
    </row>
    <row r="266" s="2" customFormat="true" ht="15" hidden="false" customHeight="false" outlineLevel="0" collapsed="false">
      <c r="A266" s="3"/>
      <c r="B266" s="3"/>
      <c r="C266" s="3"/>
      <c r="D266" s="3"/>
      <c r="E266" s="3"/>
      <c r="F266" s="3"/>
      <c r="O266" s="3"/>
      <c r="P266" s="3"/>
      <c r="Q266" s="3"/>
      <c r="R266" s="3"/>
    </row>
    <row r="267" s="2" customFormat="true" ht="15" hidden="false" customHeight="false" outlineLevel="0" collapsed="false">
      <c r="A267" s="3"/>
      <c r="B267" s="3"/>
      <c r="C267" s="3"/>
      <c r="D267" s="3"/>
      <c r="E267" s="3"/>
      <c r="F267" s="3"/>
      <c r="O267" s="3"/>
      <c r="P267" s="3"/>
      <c r="Q267" s="3"/>
      <c r="R267" s="3"/>
    </row>
    <row r="268" s="2" customFormat="true" ht="15" hidden="false" customHeight="false" outlineLevel="0" collapsed="false">
      <c r="A268" s="3"/>
      <c r="B268" s="3"/>
      <c r="C268" s="3"/>
      <c r="D268" s="3"/>
      <c r="E268" s="3"/>
      <c r="F268" s="3"/>
      <c r="O268" s="3"/>
      <c r="P268" s="3"/>
      <c r="Q268" s="3"/>
      <c r="R268" s="3"/>
    </row>
    <row r="269" s="2" customFormat="true" ht="15" hidden="false" customHeight="false" outlineLevel="0" collapsed="false">
      <c r="A269" s="3"/>
      <c r="B269" s="3"/>
      <c r="C269" s="3"/>
      <c r="D269" s="3"/>
      <c r="E269" s="3"/>
      <c r="F269" s="3"/>
      <c r="O269" s="3"/>
      <c r="P269" s="3"/>
      <c r="Q269" s="3"/>
      <c r="R269" s="3"/>
    </row>
    <row r="270" s="2" customFormat="true" ht="15" hidden="false" customHeight="false" outlineLevel="0" collapsed="false">
      <c r="A270" s="3"/>
      <c r="B270" s="3"/>
      <c r="C270" s="3"/>
      <c r="D270" s="3"/>
      <c r="E270" s="3"/>
      <c r="F270" s="3"/>
      <c r="O270" s="3"/>
      <c r="P270" s="3"/>
      <c r="Q270" s="3"/>
      <c r="R270" s="3"/>
    </row>
    <row r="271" s="2" customFormat="true" ht="15" hidden="false" customHeight="false" outlineLevel="0" collapsed="false">
      <c r="A271" s="3"/>
      <c r="B271" s="3"/>
      <c r="C271" s="3"/>
      <c r="D271" s="3"/>
      <c r="E271" s="3"/>
      <c r="F271" s="3"/>
      <c r="O271" s="3"/>
      <c r="P271" s="3"/>
      <c r="Q271" s="3"/>
      <c r="R271" s="3"/>
    </row>
    <row r="272" s="2" customFormat="true" ht="15" hidden="false" customHeight="false" outlineLevel="0" collapsed="false">
      <c r="A272" s="3"/>
      <c r="B272" s="3"/>
      <c r="C272" s="3"/>
      <c r="D272" s="3"/>
      <c r="E272" s="3"/>
      <c r="F272" s="3"/>
      <c r="O272" s="3"/>
      <c r="P272" s="3"/>
      <c r="Q272" s="3"/>
      <c r="R272" s="3"/>
    </row>
    <row r="273" s="2" customFormat="true" ht="15" hidden="false" customHeight="false" outlineLevel="0" collapsed="false">
      <c r="A273" s="3"/>
      <c r="B273" s="3"/>
      <c r="C273" s="3"/>
      <c r="D273" s="3"/>
      <c r="E273" s="3"/>
      <c r="F273" s="3"/>
      <c r="O273" s="3"/>
      <c r="P273" s="3"/>
      <c r="Q273" s="3"/>
      <c r="R273" s="3"/>
    </row>
    <row r="274" s="2" customFormat="true" ht="15" hidden="false" customHeight="false" outlineLevel="0" collapsed="false">
      <c r="A274" s="3"/>
      <c r="B274" s="3"/>
      <c r="C274" s="3"/>
      <c r="D274" s="3"/>
      <c r="E274" s="3"/>
      <c r="F274" s="3"/>
      <c r="O274" s="3"/>
      <c r="P274" s="3"/>
      <c r="Q274" s="3"/>
      <c r="R274" s="3"/>
    </row>
    <row r="275" s="2" customFormat="true" ht="15" hidden="false" customHeight="false" outlineLevel="0" collapsed="false">
      <c r="A275" s="3"/>
      <c r="B275" s="3"/>
      <c r="C275" s="3"/>
      <c r="D275" s="3"/>
      <c r="E275" s="3"/>
      <c r="F275" s="3"/>
      <c r="O275" s="3"/>
      <c r="P275" s="3"/>
      <c r="Q275" s="3"/>
      <c r="R275" s="3"/>
    </row>
    <row r="276" s="2" customFormat="true" ht="15" hidden="false" customHeight="false" outlineLevel="0" collapsed="false">
      <c r="A276" s="3"/>
      <c r="B276" s="3"/>
      <c r="C276" s="3"/>
      <c r="D276" s="3"/>
      <c r="E276" s="3"/>
      <c r="F276" s="3"/>
      <c r="O276" s="3"/>
      <c r="P276" s="3"/>
      <c r="Q276" s="3"/>
      <c r="R276" s="3"/>
    </row>
    <row r="277" s="2" customFormat="true" ht="15" hidden="false" customHeight="false" outlineLevel="0" collapsed="false">
      <c r="A277" s="3"/>
      <c r="B277" s="3"/>
      <c r="C277" s="3"/>
      <c r="D277" s="3"/>
      <c r="E277" s="3"/>
      <c r="F277" s="3"/>
      <c r="O277" s="3"/>
      <c r="P277" s="3"/>
      <c r="Q277" s="3"/>
      <c r="R277" s="3"/>
    </row>
    <row r="278" s="2" customFormat="true" ht="15" hidden="false" customHeight="false" outlineLevel="0" collapsed="false">
      <c r="A278" s="3"/>
      <c r="B278" s="3"/>
      <c r="C278" s="3"/>
      <c r="D278" s="3"/>
      <c r="E278" s="3"/>
      <c r="F278" s="3"/>
      <c r="O278" s="3"/>
      <c r="P278" s="3"/>
      <c r="Q278" s="3"/>
      <c r="R278" s="3"/>
    </row>
    <row r="279" s="2" customFormat="true" ht="15" hidden="false" customHeight="false" outlineLevel="0" collapsed="false">
      <c r="A279" s="3"/>
      <c r="B279" s="3"/>
      <c r="C279" s="3"/>
      <c r="D279" s="3"/>
      <c r="E279" s="3"/>
      <c r="F279" s="3"/>
      <c r="O279" s="3"/>
      <c r="P279" s="3"/>
      <c r="Q279" s="3"/>
      <c r="R279" s="3"/>
    </row>
    <row r="280" s="2" customFormat="true" ht="15" hidden="false" customHeight="false" outlineLevel="0" collapsed="false">
      <c r="A280" s="3"/>
      <c r="B280" s="3"/>
      <c r="C280" s="3"/>
      <c r="D280" s="3"/>
      <c r="E280" s="3"/>
      <c r="F280" s="3"/>
      <c r="O280" s="3"/>
      <c r="P280" s="3"/>
      <c r="Q280" s="3"/>
      <c r="R280" s="3"/>
    </row>
    <row r="281" s="2" customFormat="true" ht="15" hidden="false" customHeight="false" outlineLevel="0" collapsed="false">
      <c r="A281" s="3"/>
      <c r="B281" s="3"/>
      <c r="C281" s="3"/>
      <c r="D281" s="3"/>
      <c r="E281" s="3"/>
      <c r="F281" s="3"/>
      <c r="O281" s="3"/>
      <c r="P281" s="3"/>
      <c r="Q281" s="3"/>
      <c r="R281" s="3"/>
    </row>
    <row r="282" s="2" customFormat="true" ht="15" hidden="false" customHeight="false" outlineLevel="0" collapsed="false">
      <c r="A282" s="3"/>
      <c r="B282" s="3"/>
      <c r="C282" s="3"/>
      <c r="D282" s="3"/>
      <c r="E282" s="3"/>
      <c r="F282" s="3"/>
      <c r="O282" s="3"/>
      <c r="P282" s="3"/>
      <c r="Q282" s="3"/>
      <c r="R282" s="3"/>
    </row>
    <row r="283" s="2" customFormat="true" ht="15" hidden="false" customHeight="false" outlineLevel="0" collapsed="false">
      <c r="A283" s="3"/>
      <c r="B283" s="3"/>
      <c r="C283" s="3"/>
      <c r="D283" s="3"/>
      <c r="E283" s="3"/>
      <c r="F283" s="3"/>
      <c r="O283" s="3"/>
      <c r="P283" s="3"/>
      <c r="Q283" s="3"/>
      <c r="R283" s="3"/>
    </row>
    <row r="284" s="2" customFormat="true" ht="15" hidden="false" customHeight="false" outlineLevel="0" collapsed="false">
      <c r="A284" s="3"/>
      <c r="B284" s="3"/>
      <c r="C284" s="3"/>
      <c r="D284" s="3"/>
      <c r="E284" s="3"/>
      <c r="F284" s="3"/>
      <c r="O284" s="3"/>
      <c r="P284" s="3"/>
      <c r="Q284" s="3"/>
      <c r="R284" s="3"/>
    </row>
    <row r="285" s="2" customFormat="true" ht="15" hidden="false" customHeight="false" outlineLevel="0" collapsed="false">
      <c r="A285" s="3"/>
      <c r="B285" s="3"/>
      <c r="C285" s="3"/>
      <c r="D285" s="3"/>
      <c r="E285" s="3"/>
      <c r="F285" s="3"/>
      <c r="O285" s="3"/>
      <c r="P285" s="3"/>
      <c r="Q285" s="3"/>
      <c r="R285" s="3"/>
    </row>
    <row r="286" s="2" customFormat="true" ht="15" hidden="false" customHeight="false" outlineLevel="0" collapsed="false">
      <c r="A286" s="3"/>
      <c r="B286" s="3"/>
      <c r="C286" s="3"/>
      <c r="D286" s="3"/>
      <c r="E286" s="3"/>
      <c r="F286" s="3"/>
      <c r="O286" s="3"/>
      <c r="P286" s="3"/>
      <c r="Q286" s="3"/>
      <c r="R286" s="3"/>
    </row>
    <row r="287" s="2" customFormat="true" ht="15" hidden="false" customHeight="false" outlineLevel="0" collapsed="false">
      <c r="A287" s="3"/>
      <c r="B287" s="3"/>
      <c r="C287" s="3"/>
      <c r="D287" s="3"/>
      <c r="E287" s="3"/>
      <c r="F287" s="3"/>
      <c r="O287" s="3"/>
      <c r="P287" s="3"/>
      <c r="Q287" s="3"/>
      <c r="R287" s="3"/>
    </row>
    <row r="288" s="2" customFormat="true" ht="15" hidden="false" customHeight="false" outlineLevel="0" collapsed="false">
      <c r="A288" s="3"/>
      <c r="B288" s="3"/>
      <c r="C288" s="3"/>
      <c r="D288" s="3"/>
      <c r="E288" s="3"/>
      <c r="F288" s="3"/>
      <c r="O288" s="3"/>
      <c r="P288" s="3"/>
      <c r="Q288" s="3"/>
      <c r="R288" s="3"/>
    </row>
    <row r="289" s="2" customFormat="true" ht="15" hidden="false" customHeight="false" outlineLevel="0" collapsed="false">
      <c r="A289" s="3"/>
      <c r="B289" s="3"/>
      <c r="C289" s="3"/>
      <c r="D289" s="3"/>
      <c r="E289" s="3"/>
      <c r="F289" s="3"/>
      <c r="O289" s="3"/>
      <c r="P289" s="3"/>
      <c r="Q289" s="3"/>
      <c r="R289" s="3"/>
    </row>
    <row r="290" s="2" customFormat="true" ht="15" hidden="false" customHeight="false" outlineLevel="0" collapsed="false">
      <c r="A290" s="3"/>
      <c r="B290" s="3"/>
      <c r="C290" s="3"/>
      <c r="D290" s="3"/>
      <c r="E290" s="3"/>
      <c r="F290" s="3"/>
      <c r="O290" s="3"/>
      <c r="P290" s="3"/>
      <c r="Q290" s="3"/>
      <c r="R290" s="3"/>
    </row>
    <row r="291" s="2" customFormat="true" ht="15" hidden="false" customHeight="false" outlineLevel="0" collapsed="false">
      <c r="A291" s="3"/>
      <c r="B291" s="3"/>
      <c r="C291" s="3"/>
      <c r="D291" s="3"/>
      <c r="E291" s="3"/>
      <c r="F291" s="3"/>
      <c r="O291" s="3"/>
      <c r="P291" s="3"/>
      <c r="Q291" s="3"/>
      <c r="R291" s="3"/>
    </row>
    <row r="292" s="2" customFormat="true" ht="15" hidden="false" customHeight="false" outlineLevel="0" collapsed="false">
      <c r="A292" s="3"/>
      <c r="B292" s="3"/>
      <c r="C292" s="3"/>
      <c r="D292" s="3"/>
      <c r="E292" s="3"/>
      <c r="F292" s="3"/>
      <c r="O292" s="3"/>
      <c r="P292" s="3"/>
      <c r="Q292" s="3"/>
      <c r="R292" s="3"/>
    </row>
    <row r="293" s="2" customFormat="true" ht="15" hidden="false" customHeight="false" outlineLevel="0" collapsed="false">
      <c r="A293" s="3"/>
      <c r="B293" s="3"/>
      <c r="C293" s="3"/>
      <c r="D293" s="3"/>
      <c r="E293" s="3"/>
      <c r="F293" s="3"/>
      <c r="O293" s="3"/>
      <c r="P293" s="3"/>
      <c r="Q293" s="3"/>
      <c r="R293" s="3"/>
    </row>
    <row r="294" s="2" customFormat="true" ht="15" hidden="false" customHeight="false" outlineLevel="0" collapsed="false">
      <c r="A294" s="3"/>
      <c r="B294" s="3"/>
      <c r="C294" s="3"/>
      <c r="D294" s="3"/>
      <c r="E294" s="3"/>
      <c r="F294" s="3"/>
      <c r="O294" s="3"/>
      <c r="P294" s="3"/>
      <c r="Q294" s="3"/>
      <c r="R294" s="3"/>
    </row>
    <row r="295" s="2" customFormat="true" ht="15" hidden="false" customHeight="false" outlineLevel="0" collapsed="false">
      <c r="A295" s="3"/>
      <c r="B295" s="3"/>
      <c r="C295" s="3"/>
      <c r="D295" s="3"/>
      <c r="E295" s="3"/>
      <c r="F295" s="3"/>
      <c r="O295" s="3"/>
      <c r="P295" s="3"/>
      <c r="Q295" s="3"/>
      <c r="R295" s="3"/>
    </row>
    <row r="296" s="2" customFormat="true" ht="15" hidden="false" customHeight="false" outlineLevel="0" collapsed="false">
      <c r="A296" s="3"/>
      <c r="B296" s="3"/>
      <c r="C296" s="3"/>
      <c r="D296" s="3"/>
      <c r="E296" s="3"/>
      <c r="F296" s="3"/>
      <c r="O296" s="3"/>
      <c r="P296" s="3"/>
      <c r="Q296" s="3"/>
      <c r="R296" s="3"/>
    </row>
    <row r="297" s="2" customFormat="true" ht="15" hidden="false" customHeight="false" outlineLevel="0" collapsed="false">
      <c r="A297" s="3"/>
      <c r="B297" s="3"/>
      <c r="C297" s="3"/>
      <c r="D297" s="3"/>
      <c r="E297" s="3"/>
      <c r="F297" s="3"/>
      <c r="O297" s="3"/>
      <c r="P297" s="3"/>
      <c r="Q297" s="3"/>
      <c r="R297" s="3"/>
    </row>
    <row r="298" s="2" customFormat="true" ht="15" hidden="false" customHeight="false" outlineLevel="0" collapsed="false">
      <c r="A298" s="3"/>
      <c r="B298" s="3"/>
      <c r="C298" s="3"/>
      <c r="D298" s="3"/>
      <c r="E298" s="3"/>
      <c r="F298" s="3"/>
      <c r="O298" s="3"/>
      <c r="P298" s="3"/>
      <c r="Q298" s="3"/>
      <c r="R298" s="3"/>
    </row>
    <row r="299" s="2" customFormat="true" ht="15" hidden="false" customHeight="false" outlineLevel="0" collapsed="false">
      <c r="A299" s="3"/>
      <c r="B299" s="3"/>
      <c r="C299" s="3"/>
      <c r="D299" s="3"/>
      <c r="E299" s="3"/>
      <c r="F299" s="3"/>
      <c r="O299" s="3"/>
      <c r="P299" s="3"/>
      <c r="Q299" s="3"/>
      <c r="R299" s="3"/>
    </row>
    <row r="300" s="2" customFormat="true" ht="15" hidden="false" customHeight="false" outlineLevel="0" collapsed="false">
      <c r="A300" s="3"/>
      <c r="B300" s="3"/>
      <c r="C300" s="3"/>
      <c r="D300" s="3"/>
      <c r="E300" s="3"/>
      <c r="F300" s="3"/>
      <c r="O300" s="3"/>
      <c r="P300" s="3"/>
      <c r="Q300" s="3"/>
      <c r="R300" s="3"/>
    </row>
    <row r="301" s="2" customFormat="true" ht="15" hidden="false" customHeight="false" outlineLevel="0" collapsed="false">
      <c r="A301" s="3"/>
      <c r="B301" s="3"/>
      <c r="C301" s="3"/>
      <c r="D301" s="3"/>
      <c r="E301" s="3"/>
      <c r="F301" s="3"/>
      <c r="O301" s="3"/>
      <c r="P301" s="3"/>
      <c r="Q301" s="3"/>
      <c r="R301" s="3"/>
    </row>
    <row r="302" s="2" customFormat="true" ht="15" hidden="false" customHeight="false" outlineLevel="0" collapsed="false">
      <c r="A302" s="3"/>
      <c r="B302" s="3"/>
      <c r="C302" s="3"/>
      <c r="D302" s="3"/>
      <c r="E302" s="3"/>
      <c r="F302" s="3"/>
      <c r="O302" s="3"/>
      <c r="P302" s="3"/>
      <c r="Q302" s="3"/>
      <c r="R302" s="3"/>
    </row>
    <row r="303" s="2" customFormat="true" ht="15" hidden="false" customHeight="false" outlineLevel="0" collapsed="false">
      <c r="A303" s="3"/>
      <c r="B303" s="3"/>
      <c r="C303" s="3"/>
      <c r="D303" s="3"/>
      <c r="E303" s="3"/>
      <c r="F303" s="3"/>
      <c r="O303" s="3"/>
      <c r="P303" s="3"/>
      <c r="Q303" s="3"/>
      <c r="R303" s="3"/>
    </row>
    <row r="304" s="2" customFormat="true" ht="15" hidden="false" customHeight="false" outlineLevel="0" collapsed="false">
      <c r="A304" s="3"/>
      <c r="B304" s="3"/>
      <c r="C304" s="3"/>
      <c r="D304" s="3"/>
      <c r="E304" s="3"/>
      <c r="F304" s="3"/>
      <c r="O304" s="3"/>
      <c r="P304" s="3"/>
      <c r="Q304" s="3"/>
      <c r="R304" s="3"/>
    </row>
    <row r="305" s="2" customFormat="true" ht="15" hidden="false" customHeight="false" outlineLevel="0" collapsed="false">
      <c r="A305" s="3"/>
      <c r="B305" s="3"/>
      <c r="C305" s="3"/>
      <c r="D305" s="3"/>
      <c r="E305" s="3"/>
      <c r="F305" s="3"/>
      <c r="O305" s="3"/>
      <c r="P305" s="3"/>
      <c r="Q305" s="3"/>
      <c r="R305" s="3"/>
    </row>
    <row r="306" s="2" customFormat="true" ht="15" hidden="false" customHeight="false" outlineLevel="0" collapsed="false">
      <c r="A306" s="3"/>
      <c r="B306" s="3"/>
      <c r="C306" s="3"/>
      <c r="D306" s="3"/>
      <c r="E306" s="3"/>
      <c r="F306" s="3"/>
      <c r="O306" s="3"/>
      <c r="P306" s="3"/>
      <c r="Q306" s="3"/>
      <c r="R306" s="3"/>
    </row>
    <row r="307" s="2" customFormat="true" ht="15" hidden="false" customHeight="false" outlineLevel="0" collapsed="false">
      <c r="A307" s="3"/>
      <c r="B307" s="3"/>
      <c r="C307" s="3"/>
      <c r="D307" s="3"/>
      <c r="E307" s="3"/>
      <c r="F307" s="3"/>
      <c r="O307" s="3"/>
      <c r="P307" s="3"/>
      <c r="Q307" s="3"/>
      <c r="R307" s="3"/>
    </row>
    <row r="308" s="2" customFormat="true" ht="15" hidden="false" customHeight="false" outlineLevel="0" collapsed="false">
      <c r="A308" s="3"/>
      <c r="B308" s="3"/>
      <c r="C308" s="3"/>
      <c r="D308" s="3"/>
      <c r="E308" s="3"/>
      <c r="F308" s="3"/>
      <c r="O308" s="3"/>
      <c r="P308" s="3"/>
      <c r="Q308" s="3"/>
      <c r="R308" s="3"/>
    </row>
    <row r="309" s="2" customFormat="true" ht="15" hidden="false" customHeight="false" outlineLevel="0" collapsed="false">
      <c r="A309" s="3"/>
      <c r="B309" s="3"/>
      <c r="C309" s="3"/>
      <c r="D309" s="3"/>
      <c r="E309" s="3"/>
      <c r="F309" s="3"/>
      <c r="O309" s="3"/>
      <c r="P309" s="3"/>
      <c r="Q309" s="3"/>
      <c r="R309" s="3"/>
    </row>
    <row r="310" s="2" customFormat="true" ht="15" hidden="false" customHeight="false" outlineLevel="0" collapsed="false">
      <c r="A310" s="3"/>
      <c r="B310" s="3"/>
      <c r="C310" s="3"/>
      <c r="D310" s="3"/>
      <c r="E310" s="3"/>
      <c r="F310" s="3"/>
      <c r="O310" s="3"/>
      <c r="P310" s="3"/>
      <c r="Q310" s="3"/>
      <c r="R310" s="3"/>
    </row>
    <row r="311" s="2" customFormat="true" ht="15" hidden="false" customHeight="false" outlineLevel="0" collapsed="false">
      <c r="A311" s="3"/>
      <c r="B311" s="3"/>
      <c r="C311" s="3"/>
      <c r="D311" s="3"/>
      <c r="E311" s="3"/>
      <c r="F311" s="3"/>
      <c r="O311" s="3"/>
      <c r="P311" s="3"/>
      <c r="Q311" s="3"/>
      <c r="R311" s="3"/>
    </row>
    <row r="312" s="2" customFormat="true" ht="15" hidden="false" customHeight="false" outlineLevel="0" collapsed="false">
      <c r="A312" s="3"/>
      <c r="B312" s="3"/>
      <c r="C312" s="3"/>
      <c r="D312" s="3"/>
      <c r="E312" s="3"/>
      <c r="F312" s="3"/>
      <c r="O312" s="3"/>
      <c r="P312" s="3"/>
      <c r="Q312" s="3"/>
      <c r="R312" s="3"/>
    </row>
    <row r="313" s="2" customFormat="true" ht="15" hidden="false" customHeight="false" outlineLevel="0" collapsed="false">
      <c r="A313" s="3"/>
      <c r="B313" s="3"/>
      <c r="C313" s="3"/>
      <c r="D313" s="3"/>
      <c r="E313" s="3"/>
      <c r="F313" s="3"/>
      <c r="O313" s="3"/>
      <c r="P313" s="3"/>
      <c r="Q313" s="3"/>
      <c r="R313" s="3"/>
    </row>
    <row r="314" s="2" customFormat="true" ht="15" hidden="false" customHeight="false" outlineLevel="0" collapsed="false">
      <c r="A314" s="3"/>
      <c r="B314" s="3"/>
      <c r="C314" s="3"/>
      <c r="D314" s="3"/>
      <c r="E314" s="3"/>
      <c r="F314" s="3"/>
      <c r="O314" s="3"/>
      <c r="P314" s="3"/>
      <c r="Q314" s="3"/>
      <c r="R314" s="3"/>
    </row>
    <row r="315" s="2" customFormat="true" ht="15" hidden="false" customHeight="false" outlineLevel="0" collapsed="false">
      <c r="A315" s="3"/>
      <c r="B315" s="3"/>
      <c r="C315" s="3"/>
      <c r="D315" s="3"/>
      <c r="E315" s="3"/>
      <c r="F315" s="3"/>
      <c r="O315" s="3"/>
      <c r="P315" s="3"/>
      <c r="Q315" s="3"/>
      <c r="R315" s="3"/>
    </row>
    <row r="316" s="2" customFormat="true" ht="15" hidden="false" customHeight="false" outlineLevel="0" collapsed="false">
      <c r="A316" s="3"/>
      <c r="B316" s="3"/>
      <c r="C316" s="3"/>
      <c r="D316" s="3"/>
      <c r="E316" s="3"/>
      <c r="F316" s="3"/>
      <c r="O316" s="3"/>
      <c r="P316" s="3"/>
      <c r="Q316" s="3"/>
      <c r="R316" s="3"/>
    </row>
    <row r="317" s="2" customFormat="true" ht="15" hidden="false" customHeight="false" outlineLevel="0" collapsed="false">
      <c r="A317" s="3"/>
      <c r="B317" s="3"/>
      <c r="C317" s="3"/>
      <c r="D317" s="3"/>
      <c r="E317" s="3"/>
      <c r="F317" s="3"/>
      <c r="O317" s="3"/>
      <c r="P317" s="3"/>
      <c r="Q317" s="3"/>
      <c r="R317" s="3"/>
    </row>
    <row r="318" s="2" customFormat="true" ht="15" hidden="false" customHeight="false" outlineLevel="0" collapsed="false">
      <c r="A318" s="3"/>
      <c r="B318" s="3"/>
      <c r="C318" s="3"/>
      <c r="D318" s="3"/>
      <c r="E318" s="3"/>
      <c r="F318" s="3"/>
      <c r="O318" s="3"/>
      <c r="P318" s="3"/>
      <c r="Q318" s="3"/>
      <c r="R318" s="3"/>
    </row>
    <row r="319" s="2" customFormat="true" ht="15" hidden="false" customHeight="false" outlineLevel="0" collapsed="false">
      <c r="A319" s="3"/>
      <c r="B319" s="3"/>
      <c r="C319" s="3"/>
      <c r="D319" s="3"/>
      <c r="E319" s="3"/>
      <c r="F319" s="3"/>
      <c r="O319" s="3"/>
      <c r="P319" s="3"/>
      <c r="Q319" s="3"/>
      <c r="R319" s="3"/>
    </row>
    <row r="320" s="2" customFormat="true" ht="15" hidden="false" customHeight="false" outlineLevel="0" collapsed="false">
      <c r="A320" s="3"/>
      <c r="B320" s="3"/>
      <c r="C320" s="3"/>
      <c r="D320" s="3"/>
      <c r="E320" s="3"/>
      <c r="F320" s="3"/>
      <c r="O320" s="3"/>
      <c r="P320" s="3"/>
      <c r="Q320" s="3"/>
      <c r="R320" s="3"/>
    </row>
    <row r="321" s="2" customFormat="true" ht="15" hidden="false" customHeight="false" outlineLevel="0" collapsed="false">
      <c r="A321" s="3"/>
      <c r="B321" s="3"/>
      <c r="C321" s="3"/>
      <c r="D321" s="3"/>
      <c r="E321" s="3"/>
      <c r="F321" s="3"/>
      <c r="O321" s="3"/>
      <c r="P321" s="3"/>
      <c r="Q321" s="3"/>
      <c r="R321" s="3"/>
    </row>
    <row r="322" s="2" customFormat="true" ht="15" hidden="false" customHeight="false" outlineLevel="0" collapsed="false">
      <c r="A322" s="3"/>
      <c r="B322" s="3"/>
      <c r="C322" s="3"/>
      <c r="D322" s="3"/>
      <c r="E322" s="3"/>
      <c r="F322" s="3"/>
      <c r="O322" s="3"/>
      <c r="P322" s="3"/>
      <c r="Q322" s="3"/>
      <c r="R322" s="3"/>
    </row>
    <row r="323" s="2" customFormat="true" ht="15" hidden="false" customHeight="false" outlineLevel="0" collapsed="false">
      <c r="A323" s="3"/>
      <c r="B323" s="3"/>
      <c r="C323" s="3"/>
      <c r="D323" s="3"/>
      <c r="E323" s="3"/>
      <c r="F323" s="3"/>
      <c r="O323" s="3"/>
      <c r="P323" s="3"/>
      <c r="Q323" s="3"/>
      <c r="R323" s="3"/>
    </row>
    <row r="324" s="2" customFormat="true" ht="15" hidden="false" customHeight="false" outlineLevel="0" collapsed="false">
      <c r="A324" s="3"/>
      <c r="B324" s="3"/>
      <c r="C324" s="3"/>
      <c r="D324" s="3"/>
      <c r="E324" s="3"/>
      <c r="F324" s="3"/>
      <c r="O324" s="3"/>
      <c r="P324" s="3"/>
      <c r="Q324" s="3"/>
      <c r="R324" s="3"/>
    </row>
    <row r="325" s="2" customFormat="true" ht="15" hidden="false" customHeight="false" outlineLevel="0" collapsed="false">
      <c r="A325" s="3"/>
      <c r="B325" s="3"/>
      <c r="C325" s="3"/>
      <c r="D325" s="3"/>
      <c r="E325" s="3"/>
      <c r="F325" s="3"/>
      <c r="O325" s="3"/>
      <c r="P325" s="3"/>
      <c r="Q325" s="3"/>
      <c r="R325" s="3"/>
    </row>
    <row r="326" s="2" customFormat="true" ht="15" hidden="false" customHeight="false" outlineLevel="0" collapsed="false">
      <c r="A326" s="3"/>
      <c r="B326" s="3"/>
      <c r="C326" s="3"/>
      <c r="D326" s="3"/>
      <c r="E326" s="3"/>
      <c r="F326" s="3"/>
      <c r="O326" s="3"/>
      <c r="P326" s="3"/>
      <c r="Q326" s="3"/>
      <c r="R326" s="3"/>
    </row>
    <row r="327" s="2" customFormat="true" ht="15" hidden="false" customHeight="false" outlineLevel="0" collapsed="false">
      <c r="A327" s="3"/>
      <c r="B327" s="3"/>
      <c r="C327" s="3"/>
      <c r="D327" s="3"/>
      <c r="E327" s="3"/>
      <c r="F327" s="3"/>
      <c r="O327" s="3"/>
      <c r="P327" s="3"/>
      <c r="Q327" s="3"/>
      <c r="R327" s="3"/>
    </row>
    <row r="328" s="2" customFormat="true" ht="15" hidden="false" customHeight="false" outlineLevel="0" collapsed="false">
      <c r="A328" s="3"/>
      <c r="B328" s="3"/>
      <c r="C328" s="3"/>
      <c r="D328" s="3"/>
      <c r="E328" s="3"/>
      <c r="F328" s="3"/>
      <c r="O328" s="3"/>
      <c r="P328" s="3"/>
      <c r="Q328" s="3"/>
      <c r="R328" s="3"/>
    </row>
    <row r="329" s="2" customFormat="true" ht="15" hidden="false" customHeight="false" outlineLevel="0" collapsed="false">
      <c r="A329" s="3"/>
      <c r="B329" s="3"/>
      <c r="C329" s="3"/>
      <c r="D329" s="3"/>
      <c r="E329" s="3"/>
      <c r="F329" s="3"/>
      <c r="O329" s="3"/>
      <c r="P329" s="3"/>
      <c r="Q329" s="3"/>
      <c r="R329" s="3"/>
    </row>
    <row r="330" s="2" customFormat="true" ht="15" hidden="false" customHeight="false" outlineLevel="0" collapsed="false">
      <c r="A330" s="3"/>
      <c r="B330" s="3"/>
      <c r="C330" s="3"/>
      <c r="D330" s="3"/>
      <c r="E330" s="3"/>
      <c r="F330" s="3"/>
      <c r="O330" s="3"/>
      <c r="P330" s="3"/>
      <c r="Q330" s="3"/>
      <c r="R330" s="3"/>
    </row>
    <row r="331" s="2" customFormat="true" ht="15" hidden="false" customHeight="false" outlineLevel="0" collapsed="false">
      <c r="A331" s="3"/>
      <c r="B331" s="3"/>
      <c r="C331" s="3"/>
      <c r="D331" s="3"/>
      <c r="E331" s="3"/>
      <c r="F331" s="3"/>
      <c r="O331" s="3"/>
      <c r="P331" s="3"/>
      <c r="Q331" s="3"/>
      <c r="R331" s="3"/>
    </row>
    <row r="332" s="2" customFormat="true" ht="15" hidden="false" customHeight="false" outlineLevel="0" collapsed="false">
      <c r="A332" s="3"/>
      <c r="B332" s="3"/>
      <c r="C332" s="3"/>
      <c r="D332" s="3"/>
      <c r="E332" s="3"/>
      <c r="F332" s="3"/>
      <c r="O332" s="3"/>
      <c r="P332" s="3"/>
      <c r="Q332" s="3"/>
      <c r="R332" s="3"/>
    </row>
    <row r="333" s="2" customFormat="true" ht="15" hidden="false" customHeight="false" outlineLevel="0" collapsed="false">
      <c r="A333" s="3"/>
      <c r="B333" s="3"/>
      <c r="C333" s="3"/>
      <c r="D333" s="3"/>
      <c r="E333" s="3"/>
      <c r="F333" s="3"/>
      <c r="O333" s="3"/>
      <c r="P333" s="3"/>
      <c r="Q333" s="3"/>
      <c r="R333" s="3"/>
    </row>
    <row r="334" s="2" customFormat="true" ht="15" hidden="false" customHeight="false" outlineLevel="0" collapsed="false">
      <c r="A334" s="3"/>
      <c r="B334" s="3"/>
      <c r="C334" s="3"/>
      <c r="D334" s="3"/>
      <c r="E334" s="3"/>
      <c r="F334" s="3"/>
      <c r="O334" s="3"/>
      <c r="P334" s="3"/>
      <c r="Q334" s="3"/>
      <c r="R334" s="3"/>
    </row>
    <row r="335" s="2" customFormat="true" ht="15" hidden="false" customHeight="false" outlineLevel="0" collapsed="false">
      <c r="A335" s="3"/>
      <c r="B335" s="3"/>
      <c r="C335" s="3"/>
      <c r="D335" s="3"/>
      <c r="E335" s="3"/>
      <c r="F335" s="3"/>
      <c r="O335" s="3"/>
      <c r="P335" s="3"/>
      <c r="Q335" s="3"/>
      <c r="R335" s="3"/>
    </row>
    <row r="336" s="2" customFormat="true" ht="15" hidden="false" customHeight="false" outlineLevel="0" collapsed="false">
      <c r="A336" s="3"/>
      <c r="B336" s="3"/>
      <c r="C336" s="3"/>
      <c r="D336" s="3"/>
      <c r="E336" s="3"/>
      <c r="F336" s="3"/>
      <c r="O336" s="3"/>
      <c r="P336" s="3"/>
      <c r="Q336" s="3"/>
      <c r="R336" s="3"/>
    </row>
    <row r="337" s="2" customFormat="true" ht="15" hidden="false" customHeight="false" outlineLevel="0" collapsed="false">
      <c r="A337" s="3"/>
      <c r="B337" s="3"/>
      <c r="C337" s="3"/>
      <c r="D337" s="3"/>
      <c r="E337" s="3"/>
      <c r="F337" s="3"/>
      <c r="O337" s="3"/>
      <c r="P337" s="3"/>
      <c r="Q337" s="3"/>
      <c r="R337" s="3"/>
    </row>
    <row r="338" s="2" customFormat="true" ht="15" hidden="false" customHeight="false" outlineLevel="0" collapsed="false">
      <c r="A338" s="3"/>
      <c r="B338" s="3"/>
      <c r="C338" s="3"/>
      <c r="D338" s="3"/>
      <c r="E338" s="3"/>
      <c r="F338" s="3"/>
      <c r="O338" s="3"/>
      <c r="P338" s="3"/>
      <c r="Q338" s="3"/>
      <c r="R338" s="3"/>
    </row>
    <row r="339" s="2" customFormat="true" ht="15" hidden="false" customHeight="false" outlineLevel="0" collapsed="false">
      <c r="A339" s="3"/>
      <c r="B339" s="3"/>
      <c r="C339" s="3"/>
      <c r="D339" s="3"/>
      <c r="E339" s="3"/>
      <c r="F339" s="3"/>
      <c r="O339" s="3"/>
      <c r="P339" s="3"/>
      <c r="Q339" s="3"/>
      <c r="R339" s="3"/>
    </row>
    <row r="340" s="2" customFormat="true" ht="15" hidden="false" customHeight="false" outlineLevel="0" collapsed="false">
      <c r="A340" s="3"/>
      <c r="B340" s="3"/>
      <c r="C340" s="3"/>
      <c r="D340" s="3"/>
      <c r="E340" s="3"/>
      <c r="F340" s="3"/>
      <c r="O340" s="3"/>
      <c r="P340" s="3"/>
      <c r="Q340" s="3"/>
      <c r="R340" s="3"/>
    </row>
    <row r="341" s="2" customFormat="true" ht="15" hidden="false" customHeight="false" outlineLevel="0" collapsed="false">
      <c r="A341" s="3"/>
      <c r="B341" s="3"/>
      <c r="C341" s="3"/>
      <c r="D341" s="3"/>
      <c r="E341" s="3"/>
      <c r="F341" s="3"/>
      <c r="O341" s="3"/>
      <c r="P341" s="3"/>
      <c r="Q341" s="3"/>
      <c r="R341" s="3"/>
    </row>
    <row r="342" s="2" customFormat="true" ht="15" hidden="false" customHeight="false" outlineLevel="0" collapsed="false">
      <c r="A342" s="3"/>
      <c r="B342" s="3"/>
      <c r="C342" s="3"/>
      <c r="D342" s="3"/>
      <c r="E342" s="3"/>
      <c r="F342" s="3"/>
      <c r="O342" s="3"/>
      <c r="P342" s="3"/>
      <c r="Q342" s="3"/>
      <c r="R342" s="3"/>
    </row>
    <row r="343" s="2" customFormat="true" ht="15" hidden="false" customHeight="false" outlineLevel="0" collapsed="false">
      <c r="A343" s="3"/>
      <c r="B343" s="3"/>
      <c r="C343" s="3"/>
      <c r="D343" s="3"/>
      <c r="E343" s="3"/>
      <c r="F343" s="3"/>
      <c r="O343" s="3"/>
      <c r="P343" s="3"/>
      <c r="Q343" s="3"/>
      <c r="R343" s="3"/>
    </row>
    <row r="344" s="2" customFormat="true" ht="15" hidden="false" customHeight="false" outlineLevel="0" collapsed="false">
      <c r="A344" s="3"/>
      <c r="B344" s="3"/>
      <c r="C344" s="3"/>
      <c r="D344" s="3"/>
      <c r="E344" s="3"/>
      <c r="F344" s="3"/>
      <c r="O344" s="3"/>
      <c r="P344" s="3"/>
      <c r="Q344" s="3"/>
      <c r="R344" s="3"/>
    </row>
    <row r="345" s="2" customFormat="true" ht="15" hidden="false" customHeight="false" outlineLevel="0" collapsed="false">
      <c r="A345" s="3"/>
      <c r="B345" s="3"/>
      <c r="C345" s="3"/>
      <c r="D345" s="3"/>
      <c r="E345" s="3"/>
      <c r="F345" s="3"/>
      <c r="O345" s="3"/>
      <c r="P345" s="3"/>
      <c r="Q345" s="3"/>
      <c r="R345" s="3"/>
    </row>
    <row r="346" s="2" customFormat="true" ht="15" hidden="false" customHeight="false" outlineLevel="0" collapsed="false">
      <c r="A346" s="3"/>
      <c r="B346" s="3"/>
      <c r="C346" s="3"/>
      <c r="D346" s="3"/>
      <c r="E346" s="3"/>
      <c r="F346" s="3"/>
      <c r="O346" s="3"/>
      <c r="P346" s="3"/>
      <c r="Q346" s="3"/>
      <c r="R346" s="3"/>
    </row>
    <row r="347" s="2" customFormat="true" ht="15" hidden="false" customHeight="false" outlineLevel="0" collapsed="false">
      <c r="A347" s="3"/>
      <c r="B347" s="3"/>
      <c r="C347" s="3"/>
      <c r="D347" s="3"/>
      <c r="E347" s="3"/>
      <c r="F347" s="3"/>
      <c r="O347" s="3"/>
      <c r="P347" s="3"/>
      <c r="Q347" s="3"/>
      <c r="R347" s="3"/>
    </row>
    <row r="348" s="2" customFormat="true" ht="15" hidden="false" customHeight="false" outlineLevel="0" collapsed="false">
      <c r="A348" s="3"/>
      <c r="B348" s="3"/>
      <c r="C348" s="3"/>
      <c r="D348" s="3"/>
      <c r="E348" s="3"/>
      <c r="F348" s="3"/>
      <c r="O348" s="3"/>
      <c r="P348" s="3"/>
      <c r="Q348" s="3"/>
      <c r="R348" s="3"/>
    </row>
    <row r="349" s="2" customFormat="true" ht="15" hidden="false" customHeight="false" outlineLevel="0" collapsed="false">
      <c r="A349" s="3"/>
      <c r="B349" s="3"/>
      <c r="C349" s="3"/>
      <c r="D349" s="3"/>
      <c r="E349" s="3"/>
      <c r="F349" s="3"/>
      <c r="O349" s="3"/>
      <c r="P349" s="3"/>
      <c r="Q349" s="3"/>
      <c r="R349" s="3"/>
    </row>
    <row r="350" s="2" customFormat="true" ht="15" hidden="false" customHeight="false" outlineLevel="0" collapsed="false">
      <c r="A350" s="3"/>
      <c r="B350" s="3"/>
      <c r="C350" s="3"/>
      <c r="D350" s="3"/>
      <c r="E350" s="3"/>
      <c r="F350" s="3"/>
      <c r="O350" s="3"/>
      <c r="P350" s="3"/>
      <c r="Q350" s="3"/>
      <c r="R350" s="3"/>
    </row>
    <row r="351" s="2" customFormat="true" ht="15" hidden="false" customHeight="false" outlineLevel="0" collapsed="false">
      <c r="A351" s="3"/>
      <c r="B351" s="3"/>
      <c r="C351" s="3"/>
      <c r="D351" s="3"/>
      <c r="E351" s="3"/>
      <c r="F351" s="3"/>
      <c r="O351" s="3"/>
      <c r="P351" s="3"/>
      <c r="Q351" s="3"/>
      <c r="R351" s="3"/>
    </row>
    <row r="352" s="2" customFormat="true" ht="15" hidden="false" customHeight="false" outlineLevel="0" collapsed="false">
      <c r="A352" s="3"/>
      <c r="B352" s="3"/>
      <c r="C352" s="3"/>
      <c r="D352" s="3"/>
      <c r="E352" s="3"/>
      <c r="F352" s="3"/>
      <c r="O352" s="3"/>
      <c r="P352" s="3"/>
      <c r="Q352" s="3"/>
      <c r="R352" s="3"/>
    </row>
    <row r="353" s="2" customFormat="true" ht="15" hidden="false" customHeight="false" outlineLevel="0" collapsed="false">
      <c r="A353" s="3"/>
      <c r="B353" s="3"/>
      <c r="C353" s="3"/>
      <c r="D353" s="3"/>
      <c r="E353" s="3"/>
      <c r="F353" s="3"/>
      <c r="O353" s="3"/>
      <c r="P353" s="3"/>
      <c r="Q353" s="3"/>
      <c r="R353" s="3"/>
    </row>
    <row r="354" s="2" customFormat="true" ht="15" hidden="false" customHeight="false" outlineLevel="0" collapsed="false">
      <c r="A354" s="3"/>
      <c r="B354" s="3"/>
      <c r="C354" s="3"/>
      <c r="D354" s="3"/>
      <c r="E354" s="3"/>
      <c r="F354" s="3"/>
      <c r="O354" s="3"/>
      <c r="P354" s="3"/>
      <c r="Q354" s="3"/>
      <c r="R354" s="3"/>
    </row>
    <row r="355" s="2" customFormat="true" ht="15" hidden="false" customHeight="false" outlineLevel="0" collapsed="false">
      <c r="A355" s="3"/>
      <c r="B355" s="3"/>
      <c r="C355" s="3"/>
      <c r="D355" s="3"/>
      <c r="E355" s="3"/>
      <c r="F355" s="3"/>
      <c r="O355" s="3"/>
      <c r="P355" s="3"/>
      <c r="Q355" s="3"/>
      <c r="R355" s="3"/>
    </row>
    <row r="356" s="2" customFormat="true" ht="15" hidden="false" customHeight="false" outlineLevel="0" collapsed="false">
      <c r="A356" s="3"/>
      <c r="B356" s="3"/>
      <c r="C356" s="3"/>
      <c r="D356" s="3"/>
      <c r="E356" s="3"/>
      <c r="F356" s="3"/>
      <c r="O356" s="3"/>
      <c r="P356" s="3"/>
      <c r="Q356" s="3"/>
      <c r="R356" s="3"/>
    </row>
    <row r="357" s="2" customFormat="true" ht="15" hidden="false" customHeight="false" outlineLevel="0" collapsed="false">
      <c r="A357" s="3"/>
      <c r="B357" s="3"/>
      <c r="C357" s="3"/>
      <c r="D357" s="3"/>
      <c r="E357" s="3"/>
      <c r="F357" s="3"/>
      <c r="O357" s="3"/>
      <c r="P357" s="3"/>
      <c r="Q357" s="3"/>
      <c r="R357" s="3"/>
    </row>
    <row r="358" s="2" customFormat="true" ht="15" hidden="false" customHeight="false" outlineLevel="0" collapsed="false">
      <c r="A358" s="3"/>
      <c r="B358" s="3"/>
      <c r="C358" s="3"/>
      <c r="D358" s="3"/>
      <c r="E358" s="3"/>
      <c r="F358" s="3"/>
      <c r="O358" s="3"/>
      <c r="P358" s="3"/>
      <c r="Q358" s="3"/>
      <c r="R358" s="3"/>
    </row>
    <row r="359" s="2" customFormat="true" ht="15" hidden="false" customHeight="false" outlineLevel="0" collapsed="false">
      <c r="A359" s="3"/>
      <c r="B359" s="3"/>
      <c r="C359" s="3"/>
      <c r="D359" s="3"/>
      <c r="E359" s="3"/>
      <c r="F359" s="3"/>
      <c r="O359" s="3"/>
      <c r="P359" s="3"/>
      <c r="Q359" s="3"/>
      <c r="R359" s="3"/>
    </row>
    <row r="360" s="2" customFormat="true" ht="15" hidden="false" customHeight="false" outlineLevel="0" collapsed="false">
      <c r="A360" s="3"/>
      <c r="B360" s="3"/>
      <c r="C360" s="3"/>
      <c r="D360" s="3"/>
      <c r="E360" s="3"/>
      <c r="F360" s="3"/>
      <c r="O360" s="3"/>
      <c r="P360" s="3"/>
      <c r="Q360" s="3"/>
      <c r="R360" s="3"/>
    </row>
    <row r="361" s="2" customFormat="true" ht="15" hidden="false" customHeight="false" outlineLevel="0" collapsed="false">
      <c r="A361" s="3"/>
      <c r="B361" s="3"/>
      <c r="C361" s="3"/>
      <c r="D361" s="3"/>
      <c r="E361" s="3"/>
      <c r="F361" s="3"/>
      <c r="O361" s="3"/>
      <c r="P361" s="3"/>
      <c r="Q361" s="3"/>
      <c r="R361" s="3"/>
    </row>
    <row r="362" s="2" customFormat="true" ht="15" hidden="false" customHeight="false" outlineLevel="0" collapsed="false">
      <c r="A362" s="3"/>
      <c r="B362" s="3"/>
      <c r="C362" s="3"/>
      <c r="D362" s="3"/>
      <c r="E362" s="3"/>
      <c r="F362" s="3"/>
      <c r="O362" s="3"/>
      <c r="P362" s="3"/>
      <c r="Q362" s="3"/>
      <c r="R362" s="3"/>
    </row>
    <row r="363" s="2" customFormat="true" ht="15" hidden="false" customHeight="false" outlineLevel="0" collapsed="false">
      <c r="A363" s="3"/>
      <c r="B363" s="3"/>
      <c r="C363" s="3"/>
      <c r="D363" s="3"/>
      <c r="E363" s="3"/>
      <c r="F363" s="3"/>
      <c r="O363" s="3"/>
      <c r="P363" s="3"/>
      <c r="Q363" s="3"/>
      <c r="R363" s="3"/>
    </row>
    <row r="364" s="2" customFormat="true" ht="15" hidden="false" customHeight="false" outlineLevel="0" collapsed="false">
      <c r="A364" s="3"/>
      <c r="B364" s="3"/>
      <c r="C364" s="3"/>
      <c r="D364" s="3"/>
      <c r="E364" s="3"/>
      <c r="F364" s="3"/>
      <c r="O364" s="3"/>
      <c r="P364" s="3"/>
      <c r="Q364" s="3"/>
      <c r="R364" s="3"/>
    </row>
    <row r="365" s="2" customFormat="true" ht="15" hidden="false" customHeight="false" outlineLevel="0" collapsed="false">
      <c r="A365" s="3"/>
      <c r="B365" s="3"/>
      <c r="C365" s="3"/>
      <c r="D365" s="3"/>
      <c r="E365" s="3"/>
      <c r="F365" s="3"/>
      <c r="O365" s="3"/>
      <c r="P365" s="3"/>
      <c r="Q365" s="3"/>
      <c r="R365" s="3"/>
    </row>
    <row r="366" s="2" customFormat="true" ht="15" hidden="false" customHeight="false" outlineLevel="0" collapsed="false">
      <c r="A366" s="3"/>
      <c r="B366" s="3"/>
      <c r="C366" s="3"/>
      <c r="D366" s="3"/>
      <c r="E366" s="3"/>
      <c r="F366" s="3"/>
      <c r="O366" s="3"/>
      <c r="P366" s="3"/>
      <c r="Q366" s="3"/>
      <c r="R366" s="3"/>
    </row>
    <row r="367" s="2" customFormat="true" ht="15" hidden="false" customHeight="false" outlineLevel="0" collapsed="false">
      <c r="A367" s="3"/>
      <c r="B367" s="3"/>
      <c r="C367" s="3"/>
      <c r="D367" s="3"/>
      <c r="E367" s="3"/>
      <c r="F367" s="3"/>
      <c r="O367" s="3"/>
      <c r="P367" s="3"/>
      <c r="Q367" s="3"/>
      <c r="R367" s="3"/>
    </row>
    <row r="368" s="2" customFormat="true" ht="15" hidden="false" customHeight="false" outlineLevel="0" collapsed="false">
      <c r="A368" s="3"/>
      <c r="B368" s="3"/>
      <c r="C368" s="3"/>
      <c r="D368" s="3"/>
      <c r="E368" s="3"/>
      <c r="F368" s="3"/>
      <c r="O368" s="3"/>
      <c r="P368" s="3"/>
      <c r="Q368" s="3"/>
      <c r="R368" s="3"/>
    </row>
    <row r="369" s="2" customFormat="true" ht="15" hidden="false" customHeight="false" outlineLevel="0" collapsed="false">
      <c r="A369" s="3"/>
      <c r="B369" s="3"/>
      <c r="C369" s="3"/>
      <c r="D369" s="3"/>
      <c r="E369" s="3"/>
      <c r="F369" s="3"/>
      <c r="O369" s="3"/>
      <c r="P369" s="3"/>
      <c r="Q369" s="3"/>
      <c r="R369" s="3"/>
    </row>
    <row r="370" s="2" customFormat="true" ht="15" hidden="false" customHeight="false" outlineLevel="0" collapsed="false">
      <c r="A370" s="3"/>
      <c r="B370" s="3"/>
      <c r="C370" s="3"/>
      <c r="D370" s="3"/>
      <c r="E370" s="3"/>
      <c r="F370" s="3"/>
      <c r="O370" s="3"/>
      <c r="P370" s="3"/>
      <c r="Q370" s="3"/>
      <c r="R370" s="3"/>
    </row>
    <row r="371" s="2" customFormat="true" ht="15" hidden="false" customHeight="false" outlineLevel="0" collapsed="false">
      <c r="A371" s="3"/>
      <c r="B371" s="3"/>
      <c r="C371" s="3"/>
      <c r="D371" s="3"/>
      <c r="E371" s="3"/>
      <c r="F371" s="3"/>
      <c r="O371" s="3"/>
      <c r="P371" s="3"/>
      <c r="Q371" s="3"/>
      <c r="R371" s="3"/>
    </row>
    <row r="372" s="2" customFormat="true" ht="15" hidden="false" customHeight="false" outlineLevel="0" collapsed="false">
      <c r="A372" s="3"/>
      <c r="B372" s="3"/>
      <c r="C372" s="3"/>
      <c r="D372" s="3"/>
      <c r="E372" s="3"/>
      <c r="F372" s="3"/>
      <c r="O372" s="3"/>
      <c r="P372" s="3"/>
      <c r="Q372" s="3"/>
      <c r="R372" s="3"/>
    </row>
    <row r="373" s="2" customFormat="true" ht="15" hidden="false" customHeight="false" outlineLevel="0" collapsed="false">
      <c r="A373" s="3"/>
      <c r="B373" s="3"/>
      <c r="C373" s="3"/>
      <c r="D373" s="3"/>
      <c r="E373" s="3"/>
      <c r="F373" s="3"/>
      <c r="O373" s="3"/>
      <c r="P373" s="3"/>
      <c r="Q373" s="3"/>
      <c r="R373" s="3"/>
    </row>
    <row r="374" s="2" customFormat="true" ht="15" hidden="false" customHeight="false" outlineLevel="0" collapsed="false">
      <c r="A374" s="3"/>
      <c r="B374" s="3"/>
      <c r="C374" s="3"/>
      <c r="D374" s="3"/>
      <c r="E374" s="3"/>
      <c r="F374" s="3"/>
      <c r="O374" s="3"/>
      <c r="P374" s="3"/>
      <c r="Q374" s="3"/>
      <c r="R374" s="3"/>
    </row>
    <row r="375" s="2" customFormat="true" ht="15" hidden="false" customHeight="false" outlineLevel="0" collapsed="false">
      <c r="A375" s="3"/>
      <c r="B375" s="3"/>
      <c r="C375" s="3"/>
      <c r="D375" s="3"/>
      <c r="E375" s="3"/>
      <c r="F375" s="3"/>
      <c r="O375" s="3"/>
      <c r="P375" s="3"/>
      <c r="Q375" s="3"/>
      <c r="R375" s="3"/>
    </row>
    <row r="376" s="2" customFormat="true" ht="15" hidden="false" customHeight="false" outlineLevel="0" collapsed="false">
      <c r="A376" s="3"/>
      <c r="B376" s="3"/>
      <c r="C376" s="3"/>
      <c r="D376" s="3"/>
      <c r="E376" s="3"/>
      <c r="F376" s="3"/>
      <c r="O376" s="3"/>
      <c r="P376" s="3"/>
      <c r="Q376" s="3"/>
      <c r="R376" s="3"/>
    </row>
    <row r="377" s="2" customFormat="true" ht="15" hidden="false" customHeight="false" outlineLevel="0" collapsed="false">
      <c r="A377" s="3"/>
      <c r="B377" s="3"/>
      <c r="C377" s="3"/>
      <c r="D377" s="3"/>
      <c r="E377" s="3"/>
      <c r="F377" s="3"/>
      <c r="O377" s="3"/>
      <c r="P377" s="3"/>
      <c r="Q377" s="3"/>
      <c r="R377" s="3"/>
    </row>
    <row r="378" s="2" customFormat="true" ht="15" hidden="false" customHeight="false" outlineLevel="0" collapsed="false">
      <c r="A378" s="3"/>
      <c r="B378" s="3"/>
      <c r="C378" s="3"/>
      <c r="D378" s="3"/>
      <c r="E378" s="3"/>
      <c r="F378" s="3"/>
      <c r="O378" s="3"/>
      <c r="P378" s="3"/>
      <c r="Q378" s="3"/>
      <c r="R378" s="3"/>
    </row>
    <row r="379" s="2" customFormat="true" ht="15" hidden="false" customHeight="false" outlineLevel="0" collapsed="false">
      <c r="A379" s="3"/>
      <c r="B379" s="3"/>
      <c r="C379" s="3"/>
      <c r="D379" s="3"/>
      <c r="E379" s="3"/>
      <c r="F379" s="3"/>
      <c r="O379" s="3"/>
      <c r="P379" s="3"/>
      <c r="Q379" s="3"/>
      <c r="R379" s="3"/>
    </row>
    <row r="380" s="2" customFormat="true" ht="15" hidden="false" customHeight="false" outlineLevel="0" collapsed="false">
      <c r="A380" s="3"/>
      <c r="B380" s="3"/>
      <c r="C380" s="3"/>
      <c r="D380" s="3"/>
      <c r="E380" s="3"/>
      <c r="F380" s="3"/>
      <c r="O380" s="3"/>
      <c r="P380" s="3"/>
      <c r="Q380" s="3"/>
      <c r="R380" s="3"/>
    </row>
    <row r="381" s="2" customFormat="true" ht="15" hidden="false" customHeight="false" outlineLevel="0" collapsed="false">
      <c r="A381" s="3"/>
      <c r="B381" s="3"/>
      <c r="C381" s="3"/>
      <c r="D381" s="3"/>
      <c r="E381" s="3"/>
      <c r="F381" s="3"/>
      <c r="O381" s="3"/>
      <c r="P381" s="3"/>
      <c r="Q381" s="3"/>
      <c r="R381" s="3"/>
    </row>
    <row r="382" s="2" customFormat="true" ht="15" hidden="false" customHeight="false" outlineLevel="0" collapsed="false">
      <c r="A382" s="3"/>
      <c r="B382" s="3"/>
      <c r="C382" s="3"/>
      <c r="D382" s="3"/>
      <c r="E382" s="3"/>
      <c r="F382" s="3"/>
      <c r="O382" s="3"/>
      <c r="P382" s="3"/>
      <c r="Q382" s="3"/>
      <c r="R382" s="3"/>
    </row>
    <row r="383" s="2" customFormat="true" ht="15" hidden="false" customHeight="false" outlineLevel="0" collapsed="false">
      <c r="A383" s="1"/>
      <c r="B383" s="1"/>
      <c r="C383" s="1"/>
      <c r="D383" s="1"/>
      <c r="E383" s="1"/>
      <c r="F383" s="1"/>
      <c r="O383" s="3"/>
      <c r="P383" s="3"/>
      <c r="Q383" s="3"/>
      <c r="R383" s="3"/>
    </row>
  </sheetData>
  <mergeCells count="38">
    <mergeCell ref="D1:H2"/>
    <mergeCell ref="D3:E3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H20"/>
    <mergeCell ref="D21:F21"/>
    <mergeCell ref="D22:F22"/>
    <mergeCell ref="D23:F23"/>
    <mergeCell ref="D24:F24"/>
    <mergeCell ref="D25:F25"/>
    <mergeCell ref="D26:F26"/>
    <mergeCell ref="D27:F27"/>
    <mergeCell ref="D28:F28"/>
    <mergeCell ref="D29:F29"/>
    <mergeCell ref="D30:F30"/>
    <mergeCell ref="D31:F31"/>
    <mergeCell ref="D33:F33"/>
    <mergeCell ref="D34:F34"/>
    <mergeCell ref="D35:F35"/>
    <mergeCell ref="D37:H37"/>
    <mergeCell ref="D39:F39"/>
    <mergeCell ref="D40:F40"/>
    <mergeCell ref="D41:F41"/>
    <mergeCell ref="D42:F42"/>
  </mergeCells>
  <dataValidations count="2">
    <dataValidation allowBlank="true" errorStyle="stop" operator="between" showDropDown="false" showErrorMessage="true" showInputMessage="true" sqref="K24" type="list">
      <formula1>$AT$1:$AT$2</formula1>
      <formula2>0</formula2>
    </dataValidation>
    <dataValidation allowBlank="true" errorStyle="stop" operator="between" showDropDown="false" showErrorMessage="true" showInputMessage="true" sqref="K29" type="list">
      <formula1>$AU$1:$AU$2</formula1>
      <formula2>0</formula2>
    </dataValidation>
  </dataValidations>
  <hyperlinks>
    <hyperlink ref="J12" location="Analisis_Inputs_Grales!A1" display="Definir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75B6"/>
    <pageSetUpPr fitToPage="false"/>
  </sheetPr>
  <dimension ref="A1:D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9" activeCellId="0" sqref="B9"/>
    </sheetView>
  </sheetViews>
  <sheetFormatPr defaultColWidth="10.6796875" defaultRowHeight="15" zeroHeight="false" outlineLevelRow="0" outlineLevelCol="0"/>
  <cols>
    <col collapsed="false" customWidth="true" hidden="false" outlineLevel="0" max="1" min="1" style="0" width="24.57"/>
  </cols>
  <sheetData>
    <row r="1" customFormat="false" ht="15" hidden="false" customHeight="false" outlineLevel="0" collapsed="false">
      <c r="A1" s="0" t="s">
        <v>63</v>
      </c>
      <c r="B1" s="0" t="s">
        <v>64</v>
      </c>
      <c r="C1" s="0" t="s">
        <v>65</v>
      </c>
      <c r="D1" s="0" t="s">
        <v>66</v>
      </c>
    </row>
    <row r="2" customFormat="false" ht="15" hidden="false" customHeight="false" outlineLevel="0" collapsed="false">
      <c r="A2" s="0" t="s">
        <v>67</v>
      </c>
      <c r="B2" s="0" t="n">
        <v>150</v>
      </c>
      <c r="C2" s="0" t="n">
        <v>200</v>
      </c>
      <c r="D2" s="0" t="n">
        <v>200</v>
      </c>
    </row>
    <row r="4" customFormat="false" ht="15" hidden="false" customHeight="false" outlineLevel="0" collapsed="false">
      <c r="A4" s="0" t="s">
        <v>68</v>
      </c>
      <c r="B4" s="0" t="s">
        <v>69</v>
      </c>
      <c r="C4" s="0" t="s">
        <v>70</v>
      </c>
      <c r="D4" s="0" t="s">
        <v>71</v>
      </c>
    </row>
    <row r="5" customFormat="false" ht="15" hidden="false" customHeight="false" outlineLevel="0" collapsed="false">
      <c r="A5" s="0" t="s">
        <v>67</v>
      </c>
      <c r="B5" s="0" t="n">
        <v>0</v>
      </c>
      <c r="C5" s="0" t="n">
        <v>0</v>
      </c>
      <c r="D5" s="0" t="n">
        <v>0</v>
      </c>
    </row>
    <row r="7" customFormat="false" ht="15" hidden="false" customHeight="false" outlineLevel="0" collapsed="false">
      <c r="A7" s="0" t="s">
        <v>72</v>
      </c>
      <c r="B7" s="0" t="s">
        <v>73</v>
      </c>
      <c r="C7" s="0" t="s">
        <v>74</v>
      </c>
      <c r="D7" s="0" t="s">
        <v>75</v>
      </c>
    </row>
    <row r="8" customFormat="false" ht="15" hidden="false" customHeight="false" outlineLevel="0" collapsed="false">
      <c r="A8" s="0" t="s">
        <v>67</v>
      </c>
      <c r="B8" s="0" t="n">
        <v>0</v>
      </c>
      <c r="C8" s="0" t="n">
        <v>0</v>
      </c>
      <c r="D8" s="0" t="n"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75B6"/>
    <pageSetUpPr fitToPage="false"/>
  </sheetPr>
  <dimension ref="A1:D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4" activeCellId="0" sqref="D4"/>
    </sheetView>
  </sheetViews>
  <sheetFormatPr defaultColWidth="10.6796875" defaultRowHeight="15" zeroHeight="false" outlineLevelRow="0" outlineLevelCol="0"/>
  <cols>
    <col collapsed="false" customWidth="true" hidden="false" outlineLevel="0" max="1" min="1" style="1" width="16.85"/>
    <col collapsed="false" customWidth="true" hidden="false" outlineLevel="0" max="42" min="2" style="1" width="11.43"/>
  </cols>
  <sheetData>
    <row r="1" customFormat="false" ht="15" hidden="false" customHeight="false" outlineLevel="0" collapsed="false">
      <c r="A1" s="1" t="s">
        <v>76</v>
      </c>
      <c r="B1" s="1" t="s">
        <v>69</v>
      </c>
      <c r="C1" s="1" t="s">
        <v>70</v>
      </c>
      <c r="D1" s="1" t="s">
        <v>71</v>
      </c>
    </row>
    <row r="2" customFormat="false" ht="15" hidden="false" customHeight="false" outlineLevel="0" collapsed="false">
      <c r="A2" s="1" t="s">
        <v>64</v>
      </c>
      <c r="B2" s="1" t="n">
        <v>30</v>
      </c>
      <c r="C2" s="1" t="n">
        <v>365</v>
      </c>
      <c r="D2" s="1" t="n">
        <v>45</v>
      </c>
    </row>
    <row r="3" customFormat="false" ht="15" hidden="false" customHeight="false" outlineLevel="0" collapsed="false">
      <c r="A3" s="1" t="s">
        <v>65</v>
      </c>
      <c r="B3" s="1" t="n">
        <v>65</v>
      </c>
      <c r="C3" s="1" t="n">
        <v>64</v>
      </c>
      <c r="D3" s="1" t="n">
        <v>53</v>
      </c>
    </row>
    <row r="4" customFormat="false" ht="15" hidden="false" customHeight="false" outlineLevel="0" collapsed="false">
      <c r="A4" s="1" t="s">
        <v>66</v>
      </c>
      <c r="B4" s="1" t="n">
        <v>36</v>
      </c>
      <c r="C4" s="1" t="n">
        <v>69</v>
      </c>
      <c r="D4" s="1" t="n">
        <v>12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75B6"/>
    <pageSetUpPr fitToPage="false"/>
  </sheetPr>
  <dimension ref="A1:D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5" activeCellId="0" sqref="D5"/>
    </sheetView>
  </sheetViews>
  <sheetFormatPr defaultColWidth="10.6796875" defaultRowHeight="15" zeroHeight="false" outlineLevelRow="0" outlineLevelCol="0"/>
  <cols>
    <col collapsed="false" customWidth="true" hidden="false" outlineLevel="0" max="1" min="1" style="1" width="17.29"/>
    <col collapsed="false" customWidth="true" hidden="false" outlineLevel="0" max="42" min="2" style="1" width="11.43"/>
  </cols>
  <sheetData>
    <row r="1" customFormat="false" ht="15" hidden="false" customHeight="false" outlineLevel="0" collapsed="false">
      <c r="A1" s="1" t="s">
        <v>77</v>
      </c>
      <c r="B1" s="1" t="s">
        <v>73</v>
      </c>
      <c r="C1" s="1" t="s">
        <v>74</v>
      </c>
      <c r="D1" s="1" t="s">
        <v>75</v>
      </c>
    </row>
    <row r="2" customFormat="false" ht="15" hidden="false" customHeight="false" outlineLevel="0" collapsed="false">
      <c r="A2" s="1" t="s">
        <v>69</v>
      </c>
      <c r="B2" s="1" t="n">
        <v>159</v>
      </c>
      <c r="C2" s="1" t="n">
        <v>1596</v>
      </c>
      <c r="D2" s="1" t="n">
        <v>35</v>
      </c>
    </row>
    <row r="3" customFormat="false" ht="15" hidden="false" customHeight="false" outlineLevel="0" collapsed="false">
      <c r="A3" s="1" t="s">
        <v>70</v>
      </c>
      <c r="B3" s="1" t="n">
        <v>25</v>
      </c>
      <c r="C3" s="1" t="n">
        <v>2</v>
      </c>
      <c r="D3" s="1" t="n">
        <v>36</v>
      </c>
    </row>
    <row r="4" customFormat="false" ht="15" hidden="false" customHeight="false" outlineLevel="0" collapsed="false">
      <c r="A4" s="1" t="s">
        <v>71</v>
      </c>
      <c r="B4" s="1" t="n">
        <v>32</v>
      </c>
      <c r="C4" s="1" t="n">
        <v>1</v>
      </c>
      <c r="D4" s="1" t="n">
        <v>35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75B6"/>
    <pageSetUpPr fitToPage="false"/>
  </sheetPr>
  <dimension ref="A1:D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7" activeCellId="0" sqref="F7"/>
    </sheetView>
  </sheetViews>
  <sheetFormatPr defaultColWidth="10.6796875" defaultRowHeight="15" zeroHeight="false" outlineLevelRow="0" outlineLevelCol="0"/>
  <cols>
    <col collapsed="false" customWidth="true" hidden="false" outlineLevel="0" max="1" min="1" style="1" width="17.29"/>
    <col collapsed="false" customWidth="true" hidden="false" outlineLevel="0" max="42" min="2" style="1" width="11.43"/>
  </cols>
  <sheetData>
    <row r="1" customFormat="false" ht="15" hidden="false" customHeight="false" outlineLevel="0" collapsed="false">
      <c r="A1" s="1" t="s">
        <v>78</v>
      </c>
      <c r="B1" s="1" t="s">
        <v>73</v>
      </c>
      <c r="C1" s="1" t="s">
        <v>74</v>
      </c>
      <c r="D1" s="1" t="s">
        <v>75</v>
      </c>
    </row>
    <row r="2" customFormat="false" ht="15" hidden="false" customHeight="false" outlineLevel="0" collapsed="false">
      <c r="A2" s="1" t="s">
        <v>64</v>
      </c>
      <c r="B2" s="1" t="n">
        <v>12</v>
      </c>
      <c r="C2" s="1" t="n">
        <v>159</v>
      </c>
      <c r="D2" s="1" t="n">
        <v>365</v>
      </c>
    </row>
    <row r="3" customFormat="false" ht="15" hidden="false" customHeight="false" outlineLevel="0" collapsed="false">
      <c r="A3" s="1" t="s">
        <v>65</v>
      </c>
      <c r="B3" s="1" t="n">
        <v>33</v>
      </c>
      <c r="C3" s="1" t="n">
        <v>156</v>
      </c>
      <c r="D3" s="1" t="n">
        <v>654</v>
      </c>
    </row>
    <row r="4" customFormat="false" ht="15" hidden="false" customHeight="false" outlineLevel="0" collapsed="false">
      <c r="A4" s="1" t="s">
        <v>66</v>
      </c>
      <c r="B4" s="1" t="n">
        <v>22</v>
      </c>
      <c r="C4" s="1" t="n">
        <v>2</v>
      </c>
      <c r="D4" s="1" t="n">
        <v>11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B1:T118"/>
  <sheetViews>
    <sheetView showFormulas="false" showGridLines="true" showRowColHeaders="true" showZeros="true" rightToLeft="false" tabSelected="false" showOutlineSymbols="true" defaultGridColor="true" view="normal" topLeftCell="A97" colorId="64" zoomScale="100" zoomScaleNormal="100" zoomScalePageLayoutView="100" workbookViewId="0">
      <selection pane="topLeft" activeCell="D110" activeCellId="0" sqref="D110"/>
    </sheetView>
  </sheetViews>
  <sheetFormatPr defaultColWidth="11.42578125" defaultRowHeight="14.25" zeroHeight="false" outlineLevelRow="0" outlineLevelCol="0"/>
  <cols>
    <col collapsed="false" customWidth="false" hidden="false" outlineLevel="0" max="1" min="1" style="55" width="11.43"/>
    <col collapsed="false" customWidth="true" hidden="false" outlineLevel="0" max="2" min="2" style="55" width="53.42"/>
    <col collapsed="false" customWidth="true" hidden="false" outlineLevel="0" max="3" min="3" style="56" width="15.42"/>
    <col collapsed="false" customWidth="true" hidden="false" outlineLevel="0" max="4" min="4" style="57" width="15.29"/>
    <col collapsed="false" customWidth="true" hidden="false" outlineLevel="0" max="5" min="5" style="58" width="14.29"/>
    <col collapsed="false" customWidth="false" hidden="false" outlineLevel="0" max="6" min="6" style="58" width="11.43"/>
    <col collapsed="false" customWidth="true" hidden="false" outlineLevel="0" max="7" min="7" style="58" width="16.57"/>
    <col collapsed="false" customWidth="true" hidden="false" outlineLevel="0" max="8" min="8" style="59" width="23.29"/>
    <col collapsed="false" customWidth="true" hidden="false" outlineLevel="0" max="9" min="9" style="58" width="23.14"/>
    <col collapsed="false" customWidth="false" hidden="false" outlineLevel="0" max="12" min="10" style="58" width="11.43"/>
    <col collapsed="false" customWidth="false" hidden="false" outlineLevel="0" max="19" min="13" style="55" width="11.43"/>
    <col collapsed="false" customWidth="true" hidden="false" outlineLevel="0" max="20" min="20" style="55" width="3.29"/>
    <col collapsed="false" customWidth="false" hidden="false" outlineLevel="0" max="16384" min="21" style="55" width="11.43"/>
  </cols>
  <sheetData>
    <row r="1" customFormat="false" ht="15" hidden="false" customHeight="false" outlineLevel="0" collapsed="false"/>
    <row r="2" customFormat="false" ht="15.75" hidden="false" customHeight="false" outlineLevel="0" collapsed="false">
      <c r="B2" s="60" t="s">
        <v>79</v>
      </c>
      <c r="C2" s="61" t="n">
        <v>5</v>
      </c>
      <c r="T2" s="55" t="n">
        <v>5</v>
      </c>
    </row>
    <row r="3" customFormat="false" ht="15.75" hidden="false" customHeight="false" outlineLevel="0" collapsed="false">
      <c r="B3" s="62" t="s">
        <v>80</v>
      </c>
      <c r="C3" s="63" t="n">
        <v>5</v>
      </c>
      <c r="T3" s="55" t="n">
        <v>10</v>
      </c>
    </row>
    <row r="4" customFormat="false" ht="15.75" hidden="false" customHeight="false" outlineLevel="0" collapsed="false">
      <c r="B4" s="60" t="s">
        <v>81</v>
      </c>
      <c r="C4" s="64" t="s">
        <v>82</v>
      </c>
      <c r="D4" s="64"/>
      <c r="E4" s="64"/>
      <c r="F4" s="64"/>
      <c r="G4" s="65"/>
      <c r="T4" s="55" t="n">
        <v>15</v>
      </c>
    </row>
    <row r="5" customFormat="false" ht="14.25" hidden="false" customHeight="false" outlineLevel="0" collapsed="false">
      <c r="T5" s="55" t="n">
        <v>20</v>
      </c>
    </row>
    <row r="8" customFormat="false" ht="18" hidden="false" customHeight="false" outlineLevel="0" collapsed="false">
      <c r="B8" s="66" t="s">
        <v>83</v>
      </c>
    </row>
    <row r="9" customFormat="false" ht="15" hidden="false" customHeight="false" outlineLevel="0" collapsed="false">
      <c r="B9" s="67" t="s">
        <v>84</v>
      </c>
      <c r="D9" s="68"/>
      <c r="J9" s="69"/>
      <c r="K9" s="69"/>
    </row>
    <row r="10" s="58" customFormat="true" ht="14.25" hidden="false" customHeight="false" outlineLevel="0" collapsed="false">
      <c r="B10" s="58" t="s">
        <v>85</v>
      </c>
      <c r="C10" s="70" t="s">
        <v>86</v>
      </c>
      <c r="D10" s="71" t="n">
        <v>1578.11</v>
      </c>
      <c r="E10" s="58" t="s">
        <v>87</v>
      </c>
      <c r="F10" s="58" t="s">
        <v>88</v>
      </c>
      <c r="H10" s="59"/>
      <c r="J10" s="69"/>
      <c r="K10" s="69"/>
    </row>
    <row r="11" s="58" customFormat="true" ht="14.25" hidden="false" customHeight="false" outlineLevel="0" collapsed="false">
      <c r="B11" s="58" t="s">
        <v>89</v>
      </c>
      <c r="C11" s="70" t="s">
        <v>86</v>
      </c>
      <c r="D11" s="71" t="n">
        <v>1346.43</v>
      </c>
      <c r="E11" s="58" t="s">
        <v>87</v>
      </c>
      <c r="F11" s="58" t="s">
        <v>90</v>
      </c>
      <c r="H11" s="59"/>
      <c r="J11" s="69"/>
      <c r="K11" s="69"/>
    </row>
    <row r="12" s="58" customFormat="true" ht="14.25" hidden="false" customHeight="false" outlineLevel="0" collapsed="false">
      <c r="B12" s="58" t="s">
        <v>91</v>
      </c>
      <c r="C12" s="70" t="s">
        <v>32</v>
      </c>
      <c r="D12" s="71" t="n">
        <v>2</v>
      </c>
      <c r="E12" s="58" t="s">
        <v>92</v>
      </c>
      <c r="F12" s="58" t="s">
        <v>93</v>
      </c>
      <c r="H12" s="59"/>
      <c r="J12" s="69"/>
      <c r="K12" s="69"/>
    </row>
    <row r="13" s="58" customFormat="true" ht="14.25" hidden="false" customHeight="false" outlineLevel="0" collapsed="false">
      <c r="B13" s="58" t="s">
        <v>94</v>
      </c>
      <c r="C13" s="70" t="s">
        <v>86</v>
      </c>
      <c r="D13" s="68" t="n">
        <f aca="false">D10+D12*D11</f>
        <v>4270.97</v>
      </c>
      <c r="H13" s="59"/>
      <c r="J13" s="69"/>
      <c r="K13" s="69"/>
    </row>
    <row r="14" s="58" customFormat="true" ht="14.25" hidden="false" customHeight="false" outlineLevel="0" collapsed="false">
      <c r="B14" s="72" t="s">
        <v>95</v>
      </c>
      <c r="C14" s="70" t="s">
        <v>96</v>
      </c>
      <c r="D14" s="68" t="n">
        <f aca="false">D13*12</f>
        <v>51251.64</v>
      </c>
      <c r="H14" s="59"/>
      <c r="J14" s="69"/>
      <c r="K14" s="69"/>
    </row>
    <row r="15" s="58" customFormat="true" ht="14.25" hidden="false" customHeight="false" outlineLevel="0" collapsed="false">
      <c r="B15" s="72" t="s">
        <v>97</v>
      </c>
      <c r="C15" s="70" t="s">
        <v>96</v>
      </c>
      <c r="D15" s="68" t="n">
        <f aca="false">$D$14*$D$27</f>
        <v>51251.64</v>
      </c>
      <c r="H15" s="59"/>
      <c r="J15" s="69"/>
      <c r="K15" s="69"/>
    </row>
    <row r="16" customFormat="false" ht="14.25" hidden="false" customHeight="false" outlineLevel="0" collapsed="false">
      <c r="B16" s="55" t="s">
        <v>98</v>
      </c>
      <c r="C16" s="56" t="s">
        <v>99</v>
      </c>
      <c r="D16" s="71" t="n">
        <v>8</v>
      </c>
      <c r="E16" s="58" t="s">
        <v>100</v>
      </c>
      <c r="F16" s="58" t="s">
        <v>101</v>
      </c>
    </row>
    <row r="17" customFormat="false" ht="14.25" hidden="false" customHeight="false" outlineLevel="0" collapsed="false">
      <c r="B17" s="55" t="s">
        <v>102</v>
      </c>
      <c r="C17" s="56" t="s">
        <v>32</v>
      </c>
      <c r="D17" s="71" t="n">
        <v>1</v>
      </c>
      <c r="E17" s="58" t="s">
        <v>103</v>
      </c>
      <c r="F17" s="58" t="s">
        <v>104</v>
      </c>
    </row>
    <row r="18" customFormat="false" ht="14.25" hidden="false" customHeight="false" outlineLevel="0" collapsed="false">
      <c r="B18" s="55" t="s">
        <v>105</v>
      </c>
      <c r="C18" s="56" t="s">
        <v>106</v>
      </c>
      <c r="D18" s="71" t="n">
        <v>4</v>
      </c>
      <c r="E18" s="58" t="s">
        <v>100</v>
      </c>
      <c r="F18" s="58" t="s">
        <v>107</v>
      </c>
    </row>
    <row r="19" customFormat="false" ht="14.25" hidden="false" customHeight="false" outlineLevel="0" collapsed="false">
      <c r="B19" s="55" t="s">
        <v>108</v>
      </c>
      <c r="C19" s="56" t="s">
        <v>109</v>
      </c>
      <c r="D19" s="73" t="n">
        <v>4.5</v>
      </c>
    </row>
    <row r="20" customFormat="false" ht="14.25" hidden="false" customHeight="false" outlineLevel="0" collapsed="false">
      <c r="B20" s="55" t="s">
        <v>105</v>
      </c>
      <c r="C20" s="56" t="s">
        <v>110</v>
      </c>
      <c r="D20" s="68" t="n">
        <f aca="false">D19*D18</f>
        <v>18</v>
      </c>
    </row>
    <row r="21" customFormat="false" ht="14.25" hidden="false" customHeight="false" outlineLevel="0" collapsed="false">
      <c r="B21" s="55" t="s">
        <v>111</v>
      </c>
      <c r="C21" s="56" t="s">
        <v>112</v>
      </c>
      <c r="D21" s="74" t="n">
        <f aca="false">60*D16*D20*D17</f>
        <v>8640</v>
      </c>
    </row>
    <row r="22" customFormat="false" ht="15" hidden="false" customHeight="false" outlineLevel="0" collapsed="false">
      <c r="D22" s="74"/>
    </row>
    <row r="23" customFormat="false" ht="15" hidden="false" customHeight="false" outlineLevel="0" collapsed="false">
      <c r="B23" s="75" t="s">
        <v>113</v>
      </c>
      <c r="H23" s="76" t="s">
        <v>114</v>
      </c>
      <c r="I23" s="76"/>
    </row>
    <row r="24" customFormat="false" ht="14.25" hidden="false" customHeight="false" outlineLevel="0" collapsed="false">
      <c r="B24" s="55" t="s">
        <v>16</v>
      </c>
      <c r="C24" s="56" t="s">
        <v>115</v>
      </c>
      <c r="D24" s="71" t="n">
        <v>12</v>
      </c>
      <c r="E24" s="58" t="s">
        <v>116</v>
      </c>
      <c r="F24" s="58" t="s">
        <v>117</v>
      </c>
      <c r="H24" s="77" t="s">
        <v>118</v>
      </c>
      <c r="I24" s="78" t="s">
        <v>119</v>
      </c>
    </row>
    <row r="25" customFormat="false" ht="13.5" hidden="false" customHeight="true" outlineLevel="0" collapsed="false">
      <c r="B25" s="55" t="s">
        <v>120</v>
      </c>
      <c r="C25" s="56" t="s">
        <v>121</v>
      </c>
      <c r="D25" s="71" t="n">
        <v>0.5</v>
      </c>
      <c r="E25" s="58" t="s">
        <v>100</v>
      </c>
      <c r="F25" s="58" t="s">
        <v>122</v>
      </c>
      <c r="H25" s="32" t="n">
        <v>9</v>
      </c>
      <c r="I25" s="79" t="n">
        <v>146334.312282615</v>
      </c>
    </row>
    <row r="26" customFormat="false" ht="15" hidden="false" customHeight="false" outlineLevel="0" collapsed="false">
      <c r="B26" s="55" t="s">
        <v>16</v>
      </c>
      <c r="C26" s="56" t="s">
        <v>123</v>
      </c>
      <c r="D26" s="68" t="n">
        <f aca="false">D25*D24</f>
        <v>6</v>
      </c>
      <c r="H26" s="32" t="n">
        <v>12</v>
      </c>
      <c r="I26" s="79" t="n">
        <v>151762.46468843</v>
      </c>
    </row>
    <row r="27" customFormat="false" ht="15" hidden="false" customHeight="false" outlineLevel="0" collapsed="false">
      <c r="B27" s="55" t="s">
        <v>124</v>
      </c>
      <c r="C27" s="56" t="s">
        <v>125</v>
      </c>
      <c r="D27" s="68" t="n">
        <v>1</v>
      </c>
      <c r="H27" s="32" t="n">
        <v>15</v>
      </c>
      <c r="I27" s="79" t="n">
        <v>157190.617094246</v>
      </c>
    </row>
    <row r="28" customFormat="false" ht="15" hidden="false" customHeight="false" outlineLevel="0" collapsed="false">
      <c r="B28" s="55" t="s">
        <v>25</v>
      </c>
      <c r="C28" s="56" t="s">
        <v>19</v>
      </c>
      <c r="D28" s="73" t="n">
        <v>0.1</v>
      </c>
      <c r="H28" s="32" t="n">
        <v>16</v>
      </c>
      <c r="I28" s="79" t="n">
        <v>159000.001229518</v>
      </c>
    </row>
    <row r="29" customFormat="false" ht="15" hidden="false" customHeight="false" outlineLevel="0" collapsed="false">
      <c r="B29" s="55" t="s">
        <v>126</v>
      </c>
      <c r="C29" s="56" t="s">
        <v>127</v>
      </c>
      <c r="D29" s="68" t="n">
        <f aca="false">VLOOKUP($D$24,$H$25:$I$33,2,FALSE())</f>
        <v>151762.46468843</v>
      </c>
      <c r="H29" s="32" t="n">
        <v>17</v>
      </c>
      <c r="I29" s="79" t="n">
        <v>160809.38536479</v>
      </c>
      <c r="J29" s="69"/>
      <c r="K29" s="69"/>
    </row>
    <row r="30" customFormat="false" ht="15" hidden="false" customHeight="false" outlineLevel="0" collapsed="false">
      <c r="B30" s="55" t="s">
        <v>128</v>
      </c>
      <c r="C30" s="56" t="s">
        <v>129</v>
      </c>
      <c r="D30" s="68" t="n">
        <f aca="false">D29*D27</f>
        <v>151762.46468843</v>
      </c>
      <c r="E30" s="69"/>
      <c r="F30" s="69"/>
      <c r="H30" s="32" t="n">
        <v>18</v>
      </c>
      <c r="I30" s="79" t="n">
        <v>162618.769500061</v>
      </c>
    </row>
    <row r="31" customFormat="false" ht="15" hidden="false" customHeight="false" outlineLevel="0" collapsed="false">
      <c r="B31" s="55" t="s">
        <v>130</v>
      </c>
      <c r="C31" s="56" t="s">
        <v>131</v>
      </c>
      <c r="D31" s="68" t="n">
        <f aca="false">C2</f>
        <v>5</v>
      </c>
      <c r="H31" s="32" t="n">
        <v>19</v>
      </c>
      <c r="I31" s="79" t="n">
        <v>164428.153635333</v>
      </c>
    </row>
    <row r="32" customFormat="false" ht="28.5" hidden="false" customHeight="false" outlineLevel="0" collapsed="false">
      <c r="B32" s="80" t="s">
        <v>132</v>
      </c>
      <c r="C32" s="57" t="s">
        <v>59</v>
      </c>
      <c r="D32" s="81" t="n">
        <v>0.1</v>
      </c>
      <c r="E32" s="58" t="s">
        <v>100</v>
      </c>
      <c r="F32" s="58" t="s">
        <v>133</v>
      </c>
      <c r="H32" s="32" t="n">
        <v>21</v>
      </c>
      <c r="I32" s="79" t="n">
        <v>168046.921905877</v>
      </c>
      <c r="N32" s="82"/>
    </row>
    <row r="33" customFormat="false" ht="15.75" hidden="false" customHeight="false" outlineLevel="0" collapsed="false">
      <c r="B33" s="80" t="s">
        <v>134</v>
      </c>
      <c r="C33" s="56" t="s">
        <v>135</v>
      </c>
      <c r="D33" s="71" t="n">
        <v>6</v>
      </c>
      <c r="E33" s="58" t="s">
        <v>100</v>
      </c>
      <c r="F33" s="58" t="s">
        <v>136</v>
      </c>
      <c r="H33" s="43" t="n">
        <v>24</v>
      </c>
      <c r="I33" s="83" t="n">
        <v>173475.074311692</v>
      </c>
    </row>
    <row r="34" customFormat="false" ht="14.25" hidden="false" customHeight="false" outlineLevel="0" collapsed="false">
      <c r="B34" s="80" t="s">
        <v>137</v>
      </c>
      <c r="C34" s="56" t="s">
        <v>15</v>
      </c>
      <c r="D34" s="71" t="n">
        <v>31.3333333333333</v>
      </c>
      <c r="E34" s="58" t="s">
        <v>100</v>
      </c>
      <c r="F34" s="58" t="s">
        <v>138</v>
      </c>
    </row>
    <row r="35" customFormat="false" ht="14.25" hidden="false" customHeight="false" outlineLevel="0" collapsed="false">
      <c r="B35" s="80" t="s">
        <v>139</v>
      </c>
      <c r="C35" s="56" t="s">
        <v>140</v>
      </c>
      <c r="D35" s="71" t="n">
        <v>0.54</v>
      </c>
      <c r="E35" s="58" t="s">
        <v>100</v>
      </c>
      <c r="F35" s="58" t="s">
        <v>141</v>
      </c>
      <c r="J35" s="84"/>
    </row>
    <row r="36" customFormat="false" ht="14.25" hidden="false" customHeight="false" outlineLevel="0" collapsed="false">
      <c r="B36" s="80" t="s">
        <v>142</v>
      </c>
      <c r="C36" s="56" t="s">
        <v>59</v>
      </c>
      <c r="D36" s="85" t="n">
        <v>0.15</v>
      </c>
    </row>
    <row r="37" customFormat="false" ht="14.25" hidden="false" customHeight="false" outlineLevel="0" collapsed="false">
      <c r="B37" s="80" t="s">
        <v>143</v>
      </c>
      <c r="C37" s="56" t="s">
        <v>59</v>
      </c>
      <c r="D37" s="85" t="n">
        <v>0.4</v>
      </c>
    </row>
    <row r="38" customFormat="false" ht="14.25" hidden="false" customHeight="false" outlineLevel="0" collapsed="false">
      <c r="B38" s="80" t="s">
        <v>144</v>
      </c>
      <c r="C38" s="56" t="s">
        <v>33</v>
      </c>
      <c r="D38" s="73" t="n">
        <v>2.35</v>
      </c>
    </row>
    <row r="39" customFormat="false" ht="14.25" hidden="false" customHeight="false" outlineLevel="0" collapsed="false">
      <c r="B39" s="80"/>
      <c r="D39" s="86"/>
    </row>
    <row r="40" customFormat="false" ht="15" hidden="false" customHeight="false" outlineLevel="0" collapsed="false">
      <c r="B40" s="75" t="s">
        <v>145</v>
      </c>
      <c r="D40" s="74"/>
    </row>
    <row r="41" customFormat="false" ht="14.25" hidden="false" customHeight="false" outlineLevel="0" collapsed="false">
      <c r="B41" s="80" t="s">
        <v>146</v>
      </c>
      <c r="C41" s="57" t="s">
        <v>10</v>
      </c>
      <c r="D41" s="68" t="n">
        <f aca="false">D42*6</f>
        <v>30</v>
      </c>
    </row>
    <row r="42" customFormat="false" ht="14.25" hidden="false" customHeight="false" outlineLevel="0" collapsed="false">
      <c r="B42" s="80" t="s">
        <v>147</v>
      </c>
      <c r="C42" s="57" t="s">
        <v>10</v>
      </c>
      <c r="D42" s="71" t="n">
        <v>5</v>
      </c>
      <c r="E42" s="58" t="s">
        <v>100</v>
      </c>
      <c r="F42" s="58" t="s">
        <v>148</v>
      </c>
    </row>
    <row r="43" customFormat="false" ht="14.25" hidden="false" customHeight="false" outlineLevel="0" collapsed="false">
      <c r="B43" s="80" t="s">
        <v>149</v>
      </c>
      <c r="C43" s="57" t="s">
        <v>10</v>
      </c>
      <c r="D43" s="71" t="n">
        <v>77.225</v>
      </c>
      <c r="E43" s="58" t="s">
        <v>100</v>
      </c>
      <c r="F43" s="58" t="s">
        <v>150</v>
      </c>
    </row>
    <row r="44" customFormat="false" ht="14.25" hidden="false" customHeight="false" outlineLevel="0" collapsed="false">
      <c r="B44" s="80" t="s">
        <v>151</v>
      </c>
      <c r="C44" s="57" t="s">
        <v>10</v>
      </c>
      <c r="D44" s="68" t="n">
        <f aca="false">D43</f>
        <v>77.225</v>
      </c>
    </row>
    <row r="45" customFormat="false" ht="14.25" hidden="false" customHeight="false" outlineLevel="0" collapsed="false">
      <c r="D45" s="74"/>
    </row>
    <row r="46" customFormat="false" ht="18" hidden="false" customHeight="false" outlineLevel="0" collapsed="false">
      <c r="B46" s="66" t="s">
        <v>152</v>
      </c>
      <c r="D46" s="74"/>
    </row>
    <row r="47" customFormat="false" ht="15" hidden="false" customHeight="false" outlineLevel="0" collapsed="false">
      <c r="B47" s="67" t="s">
        <v>84</v>
      </c>
      <c r="D47" s="74"/>
    </row>
    <row r="48" customFormat="false" ht="14.25" hidden="false" customHeight="false" outlineLevel="0" collapsed="false">
      <c r="B48" s="58" t="s">
        <v>85</v>
      </c>
      <c r="C48" s="70" t="s">
        <v>86</v>
      </c>
      <c r="D48" s="71" t="n">
        <v>1578.11</v>
      </c>
      <c r="E48" s="58" t="s">
        <v>87</v>
      </c>
      <c r="F48" s="58" t="s">
        <v>88</v>
      </c>
    </row>
    <row r="49" customFormat="false" ht="14.25" hidden="false" customHeight="false" outlineLevel="0" collapsed="false">
      <c r="B49" s="58" t="s">
        <v>89</v>
      </c>
      <c r="C49" s="70" t="s">
        <v>86</v>
      </c>
      <c r="D49" s="71" t="n">
        <v>1346.43</v>
      </c>
      <c r="E49" s="58" t="s">
        <v>87</v>
      </c>
      <c r="F49" s="58" t="s">
        <v>153</v>
      </c>
    </row>
    <row r="50" customFormat="false" ht="14.25" hidden="false" customHeight="false" outlineLevel="0" collapsed="false">
      <c r="B50" s="58" t="s">
        <v>91</v>
      </c>
      <c r="C50" s="70" t="s">
        <v>32</v>
      </c>
      <c r="D50" s="71" t="n">
        <v>0</v>
      </c>
      <c r="E50" s="58" t="s">
        <v>92</v>
      </c>
      <c r="F50" s="58" t="s">
        <v>154</v>
      </c>
    </row>
    <row r="51" customFormat="false" ht="14.25" hidden="false" customHeight="false" outlineLevel="0" collapsed="false">
      <c r="B51" s="58" t="s">
        <v>94</v>
      </c>
      <c r="C51" s="70" t="s">
        <v>86</v>
      </c>
      <c r="D51" s="68" t="n">
        <f aca="false">D48+D50*D49</f>
        <v>1578.11</v>
      </c>
    </row>
    <row r="52" customFormat="false" ht="14.25" hidden="false" customHeight="false" outlineLevel="0" collapsed="false">
      <c r="B52" s="72" t="s">
        <v>95</v>
      </c>
      <c r="C52" s="70" t="s">
        <v>96</v>
      </c>
      <c r="D52" s="68" t="n">
        <f aca="false">D51*12</f>
        <v>18937.32</v>
      </c>
      <c r="F52" s="72"/>
    </row>
    <row r="53" customFormat="false" ht="14.25" hidden="false" customHeight="false" outlineLevel="0" collapsed="false">
      <c r="B53" s="72" t="s">
        <v>97</v>
      </c>
      <c r="C53" s="70" t="s">
        <v>96</v>
      </c>
      <c r="D53" s="68" t="n">
        <f aca="false">$D$52*$D$65</f>
        <v>18937.32</v>
      </c>
      <c r="F53" s="72"/>
    </row>
    <row r="54" customFormat="false" ht="14.25" hidden="false" customHeight="false" outlineLevel="0" collapsed="false">
      <c r="B54" s="55" t="s">
        <v>98</v>
      </c>
      <c r="C54" s="56" t="s">
        <v>99</v>
      </c>
      <c r="D54" s="71" t="n">
        <v>8</v>
      </c>
      <c r="E54" s="58" t="s">
        <v>100</v>
      </c>
      <c r="F54" s="58" t="s">
        <v>101</v>
      </c>
    </row>
    <row r="55" customFormat="false" ht="14.25" hidden="false" customHeight="false" outlineLevel="0" collapsed="false">
      <c r="B55" s="55" t="s">
        <v>102</v>
      </c>
      <c r="C55" s="56" t="s">
        <v>32</v>
      </c>
      <c r="D55" s="71" t="n">
        <v>1</v>
      </c>
      <c r="E55" s="58" t="s">
        <v>155</v>
      </c>
      <c r="F55" s="58" t="s">
        <v>156</v>
      </c>
    </row>
    <row r="56" customFormat="false" ht="14.25" hidden="false" customHeight="false" outlineLevel="0" collapsed="false">
      <c r="B56" s="55" t="s">
        <v>105</v>
      </c>
      <c r="C56" s="56" t="s">
        <v>106</v>
      </c>
      <c r="D56" s="71" t="n">
        <v>4</v>
      </c>
      <c r="E56" s="58" t="s">
        <v>100</v>
      </c>
      <c r="F56" s="58" t="s">
        <v>107</v>
      </c>
    </row>
    <row r="57" customFormat="false" ht="14.25" hidden="false" customHeight="false" outlineLevel="0" collapsed="false">
      <c r="B57" s="55" t="s">
        <v>108</v>
      </c>
      <c r="C57" s="56" t="s">
        <v>109</v>
      </c>
      <c r="D57" s="73" t="n">
        <v>4.5</v>
      </c>
      <c r="F57" s="55"/>
    </row>
    <row r="58" customFormat="false" ht="14.25" hidden="false" customHeight="false" outlineLevel="0" collapsed="false">
      <c r="B58" s="55" t="s">
        <v>105</v>
      </c>
      <c r="C58" s="56" t="s">
        <v>110</v>
      </c>
      <c r="D58" s="68" t="n">
        <f aca="false">D57*D56</f>
        <v>18</v>
      </c>
      <c r="F58" s="55"/>
    </row>
    <row r="59" customFormat="false" ht="14.25" hidden="false" customHeight="false" outlineLevel="0" collapsed="false">
      <c r="B59" s="55" t="s">
        <v>111</v>
      </c>
      <c r="C59" s="56" t="s">
        <v>112</v>
      </c>
      <c r="D59" s="74" t="n">
        <f aca="false">60*D54*D58</f>
        <v>8640</v>
      </c>
      <c r="F59" s="55"/>
    </row>
    <row r="60" customFormat="false" ht="18.75" hidden="false" customHeight="false" outlineLevel="0" collapsed="false">
      <c r="B60" s="66"/>
      <c r="D60" s="74"/>
      <c r="F60" s="55"/>
    </row>
    <row r="61" customFormat="false" ht="15" hidden="false" customHeight="false" outlineLevel="0" collapsed="false">
      <c r="B61" s="75" t="s">
        <v>113</v>
      </c>
      <c r="D61" s="74"/>
      <c r="H61" s="76" t="s">
        <v>157</v>
      </c>
      <c r="I61" s="76"/>
    </row>
    <row r="62" customFormat="false" ht="14.25" hidden="false" customHeight="false" outlineLevel="0" collapsed="false">
      <c r="B62" s="55" t="s">
        <v>16</v>
      </c>
      <c r="C62" s="56" t="s">
        <v>115</v>
      </c>
      <c r="D62" s="71" t="n">
        <v>45</v>
      </c>
      <c r="E62" s="58" t="s">
        <v>155</v>
      </c>
      <c r="F62" s="58" t="s">
        <v>158</v>
      </c>
      <c r="H62" s="87" t="s">
        <v>118</v>
      </c>
      <c r="I62" s="78" t="s">
        <v>119</v>
      </c>
    </row>
    <row r="63" customFormat="false" ht="15" hidden="false" customHeight="false" outlineLevel="0" collapsed="false">
      <c r="B63" s="55" t="s">
        <v>120</v>
      </c>
      <c r="C63" s="56" t="s">
        <v>121</v>
      </c>
      <c r="D63" s="71" t="n">
        <v>0.23</v>
      </c>
      <c r="E63" s="58" t="s">
        <v>159</v>
      </c>
      <c r="F63" s="58" t="s">
        <v>160</v>
      </c>
      <c r="H63" s="32" t="n">
        <v>25</v>
      </c>
      <c r="I63" s="79" t="n">
        <v>131850.270506367</v>
      </c>
    </row>
    <row r="64" customFormat="false" ht="15" hidden="false" customHeight="false" outlineLevel="0" collapsed="false">
      <c r="B64" s="55" t="s">
        <v>16</v>
      </c>
      <c r="C64" s="56" t="s">
        <v>123</v>
      </c>
      <c r="D64" s="68" t="n">
        <f aca="false">D63*D62</f>
        <v>10.35</v>
      </c>
      <c r="H64" s="32" t="n">
        <v>30</v>
      </c>
      <c r="I64" s="79" t="n">
        <v>158220.32460764</v>
      </c>
    </row>
    <row r="65" customFormat="false" ht="15" hidden="false" customHeight="false" outlineLevel="0" collapsed="false">
      <c r="B65" s="55" t="s">
        <v>124</v>
      </c>
      <c r="C65" s="56" t="s">
        <v>125</v>
      </c>
      <c r="D65" s="68" t="n">
        <v>1</v>
      </c>
      <c r="H65" s="32" t="n">
        <v>35</v>
      </c>
      <c r="I65" s="79" t="n">
        <v>184590.378708913</v>
      </c>
    </row>
    <row r="66" customFormat="false" ht="15" hidden="false" customHeight="false" outlineLevel="0" collapsed="false">
      <c r="B66" s="55" t="s">
        <v>25</v>
      </c>
      <c r="C66" s="56" t="s">
        <v>19</v>
      </c>
      <c r="D66" s="73" t="n">
        <v>0.1</v>
      </c>
      <c r="H66" s="32" t="n">
        <v>40</v>
      </c>
      <c r="I66" s="79" t="n">
        <v>210960.432810187</v>
      </c>
    </row>
    <row r="67" customFormat="false" ht="15" hidden="false" customHeight="false" outlineLevel="0" collapsed="false">
      <c r="B67" s="55" t="s">
        <v>161</v>
      </c>
      <c r="C67" s="56" t="s">
        <v>127</v>
      </c>
      <c r="D67" s="68" t="n">
        <f aca="false">VLOOKUP($D$62,$H$63:$I$68,2,FALSE())</f>
        <v>237330.48691146</v>
      </c>
      <c r="H67" s="32" t="n">
        <v>45</v>
      </c>
      <c r="I67" s="79" t="n">
        <v>237330.48691146</v>
      </c>
    </row>
    <row r="68" customFormat="false" ht="15.75" hidden="false" customHeight="false" outlineLevel="0" collapsed="false">
      <c r="B68" s="55" t="s">
        <v>128</v>
      </c>
      <c r="C68" s="56" t="s">
        <v>129</v>
      </c>
      <c r="D68" s="68" t="n">
        <f aca="false">D67*D65</f>
        <v>237330.48691146</v>
      </c>
      <c r="E68" s="69"/>
      <c r="F68" s="69"/>
      <c r="H68" s="43" t="n">
        <v>50</v>
      </c>
      <c r="I68" s="83" t="n">
        <v>263700.541012733</v>
      </c>
    </row>
    <row r="69" customFormat="false" ht="14.25" hidden="false" customHeight="false" outlineLevel="0" collapsed="false">
      <c r="B69" s="55" t="s">
        <v>130</v>
      </c>
      <c r="C69" s="56" t="s">
        <v>131</v>
      </c>
      <c r="D69" s="68" t="n">
        <f aca="false">C3</f>
        <v>5</v>
      </c>
    </row>
    <row r="70" customFormat="false" ht="28.5" hidden="false" customHeight="false" outlineLevel="0" collapsed="false">
      <c r="B70" s="80" t="s">
        <v>132</v>
      </c>
      <c r="C70" s="57" t="s">
        <v>59</v>
      </c>
      <c r="D70" s="81" t="n">
        <v>0.1</v>
      </c>
      <c r="E70" s="58" t="s">
        <v>162</v>
      </c>
      <c r="F70" s="58" t="s">
        <v>107</v>
      </c>
    </row>
    <row r="71" customFormat="false" ht="14.25" hidden="false" customHeight="false" outlineLevel="0" collapsed="false">
      <c r="B71" s="80" t="s">
        <v>134</v>
      </c>
      <c r="C71" s="56" t="s">
        <v>135</v>
      </c>
      <c r="D71" s="71" t="n">
        <v>6</v>
      </c>
      <c r="E71" s="58" t="s">
        <v>162</v>
      </c>
      <c r="F71" s="58" t="s">
        <v>93</v>
      </c>
    </row>
    <row r="72" customFormat="false" ht="14.25" hidden="false" customHeight="false" outlineLevel="0" collapsed="false">
      <c r="B72" s="80" t="s">
        <v>137</v>
      </c>
      <c r="C72" s="56" t="s">
        <v>15</v>
      </c>
      <c r="D72" s="71" t="n">
        <v>82.2439024390244</v>
      </c>
      <c r="E72" s="58" t="s">
        <v>162</v>
      </c>
      <c r="F72" s="58" t="s">
        <v>163</v>
      </c>
    </row>
    <row r="73" customFormat="false" ht="14.25" hidden="false" customHeight="false" outlineLevel="0" collapsed="false">
      <c r="B73" s="80" t="s">
        <v>139</v>
      </c>
      <c r="C73" s="56" t="s">
        <v>140</v>
      </c>
      <c r="D73" s="71" t="n">
        <v>0.54</v>
      </c>
      <c r="E73" s="58" t="s">
        <v>100</v>
      </c>
      <c r="F73" s="58" t="s">
        <v>141</v>
      </c>
    </row>
    <row r="74" customFormat="false" ht="14.25" hidden="false" customHeight="false" outlineLevel="0" collapsed="false">
      <c r="B74" s="80" t="s">
        <v>142</v>
      </c>
      <c r="C74" s="56" t="s">
        <v>59</v>
      </c>
      <c r="D74" s="85" t="n">
        <v>0.15</v>
      </c>
    </row>
    <row r="75" customFormat="false" ht="14.25" hidden="false" customHeight="false" outlineLevel="0" collapsed="false">
      <c r="B75" s="80" t="s">
        <v>143</v>
      </c>
      <c r="C75" s="56" t="s">
        <v>59</v>
      </c>
      <c r="D75" s="85" t="n">
        <v>0.4</v>
      </c>
    </row>
    <row r="76" customFormat="false" ht="14.25" hidden="false" customHeight="false" outlineLevel="0" collapsed="false">
      <c r="B76" s="80" t="s">
        <v>144</v>
      </c>
      <c r="C76" s="56" t="s">
        <v>33</v>
      </c>
      <c r="D76" s="73" t="n">
        <v>2.35</v>
      </c>
    </row>
    <row r="77" customFormat="false" ht="14.25" hidden="false" customHeight="false" outlineLevel="0" collapsed="false">
      <c r="D77" s="74"/>
    </row>
    <row r="78" customFormat="false" ht="15" hidden="false" customHeight="false" outlineLevel="0" collapsed="false">
      <c r="B78" s="75" t="s">
        <v>145</v>
      </c>
      <c r="D78" s="74"/>
    </row>
    <row r="79" customFormat="false" ht="14.25" hidden="false" customHeight="false" outlineLevel="0" collapsed="false">
      <c r="B79" s="80" t="s">
        <v>164</v>
      </c>
      <c r="C79" s="57" t="s">
        <v>10</v>
      </c>
      <c r="D79" s="68" t="n">
        <v>20</v>
      </c>
      <c r="E79" s="58" t="s">
        <v>162</v>
      </c>
      <c r="F79" s="58" t="s">
        <v>165</v>
      </c>
    </row>
    <row r="80" customFormat="false" ht="14.25" hidden="false" customHeight="false" outlineLevel="0" collapsed="false">
      <c r="B80" s="80" t="s">
        <v>166</v>
      </c>
      <c r="C80" s="57" t="s">
        <v>10</v>
      </c>
      <c r="D80" s="71" t="n">
        <v>15</v>
      </c>
      <c r="E80" s="58" t="s">
        <v>162</v>
      </c>
      <c r="F80" s="58" t="s">
        <v>167</v>
      </c>
    </row>
    <row r="81" customFormat="false" ht="14.25" hidden="false" customHeight="false" outlineLevel="0" collapsed="false">
      <c r="B81" s="80" t="s">
        <v>149</v>
      </c>
      <c r="C81" s="57" t="s">
        <v>10</v>
      </c>
      <c r="D81" s="71" t="n">
        <v>1.9</v>
      </c>
      <c r="E81" s="58" t="s">
        <v>162</v>
      </c>
      <c r="F81" s="58" t="s">
        <v>168</v>
      </c>
    </row>
    <row r="82" customFormat="false" ht="14.25" hidden="false" customHeight="false" outlineLevel="0" collapsed="false">
      <c r="B82" s="80" t="s">
        <v>151</v>
      </c>
      <c r="C82" s="57" t="s">
        <v>10</v>
      </c>
      <c r="D82" s="68" t="n">
        <f aca="false">D81</f>
        <v>1.9</v>
      </c>
    </row>
    <row r="83" customFormat="false" ht="14.25" hidden="false" customHeight="false" outlineLevel="0" collapsed="false">
      <c r="D83" s="74"/>
    </row>
    <row r="84" customFormat="false" ht="14.25" hidden="false" customHeight="false" outlineLevel="0" collapsed="false">
      <c r="D84" s="74"/>
    </row>
    <row r="85" customFormat="false" ht="18" hidden="false" customHeight="false" outlineLevel="0" collapsed="false">
      <c r="B85" s="66" t="s">
        <v>169</v>
      </c>
      <c r="D85" s="74"/>
    </row>
    <row r="86" customFormat="false" ht="15" hidden="false" customHeight="false" outlineLevel="0" collapsed="false">
      <c r="B86" s="75" t="s">
        <v>130</v>
      </c>
      <c r="C86" s="56" t="s">
        <v>45</v>
      </c>
      <c r="D86" s="73" t="n">
        <v>20</v>
      </c>
    </row>
    <row r="87" customFormat="false" ht="14.25" hidden="false" customHeight="false" outlineLevel="0" collapsed="false">
      <c r="B87" s="55" t="s">
        <v>170</v>
      </c>
      <c r="C87" s="56" t="s">
        <v>62</v>
      </c>
      <c r="D87" s="73" t="n">
        <v>100</v>
      </c>
    </row>
    <row r="88" customFormat="false" ht="14.25" hidden="false" customHeight="false" outlineLevel="0" collapsed="false">
      <c r="B88" s="55" t="s">
        <v>171</v>
      </c>
      <c r="C88" s="56" t="s">
        <v>62</v>
      </c>
      <c r="D88" s="68" t="n">
        <f aca="false">SUM('Gen-Cap'!$B$2:$S$2)/INPUTS_Generales!$G$33</f>
        <v>183.333333333333</v>
      </c>
    </row>
    <row r="89" customFormat="false" ht="14.25" hidden="false" customHeight="false" outlineLevel="0" collapsed="false">
      <c r="B89" s="55" t="s">
        <v>172</v>
      </c>
      <c r="C89" s="56" t="s">
        <v>173</v>
      </c>
      <c r="D89" s="68" t="n">
        <f aca="false">$D$88*365</f>
        <v>66916.6666666667</v>
      </c>
    </row>
    <row r="90" customFormat="false" ht="14.25" hidden="false" customHeight="false" outlineLevel="0" collapsed="false">
      <c r="B90" s="55" t="s">
        <v>174</v>
      </c>
      <c r="C90" s="56" t="s">
        <v>175</v>
      </c>
      <c r="D90" s="68" t="n">
        <f aca="false">(IF($D$88&lt;$D$87,0.034*$D$88+5*(10^-8),0.0101*$D$88+2.5749))*1000000</f>
        <v>4426566.66666667</v>
      </c>
      <c r="G90" s="88"/>
    </row>
    <row r="91" customFormat="false" ht="14.25" hidden="false" customHeight="false" outlineLevel="0" collapsed="false">
      <c r="B91" s="55" t="s">
        <v>176</v>
      </c>
      <c r="C91" s="56" t="s">
        <v>175</v>
      </c>
      <c r="D91" s="68" t="n">
        <f aca="false">$D$90/$D$86</f>
        <v>221328.333333333</v>
      </c>
      <c r="G91" s="88"/>
    </row>
    <row r="92" customFormat="false" ht="14.25" hidden="false" customHeight="false" outlineLevel="0" collapsed="false">
      <c r="B92" s="55" t="s">
        <v>177</v>
      </c>
      <c r="C92" s="56" t="s">
        <v>178</v>
      </c>
      <c r="D92" s="68" t="n">
        <f aca="false">$D$91/$D$89</f>
        <v>3.30752179327522</v>
      </c>
      <c r="G92" s="88"/>
    </row>
    <row r="93" customFormat="false" ht="14.25" hidden="false" customHeight="false" outlineLevel="0" collapsed="false">
      <c r="B93" s="55" t="s">
        <v>179</v>
      </c>
      <c r="C93" s="56" t="s">
        <v>178</v>
      </c>
      <c r="D93" s="68" t="n">
        <f aca="false">691.43*($D$88^(-0.83))</f>
        <v>9.14656085174105</v>
      </c>
      <c r="G93" s="88"/>
    </row>
    <row r="94" customFormat="false" ht="14.25" hidden="false" customHeight="false" outlineLevel="0" collapsed="false">
      <c r="D94" s="68"/>
      <c r="G94" s="88"/>
    </row>
    <row r="95" customFormat="false" ht="14.25" hidden="false" customHeight="false" outlineLevel="0" collapsed="false">
      <c r="B95" s="55" t="s">
        <v>180</v>
      </c>
      <c r="C95" s="56" t="s">
        <v>181</v>
      </c>
      <c r="D95" s="68" t="n">
        <v>500</v>
      </c>
      <c r="G95" s="88"/>
    </row>
    <row r="96" customFormat="false" ht="14.25" hidden="false" customHeight="false" outlineLevel="0" collapsed="false">
      <c r="B96" s="55" t="s">
        <v>98</v>
      </c>
      <c r="C96" s="56" t="s">
        <v>99</v>
      </c>
      <c r="D96" s="68" t="n">
        <v>8</v>
      </c>
      <c r="G96" s="88"/>
    </row>
    <row r="97" customFormat="false" ht="14.25" hidden="false" customHeight="false" outlineLevel="0" collapsed="false">
      <c r="B97" s="55" t="s">
        <v>105</v>
      </c>
      <c r="C97" s="56" t="s">
        <v>106</v>
      </c>
      <c r="D97" s="68" t="n">
        <v>6</v>
      </c>
      <c r="G97" s="88"/>
    </row>
    <row r="98" customFormat="false" ht="14.25" hidden="false" customHeight="false" outlineLevel="0" collapsed="false">
      <c r="B98" s="55" t="s">
        <v>108</v>
      </c>
      <c r="C98" s="56" t="s">
        <v>109</v>
      </c>
      <c r="D98" s="68" t="n">
        <v>4.5</v>
      </c>
      <c r="G98" s="88"/>
    </row>
    <row r="99" customFormat="false" ht="14.25" hidden="false" customHeight="false" outlineLevel="0" collapsed="false">
      <c r="B99" s="55" t="s">
        <v>105</v>
      </c>
      <c r="C99" s="56" t="s">
        <v>110</v>
      </c>
      <c r="D99" s="68" t="n">
        <f aca="false">D97*D98</f>
        <v>27</v>
      </c>
      <c r="G99" s="88"/>
    </row>
    <row r="100" customFormat="false" ht="14.25" hidden="false" customHeight="false" outlineLevel="0" collapsed="false">
      <c r="B100" s="55" t="s">
        <v>182</v>
      </c>
      <c r="C100" s="55" t="s">
        <v>183</v>
      </c>
      <c r="D100" s="68" t="n">
        <v>52</v>
      </c>
      <c r="G100" s="88"/>
    </row>
    <row r="101" customFormat="false" ht="14.25" hidden="false" customHeight="false" outlineLevel="0" collapsed="false">
      <c r="B101" s="55" t="s">
        <v>184</v>
      </c>
      <c r="C101" s="56" t="s">
        <v>59</v>
      </c>
      <c r="D101" s="89" t="n">
        <f aca="false">D118/12</f>
        <v>0.01</v>
      </c>
      <c r="G101" s="88"/>
    </row>
    <row r="102" customFormat="false" ht="14.25" hidden="false" customHeight="false" outlineLevel="0" collapsed="false">
      <c r="B102" s="55" t="s">
        <v>185</v>
      </c>
      <c r="D102" s="68" t="n">
        <v>0</v>
      </c>
      <c r="G102" s="88"/>
    </row>
    <row r="103" customFormat="false" ht="14.25" hidden="false" customHeight="false" outlineLevel="0" collapsed="false">
      <c r="B103" s="55" t="s">
        <v>186</v>
      </c>
      <c r="C103" s="56" t="s">
        <v>131</v>
      </c>
      <c r="D103" s="68" t="n">
        <v>20</v>
      </c>
      <c r="G103" s="88"/>
    </row>
    <row r="104" customFormat="false" ht="14.25" hidden="false" customHeight="false" outlineLevel="0" collapsed="false">
      <c r="B104" s="55" t="s">
        <v>187</v>
      </c>
      <c r="C104" s="56" t="s">
        <v>129</v>
      </c>
      <c r="D104" s="68" t="n">
        <v>1100000</v>
      </c>
      <c r="G104" s="88"/>
    </row>
    <row r="105" customFormat="false" ht="14.25" hidden="false" customHeight="false" outlineLevel="0" collapsed="false">
      <c r="B105" s="55" t="s">
        <v>179</v>
      </c>
      <c r="C105" s="56" t="s">
        <v>86</v>
      </c>
      <c r="D105" s="68" t="n">
        <v>10000</v>
      </c>
      <c r="G105" s="88"/>
    </row>
    <row r="106" customFormat="false" ht="14.25" hidden="false" customHeight="false" outlineLevel="0" collapsed="false">
      <c r="D106" s="68"/>
      <c r="G106" s="88"/>
    </row>
    <row r="107" customFormat="false" ht="14.25" hidden="false" customHeight="false" outlineLevel="0" collapsed="false">
      <c r="D107" s="68"/>
      <c r="G107" s="88"/>
    </row>
    <row r="108" customFormat="false" ht="18" hidden="false" customHeight="false" outlineLevel="0" collapsed="false">
      <c r="B108" s="66" t="s">
        <v>188</v>
      </c>
      <c r="D108" s="74"/>
    </row>
    <row r="109" customFormat="false" ht="15" hidden="false" customHeight="false" outlineLevel="0" collapsed="false">
      <c r="B109" s="75" t="s">
        <v>130</v>
      </c>
      <c r="C109" s="56" t="s">
        <v>45</v>
      </c>
      <c r="D109" s="73" t="n">
        <v>20</v>
      </c>
    </row>
    <row r="110" customFormat="false" ht="14.25" hidden="false" customHeight="false" outlineLevel="0" collapsed="false">
      <c r="B110" s="55" t="s">
        <v>189</v>
      </c>
      <c r="C110" s="56" t="s">
        <v>62</v>
      </c>
      <c r="D110" s="68" t="n">
        <f aca="false">SUM('Gen-Cap'!$B$2:$S$2)/INPUTS_Generales!$G$35</f>
        <v>183.333333333333</v>
      </c>
    </row>
    <row r="111" customFormat="false" ht="14.25" hidden="false" customHeight="false" outlineLevel="0" collapsed="false">
      <c r="B111" s="55" t="s">
        <v>172</v>
      </c>
      <c r="C111" s="56" t="s">
        <v>173</v>
      </c>
      <c r="D111" s="68" t="n">
        <f aca="false">D110*365</f>
        <v>66916.6666666667</v>
      </c>
    </row>
    <row r="112" customFormat="false" ht="14.25" hidden="false" customHeight="false" outlineLevel="0" collapsed="false">
      <c r="B112" s="55" t="s">
        <v>174</v>
      </c>
      <c r="C112" s="56" t="s">
        <v>175</v>
      </c>
      <c r="D112" s="68" t="n">
        <f aca="false">34545*D110+9*(10^6)</f>
        <v>15333250</v>
      </c>
      <c r="E112" s="90"/>
      <c r="F112" s="58" t="s">
        <v>190</v>
      </c>
    </row>
    <row r="113" customFormat="false" ht="14.25" hidden="false" customHeight="false" outlineLevel="0" collapsed="false">
      <c r="B113" s="55" t="s">
        <v>176</v>
      </c>
      <c r="C113" s="56" t="s">
        <v>175</v>
      </c>
      <c r="D113" s="68" t="n">
        <f aca="false">D112/D109</f>
        <v>766662.5</v>
      </c>
    </row>
    <row r="114" customFormat="false" ht="14.25" hidden="false" customHeight="false" outlineLevel="0" collapsed="false">
      <c r="B114" s="55" t="s">
        <v>177</v>
      </c>
      <c r="C114" s="56" t="s">
        <v>178</v>
      </c>
      <c r="D114" s="68" t="n">
        <f aca="false">$D$113/$D$111</f>
        <v>11.4569738480697</v>
      </c>
    </row>
    <row r="115" customFormat="false" ht="14.25" hidden="false" customHeight="false" outlineLevel="0" collapsed="false">
      <c r="B115" s="55" t="s">
        <v>179</v>
      </c>
      <c r="C115" s="56" t="s">
        <v>178</v>
      </c>
      <c r="D115" s="68" t="n">
        <f aca="false">2012.4*(D110^(-0.865))</f>
        <v>22.1824988447751</v>
      </c>
    </row>
    <row r="116" customFormat="false" ht="14.25" hidden="false" customHeight="false" outlineLevel="0" collapsed="false">
      <c r="D116" s="74"/>
    </row>
    <row r="117" customFormat="false" ht="18" hidden="false" customHeight="false" outlineLevel="0" collapsed="false">
      <c r="B117" s="66" t="s">
        <v>191</v>
      </c>
      <c r="D117" s="74"/>
    </row>
    <row r="118" customFormat="false" ht="14.25" hidden="false" customHeight="false" outlineLevel="0" collapsed="false">
      <c r="B118" s="55" t="s">
        <v>192</v>
      </c>
      <c r="C118" s="56" t="s">
        <v>59</v>
      </c>
      <c r="D118" s="85" t="n">
        <v>0.12</v>
      </c>
    </row>
  </sheetData>
  <mergeCells count="3">
    <mergeCell ref="C4:F4"/>
    <mergeCell ref="H23:I23"/>
    <mergeCell ref="H61:I61"/>
  </mergeCells>
  <dataValidations count="1">
    <dataValidation allowBlank="true" errorStyle="stop" operator="between" showDropDown="false" showErrorMessage="true" showInputMessage="true" sqref="C2:C3" type="list">
      <formula1>$T$2:$T$5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B3:W341"/>
  <sheetViews>
    <sheetView showFormulas="false" showGridLines="true" showRowColHeaders="true" showZeros="true" rightToLeft="false" tabSelected="false" showOutlineSymbols="true" defaultGridColor="true" view="normal" topLeftCell="A3" colorId="64" zoomScale="70" zoomScaleNormal="70" zoomScalePageLayoutView="100" workbookViewId="0">
      <pane xSplit="3" ySplit="2" topLeftCell="BH387" activePane="bottomRight" state="frozen"/>
      <selection pane="topLeft" activeCell="A3" activeCellId="0" sqref="A3"/>
      <selection pane="topRight" activeCell="BH3" activeCellId="0" sqref="BH3"/>
      <selection pane="bottomLeft" activeCell="A387" activeCellId="0" sqref="A387"/>
      <selection pane="bottomRight" activeCell="I332" activeCellId="0" sqref="I332"/>
    </sheetView>
  </sheetViews>
  <sheetFormatPr defaultColWidth="11.42578125" defaultRowHeight="14.25" zeroHeight="false" outlineLevelRow="0" outlineLevelCol="0"/>
  <cols>
    <col collapsed="false" customWidth="true" hidden="false" outlineLevel="0" max="1" min="1" style="55" width="6"/>
    <col collapsed="false" customWidth="true" hidden="false" outlineLevel="0" max="2" min="2" style="55" width="41.71"/>
    <col collapsed="false" customWidth="true" hidden="false" outlineLevel="0" max="3" min="3" style="55" width="10.42"/>
    <col collapsed="false" customWidth="false" hidden="false" outlineLevel="0" max="24" min="4" style="57" width="11.43"/>
    <col collapsed="false" customWidth="false" hidden="false" outlineLevel="0" max="16384" min="25" style="55" width="11.43"/>
  </cols>
  <sheetData>
    <row r="3" customFormat="false" ht="14.25" hidden="false" customHeight="false" outlineLevel="0" collapsed="false">
      <c r="D3" s="57" t="n">
        <v>0</v>
      </c>
      <c r="E3" s="57" t="n">
        <v>1</v>
      </c>
      <c r="F3" s="57" t="n">
        <v>2</v>
      </c>
      <c r="G3" s="57" t="n">
        <v>3</v>
      </c>
      <c r="H3" s="57" t="n">
        <v>4</v>
      </c>
      <c r="I3" s="57" t="n">
        <v>5</v>
      </c>
      <c r="J3" s="57" t="n">
        <v>6</v>
      </c>
      <c r="K3" s="57" t="n">
        <v>7</v>
      </c>
      <c r="L3" s="57" t="n">
        <v>8</v>
      </c>
      <c r="M3" s="57" t="n">
        <v>9</v>
      </c>
      <c r="N3" s="57" t="n">
        <v>10</v>
      </c>
      <c r="O3" s="57" t="n">
        <v>11</v>
      </c>
      <c r="P3" s="57" t="n">
        <v>12</v>
      </c>
      <c r="Q3" s="57" t="n">
        <v>13</v>
      </c>
      <c r="R3" s="57" t="n">
        <v>14</v>
      </c>
      <c r="S3" s="57" t="n">
        <v>15</v>
      </c>
      <c r="T3" s="57" t="n">
        <v>16</v>
      </c>
      <c r="U3" s="57" t="n">
        <v>17</v>
      </c>
      <c r="V3" s="57" t="n">
        <v>18</v>
      </c>
      <c r="W3" s="57" t="n">
        <v>19</v>
      </c>
    </row>
    <row r="4" customFormat="false" ht="15" hidden="false" customHeight="false" outlineLevel="0" collapsed="false">
      <c r="D4" s="91" t="n">
        <v>2026</v>
      </c>
      <c r="E4" s="57" t="n">
        <f aca="false">+D4+1</f>
        <v>2027</v>
      </c>
      <c r="F4" s="57" t="n">
        <f aca="false">+E4+1</f>
        <v>2028</v>
      </c>
      <c r="G4" s="57" t="n">
        <f aca="false">+F4+1</f>
        <v>2029</v>
      </c>
      <c r="H4" s="57" t="n">
        <f aca="false">+G4+1</f>
        <v>2030</v>
      </c>
      <c r="I4" s="57" t="n">
        <f aca="false">+H4+1</f>
        <v>2031</v>
      </c>
      <c r="J4" s="57" t="n">
        <f aca="false">+I4+1</f>
        <v>2032</v>
      </c>
      <c r="K4" s="57" t="n">
        <f aca="false">+J4+1</f>
        <v>2033</v>
      </c>
      <c r="L4" s="57" t="n">
        <f aca="false">+K4+1</f>
        <v>2034</v>
      </c>
      <c r="M4" s="57" t="n">
        <f aca="false">+L4+1</f>
        <v>2035</v>
      </c>
      <c r="N4" s="57" t="n">
        <f aca="false">+M4+1</f>
        <v>2036</v>
      </c>
      <c r="O4" s="57" t="n">
        <f aca="false">+N4+1</f>
        <v>2037</v>
      </c>
      <c r="P4" s="57" t="n">
        <f aca="false">+O4+1</f>
        <v>2038</v>
      </c>
      <c r="Q4" s="57" t="n">
        <f aca="false">+P4+1</f>
        <v>2039</v>
      </c>
      <c r="R4" s="57" t="n">
        <f aca="false">+Q4+1</f>
        <v>2040</v>
      </c>
      <c r="S4" s="57" t="n">
        <f aca="false">+R4+1</f>
        <v>2041</v>
      </c>
      <c r="T4" s="57" t="n">
        <f aca="false">+S4+1</f>
        <v>2042</v>
      </c>
      <c r="U4" s="57" t="n">
        <f aca="false">+T4+1</f>
        <v>2043</v>
      </c>
      <c r="V4" s="57" t="n">
        <f aca="false">+U4+1</f>
        <v>2044</v>
      </c>
      <c r="W4" s="57" t="n">
        <f aca="false">+V4+1</f>
        <v>2045</v>
      </c>
    </row>
    <row r="5" customFormat="false" ht="15" hidden="false" customHeight="false" outlineLevel="0" collapsed="false">
      <c r="B5" s="75" t="s">
        <v>193</v>
      </c>
      <c r="C5" s="75" t="s">
        <v>37</v>
      </c>
    </row>
    <row r="6" customFormat="false" ht="18.75" hidden="false" customHeight="false" outlineLevel="0" collapsed="false">
      <c r="B6" s="66" t="s">
        <v>194</v>
      </c>
    </row>
    <row r="7" customFormat="false" ht="16.5" hidden="false" customHeight="false" outlineLevel="0" collapsed="false">
      <c r="B7" s="92" t="s">
        <v>130</v>
      </c>
      <c r="C7" s="93" t="n">
        <v>5</v>
      </c>
    </row>
    <row r="8" customFormat="false" ht="15.75" hidden="false" customHeight="false" outlineLevel="0" collapsed="false">
      <c r="B8" s="94" t="s">
        <v>195</v>
      </c>
    </row>
    <row r="9" customFormat="false" ht="14.25" hidden="false" customHeight="false" outlineLevel="0" collapsed="false">
      <c r="B9" s="95" t="s">
        <v>196</v>
      </c>
      <c r="C9" s="96" t="s">
        <v>197</v>
      </c>
      <c r="D9" s="97" t="n">
        <f aca="false">Analisis_Inputs_Grales!$D$29*(Analisis_Inputs_Grales!$D$118/12)/Analisis_Inputs_Grales!$D$21</f>
        <v>0.175651000796794</v>
      </c>
      <c r="E9" s="97" t="n">
        <f aca="false">Analisis_Inputs_Grales!$D$29*(Analisis_Inputs_Grales!$D$118/12)/Analisis_Inputs_Grales!$D$21</f>
        <v>0.175651000796794</v>
      </c>
      <c r="F9" s="97" t="n">
        <f aca="false">Analisis_Inputs_Grales!$D$29*(Analisis_Inputs_Grales!$D$118/12)/Analisis_Inputs_Grales!$D$21</f>
        <v>0.175651000796794</v>
      </c>
      <c r="G9" s="97" t="n">
        <f aca="false">Analisis_Inputs_Grales!$D$29*(Analisis_Inputs_Grales!$D$118/12)/Analisis_Inputs_Grales!$D$21</f>
        <v>0.175651000796794</v>
      </c>
      <c r="H9" s="97" t="n">
        <f aca="false">Analisis_Inputs_Grales!$D$29*(Analisis_Inputs_Grales!$D$118/12)/Analisis_Inputs_Grales!$D$21</f>
        <v>0.175651000796794</v>
      </c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</row>
    <row r="10" customFormat="false" ht="14.25" hidden="false" customHeight="false" outlineLevel="0" collapsed="false">
      <c r="B10" s="98" t="s">
        <v>196</v>
      </c>
      <c r="C10" s="56" t="s">
        <v>96</v>
      </c>
      <c r="D10" s="99" t="n">
        <f aca="false">D9*Analisis_Inputs_Grales!$D$21*12</f>
        <v>18211.4957626117</v>
      </c>
      <c r="E10" s="99" t="n">
        <f aca="false">E9*Analisis_Inputs_Grales!$D$21*12</f>
        <v>18211.4957626117</v>
      </c>
      <c r="F10" s="99" t="n">
        <f aca="false">F9*Analisis_Inputs_Grales!$D$21*12</f>
        <v>18211.4957626117</v>
      </c>
      <c r="G10" s="99" t="n">
        <f aca="false">G9*Analisis_Inputs_Grales!$D$21*12</f>
        <v>18211.4957626117</v>
      </c>
      <c r="H10" s="99" t="n">
        <f aca="false">H9*Analisis_Inputs_Grales!$D$21*12</f>
        <v>18211.4957626117</v>
      </c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</row>
    <row r="11" customFormat="false" ht="14.25" hidden="false" customHeight="false" outlineLevel="0" collapsed="false">
      <c r="B11" s="95" t="s">
        <v>198</v>
      </c>
      <c r="C11" s="96" t="s">
        <v>197</v>
      </c>
      <c r="D11" s="97" t="n">
        <f aca="false">(Analisis_Inputs_Grales!$D$30-Analisis_Inputs_Grales!$D$32*Analisis_Inputs_Grales!$D$30)/(Analisis_Inputs_Grales!$D$21*$C7*12)</f>
        <v>0.263476501195192</v>
      </c>
      <c r="E11" s="97" t="n">
        <f aca="false">(Analisis_Inputs_Grales!$D$30-Analisis_Inputs_Grales!$D$32*Analisis_Inputs_Grales!$D$30)/(Analisis_Inputs_Grales!$D$21*$C7*12)</f>
        <v>0.263476501195192</v>
      </c>
      <c r="F11" s="97" t="n">
        <f aca="false">(Analisis_Inputs_Grales!$D$30-Analisis_Inputs_Grales!$D$32*Analisis_Inputs_Grales!$D$30)/(Analisis_Inputs_Grales!$D$21*$C7*12)</f>
        <v>0.263476501195192</v>
      </c>
      <c r="G11" s="97" t="n">
        <f aca="false">(Analisis_Inputs_Grales!$D$30-Analisis_Inputs_Grales!$D$32*Analisis_Inputs_Grales!$D$30)/(Analisis_Inputs_Grales!$D$21*$C7*12)</f>
        <v>0.263476501195192</v>
      </c>
      <c r="H11" s="97" t="n">
        <f aca="false">(Analisis_Inputs_Grales!$D$30-Analisis_Inputs_Grales!$D$32*Analisis_Inputs_Grales!$D$30)/(Analisis_Inputs_Grales!$D$21*$C7*12)</f>
        <v>0.263476501195192</v>
      </c>
      <c r="I11" s="100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</row>
    <row r="12" customFormat="false" ht="14.25" hidden="false" customHeight="false" outlineLevel="0" collapsed="false">
      <c r="B12" s="98" t="s">
        <v>198</v>
      </c>
      <c r="C12" s="56" t="s">
        <v>96</v>
      </c>
      <c r="D12" s="99" t="n">
        <f aca="false">D11*Analisis_Inputs_Grales!$D$21*12</f>
        <v>27317.2436439175</v>
      </c>
      <c r="E12" s="99" t="n">
        <f aca="false">E11*Analisis_Inputs_Grales!$D$21*12</f>
        <v>27317.2436439175</v>
      </c>
      <c r="F12" s="99" t="n">
        <f aca="false">F11*Analisis_Inputs_Grales!$D$21*12</f>
        <v>27317.2436439175</v>
      </c>
      <c r="G12" s="99" t="n">
        <f aca="false">G11*Analisis_Inputs_Grales!$D$21*12</f>
        <v>27317.2436439175</v>
      </c>
      <c r="H12" s="99" t="n">
        <f aca="false">H11*Analisis_Inputs_Grales!$D$21*12</f>
        <v>27317.2436439175</v>
      </c>
      <c r="I12" s="99"/>
      <c r="J12" s="99"/>
      <c r="K12" s="99"/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</row>
    <row r="13" customFormat="false" ht="14.25" hidden="false" customHeight="false" outlineLevel="0" collapsed="false">
      <c r="B13" s="95" t="s">
        <v>199</v>
      </c>
      <c r="C13" s="96" t="s">
        <v>197</v>
      </c>
      <c r="D13" s="97" t="n">
        <f aca="false">Analisis_Inputs_Grales!$D$13/Analisis_Inputs_Grales!$D$21</f>
        <v>0.494325231481482</v>
      </c>
      <c r="E13" s="97" t="n">
        <f aca="false">Analisis_Inputs_Grales!$D$13/Analisis_Inputs_Grales!$D$21</f>
        <v>0.494325231481482</v>
      </c>
      <c r="F13" s="97" t="n">
        <f aca="false">Analisis_Inputs_Grales!$D$13/Analisis_Inputs_Grales!$D$21</f>
        <v>0.494325231481482</v>
      </c>
      <c r="G13" s="97" t="n">
        <f aca="false">Analisis_Inputs_Grales!$D$13/Analisis_Inputs_Grales!$D$21</f>
        <v>0.494325231481482</v>
      </c>
      <c r="H13" s="97" t="n">
        <f aca="false">Analisis_Inputs_Grales!$D$13/Analisis_Inputs_Grales!$D$21</f>
        <v>0.494325231481482</v>
      </c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</row>
    <row r="14" customFormat="false" ht="14.25" hidden="false" customHeight="false" outlineLevel="0" collapsed="false">
      <c r="B14" s="101" t="s">
        <v>199</v>
      </c>
      <c r="C14" s="102" t="s">
        <v>96</v>
      </c>
      <c r="D14" s="99" t="n">
        <f aca="false">D13*Analisis_Inputs_Grales!$D$21*12</f>
        <v>51251.64</v>
      </c>
      <c r="E14" s="99" t="n">
        <f aca="false">E13*Analisis_Inputs_Grales!$D$21*12</f>
        <v>51251.64</v>
      </c>
      <c r="F14" s="99" t="n">
        <f aca="false">F13*Analisis_Inputs_Grales!$D$21*12</f>
        <v>51251.64</v>
      </c>
      <c r="G14" s="99" t="n">
        <f aca="false">G13*Analisis_Inputs_Grales!$D$21*12</f>
        <v>51251.64</v>
      </c>
      <c r="H14" s="99" t="n">
        <f aca="false">H13*Analisis_Inputs_Grales!$D$21*12</f>
        <v>51251.64</v>
      </c>
      <c r="I14" s="99"/>
      <c r="J14" s="99"/>
      <c r="K14" s="99"/>
      <c r="L14" s="99"/>
      <c r="M14" s="99"/>
      <c r="N14" s="99"/>
      <c r="O14" s="99"/>
      <c r="P14" s="99"/>
      <c r="Q14" s="99"/>
      <c r="R14" s="99"/>
      <c r="S14" s="99"/>
      <c r="T14" s="99"/>
      <c r="U14" s="99"/>
      <c r="V14" s="99"/>
      <c r="W14" s="99"/>
    </row>
    <row r="15" customFormat="false" ht="14.25" hidden="false" customHeight="false" outlineLevel="0" collapsed="false">
      <c r="B15" s="95" t="s">
        <v>200</v>
      </c>
      <c r="C15" s="96" t="s">
        <v>197</v>
      </c>
      <c r="D15" s="97" t="n">
        <f aca="false">D13+D11+D9</f>
        <v>0.933452733473468</v>
      </c>
      <c r="E15" s="97" t="n">
        <f aca="false">E13+E11+E9</f>
        <v>0.933452733473468</v>
      </c>
      <c r="F15" s="97" t="n">
        <f aca="false">F13+F11+F9</f>
        <v>0.933452733473468</v>
      </c>
      <c r="G15" s="97" t="n">
        <f aca="false">G13+G11+G9</f>
        <v>0.933452733473468</v>
      </c>
      <c r="H15" s="97" t="n">
        <f aca="false">H13+H11+H9</f>
        <v>0.933452733473468</v>
      </c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</row>
    <row r="16" customFormat="false" ht="14.25" hidden="false" customHeight="false" outlineLevel="0" collapsed="false">
      <c r="B16" s="98" t="s">
        <v>200</v>
      </c>
      <c r="C16" s="56" t="s">
        <v>96</v>
      </c>
      <c r="D16" s="99" t="n">
        <f aca="false">D14+D12+D10</f>
        <v>96780.3794065291</v>
      </c>
      <c r="E16" s="99" t="n">
        <f aca="false">E14+E12+E10</f>
        <v>96780.3794065291</v>
      </c>
      <c r="F16" s="99" t="n">
        <f aca="false">F14+F12+F10</f>
        <v>96780.3794065291</v>
      </c>
      <c r="G16" s="99" t="n">
        <f aca="false">G14+G12+G10</f>
        <v>96780.3794065291</v>
      </c>
      <c r="H16" s="99" t="n">
        <f aca="false">H14+H12+H10</f>
        <v>96780.3794065291</v>
      </c>
      <c r="I16" s="99"/>
      <c r="J16" s="99"/>
      <c r="K16" s="99"/>
      <c r="L16" s="99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</row>
    <row r="17" customFormat="false" ht="14.25" hidden="false" customHeight="false" outlineLevel="0" collapsed="false">
      <c r="C17" s="56"/>
    </row>
    <row r="18" customFormat="false" ht="15.75" hidden="false" customHeight="false" outlineLevel="0" collapsed="false">
      <c r="B18" s="94" t="s">
        <v>201</v>
      </c>
      <c r="C18" s="56"/>
    </row>
    <row r="19" customFormat="false" ht="14.25" hidden="false" customHeight="false" outlineLevel="0" collapsed="false">
      <c r="B19" s="95" t="s">
        <v>202</v>
      </c>
      <c r="C19" s="96" t="s">
        <v>197</v>
      </c>
      <c r="D19" s="57" t="n">
        <f aca="false">Analisis_Inputs_Grales!$D$35/(Analisis_Inputs_Grales!$D$33/(Analisis_Inputs_Grales!$D$34/60))</f>
        <v>0.047</v>
      </c>
      <c r="E19" s="57" t="n">
        <f aca="false">Analisis_Inputs_Grales!$D$35/(Analisis_Inputs_Grales!$D$33/(Analisis_Inputs_Grales!$D$34/60))</f>
        <v>0.047</v>
      </c>
      <c r="F19" s="57" t="n">
        <f aca="false">Analisis_Inputs_Grales!$D$35/(Analisis_Inputs_Grales!$D$33/(Analisis_Inputs_Grales!$D$34/60))</f>
        <v>0.047</v>
      </c>
      <c r="G19" s="57" t="n">
        <f aca="false">Analisis_Inputs_Grales!$D$35/(Analisis_Inputs_Grales!$D$33/(Analisis_Inputs_Grales!$D$34/60))</f>
        <v>0.047</v>
      </c>
      <c r="H19" s="57" t="n">
        <f aca="false">Analisis_Inputs_Grales!$D$35/(Analisis_Inputs_Grales!$D$33/(Analisis_Inputs_Grales!$D$34/60))</f>
        <v>0.047</v>
      </c>
    </row>
    <row r="20" customFormat="false" ht="14.25" hidden="false" customHeight="false" outlineLevel="0" collapsed="false">
      <c r="B20" s="98" t="s">
        <v>202</v>
      </c>
      <c r="C20" s="56" t="s">
        <v>96</v>
      </c>
      <c r="D20" s="99" t="n">
        <f aca="false">D19*12*Analisis_Inputs_Grales!$D$21</f>
        <v>4872.96</v>
      </c>
      <c r="E20" s="99" t="n">
        <f aca="false">E19*12*Analisis_Inputs_Grales!$D$21</f>
        <v>4872.96</v>
      </c>
      <c r="F20" s="99" t="n">
        <f aca="false">F19*12*Analisis_Inputs_Grales!$D$21</f>
        <v>4872.96</v>
      </c>
      <c r="G20" s="99" t="n">
        <f aca="false">G19*12*Analisis_Inputs_Grales!$D$21</f>
        <v>4872.96</v>
      </c>
      <c r="H20" s="99" t="n">
        <f aca="false">H19*12*Analisis_Inputs_Grales!$D$21</f>
        <v>4872.96</v>
      </c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</row>
    <row r="21" customFormat="false" ht="14.25" hidden="false" customHeight="false" outlineLevel="0" collapsed="false">
      <c r="B21" s="95" t="s">
        <v>203</v>
      </c>
      <c r="C21" s="96" t="s">
        <v>197</v>
      </c>
      <c r="D21" s="97" t="n">
        <f aca="false">Analisis_Inputs_Grales!$D$36*'Analisis 20Años'!D19</f>
        <v>0.00705</v>
      </c>
      <c r="E21" s="97" t="n">
        <f aca="false">Analisis_Inputs_Grales!$D$36*'Analisis 20Años'!E19</f>
        <v>0.00705</v>
      </c>
      <c r="F21" s="97" t="n">
        <f aca="false">Analisis_Inputs_Grales!$D$36*'Analisis 20Años'!F19</f>
        <v>0.00705</v>
      </c>
      <c r="G21" s="97" t="n">
        <f aca="false">Analisis_Inputs_Grales!$D$36*'Analisis 20Años'!G19</f>
        <v>0.00705</v>
      </c>
      <c r="H21" s="97" t="n">
        <f aca="false">Analisis_Inputs_Grales!$D$36*'Analisis 20Años'!H19</f>
        <v>0.00705</v>
      </c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</row>
    <row r="22" customFormat="false" ht="14.25" hidden="false" customHeight="false" outlineLevel="0" collapsed="false">
      <c r="B22" s="98" t="s">
        <v>203</v>
      </c>
      <c r="C22" s="56" t="s">
        <v>96</v>
      </c>
      <c r="D22" s="99" t="n">
        <f aca="false">D21*12*Analisis_Inputs_Grales!$D$21</f>
        <v>730.944</v>
      </c>
      <c r="E22" s="99" t="n">
        <f aca="false">E21*12*Analisis_Inputs_Grales!$D$21</f>
        <v>730.944</v>
      </c>
      <c r="F22" s="99" t="n">
        <f aca="false">F21*12*Analisis_Inputs_Grales!$D$21</f>
        <v>730.944</v>
      </c>
      <c r="G22" s="99" t="n">
        <f aca="false">G21*12*Analisis_Inputs_Grales!$D$21</f>
        <v>730.944</v>
      </c>
      <c r="H22" s="99" t="n">
        <f aca="false">H21*12*Analisis_Inputs_Grales!$D$21</f>
        <v>730.944</v>
      </c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99"/>
      <c r="W22" s="99"/>
    </row>
    <row r="23" customFormat="false" ht="14.25" hidden="false" customHeight="false" outlineLevel="0" collapsed="false">
      <c r="B23" s="95" t="s">
        <v>204</v>
      </c>
      <c r="C23" s="96" t="s">
        <v>197</v>
      </c>
      <c r="D23" s="97" t="n">
        <f aca="false">Analisis_Inputs_Grales!$D$37*('Analisis 20Años'!D21+'Analisis 20Años'!D19)</f>
        <v>0.02162</v>
      </c>
      <c r="E23" s="97" t="n">
        <f aca="false">Analisis_Inputs_Grales!$D$37*('Analisis 20Años'!E21+'Analisis 20Años'!E19)</f>
        <v>0.02162</v>
      </c>
      <c r="F23" s="97" t="n">
        <f aca="false">Analisis_Inputs_Grales!$D$37*('Analisis 20Años'!F21+'Analisis 20Años'!F19)</f>
        <v>0.02162</v>
      </c>
      <c r="G23" s="97" t="n">
        <f aca="false">Analisis_Inputs_Grales!$D$37*('Analisis 20Años'!G21+'Analisis 20Años'!G19)</f>
        <v>0.02162</v>
      </c>
      <c r="H23" s="97" t="n">
        <f aca="false">Analisis_Inputs_Grales!$D$37*('Analisis 20Años'!H21+'Analisis 20Años'!H19)</f>
        <v>0.02162</v>
      </c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</row>
    <row r="24" customFormat="false" ht="14.25" hidden="false" customHeight="false" outlineLevel="0" collapsed="false">
      <c r="B24" s="98" t="s">
        <v>204</v>
      </c>
      <c r="C24" s="56" t="s">
        <v>96</v>
      </c>
      <c r="D24" s="99" t="n">
        <f aca="false">D23*12*Analisis_Inputs_Grales!$D$21</f>
        <v>2241.5616</v>
      </c>
      <c r="E24" s="99" t="n">
        <f aca="false">E23*12*Analisis_Inputs_Grales!$D$21</f>
        <v>2241.5616</v>
      </c>
      <c r="F24" s="99" t="n">
        <f aca="false">F23*12*Analisis_Inputs_Grales!$D$21</f>
        <v>2241.5616</v>
      </c>
      <c r="G24" s="99" t="n">
        <f aca="false">G23*12*Analisis_Inputs_Grales!$D$21</f>
        <v>2241.5616</v>
      </c>
      <c r="H24" s="99" t="n">
        <f aca="false">H23*12*Analisis_Inputs_Grales!$D$21</f>
        <v>2241.5616</v>
      </c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99"/>
    </row>
    <row r="25" customFormat="false" ht="14.25" hidden="false" customHeight="false" outlineLevel="0" collapsed="false">
      <c r="B25" s="95" t="s">
        <v>205</v>
      </c>
      <c r="C25" s="96" t="s">
        <v>197</v>
      </c>
      <c r="D25" s="97" t="n">
        <f aca="false">D23+D21+D19</f>
        <v>0.07567</v>
      </c>
      <c r="E25" s="97" t="n">
        <f aca="false">E23+E21+E19</f>
        <v>0.07567</v>
      </c>
      <c r="F25" s="97" t="n">
        <f aca="false">F23+F21+F19</f>
        <v>0.07567</v>
      </c>
      <c r="G25" s="97" t="n">
        <f aca="false">G23+G21+G19</f>
        <v>0.07567</v>
      </c>
      <c r="H25" s="97" t="n">
        <f aca="false">H23+H21+H19</f>
        <v>0.07567</v>
      </c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</row>
    <row r="26" customFormat="false" ht="14.25" hidden="false" customHeight="false" outlineLevel="0" collapsed="false">
      <c r="B26" s="101" t="s">
        <v>205</v>
      </c>
      <c r="C26" s="56" t="s">
        <v>96</v>
      </c>
      <c r="D26" s="99" t="n">
        <f aca="false">D24+D22+D20</f>
        <v>7845.4656</v>
      </c>
      <c r="E26" s="99" t="n">
        <f aca="false">E24+E22+E20</f>
        <v>7845.4656</v>
      </c>
      <c r="F26" s="99" t="n">
        <f aca="false">F24+F22+F20</f>
        <v>7845.4656</v>
      </c>
      <c r="G26" s="99" t="n">
        <f aca="false">G24+G22+G20</f>
        <v>7845.4656</v>
      </c>
      <c r="H26" s="99" t="n">
        <f aca="false">H24+H22+H20</f>
        <v>7845.4656</v>
      </c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</row>
    <row r="27" customFormat="false" ht="6.75" hidden="false" customHeight="true" outlineLevel="0" collapsed="false">
      <c r="B27" s="103"/>
    </row>
    <row r="28" customFormat="false" ht="14.25" hidden="false" customHeight="false" outlineLevel="0" collapsed="false">
      <c r="B28" s="104" t="s">
        <v>206</v>
      </c>
      <c r="C28" s="105" t="s">
        <v>197</v>
      </c>
      <c r="D28" s="97" t="n">
        <f aca="false">+D15+D25</f>
        <v>1.00912273347347</v>
      </c>
      <c r="E28" s="97" t="n">
        <f aca="false">+E15+E25</f>
        <v>1.00912273347347</v>
      </c>
      <c r="F28" s="97" t="n">
        <f aca="false">+F15+F25</f>
        <v>1.00912273347347</v>
      </c>
      <c r="G28" s="97" t="n">
        <f aca="false">+G15+G25</f>
        <v>1.00912273347347</v>
      </c>
      <c r="H28" s="97" t="n">
        <f aca="false">+H15+H25</f>
        <v>1.00912273347347</v>
      </c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</row>
    <row r="29" customFormat="false" ht="14.25" hidden="false" customHeight="false" outlineLevel="0" collapsed="false">
      <c r="B29" s="106" t="s">
        <v>206</v>
      </c>
      <c r="C29" s="107" t="s">
        <v>96</v>
      </c>
      <c r="D29" s="99" t="n">
        <f aca="false">D28*12*Analisis_Inputs_Grales!$D$21</f>
        <v>104625.845006529</v>
      </c>
      <c r="E29" s="99" t="n">
        <f aca="false">E28*12*Analisis_Inputs_Grales!$D$21</f>
        <v>104625.845006529</v>
      </c>
      <c r="F29" s="99" t="n">
        <f aca="false">F28*12*Analisis_Inputs_Grales!$D$21</f>
        <v>104625.845006529</v>
      </c>
      <c r="G29" s="99" t="n">
        <f aca="false">G28*12*Analisis_Inputs_Grales!$D$21</f>
        <v>104625.845006529</v>
      </c>
      <c r="H29" s="99" t="n">
        <f aca="false">H28*12*Analisis_Inputs_Grales!$D$21</f>
        <v>104625.845006529</v>
      </c>
      <c r="I29" s="99"/>
      <c r="J29" s="9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</row>
    <row r="30" customFormat="false" ht="9" hidden="false" customHeight="true" outlineLevel="0" collapsed="false">
      <c r="B30" s="108"/>
      <c r="C30" s="109"/>
    </row>
    <row r="31" customFormat="false" ht="14.25" hidden="false" customHeight="false" outlineLevel="0" collapsed="false">
      <c r="B31" s="110" t="s">
        <v>207</v>
      </c>
      <c r="C31" s="105" t="s">
        <v>208</v>
      </c>
      <c r="D31" s="97" t="n">
        <f aca="false">D28/Analisis_Inputs_Grales!$D$26</f>
        <v>0.168187122245578</v>
      </c>
      <c r="E31" s="97" t="n">
        <f aca="false">E28/Analisis_Inputs_Grales!$D$26</f>
        <v>0.168187122245578</v>
      </c>
      <c r="F31" s="97" t="n">
        <f aca="false">F28/Analisis_Inputs_Grales!$D$26</f>
        <v>0.168187122245578</v>
      </c>
      <c r="G31" s="97" t="n">
        <f aca="false">G28/Analisis_Inputs_Grales!$D$26</f>
        <v>0.168187122245578</v>
      </c>
      <c r="H31" s="97" t="n">
        <f aca="false">H28/Analisis_Inputs_Grales!$D$26</f>
        <v>0.168187122245578</v>
      </c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</row>
    <row r="32" customFormat="false" ht="14.25" hidden="false" customHeight="false" outlineLevel="0" collapsed="false">
      <c r="B32" s="103" t="s">
        <v>209</v>
      </c>
      <c r="C32" s="56" t="s">
        <v>210</v>
      </c>
      <c r="D32" s="99" t="n">
        <f aca="false">D31*12*Analisis_Inputs_Grales!$D$21</f>
        <v>17437.6408344215</v>
      </c>
      <c r="E32" s="99" t="n">
        <f aca="false">E31*12*Analisis_Inputs_Grales!$D$21</f>
        <v>17437.6408344215</v>
      </c>
      <c r="F32" s="99" t="n">
        <f aca="false">F31*12*Analisis_Inputs_Grales!$D$21</f>
        <v>17437.6408344215</v>
      </c>
      <c r="G32" s="99" t="n">
        <f aca="false">G31*12*Analisis_Inputs_Grales!$D$21</f>
        <v>17437.6408344215</v>
      </c>
      <c r="H32" s="99" t="n">
        <f aca="false">H31*12*Analisis_Inputs_Grales!$D$21</f>
        <v>17437.6408344215</v>
      </c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</row>
    <row r="33" customFormat="false" ht="14.25" hidden="false" customHeight="false" outlineLevel="0" collapsed="false">
      <c r="B33" s="103" t="s">
        <v>211</v>
      </c>
      <c r="C33" s="56" t="s">
        <v>212</v>
      </c>
      <c r="D33" s="97" t="n">
        <f aca="false">Analisis_Inputs_Grales!$D$34*'Analisis 20Años'!D31/60</f>
        <v>0.0878310527282463</v>
      </c>
      <c r="E33" s="97" t="n">
        <f aca="false">Analisis_Inputs_Grales!$D$34*'Analisis 20Años'!E31/60</f>
        <v>0.0878310527282463</v>
      </c>
      <c r="F33" s="97" t="n">
        <f aca="false">Analisis_Inputs_Grales!$D$34*'Analisis 20Años'!F31/60</f>
        <v>0.0878310527282463</v>
      </c>
      <c r="G33" s="97" t="n">
        <f aca="false">Analisis_Inputs_Grales!$D$34*'Analisis 20Años'!G31/60</f>
        <v>0.0878310527282463</v>
      </c>
      <c r="H33" s="97" t="n">
        <f aca="false">Analisis_Inputs_Grales!$D$34*'Analisis 20Años'!H31/60</f>
        <v>0.0878310527282463</v>
      </c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99"/>
      <c r="V33" s="99"/>
      <c r="W33" s="99"/>
    </row>
    <row r="34" customFormat="false" ht="14.25" hidden="false" customHeight="false" outlineLevel="0" collapsed="false">
      <c r="B34" s="103"/>
      <c r="C34" s="56"/>
      <c r="D34" s="97"/>
      <c r="E34" s="97"/>
      <c r="F34" s="97"/>
      <c r="G34" s="97"/>
      <c r="H34" s="97"/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99"/>
      <c r="T34" s="99"/>
      <c r="U34" s="99"/>
      <c r="V34" s="99"/>
      <c r="W34" s="99"/>
    </row>
    <row r="35" customFormat="false" ht="14.25" hidden="false" customHeight="false" outlineLevel="0" collapsed="false">
      <c r="B35" s="111" t="s">
        <v>213</v>
      </c>
      <c r="C35" s="112" t="s">
        <v>19</v>
      </c>
      <c r="D35" s="97" t="n">
        <f aca="false">(1+Analisis_Inputs_Grales!$D$118)^'Analisis 20Años'!D$3</f>
        <v>1</v>
      </c>
      <c r="E35" s="97" t="n">
        <f aca="false">(1+Analisis_Inputs_Grales!$D$118)^'Analisis 20Años'!E$3</f>
        <v>1.12</v>
      </c>
      <c r="F35" s="97" t="n">
        <f aca="false">(1+Analisis_Inputs_Grales!$D$118)^'Analisis 20Años'!F$3</f>
        <v>1.2544</v>
      </c>
      <c r="G35" s="97" t="n">
        <f aca="false">(1+Analisis_Inputs_Grales!$D$118)^'Analisis 20Años'!G$3</f>
        <v>1.404928</v>
      </c>
      <c r="H35" s="97" t="n">
        <f aca="false">(1+Analisis_Inputs_Grales!$D$118)^'Analisis 20Años'!H$3</f>
        <v>1.57351936</v>
      </c>
      <c r="I35" s="99"/>
      <c r="J35" s="99"/>
      <c r="K35" s="99"/>
      <c r="L35" s="99"/>
      <c r="M35" s="99"/>
      <c r="N35" s="99"/>
      <c r="O35" s="99"/>
      <c r="P35" s="99"/>
      <c r="Q35" s="99"/>
      <c r="R35" s="99"/>
      <c r="S35" s="99"/>
      <c r="T35" s="99"/>
      <c r="U35" s="99"/>
      <c r="V35" s="99"/>
      <c r="W35" s="99"/>
    </row>
    <row r="36" customFormat="false" ht="14.25" hidden="false" customHeight="false" outlineLevel="0" collapsed="false">
      <c r="B36" s="111" t="s">
        <v>214</v>
      </c>
      <c r="C36" s="112" t="s">
        <v>212</v>
      </c>
      <c r="D36" s="97" t="n">
        <f aca="false">D33*D35</f>
        <v>0.0878310527282463</v>
      </c>
      <c r="E36" s="97" t="n">
        <f aca="false">E33*E35</f>
        <v>0.0983707790556358</v>
      </c>
      <c r="F36" s="97" t="n">
        <f aca="false">F33*F35</f>
        <v>0.110175272542312</v>
      </c>
      <c r="G36" s="97" t="n">
        <f aca="false">G33*G35</f>
        <v>0.12339630524739</v>
      </c>
      <c r="H36" s="97" t="n">
        <f aca="false">H33*H35</f>
        <v>0.138203861877076</v>
      </c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99"/>
      <c r="W36" s="99"/>
    </row>
    <row r="37" customFormat="false" ht="15" hidden="false" customHeight="false" outlineLevel="0" collapsed="false">
      <c r="B37" s="113" t="s">
        <v>215</v>
      </c>
      <c r="C37" s="112" t="s">
        <v>212</v>
      </c>
      <c r="D37" s="114" t="n">
        <f aca="false">SUM(D36:H36)</f>
        <v>0.55797727145066</v>
      </c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99"/>
    </row>
    <row r="38" customFormat="false" ht="14.25" hidden="false" customHeight="false" outlineLevel="0" collapsed="false">
      <c r="B38" s="103"/>
      <c r="C38" s="56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99"/>
    </row>
    <row r="39" customFormat="false" ht="15" hidden="false" customHeight="false" outlineLevel="0" collapsed="false">
      <c r="B39" s="103"/>
      <c r="C39" s="56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V39" s="99"/>
      <c r="W39" s="99"/>
    </row>
    <row r="40" customFormat="false" ht="16.5" hidden="false" customHeight="false" outlineLevel="0" collapsed="false">
      <c r="B40" s="92" t="s">
        <v>130</v>
      </c>
      <c r="C40" s="93" t="n">
        <v>10</v>
      </c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99"/>
    </row>
    <row r="41" customFormat="false" ht="15.75" hidden="false" customHeight="false" outlineLevel="0" collapsed="false">
      <c r="B41" s="94" t="s">
        <v>195</v>
      </c>
      <c r="I41" s="99"/>
      <c r="J41" s="99"/>
      <c r="K41" s="99"/>
      <c r="L41" s="99"/>
      <c r="M41" s="99"/>
      <c r="N41" s="99"/>
      <c r="O41" s="99"/>
      <c r="P41" s="99"/>
      <c r="Q41" s="99"/>
      <c r="R41" s="99"/>
      <c r="S41" s="99"/>
      <c r="T41" s="99"/>
      <c r="U41" s="99"/>
      <c r="V41" s="99"/>
      <c r="W41" s="99"/>
    </row>
    <row r="42" customFormat="false" ht="14.25" hidden="false" customHeight="false" outlineLevel="0" collapsed="false">
      <c r="B42" s="95" t="s">
        <v>196</v>
      </c>
      <c r="C42" s="96" t="s">
        <v>197</v>
      </c>
      <c r="D42" s="97" t="n">
        <f aca="false">Analisis_Inputs_Grales!$D$29*(Analisis_Inputs_Grales!$D$118/12)/Analisis_Inputs_Grales!$D$21</f>
        <v>0.175651000796794</v>
      </c>
      <c r="E42" s="97" t="n">
        <f aca="false">Analisis_Inputs_Grales!$D$29*(Analisis_Inputs_Grales!$D$118/12)/Analisis_Inputs_Grales!$D$21</f>
        <v>0.175651000796794</v>
      </c>
      <c r="F42" s="97" t="n">
        <f aca="false">Analisis_Inputs_Grales!$D$29*(Analisis_Inputs_Grales!$D$118/12)/Analisis_Inputs_Grales!$D$21</f>
        <v>0.175651000796794</v>
      </c>
      <c r="G42" s="97" t="n">
        <f aca="false">Analisis_Inputs_Grales!$D$29*(Analisis_Inputs_Grales!$D$118/12)/Analisis_Inputs_Grales!$D$21</f>
        <v>0.175651000796794</v>
      </c>
      <c r="H42" s="97" t="n">
        <f aca="false">Analisis_Inputs_Grales!$D$29*(Analisis_Inputs_Grales!$D$118/12)/Analisis_Inputs_Grales!$D$21</f>
        <v>0.175651000796794</v>
      </c>
      <c r="I42" s="97" t="n">
        <f aca="false">Analisis_Inputs_Grales!$D$29*(Analisis_Inputs_Grales!$D$118/12)/Analisis_Inputs_Grales!$D$21</f>
        <v>0.175651000796794</v>
      </c>
      <c r="J42" s="97" t="n">
        <f aca="false">Analisis_Inputs_Grales!$D$29*(Analisis_Inputs_Grales!$D$118/12)/Analisis_Inputs_Grales!$D$21</f>
        <v>0.175651000796794</v>
      </c>
      <c r="K42" s="97" t="n">
        <f aca="false">Analisis_Inputs_Grales!$D$29*(Analisis_Inputs_Grales!$D$118/12)/Analisis_Inputs_Grales!$D$21</f>
        <v>0.175651000796794</v>
      </c>
      <c r="L42" s="97" t="n">
        <f aca="false">Analisis_Inputs_Grales!$D$29*(Analisis_Inputs_Grales!$D$118/12)/Analisis_Inputs_Grales!$D$21</f>
        <v>0.175651000796794</v>
      </c>
      <c r="M42" s="97" t="n">
        <f aca="false">Analisis_Inputs_Grales!$D$29*(Analisis_Inputs_Grales!$D$118/12)/Analisis_Inputs_Grales!$D$21</f>
        <v>0.175651000796794</v>
      </c>
      <c r="N42" s="99"/>
      <c r="O42" s="99"/>
      <c r="P42" s="99"/>
      <c r="Q42" s="99"/>
      <c r="R42" s="99"/>
      <c r="S42" s="99"/>
      <c r="T42" s="99"/>
      <c r="U42" s="99"/>
      <c r="V42" s="99"/>
      <c r="W42" s="99"/>
    </row>
    <row r="43" customFormat="false" ht="14.25" hidden="false" customHeight="false" outlineLevel="0" collapsed="false">
      <c r="B43" s="98" t="s">
        <v>196</v>
      </c>
      <c r="C43" s="56" t="s">
        <v>96</v>
      </c>
      <c r="D43" s="99" t="n">
        <f aca="false">D42*Analisis_Inputs_Grales!$D$21*12</f>
        <v>18211.4957626117</v>
      </c>
      <c r="E43" s="99" t="n">
        <f aca="false">E42*Analisis_Inputs_Grales!$D$21*12</f>
        <v>18211.4957626117</v>
      </c>
      <c r="F43" s="99" t="n">
        <f aca="false">F42*Analisis_Inputs_Grales!$D$21*12</f>
        <v>18211.4957626117</v>
      </c>
      <c r="G43" s="99" t="n">
        <f aca="false">G42*Analisis_Inputs_Grales!$D$21*12</f>
        <v>18211.4957626117</v>
      </c>
      <c r="H43" s="99" t="n">
        <f aca="false">H42*Analisis_Inputs_Grales!$D$21*12</f>
        <v>18211.4957626117</v>
      </c>
      <c r="I43" s="99" t="n">
        <f aca="false">I42*Analisis_Inputs_Grales!$D$21*12</f>
        <v>18211.4957626117</v>
      </c>
      <c r="J43" s="99" t="n">
        <f aca="false">J42*Analisis_Inputs_Grales!$D$21*12</f>
        <v>18211.4957626117</v>
      </c>
      <c r="K43" s="99" t="n">
        <f aca="false">K42*Analisis_Inputs_Grales!$D$21*12</f>
        <v>18211.4957626117</v>
      </c>
      <c r="L43" s="99" t="n">
        <f aca="false">L42*Analisis_Inputs_Grales!$D$21*12</f>
        <v>18211.4957626117</v>
      </c>
      <c r="M43" s="99" t="n">
        <f aca="false">M42*Analisis_Inputs_Grales!$D$21*12</f>
        <v>18211.4957626117</v>
      </c>
      <c r="N43" s="99"/>
      <c r="O43" s="99"/>
      <c r="P43" s="99"/>
      <c r="Q43" s="99"/>
      <c r="R43" s="99"/>
      <c r="S43" s="99"/>
      <c r="T43" s="99"/>
      <c r="U43" s="99"/>
      <c r="V43" s="99"/>
      <c r="W43" s="99"/>
    </row>
    <row r="44" customFormat="false" ht="14.25" hidden="false" customHeight="false" outlineLevel="0" collapsed="false">
      <c r="B44" s="95" t="s">
        <v>198</v>
      </c>
      <c r="C44" s="96" t="s">
        <v>197</v>
      </c>
      <c r="D44" s="97" t="n">
        <f aca="false">(Analisis_Inputs_Grales!$D$30-Analisis_Inputs_Grales!$D$32*Analisis_Inputs_Grales!$D$30)/(Analisis_Inputs_Grales!$D$21*$C40*12)</f>
        <v>0.131738250597596</v>
      </c>
      <c r="E44" s="97" t="n">
        <f aca="false">(Analisis_Inputs_Grales!$D$30-Analisis_Inputs_Grales!$D$32*Analisis_Inputs_Grales!$D$30)/(Analisis_Inputs_Grales!$D$21*$C40*12)</f>
        <v>0.131738250597596</v>
      </c>
      <c r="F44" s="97" t="n">
        <f aca="false">(Analisis_Inputs_Grales!$D$30-Analisis_Inputs_Grales!$D$32*Analisis_Inputs_Grales!$D$30)/(Analisis_Inputs_Grales!$D$21*$C40*12)</f>
        <v>0.131738250597596</v>
      </c>
      <c r="G44" s="97" t="n">
        <f aca="false">(Analisis_Inputs_Grales!$D$30-Analisis_Inputs_Grales!$D$32*Analisis_Inputs_Grales!$D$30)/(Analisis_Inputs_Grales!$D$21*$C40*12)</f>
        <v>0.131738250597596</v>
      </c>
      <c r="H44" s="97" t="n">
        <f aca="false">(Analisis_Inputs_Grales!$D$30-Analisis_Inputs_Grales!$D$32*Analisis_Inputs_Grales!$D$30)/(Analisis_Inputs_Grales!$D$21*$C40*12)</f>
        <v>0.131738250597596</v>
      </c>
      <c r="I44" s="97" t="n">
        <f aca="false">(Analisis_Inputs_Grales!$D$30-Analisis_Inputs_Grales!$D$32*Analisis_Inputs_Grales!$D$30)/(Analisis_Inputs_Grales!$D$21*$C40*12)</f>
        <v>0.131738250597596</v>
      </c>
      <c r="J44" s="97" t="n">
        <f aca="false">(Analisis_Inputs_Grales!$D$30-Analisis_Inputs_Grales!$D$32*Analisis_Inputs_Grales!$D$30)/(Analisis_Inputs_Grales!$D$21*$C40*12)</f>
        <v>0.131738250597596</v>
      </c>
      <c r="K44" s="97" t="n">
        <f aca="false">(Analisis_Inputs_Grales!$D$30-Analisis_Inputs_Grales!$D$32*Analisis_Inputs_Grales!$D$30)/(Analisis_Inputs_Grales!$D$21*$C40*12)</f>
        <v>0.131738250597596</v>
      </c>
      <c r="L44" s="97" t="n">
        <f aca="false">(Analisis_Inputs_Grales!$D$30-Analisis_Inputs_Grales!$D$32*Analisis_Inputs_Grales!$D$30)/(Analisis_Inputs_Grales!$D$21*$C40*12)</f>
        <v>0.131738250597596</v>
      </c>
      <c r="M44" s="97" t="n">
        <f aca="false">(Analisis_Inputs_Grales!$D$30-Analisis_Inputs_Grales!$D$32*Analisis_Inputs_Grales!$D$30)/(Analisis_Inputs_Grales!$D$21*$C40*12)</f>
        <v>0.131738250597596</v>
      </c>
      <c r="N44" s="99"/>
      <c r="O44" s="99"/>
      <c r="P44" s="99"/>
      <c r="Q44" s="99"/>
      <c r="R44" s="99"/>
      <c r="S44" s="99"/>
      <c r="T44" s="99"/>
      <c r="U44" s="99"/>
      <c r="V44" s="99"/>
      <c r="W44" s="99"/>
    </row>
    <row r="45" customFormat="false" ht="14.25" hidden="false" customHeight="false" outlineLevel="0" collapsed="false">
      <c r="B45" s="98" t="s">
        <v>198</v>
      </c>
      <c r="C45" s="56" t="s">
        <v>96</v>
      </c>
      <c r="D45" s="99" t="n">
        <f aca="false">D44*Analisis_Inputs_Grales!$D$21*12</f>
        <v>13658.6218219587</v>
      </c>
      <c r="E45" s="99" t="n">
        <f aca="false">E44*Analisis_Inputs_Grales!$D$21*12</f>
        <v>13658.6218219587</v>
      </c>
      <c r="F45" s="99" t="n">
        <f aca="false">F44*Analisis_Inputs_Grales!$D$21*12</f>
        <v>13658.6218219587</v>
      </c>
      <c r="G45" s="99" t="n">
        <f aca="false">G44*Analisis_Inputs_Grales!$D$21*12</f>
        <v>13658.6218219587</v>
      </c>
      <c r="H45" s="99" t="n">
        <f aca="false">H44*Analisis_Inputs_Grales!$D$21*12</f>
        <v>13658.6218219587</v>
      </c>
      <c r="I45" s="99" t="n">
        <f aca="false">I44*Analisis_Inputs_Grales!$D$21*12</f>
        <v>13658.6218219587</v>
      </c>
      <c r="J45" s="99" t="n">
        <f aca="false">J44*Analisis_Inputs_Grales!$D$21*12</f>
        <v>13658.6218219587</v>
      </c>
      <c r="K45" s="99" t="n">
        <f aca="false">K44*Analisis_Inputs_Grales!$D$21*12</f>
        <v>13658.6218219587</v>
      </c>
      <c r="L45" s="99" t="n">
        <f aca="false">L44*Analisis_Inputs_Grales!$D$21*12</f>
        <v>13658.6218219587</v>
      </c>
      <c r="M45" s="99" t="n">
        <f aca="false">M44*Analisis_Inputs_Grales!$D$21*12</f>
        <v>13658.6218219587</v>
      </c>
      <c r="N45" s="99"/>
      <c r="O45" s="99"/>
      <c r="P45" s="99"/>
      <c r="Q45" s="99"/>
      <c r="R45" s="99"/>
      <c r="S45" s="99"/>
      <c r="T45" s="99"/>
      <c r="U45" s="99"/>
      <c r="V45" s="99"/>
      <c r="W45" s="99"/>
    </row>
    <row r="46" customFormat="false" ht="14.25" hidden="false" customHeight="false" outlineLevel="0" collapsed="false">
      <c r="B46" s="95" t="s">
        <v>199</v>
      </c>
      <c r="C46" s="96" t="s">
        <v>197</v>
      </c>
      <c r="D46" s="97" t="n">
        <f aca="false">Analisis_Inputs_Grales!$D$13/Analisis_Inputs_Grales!$D$21</f>
        <v>0.494325231481482</v>
      </c>
      <c r="E46" s="97" t="n">
        <f aca="false">Analisis_Inputs_Grales!$D$13/Analisis_Inputs_Grales!$D$21</f>
        <v>0.494325231481482</v>
      </c>
      <c r="F46" s="97" t="n">
        <f aca="false">Analisis_Inputs_Grales!$D$13/Analisis_Inputs_Grales!$D$21</f>
        <v>0.494325231481482</v>
      </c>
      <c r="G46" s="97" t="n">
        <f aca="false">Analisis_Inputs_Grales!$D$13/Analisis_Inputs_Grales!$D$21</f>
        <v>0.494325231481482</v>
      </c>
      <c r="H46" s="97" t="n">
        <f aca="false">Analisis_Inputs_Grales!$D$13/Analisis_Inputs_Grales!$D$21</f>
        <v>0.494325231481482</v>
      </c>
      <c r="I46" s="97" t="n">
        <f aca="false">Analisis_Inputs_Grales!$D$13/Analisis_Inputs_Grales!$D$21</f>
        <v>0.494325231481482</v>
      </c>
      <c r="J46" s="97" t="n">
        <f aca="false">Analisis_Inputs_Grales!$D$13/Analisis_Inputs_Grales!$D$21</f>
        <v>0.494325231481482</v>
      </c>
      <c r="K46" s="97" t="n">
        <f aca="false">Analisis_Inputs_Grales!$D$13/Analisis_Inputs_Grales!$D$21</f>
        <v>0.494325231481482</v>
      </c>
      <c r="L46" s="97" t="n">
        <f aca="false">Analisis_Inputs_Grales!$D$13/Analisis_Inputs_Grales!$D$21</f>
        <v>0.494325231481482</v>
      </c>
      <c r="M46" s="97" t="n">
        <f aca="false">Analisis_Inputs_Grales!$D$13/Analisis_Inputs_Grales!$D$21</f>
        <v>0.494325231481482</v>
      </c>
      <c r="N46" s="99"/>
      <c r="O46" s="99"/>
      <c r="P46" s="99"/>
      <c r="Q46" s="99"/>
      <c r="R46" s="99"/>
      <c r="S46" s="99"/>
      <c r="T46" s="99"/>
      <c r="U46" s="99"/>
      <c r="V46" s="99"/>
      <c r="W46" s="99"/>
    </row>
    <row r="47" customFormat="false" ht="14.25" hidden="false" customHeight="false" outlineLevel="0" collapsed="false">
      <c r="B47" s="101" t="s">
        <v>199</v>
      </c>
      <c r="C47" s="102" t="s">
        <v>96</v>
      </c>
      <c r="D47" s="99" t="n">
        <f aca="false">D46*Analisis_Inputs_Grales!$D$21*12</f>
        <v>51251.64</v>
      </c>
      <c r="E47" s="99" t="n">
        <f aca="false">E46*Analisis_Inputs_Grales!$D$21*12</f>
        <v>51251.64</v>
      </c>
      <c r="F47" s="99" t="n">
        <f aca="false">F46*Analisis_Inputs_Grales!$D$21*12</f>
        <v>51251.64</v>
      </c>
      <c r="G47" s="99" t="n">
        <f aca="false">G46*Analisis_Inputs_Grales!$D$21*12</f>
        <v>51251.64</v>
      </c>
      <c r="H47" s="99" t="n">
        <f aca="false">H46*Analisis_Inputs_Grales!$D$21*12</f>
        <v>51251.64</v>
      </c>
      <c r="I47" s="99" t="n">
        <f aca="false">I46*Analisis_Inputs_Grales!$D$21*12</f>
        <v>51251.64</v>
      </c>
      <c r="J47" s="99" t="n">
        <f aca="false">J46*Analisis_Inputs_Grales!$D$21*12</f>
        <v>51251.64</v>
      </c>
      <c r="K47" s="99" t="n">
        <f aca="false">K46*Analisis_Inputs_Grales!$D$21*12</f>
        <v>51251.64</v>
      </c>
      <c r="L47" s="99" t="n">
        <f aca="false">L46*Analisis_Inputs_Grales!$D$21*12</f>
        <v>51251.64</v>
      </c>
      <c r="M47" s="99" t="n">
        <f aca="false">M46*Analisis_Inputs_Grales!$D$21*12</f>
        <v>51251.64</v>
      </c>
      <c r="N47" s="99"/>
      <c r="O47" s="99"/>
      <c r="P47" s="99"/>
      <c r="Q47" s="99"/>
      <c r="R47" s="99"/>
      <c r="S47" s="99"/>
      <c r="T47" s="99"/>
      <c r="U47" s="99"/>
      <c r="V47" s="99"/>
      <c r="W47" s="99"/>
    </row>
    <row r="48" customFormat="false" ht="14.25" hidden="false" customHeight="false" outlineLevel="0" collapsed="false">
      <c r="B48" s="95" t="s">
        <v>200</v>
      </c>
      <c r="C48" s="96" t="s">
        <v>197</v>
      </c>
      <c r="D48" s="97" t="n">
        <f aca="false">D46+D44+D42</f>
        <v>0.801714482875872</v>
      </c>
      <c r="E48" s="97" t="n">
        <f aca="false">E46+E44+E42</f>
        <v>0.801714482875872</v>
      </c>
      <c r="F48" s="97" t="n">
        <f aca="false">F46+F44+F42</f>
        <v>0.801714482875872</v>
      </c>
      <c r="G48" s="97" t="n">
        <f aca="false">G46+G44+G42</f>
        <v>0.801714482875872</v>
      </c>
      <c r="H48" s="97" t="n">
        <f aca="false">H46+H44+H42</f>
        <v>0.801714482875872</v>
      </c>
      <c r="I48" s="97" t="n">
        <f aca="false">I46+I44+I42</f>
        <v>0.801714482875872</v>
      </c>
      <c r="J48" s="97" t="n">
        <f aca="false">J46+J44+J42</f>
        <v>0.801714482875872</v>
      </c>
      <c r="K48" s="97" t="n">
        <f aca="false">K46+K44+K42</f>
        <v>0.801714482875872</v>
      </c>
      <c r="L48" s="97" t="n">
        <f aca="false">L46+L44+L42</f>
        <v>0.801714482875872</v>
      </c>
      <c r="M48" s="97" t="n">
        <f aca="false">M46+M44+M42</f>
        <v>0.801714482875872</v>
      </c>
      <c r="N48" s="99"/>
      <c r="O48" s="99"/>
      <c r="P48" s="99"/>
      <c r="Q48" s="99"/>
      <c r="R48" s="99"/>
      <c r="S48" s="99"/>
      <c r="T48" s="99"/>
      <c r="U48" s="99"/>
      <c r="V48" s="99"/>
      <c r="W48" s="99"/>
    </row>
    <row r="49" customFormat="false" ht="14.25" hidden="false" customHeight="false" outlineLevel="0" collapsed="false">
      <c r="B49" s="98" t="s">
        <v>200</v>
      </c>
      <c r="C49" s="56" t="s">
        <v>96</v>
      </c>
      <c r="D49" s="99" t="n">
        <f aca="false">D47+D45+D43</f>
        <v>83121.7575845704</v>
      </c>
      <c r="E49" s="99" t="n">
        <f aca="false">E47+E45+E43</f>
        <v>83121.7575845704</v>
      </c>
      <c r="F49" s="99" t="n">
        <f aca="false">F47+F45+F43</f>
        <v>83121.7575845704</v>
      </c>
      <c r="G49" s="99" t="n">
        <f aca="false">G47+G45+G43</f>
        <v>83121.7575845704</v>
      </c>
      <c r="H49" s="99" t="n">
        <f aca="false">H47+H45+H43</f>
        <v>83121.7575845704</v>
      </c>
      <c r="I49" s="99" t="n">
        <f aca="false">I47+I45+I43</f>
        <v>83121.7575845704</v>
      </c>
      <c r="J49" s="99" t="n">
        <f aca="false">J47+J45+J43</f>
        <v>83121.7575845704</v>
      </c>
      <c r="K49" s="99" t="n">
        <f aca="false">K47+K45+K43</f>
        <v>83121.7575845704</v>
      </c>
      <c r="L49" s="99" t="n">
        <f aca="false">L47+L45+L43</f>
        <v>83121.7575845704</v>
      </c>
      <c r="M49" s="99" t="n">
        <f aca="false">M47+M45+M43</f>
        <v>83121.7575845704</v>
      </c>
      <c r="N49" s="99"/>
      <c r="O49" s="99"/>
      <c r="P49" s="99"/>
      <c r="Q49" s="99"/>
      <c r="R49" s="99"/>
      <c r="S49" s="99"/>
      <c r="T49" s="99"/>
      <c r="U49" s="99"/>
      <c r="V49" s="99"/>
      <c r="W49" s="99"/>
    </row>
    <row r="50" customFormat="false" ht="14.25" hidden="false" customHeight="false" outlineLevel="0" collapsed="false">
      <c r="C50" s="56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  <c r="W50" s="99"/>
    </row>
    <row r="51" customFormat="false" ht="15.75" hidden="false" customHeight="false" outlineLevel="0" collapsed="false">
      <c r="B51" s="94" t="s">
        <v>201</v>
      </c>
      <c r="C51" s="56"/>
      <c r="I51" s="99"/>
      <c r="J51" s="99"/>
      <c r="K51" s="99"/>
      <c r="L51" s="99"/>
      <c r="M51" s="99"/>
      <c r="N51" s="99"/>
      <c r="O51" s="99"/>
      <c r="P51" s="99"/>
      <c r="Q51" s="99"/>
      <c r="R51" s="99"/>
      <c r="S51" s="99"/>
      <c r="T51" s="99"/>
      <c r="U51" s="99"/>
      <c r="V51" s="99"/>
      <c r="W51" s="99"/>
    </row>
    <row r="52" customFormat="false" ht="14.25" hidden="false" customHeight="false" outlineLevel="0" collapsed="false">
      <c r="B52" s="95" t="s">
        <v>202</v>
      </c>
      <c r="C52" s="96" t="s">
        <v>197</v>
      </c>
      <c r="D52" s="57" t="n">
        <f aca="false">Analisis_Inputs_Grales!$D$35/(Analisis_Inputs_Grales!$D$33/(Analisis_Inputs_Grales!$D$34/60))</f>
        <v>0.047</v>
      </c>
      <c r="E52" s="57" t="n">
        <f aca="false">Analisis_Inputs_Grales!$D$35/(Analisis_Inputs_Grales!$D$33/(Analisis_Inputs_Grales!$D$34/60))</f>
        <v>0.047</v>
      </c>
      <c r="F52" s="57" t="n">
        <f aca="false">Analisis_Inputs_Grales!$D$35/(Analisis_Inputs_Grales!$D$33/(Analisis_Inputs_Grales!$D$34/60))</f>
        <v>0.047</v>
      </c>
      <c r="G52" s="57" t="n">
        <f aca="false">Analisis_Inputs_Grales!$D$35/(Analisis_Inputs_Grales!$D$33/(Analisis_Inputs_Grales!$D$34/60))</f>
        <v>0.047</v>
      </c>
      <c r="H52" s="57" t="n">
        <f aca="false">Analisis_Inputs_Grales!$D$35/(Analisis_Inputs_Grales!$D$33/(Analisis_Inputs_Grales!$D$34/60))</f>
        <v>0.047</v>
      </c>
      <c r="I52" s="57" t="n">
        <f aca="false">Analisis_Inputs_Grales!$D$35/(Analisis_Inputs_Grales!$D$33/(Analisis_Inputs_Grales!$D$34/60))</f>
        <v>0.047</v>
      </c>
      <c r="J52" s="57" t="n">
        <f aca="false">Analisis_Inputs_Grales!$D$35/(Analisis_Inputs_Grales!$D$33/(Analisis_Inputs_Grales!$D$34/60))</f>
        <v>0.047</v>
      </c>
      <c r="K52" s="57" t="n">
        <f aca="false">Analisis_Inputs_Grales!$D$35/(Analisis_Inputs_Grales!$D$33/(Analisis_Inputs_Grales!$D$34/60))</f>
        <v>0.047</v>
      </c>
      <c r="L52" s="57" t="n">
        <f aca="false">Analisis_Inputs_Grales!$D$35/(Analisis_Inputs_Grales!$D$33/(Analisis_Inputs_Grales!$D$34/60))</f>
        <v>0.047</v>
      </c>
      <c r="M52" s="57" t="n">
        <f aca="false">Analisis_Inputs_Grales!$D$35/(Analisis_Inputs_Grales!$D$33/(Analisis_Inputs_Grales!$D$34/60))</f>
        <v>0.047</v>
      </c>
      <c r="N52" s="99"/>
      <c r="O52" s="99"/>
      <c r="P52" s="99"/>
      <c r="Q52" s="99"/>
      <c r="R52" s="99"/>
      <c r="S52" s="99"/>
      <c r="T52" s="99"/>
      <c r="U52" s="99"/>
      <c r="V52" s="99"/>
      <c r="W52" s="99"/>
    </row>
    <row r="53" customFormat="false" ht="14.25" hidden="false" customHeight="false" outlineLevel="0" collapsed="false">
      <c r="B53" s="98" t="s">
        <v>202</v>
      </c>
      <c r="C53" s="56" t="s">
        <v>96</v>
      </c>
      <c r="D53" s="99" t="n">
        <f aca="false">D52*12*Analisis_Inputs_Grales!$D$21</f>
        <v>4872.96</v>
      </c>
      <c r="E53" s="99" t="n">
        <f aca="false">E52*12*Analisis_Inputs_Grales!$D$21</f>
        <v>4872.96</v>
      </c>
      <c r="F53" s="99" t="n">
        <f aca="false">F52*12*Analisis_Inputs_Grales!$D$21</f>
        <v>4872.96</v>
      </c>
      <c r="G53" s="99" t="n">
        <f aca="false">G52*12*Analisis_Inputs_Grales!$D$21</f>
        <v>4872.96</v>
      </c>
      <c r="H53" s="99" t="n">
        <f aca="false">H52*12*Analisis_Inputs_Grales!$D$21</f>
        <v>4872.96</v>
      </c>
      <c r="I53" s="99" t="n">
        <f aca="false">I52*12*Analisis_Inputs_Grales!$D$21</f>
        <v>4872.96</v>
      </c>
      <c r="J53" s="99" t="n">
        <f aca="false">J52*12*Analisis_Inputs_Grales!$D$21</f>
        <v>4872.96</v>
      </c>
      <c r="K53" s="99" t="n">
        <f aca="false">K52*12*Analisis_Inputs_Grales!$D$21</f>
        <v>4872.96</v>
      </c>
      <c r="L53" s="99" t="n">
        <f aca="false">L52*12*Analisis_Inputs_Grales!$D$21</f>
        <v>4872.96</v>
      </c>
      <c r="M53" s="99" t="n">
        <f aca="false">M52*12*Analisis_Inputs_Grales!$D$21</f>
        <v>4872.96</v>
      </c>
      <c r="N53" s="99"/>
      <c r="O53" s="99"/>
      <c r="P53" s="99"/>
      <c r="Q53" s="99"/>
      <c r="R53" s="99"/>
      <c r="S53" s="99"/>
      <c r="T53" s="99"/>
      <c r="U53" s="99"/>
      <c r="V53" s="99"/>
      <c r="W53" s="99"/>
    </row>
    <row r="54" customFormat="false" ht="14.25" hidden="false" customHeight="false" outlineLevel="0" collapsed="false">
      <c r="B54" s="95" t="s">
        <v>203</v>
      </c>
      <c r="C54" s="96" t="s">
        <v>197</v>
      </c>
      <c r="D54" s="97" t="n">
        <f aca="false">Analisis_Inputs_Grales!$D$36*'Analisis 20Años'!D52</f>
        <v>0.00705</v>
      </c>
      <c r="E54" s="97" t="n">
        <f aca="false">Analisis_Inputs_Grales!$D$36*'Analisis 20Años'!E52</f>
        <v>0.00705</v>
      </c>
      <c r="F54" s="97" t="n">
        <f aca="false">Analisis_Inputs_Grales!$D$36*'Analisis 20Años'!F52</f>
        <v>0.00705</v>
      </c>
      <c r="G54" s="97" t="n">
        <f aca="false">Analisis_Inputs_Grales!$D$36*'Analisis 20Años'!G52</f>
        <v>0.00705</v>
      </c>
      <c r="H54" s="97" t="n">
        <f aca="false">Analisis_Inputs_Grales!$D$36*'Analisis 20Años'!H52</f>
        <v>0.00705</v>
      </c>
      <c r="I54" s="97" t="n">
        <f aca="false">Analisis_Inputs_Grales!$D$36*'Analisis 20Años'!I52</f>
        <v>0.00705</v>
      </c>
      <c r="J54" s="97" t="n">
        <f aca="false">Analisis_Inputs_Grales!$D$36*'Analisis 20Años'!J52</f>
        <v>0.00705</v>
      </c>
      <c r="K54" s="97" t="n">
        <f aca="false">Analisis_Inputs_Grales!$D$36*'Analisis 20Años'!K52</f>
        <v>0.00705</v>
      </c>
      <c r="L54" s="97" t="n">
        <f aca="false">Analisis_Inputs_Grales!$D$36*'Analisis 20Años'!L52</f>
        <v>0.00705</v>
      </c>
      <c r="M54" s="97" t="n">
        <f aca="false">Analisis_Inputs_Grales!$D$36*'Analisis 20Años'!M52</f>
        <v>0.00705</v>
      </c>
      <c r="N54" s="99"/>
      <c r="O54" s="99"/>
      <c r="P54" s="99"/>
      <c r="Q54" s="99"/>
      <c r="R54" s="99"/>
      <c r="S54" s="99"/>
      <c r="T54" s="99"/>
      <c r="U54" s="99"/>
      <c r="V54" s="99"/>
      <c r="W54" s="99"/>
    </row>
    <row r="55" customFormat="false" ht="14.25" hidden="false" customHeight="false" outlineLevel="0" collapsed="false">
      <c r="B55" s="98" t="s">
        <v>203</v>
      </c>
      <c r="C55" s="56" t="s">
        <v>96</v>
      </c>
      <c r="D55" s="99" t="n">
        <f aca="false">D54*12*Analisis_Inputs_Grales!$D$21</f>
        <v>730.944</v>
      </c>
      <c r="E55" s="99" t="n">
        <f aca="false">E54*12*Analisis_Inputs_Grales!$D$21</f>
        <v>730.944</v>
      </c>
      <c r="F55" s="99" t="n">
        <f aca="false">F54*12*Analisis_Inputs_Grales!$D$21</f>
        <v>730.944</v>
      </c>
      <c r="G55" s="99" t="n">
        <f aca="false">G54*12*Analisis_Inputs_Grales!$D$21</f>
        <v>730.944</v>
      </c>
      <c r="H55" s="99" t="n">
        <f aca="false">H54*12*Analisis_Inputs_Grales!$D$21</f>
        <v>730.944</v>
      </c>
      <c r="I55" s="99" t="n">
        <f aca="false">I54*12*Analisis_Inputs_Grales!$D$21</f>
        <v>730.944</v>
      </c>
      <c r="J55" s="99" t="n">
        <f aca="false">J54*12*Analisis_Inputs_Grales!$D$21</f>
        <v>730.944</v>
      </c>
      <c r="K55" s="99" t="n">
        <f aca="false">K54*12*Analisis_Inputs_Grales!$D$21</f>
        <v>730.944</v>
      </c>
      <c r="L55" s="99" t="n">
        <f aca="false">L54*12*Analisis_Inputs_Grales!$D$21</f>
        <v>730.944</v>
      </c>
      <c r="M55" s="99" t="n">
        <f aca="false">M54*12*Analisis_Inputs_Grales!$D$21</f>
        <v>730.944</v>
      </c>
      <c r="N55" s="99"/>
      <c r="O55" s="99"/>
      <c r="P55" s="99"/>
      <c r="Q55" s="99"/>
      <c r="R55" s="99"/>
      <c r="S55" s="99"/>
      <c r="T55" s="99"/>
      <c r="U55" s="99"/>
      <c r="V55" s="99"/>
      <c r="W55" s="99"/>
    </row>
    <row r="56" customFormat="false" ht="14.25" hidden="false" customHeight="false" outlineLevel="0" collapsed="false">
      <c r="B56" s="95" t="s">
        <v>204</v>
      </c>
      <c r="C56" s="96" t="s">
        <v>197</v>
      </c>
      <c r="D56" s="97" t="n">
        <f aca="false">Analisis_Inputs_Grales!$D$37*('Analisis 20Años'!D54+'Analisis 20Años'!D52)</f>
        <v>0.02162</v>
      </c>
      <c r="E56" s="97" t="n">
        <f aca="false">Analisis_Inputs_Grales!$D$37*('Analisis 20Años'!E54+'Analisis 20Años'!E52)</f>
        <v>0.02162</v>
      </c>
      <c r="F56" s="97" t="n">
        <f aca="false">Analisis_Inputs_Grales!$D$37*('Analisis 20Años'!F54+'Analisis 20Años'!F52)</f>
        <v>0.02162</v>
      </c>
      <c r="G56" s="97" t="n">
        <f aca="false">Analisis_Inputs_Grales!$D$37*('Analisis 20Años'!G54+'Analisis 20Años'!G52)</f>
        <v>0.02162</v>
      </c>
      <c r="H56" s="97" t="n">
        <f aca="false">Analisis_Inputs_Grales!$D$37*('Analisis 20Años'!H54+'Analisis 20Años'!H52)</f>
        <v>0.02162</v>
      </c>
      <c r="I56" s="97" t="n">
        <f aca="false">Analisis_Inputs_Grales!$D$37*('Analisis 20Años'!I54+'Analisis 20Años'!I52)</f>
        <v>0.02162</v>
      </c>
      <c r="J56" s="97" t="n">
        <f aca="false">Analisis_Inputs_Grales!$D$37*('Analisis 20Años'!J54+'Analisis 20Años'!J52)</f>
        <v>0.02162</v>
      </c>
      <c r="K56" s="97" t="n">
        <f aca="false">Analisis_Inputs_Grales!$D$37*('Analisis 20Años'!K54+'Analisis 20Años'!K52)</f>
        <v>0.02162</v>
      </c>
      <c r="L56" s="97" t="n">
        <f aca="false">Analisis_Inputs_Grales!$D$37*('Analisis 20Años'!L54+'Analisis 20Años'!L52)</f>
        <v>0.02162</v>
      </c>
      <c r="M56" s="97" t="n">
        <f aca="false">Analisis_Inputs_Grales!$D$37*('Analisis 20Años'!M54+'Analisis 20Años'!M52)</f>
        <v>0.02162</v>
      </c>
      <c r="N56" s="99"/>
      <c r="O56" s="99"/>
      <c r="P56" s="99"/>
      <c r="Q56" s="99"/>
      <c r="R56" s="99"/>
      <c r="S56" s="99"/>
      <c r="T56" s="99"/>
      <c r="U56" s="99"/>
      <c r="V56" s="99"/>
      <c r="W56" s="99"/>
    </row>
    <row r="57" customFormat="false" ht="14.25" hidden="false" customHeight="false" outlineLevel="0" collapsed="false">
      <c r="B57" s="98" t="s">
        <v>204</v>
      </c>
      <c r="C57" s="56" t="s">
        <v>96</v>
      </c>
      <c r="D57" s="99" t="n">
        <f aca="false">D56*12*Analisis_Inputs_Grales!$D$21</f>
        <v>2241.5616</v>
      </c>
      <c r="E57" s="99" t="n">
        <f aca="false">E56*12*Analisis_Inputs_Grales!$D$21</f>
        <v>2241.5616</v>
      </c>
      <c r="F57" s="99" t="n">
        <f aca="false">F56*12*Analisis_Inputs_Grales!$D$21</f>
        <v>2241.5616</v>
      </c>
      <c r="G57" s="99" t="n">
        <f aca="false">G56*12*Analisis_Inputs_Grales!$D$21</f>
        <v>2241.5616</v>
      </c>
      <c r="H57" s="99" t="n">
        <f aca="false">H56*12*Analisis_Inputs_Grales!$D$21</f>
        <v>2241.5616</v>
      </c>
      <c r="I57" s="99" t="n">
        <f aca="false">I56*12*Analisis_Inputs_Grales!$D$21</f>
        <v>2241.5616</v>
      </c>
      <c r="J57" s="99" t="n">
        <f aca="false">J56*12*Analisis_Inputs_Grales!$D$21</f>
        <v>2241.5616</v>
      </c>
      <c r="K57" s="99" t="n">
        <f aca="false">K56*12*Analisis_Inputs_Grales!$D$21</f>
        <v>2241.5616</v>
      </c>
      <c r="L57" s="99" t="n">
        <f aca="false">L56*12*Analisis_Inputs_Grales!$D$21</f>
        <v>2241.5616</v>
      </c>
      <c r="M57" s="99" t="n">
        <f aca="false">M56*12*Analisis_Inputs_Grales!$D$21</f>
        <v>2241.5616</v>
      </c>
      <c r="N57" s="99"/>
      <c r="O57" s="99"/>
      <c r="P57" s="99"/>
      <c r="Q57" s="99"/>
      <c r="R57" s="99"/>
      <c r="S57" s="99"/>
      <c r="T57" s="99"/>
      <c r="U57" s="99"/>
      <c r="V57" s="99"/>
      <c r="W57" s="99"/>
    </row>
    <row r="58" customFormat="false" ht="14.25" hidden="false" customHeight="false" outlineLevel="0" collapsed="false">
      <c r="B58" s="95" t="s">
        <v>205</v>
      </c>
      <c r="C58" s="96" t="s">
        <v>197</v>
      </c>
      <c r="D58" s="97" t="n">
        <f aca="false">D56+D54+D52</f>
        <v>0.07567</v>
      </c>
      <c r="E58" s="97" t="n">
        <f aca="false">E56+E54+E52</f>
        <v>0.07567</v>
      </c>
      <c r="F58" s="97" t="n">
        <f aca="false">F56+F54+F52</f>
        <v>0.07567</v>
      </c>
      <c r="G58" s="97" t="n">
        <f aca="false">G56+G54+G52</f>
        <v>0.07567</v>
      </c>
      <c r="H58" s="97" t="n">
        <f aca="false">H56+H54+H52</f>
        <v>0.07567</v>
      </c>
      <c r="I58" s="97" t="n">
        <f aca="false">I56+I54+I52</f>
        <v>0.07567</v>
      </c>
      <c r="J58" s="97" t="n">
        <f aca="false">J56+J54+J52</f>
        <v>0.07567</v>
      </c>
      <c r="K58" s="97" t="n">
        <f aca="false">K56+K54+K52</f>
        <v>0.07567</v>
      </c>
      <c r="L58" s="97" t="n">
        <f aca="false">L56+L54+L52</f>
        <v>0.07567</v>
      </c>
      <c r="M58" s="97" t="n">
        <f aca="false">M56+M54+M52</f>
        <v>0.07567</v>
      </c>
      <c r="N58" s="99"/>
      <c r="O58" s="99"/>
      <c r="P58" s="99"/>
      <c r="Q58" s="99"/>
      <c r="R58" s="99"/>
      <c r="S58" s="99"/>
      <c r="T58" s="99"/>
      <c r="U58" s="99"/>
      <c r="V58" s="99"/>
      <c r="W58" s="99"/>
    </row>
    <row r="59" customFormat="false" ht="14.25" hidden="false" customHeight="false" outlineLevel="0" collapsed="false">
      <c r="B59" s="101" t="s">
        <v>205</v>
      </c>
      <c r="C59" s="56" t="s">
        <v>96</v>
      </c>
      <c r="D59" s="99" t="n">
        <f aca="false">D57+D55+D53</f>
        <v>7845.4656</v>
      </c>
      <c r="E59" s="99" t="n">
        <f aca="false">E57+E55+E53</f>
        <v>7845.4656</v>
      </c>
      <c r="F59" s="99" t="n">
        <f aca="false">F57+F55+F53</f>
        <v>7845.4656</v>
      </c>
      <c r="G59" s="99" t="n">
        <f aca="false">G57+G55+G53</f>
        <v>7845.4656</v>
      </c>
      <c r="H59" s="99" t="n">
        <f aca="false">H57+H55+H53</f>
        <v>7845.4656</v>
      </c>
      <c r="I59" s="99" t="n">
        <f aca="false">I57+I55+I53</f>
        <v>7845.4656</v>
      </c>
      <c r="J59" s="99" t="n">
        <f aca="false">J57+J55+J53</f>
        <v>7845.4656</v>
      </c>
      <c r="K59" s="99" t="n">
        <f aca="false">K57+K55+K53</f>
        <v>7845.4656</v>
      </c>
      <c r="L59" s="99" t="n">
        <f aca="false">L57+L55+L53</f>
        <v>7845.4656</v>
      </c>
      <c r="M59" s="99" t="n">
        <f aca="false">M57+M55+M53</f>
        <v>7845.4656</v>
      </c>
      <c r="N59" s="99"/>
      <c r="O59" s="99"/>
      <c r="P59" s="99"/>
      <c r="Q59" s="99"/>
      <c r="R59" s="99"/>
      <c r="S59" s="99"/>
      <c r="T59" s="99"/>
      <c r="U59" s="99"/>
      <c r="V59" s="99"/>
      <c r="W59" s="99"/>
    </row>
    <row r="60" customFormat="false" ht="14.25" hidden="false" customHeight="false" outlineLevel="0" collapsed="false">
      <c r="B60" s="103"/>
      <c r="I60" s="99"/>
      <c r="J60" s="99"/>
      <c r="K60" s="99"/>
      <c r="L60" s="99"/>
      <c r="M60" s="99"/>
      <c r="N60" s="99"/>
      <c r="O60" s="99"/>
      <c r="P60" s="99"/>
      <c r="Q60" s="99"/>
      <c r="R60" s="99"/>
      <c r="S60" s="99"/>
      <c r="T60" s="99"/>
      <c r="U60" s="99"/>
      <c r="V60" s="99"/>
      <c r="W60" s="99"/>
    </row>
    <row r="61" customFormat="false" ht="14.25" hidden="false" customHeight="false" outlineLevel="0" collapsed="false">
      <c r="B61" s="104" t="s">
        <v>206</v>
      </c>
      <c r="C61" s="105" t="s">
        <v>197</v>
      </c>
      <c r="D61" s="97" t="n">
        <f aca="false">+D48+D58</f>
        <v>0.877384482875872</v>
      </c>
      <c r="E61" s="97" t="n">
        <f aca="false">+E48+E58</f>
        <v>0.877384482875872</v>
      </c>
      <c r="F61" s="97" t="n">
        <f aca="false">+F48+F58</f>
        <v>0.877384482875872</v>
      </c>
      <c r="G61" s="97" t="n">
        <f aca="false">+G48+G58</f>
        <v>0.877384482875872</v>
      </c>
      <c r="H61" s="97" t="n">
        <f aca="false">+H48+H58</f>
        <v>0.877384482875872</v>
      </c>
      <c r="I61" s="97" t="n">
        <f aca="false">+I48+I58</f>
        <v>0.877384482875872</v>
      </c>
      <c r="J61" s="97" t="n">
        <f aca="false">+J48+J58</f>
        <v>0.877384482875872</v>
      </c>
      <c r="K61" s="97" t="n">
        <f aca="false">+K48+K58</f>
        <v>0.877384482875872</v>
      </c>
      <c r="L61" s="97" t="n">
        <f aca="false">+L48+L58</f>
        <v>0.877384482875872</v>
      </c>
      <c r="M61" s="97" t="n">
        <f aca="false">+M48+M58</f>
        <v>0.877384482875872</v>
      </c>
      <c r="N61" s="99"/>
      <c r="O61" s="99"/>
      <c r="P61" s="99"/>
      <c r="Q61" s="99"/>
      <c r="R61" s="99"/>
      <c r="S61" s="99"/>
      <c r="T61" s="99"/>
      <c r="U61" s="99"/>
      <c r="V61" s="99"/>
      <c r="W61" s="99"/>
    </row>
    <row r="62" customFormat="false" ht="14.25" hidden="false" customHeight="false" outlineLevel="0" collapsed="false">
      <c r="B62" s="106" t="s">
        <v>206</v>
      </c>
      <c r="C62" s="107" t="s">
        <v>96</v>
      </c>
      <c r="D62" s="99" t="n">
        <f aca="false">D61*12*Analisis_Inputs_Grales!$D$21</f>
        <v>90967.2231845704</v>
      </c>
      <c r="E62" s="99" t="n">
        <f aca="false">E61*12*Analisis_Inputs_Grales!$D$21</f>
        <v>90967.2231845704</v>
      </c>
      <c r="F62" s="99" t="n">
        <f aca="false">F61*12*Analisis_Inputs_Grales!$D$21</f>
        <v>90967.2231845704</v>
      </c>
      <c r="G62" s="99" t="n">
        <f aca="false">G61*12*Analisis_Inputs_Grales!$D$21</f>
        <v>90967.2231845704</v>
      </c>
      <c r="H62" s="99" t="n">
        <f aca="false">H61*12*Analisis_Inputs_Grales!$D$21</f>
        <v>90967.2231845704</v>
      </c>
      <c r="I62" s="99" t="n">
        <f aca="false">I61*12*Analisis_Inputs_Grales!$D$21</f>
        <v>90967.2231845704</v>
      </c>
      <c r="J62" s="99" t="n">
        <f aca="false">J61*12*Analisis_Inputs_Grales!$D$21</f>
        <v>90967.2231845704</v>
      </c>
      <c r="K62" s="99" t="n">
        <f aca="false">K61*12*Analisis_Inputs_Grales!$D$21</f>
        <v>90967.2231845704</v>
      </c>
      <c r="L62" s="99" t="n">
        <f aca="false">L61*12*Analisis_Inputs_Grales!$D$21</f>
        <v>90967.2231845704</v>
      </c>
      <c r="M62" s="99" t="n">
        <f aca="false">M61*12*Analisis_Inputs_Grales!$D$21</f>
        <v>90967.2231845704</v>
      </c>
      <c r="N62" s="99"/>
      <c r="O62" s="99"/>
      <c r="P62" s="99"/>
      <c r="Q62" s="99"/>
      <c r="R62" s="99"/>
      <c r="S62" s="99"/>
      <c r="T62" s="99"/>
      <c r="U62" s="99"/>
      <c r="V62" s="99"/>
      <c r="W62" s="99"/>
    </row>
    <row r="63" customFormat="false" ht="14.25" hidden="false" customHeight="false" outlineLevel="0" collapsed="false">
      <c r="B63" s="108"/>
      <c r="C63" s="109"/>
      <c r="I63" s="99"/>
      <c r="J63" s="99"/>
      <c r="K63" s="99"/>
      <c r="L63" s="99"/>
      <c r="M63" s="99"/>
      <c r="N63" s="99"/>
      <c r="O63" s="99"/>
      <c r="P63" s="99"/>
      <c r="Q63" s="99"/>
      <c r="R63" s="99"/>
      <c r="S63" s="99"/>
      <c r="T63" s="99"/>
      <c r="U63" s="99"/>
      <c r="V63" s="99"/>
      <c r="W63" s="99"/>
    </row>
    <row r="64" customFormat="false" ht="14.25" hidden="false" customHeight="false" outlineLevel="0" collapsed="false">
      <c r="B64" s="110" t="s">
        <v>207</v>
      </c>
      <c r="C64" s="105" t="s">
        <v>208</v>
      </c>
      <c r="D64" s="97" t="n">
        <f aca="false">D61/Analisis_Inputs_Grales!$D$26</f>
        <v>0.146230747145979</v>
      </c>
      <c r="E64" s="97" t="n">
        <f aca="false">E61/Analisis_Inputs_Grales!$D$26</f>
        <v>0.146230747145979</v>
      </c>
      <c r="F64" s="97" t="n">
        <f aca="false">F61/Analisis_Inputs_Grales!$D$26</f>
        <v>0.146230747145979</v>
      </c>
      <c r="G64" s="97" t="n">
        <f aca="false">G61/Analisis_Inputs_Grales!$D$26</f>
        <v>0.146230747145979</v>
      </c>
      <c r="H64" s="97" t="n">
        <f aca="false">H61/Analisis_Inputs_Grales!$D$26</f>
        <v>0.146230747145979</v>
      </c>
      <c r="I64" s="97" t="n">
        <f aca="false">I61/Analisis_Inputs_Grales!$D$26</f>
        <v>0.146230747145979</v>
      </c>
      <c r="J64" s="97" t="n">
        <f aca="false">J61/Analisis_Inputs_Grales!$D$26</f>
        <v>0.146230747145979</v>
      </c>
      <c r="K64" s="97" t="n">
        <f aca="false">K61/Analisis_Inputs_Grales!$D$26</f>
        <v>0.146230747145979</v>
      </c>
      <c r="L64" s="97" t="n">
        <f aca="false">L61/Analisis_Inputs_Grales!$D$26</f>
        <v>0.146230747145979</v>
      </c>
      <c r="M64" s="97" t="n">
        <f aca="false">M61/Analisis_Inputs_Grales!$D$26</f>
        <v>0.146230747145979</v>
      </c>
      <c r="N64" s="99"/>
      <c r="O64" s="99"/>
      <c r="P64" s="99"/>
      <c r="Q64" s="99"/>
      <c r="R64" s="99"/>
      <c r="S64" s="99"/>
      <c r="T64" s="99"/>
      <c r="U64" s="99"/>
      <c r="V64" s="99"/>
      <c r="W64" s="99"/>
    </row>
    <row r="65" customFormat="false" ht="14.25" hidden="false" customHeight="false" outlineLevel="0" collapsed="false">
      <c r="B65" s="103" t="s">
        <v>209</v>
      </c>
      <c r="C65" s="56" t="s">
        <v>210</v>
      </c>
      <c r="D65" s="99" t="n">
        <f aca="false">D64*12*Analisis_Inputs_Grales!$D$21</f>
        <v>15161.2038640951</v>
      </c>
      <c r="E65" s="99" t="n">
        <f aca="false">E64*12*Analisis_Inputs_Grales!$D$21</f>
        <v>15161.2038640951</v>
      </c>
      <c r="F65" s="99" t="n">
        <f aca="false">F64*12*Analisis_Inputs_Grales!$D$21</f>
        <v>15161.2038640951</v>
      </c>
      <c r="G65" s="99" t="n">
        <f aca="false">G64*12*Analisis_Inputs_Grales!$D$21</f>
        <v>15161.2038640951</v>
      </c>
      <c r="H65" s="99" t="n">
        <f aca="false">H64*12*Analisis_Inputs_Grales!$D$21</f>
        <v>15161.2038640951</v>
      </c>
      <c r="I65" s="99" t="n">
        <f aca="false">I64*12*Analisis_Inputs_Grales!$D$21</f>
        <v>15161.2038640951</v>
      </c>
      <c r="J65" s="99" t="n">
        <f aca="false">J64*12*Analisis_Inputs_Grales!$D$21</f>
        <v>15161.2038640951</v>
      </c>
      <c r="K65" s="99" t="n">
        <f aca="false">K64*12*Analisis_Inputs_Grales!$D$21</f>
        <v>15161.2038640951</v>
      </c>
      <c r="L65" s="99" t="n">
        <f aca="false">L64*12*Analisis_Inputs_Grales!$D$21</f>
        <v>15161.2038640951</v>
      </c>
      <c r="M65" s="99" t="n">
        <f aca="false">M64*12*Analisis_Inputs_Grales!$D$21</f>
        <v>15161.2038640951</v>
      </c>
      <c r="N65" s="99"/>
      <c r="O65" s="99"/>
      <c r="P65" s="99"/>
      <c r="Q65" s="99"/>
      <c r="R65" s="99"/>
      <c r="S65" s="99"/>
      <c r="T65" s="99"/>
      <c r="U65" s="99"/>
      <c r="V65" s="99"/>
      <c r="W65" s="99"/>
    </row>
    <row r="66" customFormat="false" ht="14.25" hidden="false" customHeight="false" outlineLevel="0" collapsed="false">
      <c r="B66" s="103" t="s">
        <v>211</v>
      </c>
      <c r="C66" s="56" t="s">
        <v>212</v>
      </c>
      <c r="D66" s="97" t="n">
        <f aca="false">Analisis_Inputs_Grales!$D$34*'Analisis 20Años'!D64/60</f>
        <v>0.0763649457317888</v>
      </c>
      <c r="E66" s="97" t="n">
        <f aca="false">Analisis_Inputs_Grales!$D$34*'Analisis 20Años'!E64/60</f>
        <v>0.0763649457317888</v>
      </c>
      <c r="F66" s="97" t="n">
        <f aca="false">Analisis_Inputs_Grales!$D$34*'Analisis 20Años'!F64/60</f>
        <v>0.0763649457317888</v>
      </c>
      <c r="G66" s="97" t="n">
        <f aca="false">Analisis_Inputs_Grales!$D$34*'Analisis 20Años'!G64/60</f>
        <v>0.0763649457317888</v>
      </c>
      <c r="H66" s="97" t="n">
        <f aca="false">Analisis_Inputs_Grales!$D$34*'Analisis 20Años'!H64/60</f>
        <v>0.0763649457317888</v>
      </c>
      <c r="I66" s="97" t="n">
        <f aca="false">Analisis_Inputs_Grales!$D$34*'Analisis 20Años'!I64/60</f>
        <v>0.0763649457317888</v>
      </c>
      <c r="J66" s="97" t="n">
        <f aca="false">Analisis_Inputs_Grales!$D$34*'Analisis 20Años'!J64/60</f>
        <v>0.0763649457317888</v>
      </c>
      <c r="K66" s="97" t="n">
        <f aca="false">Analisis_Inputs_Grales!$D$34*'Analisis 20Años'!K64/60</f>
        <v>0.0763649457317888</v>
      </c>
      <c r="L66" s="97" t="n">
        <f aca="false">Analisis_Inputs_Grales!$D$34*'Analisis 20Años'!L64/60</f>
        <v>0.0763649457317888</v>
      </c>
      <c r="M66" s="97" t="n">
        <f aca="false">Analisis_Inputs_Grales!$D$34*'Analisis 20Años'!M64/60</f>
        <v>0.0763649457317888</v>
      </c>
      <c r="N66" s="99"/>
      <c r="O66" s="99"/>
      <c r="P66" s="99"/>
      <c r="Q66" s="99"/>
      <c r="R66" s="99"/>
      <c r="S66" s="99"/>
      <c r="T66" s="99"/>
      <c r="U66" s="99"/>
      <c r="V66" s="99"/>
      <c r="W66" s="99"/>
    </row>
    <row r="67" customFormat="false" ht="14.25" hidden="false" customHeight="false" outlineLevel="0" collapsed="false">
      <c r="B67" s="103"/>
      <c r="C67" s="56"/>
      <c r="D67" s="97"/>
      <c r="E67" s="97"/>
      <c r="F67" s="97"/>
      <c r="G67" s="97"/>
      <c r="H67" s="97"/>
      <c r="I67" s="99"/>
      <c r="J67" s="99"/>
      <c r="K67" s="99"/>
      <c r="L67" s="99"/>
      <c r="M67" s="99"/>
      <c r="N67" s="99"/>
      <c r="O67" s="99"/>
      <c r="P67" s="99"/>
      <c r="Q67" s="99"/>
      <c r="R67" s="99"/>
      <c r="S67" s="99"/>
      <c r="T67" s="99"/>
      <c r="U67" s="99"/>
      <c r="V67" s="99"/>
      <c r="W67" s="99"/>
    </row>
    <row r="68" customFormat="false" ht="14.25" hidden="false" customHeight="false" outlineLevel="0" collapsed="false">
      <c r="B68" s="111" t="s">
        <v>213</v>
      </c>
      <c r="C68" s="112" t="s">
        <v>19</v>
      </c>
      <c r="D68" s="97" t="n">
        <f aca="false">(1+Analisis_Inputs_Grales!$D$118)^'Analisis 20Años'!D$3</f>
        <v>1</v>
      </c>
      <c r="E68" s="97" t="n">
        <f aca="false">(1+Analisis_Inputs_Grales!$D$118)^'Analisis 20Años'!E$3</f>
        <v>1.12</v>
      </c>
      <c r="F68" s="97" t="n">
        <f aca="false">(1+Analisis_Inputs_Grales!$D$118)^'Analisis 20Años'!F$3</f>
        <v>1.2544</v>
      </c>
      <c r="G68" s="97" t="n">
        <f aca="false">(1+Analisis_Inputs_Grales!$D$118)^'Analisis 20Años'!G$3</f>
        <v>1.404928</v>
      </c>
      <c r="H68" s="97" t="n">
        <f aca="false">(1+Analisis_Inputs_Grales!$D$118)^'Analisis 20Años'!H$3</f>
        <v>1.57351936</v>
      </c>
      <c r="I68" s="97" t="n">
        <f aca="false">(1+Analisis_Inputs_Grales!$D$118)^'Analisis 20Años'!I$3</f>
        <v>1.7623416832</v>
      </c>
      <c r="J68" s="97" t="n">
        <f aca="false">(1+Analisis_Inputs_Grales!$D$118)^'Analisis 20Años'!J$3</f>
        <v>1.973822685184</v>
      </c>
      <c r="K68" s="97" t="n">
        <f aca="false">(1+Analisis_Inputs_Grales!$D$118)^'Analisis 20Años'!K$3</f>
        <v>2.21068140740608</v>
      </c>
      <c r="L68" s="97" t="n">
        <f aca="false">(1+Analisis_Inputs_Grales!$D$118)^'Analisis 20Años'!L$3</f>
        <v>2.47596317629481</v>
      </c>
      <c r="M68" s="97" t="n">
        <f aca="false">(1+Analisis_Inputs_Grales!$D$118)^'Analisis 20Años'!M$3</f>
        <v>2.77307875745019</v>
      </c>
      <c r="N68" s="99"/>
      <c r="O68" s="99"/>
      <c r="P68" s="99"/>
      <c r="Q68" s="99"/>
      <c r="R68" s="99"/>
      <c r="S68" s="99"/>
      <c r="T68" s="99"/>
      <c r="U68" s="99"/>
      <c r="V68" s="99"/>
      <c r="W68" s="99"/>
    </row>
    <row r="69" customFormat="false" ht="14.25" hidden="false" customHeight="false" outlineLevel="0" collapsed="false">
      <c r="B69" s="111" t="s">
        <v>214</v>
      </c>
      <c r="C69" s="112" t="s">
        <v>212</v>
      </c>
      <c r="D69" s="97" t="n">
        <f aca="false">D66*D68</f>
        <v>0.0763649457317888</v>
      </c>
      <c r="E69" s="97" t="n">
        <f aca="false">E66*E68</f>
        <v>0.0855287392196035</v>
      </c>
      <c r="F69" s="97" t="n">
        <f aca="false">F66*F68</f>
        <v>0.0957921879259559</v>
      </c>
      <c r="G69" s="97" t="n">
        <f aca="false">G66*G68</f>
        <v>0.107287250477071</v>
      </c>
      <c r="H69" s="97" t="n">
        <f aca="false">H66*H68</f>
        <v>0.120161720534319</v>
      </c>
      <c r="I69" s="97" t="n">
        <f aca="false">I66*I68</f>
        <v>0.134581126998437</v>
      </c>
      <c r="J69" s="97" t="n">
        <f aca="false">J66*J68</f>
        <v>0.15073086223825</v>
      </c>
      <c r="K69" s="97" t="n">
        <f aca="false">K66*K68</f>
        <v>0.16881856570684</v>
      </c>
      <c r="L69" s="97" t="n">
        <f aca="false">L66*L68</f>
        <v>0.189076793591661</v>
      </c>
      <c r="M69" s="97" t="n">
        <f aca="false">M66*M68</f>
        <v>0.21176600882266</v>
      </c>
      <c r="N69" s="99"/>
      <c r="O69" s="99"/>
      <c r="P69" s="99"/>
      <c r="Q69" s="99"/>
      <c r="R69" s="99"/>
      <c r="S69" s="99"/>
      <c r="T69" s="99"/>
      <c r="U69" s="99"/>
      <c r="V69" s="99"/>
      <c r="W69" s="99"/>
    </row>
    <row r="70" customFormat="false" ht="15" hidden="false" customHeight="false" outlineLevel="0" collapsed="false">
      <c r="B70" s="113" t="s">
        <v>216</v>
      </c>
      <c r="C70" s="112" t="s">
        <v>212</v>
      </c>
      <c r="D70" s="114" t="n">
        <f aca="false">SUM(D69:M69)</f>
        <v>1.34010820124659</v>
      </c>
      <c r="E70" s="99"/>
      <c r="F70" s="99"/>
      <c r="G70" s="99"/>
      <c r="H70" s="99"/>
      <c r="I70" s="99"/>
      <c r="J70" s="99"/>
      <c r="K70" s="99"/>
      <c r="L70" s="99"/>
      <c r="M70" s="99"/>
      <c r="N70" s="99"/>
      <c r="O70" s="99"/>
      <c r="P70" s="99"/>
      <c r="Q70" s="99"/>
      <c r="R70" s="99"/>
      <c r="S70" s="99"/>
      <c r="T70" s="99"/>
      <c r="U70" s="99"/>
      <c r="V70" s="99"/>
      <c r="W70" s="99"/>
    </row>
    <row r="71" customFormat="false" ht="14.25" hidden="false" customHeight="false" outlineLevel="0" collapsed="false">
      <c r="B71" s="103"/>
      <c r="C71" s="56"/>
      <c r="D71" s="99"/>
      <c r="E71" s="99"/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</row>
    <row r="72" customFormat="false" ht="15" hidden="false" customHeight="false" outlineLevel="0" collapsed="false">
      <c r="B72" s="103"/>
      <c r="C72" s="56"/>
      <c r="D72" s="99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</row>
    <row r="73" customFormat="false" ht="16.5" hidden="false" customHeight="false" outlineLevel="0" collapsed="false">
      <c r="B73" s="92" t="s">
        <v>130</v>
      </c>
      <c r="C73" s="93" t="n">
        <v>15</v>
      </c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</row>
    <row r="74" customFormat="false" ht="15.75" hidden="false" customHeight="false" outlineLevel="0" collapsed="false">
      <c r="B74" s="94" t="s">
        <v>195</v>
      </c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</row>
    <row r="75" customFormat="false" ht="14.25" hidden="false" customHeight="false" outlineLevel="0" collapsed="false">
      <c r="B75" s="95" t="s">
        <v>196</v>
      </c>
      <c r="C75" s="96" t="s">
        <v>197</v>
      </c>
      <c r="D75" s="97" t="n">
        <f aca="false">Analisis_Inputs_Grales!$D$29*(Analisis_Inputs_Grales!$D$118/12)/Analisis_Inputs_Grales!$D$21</f>
        <v>0.175651000796794</v>
      </c>
      <c r="E75" s="97" t="n">
        <f aca="false">Analisis_Inputs_Grales!$D$29*(Analisis_Inputs_Grales!$D$118/12)/Analisis_Inputs_Grales!$D$21</f>
        <v>0.175651000796794</v>
      </c>
      <c r="F75" s="97" t="n">
        <f aca="false">Analisis_Inputs_Grales!$D$29*(Analisis_Inputs_Grales!$D$118/12)/Analisis_Inputs_Grales!$D$21</f>
        <v>0.175651000796794</v>
      </c>
      <c r="G75" s="97" t="n">
        <f aca="false">Analisis_Inputs_Grales!$D$29*(Analisis_Inputs_Grales!$D$118/12)/Analisis_Inputs_Grales!$D$21</f>
        <v>0.175651000796794</v>
      </c>
      <c r="H75" s="97" t="n">
        <f aca="false">Analisis_Inputs_Grales!$D$29*(Analisis_Inputs_Grales!$D$118/12)/Analisis_Inputs_Grales!$D$21</f>
        <v>0.175651000796794</v>
      </c>
      <c r="I75" s="97" t="n">
        <f aca="false">Analisis_Inputs_Grales!$D$29*(Analisis_Inputs_Grales!$D$118/12)/Analisis_Inputs_Grales!$D$21</f>
        <v>0.175651000796794</v>
      </c>
      <c r="J75" s="97" t="n">
        <f aca="false">Analisis_Inputs_Grales!$D$29*(Analisis_Inputs_Grales!$D$118/12)/Analisis_Inputs_Grales!$D$21</f>
        <v>0.175651000796794</v>
      </c>
      <c r="K75" s="97" t="n">
        <f aca="false">Analisis_Inputs_Grales!$D$29*(Analisis_Inputs_Grales!$D$118/12)/Analisis_Inputs_Grales!$D$21</f>
        <v>0.175651000796794</v>
      </c>
      <c r="L75" s="97" t="n">
        <f aca="false">Analisis_Inputs_Grales!$D$29*(Analisis_Inputs_Grales!$D$118/12)/Analisis_Inputs_Grales!$D$21</f>
        <v>0.175651000796794</v>
      </c>
      <c r="M75" s="97" t="n">
        <f aca="false">Analisis_Inputs_Grales!$D$29*(Analisis_Inputs_Grales!$D$118/12)/Analisis_Inputs_Grales!$D$21</f>
        <v>0.175651000796794</v>
      </c>
      <c r="N75" s="97" t="n">
        <f aca="false">Analisis_Inputs_Grales!$D$29*(Analisis_Inputs_Grales!$D$118/12)/Analisis_Inputs_Grales!$D$21</f>
        <v>0.175651000796794</v>
      </c>
      <c r="O75" s="97" t="n">
        <f aca="false">Analisis_Inputs_Grales!$D$29*(Analisis_Inputs_Grales!$D$118/12)/Analisis_Inputs_Grales!$D$21</f>
        <v>0.175651000796794</v>
      </c>
      <c r="P75" s="97" t="n">
        <f aca="false">Analisis_Inputs_Grales!$D$29*(Analisis_Inputs_Grales!$D$118/12)/Analisis_Inputs_Grales!$D$21</f>
        <v>0.175651000796794</v>
      </c>
      <c r="Q75" s="97" t="n">
        <f aca="false">Analisis_Inputs_Grales!$D$29*(Analisis_Inputs_Grales!$D$118/12)/Analisis_Inputs_Grales!$D$21</f>
        <v>0.175651000796794</v>
      </c>
      <c r="R75" s="97" t="n">
        <f aca="false">Analisis_Inputs_Grales!$D$29*(Analisis_Inputs_Grales!$D$118/12)/Analisis_Inputs_Grales!$D$21</f>
        <v>0.175651000796794</v>
      </c>
      <c r="S75" s="99"/>
      <c r="T75" s="99"/>
      <c r="U75" s="99"/>
      <c r="V75" s="99"/>
      <c r="W75" s="99"/>
    </row>
    <row r="76" customFormat="false" ht="14.25" hidden="false" customHeight="false" outlineLevel="0" collapsed="false">
      <c r="B76" s="98" t="s">
        <v>196</v>
      </c>
      <c r="C76" s="56" t="s">
        <v>96</v>
      </c>
      <c r="D76" s="99" t="n">
        <f aca="false">D75*Analisis_Inputs_Grales!$D$21*12</f>
        <v>18211.4957626117</v>
      </c>
      <c r="E76" s="99" t="n">
        <f aca="false">E75*Analisis_Inputs_Grales!$D$21*12</f>
        <v>18211.4957626117</v>
      </c>
      <c r="F76" s="99" t="n">
        <f aca="false">F75*Analisis_Inputs_Grales!$D$21*12</f>
        <v>18211.4957626117</v>
      </c>
      <c r="G76" s="99" t="n">
        <f aca="false">G75*Analisis_Inputs_Grales!$D$21*12</f>
        <v>18211.4957626117</v>
      </c>
      <c r="H76" s="99" t="n">
        <f aca="false">H75*Analisis_Inputs_Grales!$D$21*12</f>
        <v>18211.4957626117</v>
      </c>
      <c r="I76" s="99" t="n">
        <f aca="false">I75*Analisis_Inputs_Grales!$D$21*12</f>
        <v>18211.4957626117</v>
      </c>
      <c r="J76" s="99" t="n">
        <f aca="false">J75*Analisis_Inputs_Grales!$D$21*12</f>
        <v>18211.4957626117</v>
      </c>
      <c r="K76" s="99" t="n">
        <f aca="false">K75*Analisis_Inputs_Grales!$D$21*12</f>
        <v>18211.4957626117</v>
      </c>
      <c r="L76" s="99" t="n">
        <f aca="false">L75*Analisis_Inputs_Grales!$D$21*12</f>
        <v>18211.4957626117</v>
      </c>
      <c r="M76" s="99" t="n">
        <f aca="false">M75*Analisis_Inputs_Grales!$D$21*12</f>
        <v>18211.4957626117</v>
      </c>
      <c r="N76" s="99" t="n">
        <f aca="false">N75*Analisis_Inputs_Grales!$D$21*12</f>
        <v>18211.4957626117</v>
      </c>
      <c r="O76" s="99" t="n">
        <f aca="false">O75*Analisis_Inputs_Grales!$D$21*12</f>
        <v>18211.4957626117</v>
      </c>
      <c r="P76" s="99" t="n">
        <f aca="false">P75*Analisis_Inputs_Grales!$D$21*12</f>
        <v>18211.4957626117</v>
      </c>
      <c r="Q76" s="99" t="n">
        <f aca="false">Q75*Analisis_Inputs_Grales!$D$21*12</f>
        <v>18211.4957626117</v>
      </c>
      <c r="R76" s="99" t="n">
        <f aca="false">R75*Analisis_Inputs_Grales!$D$21*12</f>
        <v>18211.4957626117</v>
      </c>
      <c r="S76" s="99"/>
      <c r="T76" s="99"/>
      <c r="U76" s="99"/>
      <c r="V76" s="99"/>
      <c r="W76" s="99"/>
    </row>
    <row r="77" customFormat="false" ht="14.25" hidden="false" customHeight="false" outlineLevel="0" collapsed="false">
      <c r="B77" s="95" t="s">
        <v>198</v>
      </c>
      <c r="C77" s="96" t="s">
        <v>197</v>
      </c>
      <c r="D77" s="97" t="n">
        <f aca="false">(Analisis_Inputs_Grales!$D$30-Analisis_Inputs_Grales!$D$32*Analisis_Inputs_Grales!$D$30)/(Analisis_Inputs_Grales!$D$21*$C73*12)</f>
        <v>0.0878255003983972</v>
      </c>
      <c r="E77" s="97" t="n">
        <f aca="false">(Analisis_Inputs_Grales!$D$30-Analisis_Inputs_Grales!$D$32*Analisis_Inputs_Grales!$D$30)/(Analisis_Inputs_Grales!$D$21*$C73*12)</f>
        <v>0.0878255003983972</v>
      </c>
      <c r="F77" s="97" t="n">
        <f aca="false">(Analisis_Inputs_Grales!$D$30-Analisis_Inputs_Grales!$D$32*Analisis_Inputs_Grales!$D$30)/(Analisis_Inputs_Grales!$D$21*$C73*12)</f>
        <v>0.0878255003983972</v>
      </c>
      <c r="G77" s="97" t="n">
        <f aca="false">(Analisis_Inputs_Grales!$D$30-Analisis_Inputs_Grales!$D$32*Analisis_Inputs_Grales!$D$30)/(Analisis_Inputs_Grales!$D$21*$C73*12)</f>
        <v>0.0878255003983972</v>
      </c>
      <c r="H77" s="97" t="n">
        <f aca="false">(Analisis_Inputs_Grales!$D$30-Analisis_Inputs_Grales!$D$32*Analisis_Inputs_Grales!$D$30)/(Analisis_Inputs_Grales!$D$21*$C73*12)</f>
        <v>0.0878255003983972</v>
      </c>
      <c r="I77" s="97" t="n">
        <f aca="false">(Analisis_Inputs_Grales!$D$30-Analisis_Inputs_Grales!$D$32*Analisis_Inputs_Grales!$D$30)/(Analisis_Inputs_Grales!$D$21*$C73*12)</f>
        <v>0.0878255003983972</v>
      </c>
      <c r="J77" s="97" t="n">
        <f aca="false">(Analisis_Inputs_Grales!$D$30-Analisis_Inputs_Grales!$D$32*Analisis_Inputs_Grales!$D$30)/(Analisis_Inputs_Grales!$D$21*$C73*12)</f>
        <v>0.0878255003983972</v>
      </c>
      <c r="K77" s="97" t="n">
        <f aca="false">(Analisis_Inputs_Grales!$D$30-Analisis_Inputs_Grales!$D$32*Analisis_Inputs_Grales!$D$30)/(Analisis_Inputs_Grales!$D$21*$C73*12)</f>
        <v>0.0878255003983972</v>
      </c>
      <c r="L77" s="97" t="n">
        <f aca="false">(Analisis_Inputs_Grales!$D$30-Analisis_Inputs_Grales!$D$32*Analisis_Inputs_Grales!$D$30)/(Analisis_Inputs_Grales!$D$21*$C73*12)</f>
        <v>0.0878255003983972</v>
      </c>
      <c r="M77" s="97" t="n">
        <f aca="false">(Analisis_Inputs_Grales!$D$30-Analisis_Inputs_Grales!$D$32*Analisis_Inputs_Grales!$D$30)/(Analisis_Inputs_Grales!$D$21*$C73*12)</f>
        <v>0.0878255003983972</v>
      </c>
      <c r="N77" s="97" t="n">
        <f aca="false">(Analisis_Inputs_Grales!$D$30-Analisis_Inputs_Grales!$D$32*Analisis_Inputs_Grales!$D$30)/(Analisis_Inputs_Grales!$D$21*$C73*12)</f>
        <v>0.0878255003983972</v>
      </c>
      <c r="O77" s="97" t="n">
        <f aca="false">(Analisis_Inputs_Grales!$D$30-Analisis_Inputs_Grales!$D$32*Analisis_Inputs_Grales!$D$30)/(Analisis_Inputs_Grales!$D$21*$C73*12)</f>
        <v>0.0878255003983972</v>
      </c>
      <c r="P77" s="97" t="n">
        <f aca="false">(Analisis_Inputs_Grales!$D$30-Analisis_Inputs_Grales!$D$32*Analisis_Inputs_Grales!$D$30)/(Analisis_Inputs_Grales!$D$21*$C73*12)</f>
        <v>0.0878255003983972</v>
      </c>
      <c r="Q77" s="97" t="n">
        <f aca="false">(Analisis_Inputs_Grales!$D$30-Analisis_Inputs_Grales!$D$32*Analisis_Inputs_Grales!$D$30)/(Analisis_Inputs_Grales!$D$21*$C73*12)</f>
        <v>0.0878255003983972</v>
      </c>
      <c r="R77" s="97" t="n">
        <f aca="false">(Analisis_Inputs_Grales!$D$30-Analisis_Inputs_Grales!$D$32*Analisis_Inputs_Grales!$D$30)/(Analisis_Inputs_Grales!$D$21*$C73*12)</f>
        <v>0.0878255003983972</v>
      </c>
      <c r="S77" s="99"/>
      <c r="T77" s="99"/>
      <c r="U77" s="99"/>
      <c r="V77" s="99"/>
      <c r="W77" s="99"/>
    </row>
    <row r="78" customFormat="false" ht="14.25" hidden="false" customHeight="false" outlineLevel="0" collapsed="false">
      <c r="B78" s="98" t="s">
        <v>198</v>
      </c>
      <c r="C78" s="56" t="s">
        <v>96</v>
      </c>
      <c r="D78" s="99" t="n">
        <f aca="false">D77*Analisis_Inputs_Grales!$D$21*12</f>
        <v>9105.74788130583</v>
      </c>
      <c r="E78" s="99" t="n">
        <f aca="false">E77*Analisis_Inputs_Grales!$D$21*12</f>
        <v>9105.74788130583</v>
      </c>
      <c r="F78" s="99" t="n">
        <f aca="false">F77*Analisis_Inputs_Grales!$D$21*12</f>
        <v>9105.74788130583</v>
      </c>
      <c r="G78" s="99" t="n">
        <f aca="false">G77*Analisis_Inputs_Grales!$D$21*12</f>
        <v>9105.74788130583</v>
      </c>
      <c r="H78" s="99" t="n">
        <f aca="false">H77*Analisis_Inputs_Grales!$D$21*12</f>
        <v>9105.74788130583</v>
      </c>
      <c r="I78" s="99" t="n">
        <f aca="false">I77*Analisis_Inputs_Grales!$D$21*12</f>
        <v>9105.74788130583</v>
      </c>
      <c r="J78" s="99" t="n">
        <f aca="false">J77*Analisis_Inputs_Grales!$D$21*12</f>
        <v>9105.74788130583</v>
      </c>
      <c r="K78" s="99" t="n">
        <f aca="false">K77*Analisis_Inputs_Grales!$D$21*12</f>
        <v>9105.74788130583</v>
      </c>
      <c r="L78" s="99" t="n">
        <f aca="false">L77*Analisis_Inputs_Grales!$D$21*12</f>
        <v>9105.74788130583</v>
      </c>
      <c r="M78" s="99" t="n">
        <f aca="false">M77*Analisis_Inputs_Grales!$D$21*12</f>
        <v>9105.74788130583</v>
      </c>
      <c r="N78" s="99" t="n">
        <f aca="false">N77*Analisis_Inputs_Grales!$D$21*12</f>
        <v>9105.74788130583</v>
      </c>
      <c r="O78" s="99" t="n">
        <f aca="false">O77*Analisis_Inputs_Grales!$D$21*12</f>
        <v>9105.74788130583</v>
      </c>
      <c r="P78" s="99" t="n">
        <f aca="false">P77*Analisis_Inputs_Grales!$D$21*12</f>
        <v>9105.74788130583</v>
      </c>
      <c r="Q78" s="99" t="n">
        <f aca="false">Q77*Analisis_Inputs_Grales!$D$21*12</f>
        <v>9105.74788130583</v>
      </c>
      <c r="R78" s="99" t="n">
        <f aca="false">R77*Analisis_Inputs_Grales!$D$21*12</f>
        <v>9105.74788130583</v>
      </c>
      <c r="S78" s="99"/>
      <c r="T78" s="99"/>
      <c r="U78" s="99"/>
      <c r="V78" s="99"/>
      <c r="W78" s="99"/>
    </row>
    <row r="79" customFormat="false" ht="14.25" hidden="false" customHeight="false" outlineLevel="0" collapsed="false">
      <c r="B79" s="95" t="s">
        <v>199</v>
      </c>
      <c r="C79" s="96" t="s">
        <v>197</v>
      </c>
      <c r="D79" s="97" t="n">
        <f aca="false">Analisis_Inputs_Grales!$D$13/Analisis_Inputs_Grales!$D$21</f>
        <v>0.494325231481482</v>
      </c>
      <c r="E79" s="97" t="n">
        <f aca="false">Analisis_Inputs_Grales!$D$13/Analisis_Inputs_Grales!$D$21</f>
        <v>0.494325231481482</v>
      </c>
      <c r="F79" s="97" t="n">
        <f aca="false">Analisis_Inputs_Grales!$D$13/Analisis_Inputs_Grales!$D$21</f>
        <v>0.494325231481482</v>
      </c>
      <c r="G79" s="97" t="n">
        <f aca="false">Analisis_Inputs_Grales!$D$13/Analisis_Inputs_Grales!$D$21</f>
        <v>0.494325231481482</v>
      </c>
      <c r="H79" s="97" t="n">
        <f aca="false">Analisis_Inputs_Grales!$D$13/Analisis_Inputs_Grales!$D$21</f>
        <v>0.494325231481482</v>
      </c>
      <c r="I79" s="97" t="n">
        <f aca="false">Analisis_Inputs_Grales!$D$13/Analisis_Inputs_Grales!$D$21</f>
        <v>0.494325231481482</v>
      </c>
      <c r="J79" s="97" t="n">
        <f aca="false">Analisis_Inputs_Grales!$D$13/Analisis_Inputs_Grales!$D$21</f>
        <v>0.494325231481482</v>
      </c>
      <c r="K79" s="97" t="n">
        <f aca="false">Analisis_Inputs_Grales!$D$13/Analisis_Inputs_Grales!$D$21</f>
        <v>0.494325231481482</v>
      </c>
      <c r="L79" s="97" t="n">
        <f aca="false">Analisis_Inputs_Grales!$D$13/Analisis_Inputs_Grales!$D$21</f>
        <v>0.494325231481482</v>
      </c>
      <c r="M79" s="97" t="n">
        <f aca="false">Analisis_Inputs_Grales!$D$13/Analisis_Inputs_Grales!$D$21</f>
        <v>0.494325231481482</v>
      </c>
      <c r="N79" s="97" t="n">
        <f aca="false">Analisis_Inputs_Grales!$D$13/Analisis_Inputs_Grales!$D$21</f>
        <v>0.494325231481482</v>
      </c>
      <c r="O79" s="97" t="n">
        <f aca="false">Analisis_Inputs_Grales!$D$13/Analisis_Inputs_Grales!$D$21</f>
        <v>0.494325231481482</v>
      </c>
      <c r="P79" s="97" t="n">
        <f aca="false">Analisis_Inputs_Grales!$D$13/Analisis_Inputs_Grales!$D$21</f>
        <v>0.494325231481482</v>
      </c>
      <c r="Q79" s="97" t="n">
        <f aca="false">Analisis_Inputs_Grales!$D$13/Analisis_Inputs_Grales!$D$21</f>
        <v>0.494325231481482</v>
      </c>
      <c r="R79" s="97" t="n">
        <f aca="false">Analisis_Inputs_Grales!$D$13/Analisis_Inputs_Grales!$D$21</f>
        <v>0.494325231481482</v>
      </c>
      <c r="S79" s="99"/>
      <c r="T79" s="99"/>
      <c r="U79" s="99"/>
      <c r="V79" s="99"/>
      <c r="W79" s="99"/>
    </row>
    <row r="80" customFormat="false" ht="14.25" hidden="false" customHeight="false" outlineLevel="0" collapsed="false">
      <c r="B80" s="101" t="s">
        <v>199</v>
      </c>
      <c r="C80" s="102" t="s">
        <v>96</v>
      </c>
      <c r="D80" s="99" t="n">
        <f aca="false">D79*Analisis_Inputs_Grales!$D$21*12</f>
        <v>51251.64</v>
      </c>
      <c r="E80" s="99" t="n">
        <f aca="false">E79*Analisis_Inputs_Grales!$D$21*12</f>
        <v>51251.64</v>
      </c>
      <c r="F80" s="99" t="n">
        <f aca="false">F79*Analisis_Inputs_Grales!$D$21*12</f>
        <v>51251.64</v>
      </c>
      <c r="G80" s="99" t="n">
        <f aca="false">G79*Analisis_Inputs_Grales!$D$21*12</f>
        <v>51251.64</v>
      </c>
      <c r="H80" s="99" t="n">
        <f aca="false">H79*Analisis_Inputs_Grales!$D$21*12</f>
        <v>51251.64</v>
      </c>
      <c r="I80" s="99" t="n">
        <f aca="false">I79*Analisis_Inputs_Grales!$D$21*12</f>
        <v>51251.64</v>
      </c>
      <c r="J80" s="99" t="n">
        <f aca="false">J79*Analisis_Inputs_Grales!$D$21*12</f>
        <v>51251.64</v>
      </c>
      <c r="K80" s="99" t="n">
        <f aca="false">K79*Analisis_Inputs_Grales!$D$21*12</f>
        <v>51251.64</v>
      </c>
      <c r="L80" s="99" t="n">
        <f aca="false">L79*Analisis_Inputs_Grales!$D$21*12</f>
        <v>51251.64</v>
      </c>
      <c r="M80" s="99" t="n">
        <f aca="false">M79*Analisis_Inputs_Grales!$D$21*12</f>
        <v>51251.64</v>
      </c>
      <c r="N80" s="99" t="n">
        <f aca="false">N79*Analisis_Inputs_Grales!$D$21*12</f>
        <v>51251.64</v>
      </c>
      <c r="O80" s="99" t="n">
        <f aca="false">O79*Analisis_Inputs_Grales!$D$21*12</f>
        <v>51251.64</v>
      </c>
      <c r="P80" s="99" t="n">
        <f aca="false">P79*Analisis_Inputs_Grales!$D$21*12</f>
        <v>51251.64</v>
      </c>
      <c r="Q80" s="99" t="n">
        <f aca="false">Q79*Analisis_Inputs_Grales!$D$21*12</f>
        <v>51251.64</v>
      </c>
      <c r="R80" s="99" t="n">
        <f aca="false">R79*Analisis_Inputs_Grales!$D$21*12</f>
        <v>51251.64</v>
      </c>
      <c r="S80" s="99"/>
      <c r="T80" s="99"/>
      <c r="U80" s="99"/>
      <c r="V80" s="99"/>
      <c r="W80" s="99"/>
    </row>
    <row r="81" customFormat="false" ht="14.25" hidden="false" customHeight="false" outlineLevel="0" collapsed="false">
      <c r="B81" s="95" t="s">
        <v>200</v>
      </c>
      <c r="C81" s="96" t="s">
        <v>197</v>
      </c>
      <c r="D81" s="97" t="n">
        <f aca="false">D79+D77+D75</f>
        <v>0.757801732676673</v>
      </c>
      <c r="E81" s="97" t="n">
        <f aca="false">E79+E77+E75</f>
        <v>0.757801732676673</v>
      </c>
      <c r="F81" s="97" t="n">
        <f aca="false">F79+F77+F75</f>
        <v>0.757801732676673</v>
      </c>
      <c r="G81" s="97" t="n">
        <f aca="false">G79+G77+G75</f>
        <v>0.757801732676673</v>
      </c>
      <c r="H81" s="97" t="n">
        <f aca="false">H79+H77+H75</f>
        <v>0.757801732676673</v>
      </c>
      <c r="I81" s="97" t="n">
        <f aca="false">I79+I77+I75</f>
        <v>0.757801732676673</v>
      </c>
      <c r="J81" s="97" t="n">
        <f aca="false">J79+J77+J75</f>
        <v>0.757801732676673</v>
      </c>
      <c r="K81" s="97" t="n">
        <f aca="false">K79+K77+K75</f>
        <v>0.757801732676673</v>
      </c>
      <c r="L81" s="97" t="n">
        <f aca="false">L79+L77+L75</f>
        <v>0.757801732676673</v>
      </c>
      <c r="M81" s="97" t="n">
        <f aca="false">M79+M77+M75</f>
        <v>0.757801732676673</v>
      </c>
      <c r="N81" s="97" t="n">
        <f aca="false">N79+N77+N75</f>
        <v>0.757801732676673</v>
      </c>
      <c r="O81" s="97" t="n">
        <f aca="false">O79+O77+O75</f>
        <v>0.757801732676673</v>
      </c>
      <c r="P81" s="97" t="n">
        <f aca="false">P79+P77+P75</f>
        <v>0.757801732676673</v>
      </c>
      <c r="Q81" s="97" t="n">
        <f aca="false">Q79+Q77+Q75</f>
        <v>0.757801732676673</v>
      </c>
      <c r="R81" s="97" t="n">
        <f aca="false">R79+R77+R75</f>
        <v>0.757801732676673</v>
      </c>
      <c r="S81" s="99"/>
      <c r="T81" s="99"/>
      <c r="U81" s="99"/>
      <c r="V81" s="99"/>
      <c r="W81" s="99"/>
    </row>
    <row r="82" customFormat="false" ht="14.25" hidden="false" customHeight="false" outlineLevel="0" collapsed="false">
      <c r="B82" s="98" t="s">
        <v>200</v>
      </c>
      <c r="C82" s="56" t="s">
        <v>96</v>
      </c>
      <c r="D82" s="99" t="n">
        <f aca="false">D80+D78+D76</f>
        <v>78568.8836439175</v>
      </c>
      <c r="E82" s="99" t="n">
        <f aca="false">E80+E78+E76</f>
        <v>78568.8836439175</v>
      </c>
      <c r="F82" s="99" t="n">
        <f aca="false">F80+F78+F76</f>
        <v>78568.8836439175</v>
      </c>
      <c r="G82" s="99" t="n">
        <f aca="false">G80+G78+G76</f>
        <v>78568.8836439175</v>
      </c>
      <c r="H82" s="99" t="n">
        <f aca="false">H80+H78+H76</f>
        <v>78568.8836439175</v>
      </c>
      <c r="I82" s="99" t="n">
        <f aca="false">I80+I78+I76</f>
        <v>78568.8836439175</v>
      </c>
      <c r="J82" s="99" t="n">
        <f aca="false">J80+J78+J76</f>
        <v>78568.8836439175</v>
      </c>
      <c r="K82" s="99" t="n">
        <f aca="false">K80+K78+K76</f>
        <v>78568.8836439175</v>
      </c>
      <c r="L82" s="99" t="n">
        <f aca="false">L80+L78+L76</f>
        <v>78568.8836439175</v>
      </c>
      <c r="M82" s="99" t="n">
        <f aca="false">M80+M78+M76</f>
        <v>78568.8836439175</v>
      </c>
      <c r="N82" s="99" t="n">
        <f aca="false">N80+N78+N76</f>
        <v>78568.8836439175</v>
      </c>
      <c r="O82" s="99" t="n">
        <f aca="false">O80+O78+O76</f>
        <v>78568.8836439175</v>
      </c>
      <c r="P82" s="99" t="n">
        <f aca="false">P80+P78+P76</f>
        <v>78568.8836439175</v>
      </c>
      <c r="Q82" s="99" t="n">
        <f aca="false">Q80+Q78+Q76</f>
        <v>78568.8836439175</v>
      </c>
      <c r="R82" s="99" t="n">
        <f aca="false">R80+R78+R76</f>
        <v>78568.8836439175</v>
      </c>
      <c r="S82" s="99"/>
      <c r="T82" s="99"/>
      <c r="U82" s="99"/>
      <c r="V82" s="99"/>
      <c r="W82" s="99"/>
    </row>
    <row r="83" customFormat="false" ht="14.25" hidden="false" customHeight="false" outlineLevel="0" collapsed="false">
      <c r="C83" s="56"/>
      <c r="I83" s="99"/>
      <c r="J83" s="99"/>
      <c r="K83" s="99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</row>
    <row r="84" customFormat="false" ht="15.75" hidden="false" customHeight="false" outlineLevel="0" collapsed="false">
      <c r="B84" s="94" t="s">
        <v>201</v>
      </c>
      <c r="C84" s="56"/>
      <c r="I84" s="99"/>
      <c r="J84" s="99"/>
      <c r="K84" s="99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</row>
    <row r="85" customFormat="false" ht="14.25" hidden="false" customHeight="false" outlineLevel="0" collapsed="false">
      <c r="B85" s="95" t="s">
        <v>202</v>
      </c>
      <c r="C85" s="96" t="s">
        <v>197</v>
      </c>
      <c r="D85" s="57" t="n">
        <f aca="false">Analisis_Inputs_Grales!$D$35/(Analisis_Inputs_Grales!$D$33/(Analisis_Inputs_Grales!$D$34/60))</f>
        <v>0.047</v>
      </c>
      <c r="E85" s="57" t="n">
        <f aca="false">Analisis_Inputs_Grales!$D$35/(Analisis_Inputs_Grales!$D$33/(Analisis_Inputs_Grales!$D$34/60))</f>
        <v>0.047</v>
      </c>
      <c r="F85" s="57" t="n">
        <f aca="false">Analisis_Inputs_Grales!$D$35/(Analisis_Inputs_Grales!$D$33/(Analisis_Inputs_Grales!$D$34/60))</f>
        <v>0.047</v>
      </c>
      <c r="G85" s="57" t="n">
        <f aca="false">Analisis_Inputs_Grales!$D$35/(Analisis_Inputs_Grales!$D$33/(Analisis_Inputs_Grales!$D$34/60))</f>
        <v>0.047</v>
      </c>
      <c r="H85" s="57" t="n">
        <f aca="false">Analisis_Inputs_Grales!$D$35/(Analisis_Inputs_Grales!$D$33/(Analisis_Inputs_Grales!$D$34/60))</f>
        <v>0.047</v>
      </c>
      <c r="I85" s="57" t="n">
        <f aca="false">Analisis_Inputs_Grales!$D$35/(Analisis_Inputs_Grales!$D$33/(Analisis_Inputs_Grales!$D$34/60))</f>
        <v>0.047</v>
      </c>
      <c r="J85" s="57" t="n">
        <f aca="false">Analisis_Inputs_Grales!$D$35/(Analisis_Inputs_Grales!$D$33/(Analisis_Inputs_Grales!$D$34/60))</f>
        <v>0.047</v>
      </c>
      <c r="K85" s="57" t="n">
        <f aca="false">Analisis_Inputs_Grales!$D$35/(Analisis_Inputs_Grales!$D$33/(Analisis_Inputs_Grales!$D$34/60))</f>
        <v>0.047</v>
      </c>
      <c r="L85" s="57" t="n">
        <f aca="false">Analisis_Inputs_Grales!$D$35/(Analisis_Inputs_Grales!$D$33/(Analisis_Inputs_Grales!$D$34/60))</f>
        <v>0.047</v>
      </c>
      <c r="M85" s="57" t="n">
        <f aca="false">Analisis_Inputs_Grales!$D$35/(Analisis_Inputs_Grales!$D$33/(Analisis_Inputs_Grales!$D$34/60))</f>
        <v>0.047</v>
      </c>
      <c r="N85" s="57" t="n">
        <f aca="false">Analisis_Inputs_Grales!$D$35/(Analisis_Inputs_Grales!$D$33/(Analisis_Inputs_Grales!$D$34/60))</f>
        <v>0.047</v>
      </c>
      <c r="O85" s="57" t="n">
        <f aca="false">Analisis_Inputs_Grales!$D$35/(Analisis_Inputs_Grales!$D$33/(Analisis_Inputs_Grales!$D$34/60))</f>
        <v>0.047</v>
      </c>
      <c r="P85" s="57" t="n">
        <f aca="false">Analisis_Inputs_Grales!$D$35/(Analisis_Inputs_Grales!$D$33/(Analisis_Inputs_Grales!$D$34/60))</f>
        <v>0.047</v>
      </c>
      <c r="Q85" s="57" t="n">
        <f aca="false">Analisis_Inputs_Grales!$D$35/(Analisis_Inputs_Grales!$D$33/(Analisis_Inputs_Grales!$D$34/60))</f>
        <v>0.047</v>
      </c>
      <c r="R85" s="57" t="n">
        <f aca="false">Analisis_Inputs_Grales!$D$35/(Analisis_Inputs_Grales!$D$33/(Analisis_Inputs_Grales!$D$34/60))</f>
        <v>0.047</v>
      </c>
      <c r="S85" s="99"/>
      <c r="T85" s="99"/>
      <c r="U85" s="99"/>
      <c r="V85" s="99"/>
      <c r="W85" s="99"/>
    </row>
    <row r="86" customFormat="false" ht="14.25" hidden="false" customHeight="false" outlineLevel="0" collapsed="false">
      <c r="B86" s="98" t="s">
        <v>202</v>
      </c>
      <c r="C86" s="56" t="s">
        <v>96</v>
      </c>
      <c r="D86" s="99" t="n">
        <f aca="false">D85*12*Analisis_Inputs_Grales!$D$21</f>
        <v>4872.96</v>
      </c>
      <c r="E86" s="99" t="n">
        <f aca="false">E85*12*Analisis_Inputs_Grales!$D$21</f>
        <v>4872.96</v>
      </c>
      <c r="F86" s="99" t="n">
        <f aca="false">F85*12*Analisis_Inputs_Grales!$D$21</f>
        <v>4872.96</v>
      </c>
      <c r="G86" s="99" t="n">
        <f aca="false">G85*12*Analisis_Inputs_Grales!$D$21</f>
        <v>4872.96</v>
      </c>
      <c r="H86" s="99" t="n">
        <f aca="false">H85*12*Analisis_Inputs_Grales!$D$21</f>
        <v>4872.96</v>
      </c>
      <c r="I86" s="99" t="n">
        <f aca="false">I85*12*Analisis_Inputs_Grales!$D$21</f>
        <v>4872.96</v>
      </c>
      <c r="J86" s="99" t="n">
        <f aca="false">J85*12*Analisis_Inputs_Grales!$D$21</f>
        <v>4872.96</v>
      </c>
      <c r="K86" s="99" t="n">
        <f aca="false">K85*12*Analisis_Inputs_Grales!$D$21</f>
        <v>4872.96</v>
      </c>
      <c r="L86" s="99" t="n">
        <f aca="false">L85*12*Analisis_Inputs_Grales!$D$21</f>
        <v>4872.96</v>
      </c>
      <c r="M86" s="99" t="n">
        <f aca="false">M85*12*Analisis_Inputs_Grales!$D$21</f>
        <v>4872.96</v>
      </c>
      <c r="N86" s="99" t="n">
        <f aca="false">N85*12*Analisis_Inputs_Grales!$D$21</f>
        <v>4872.96</v>
      </c>
      <c r="O86" s="99" t="n">
        <f aca="false">O85*12*Analisis_Inputs_Grales!$D$21</f>
        <v>4872.96</v>
      </c>
      <c r="P86" s="99" t="n">
        <f aca="false">P85*12*Analisis_Inputs_Grales!$D$21</f>
        <v>4872.96</v>
      </c>
      <c r="Q86" s="99" t="n">
        <f aca="false">Q85*12*Analisis_Inputs_Grales!$D$21</f>
        <v>4872.96</v>
      </c>
      <c r="R86" s="99" t="n">
        <f aca="false">R85*12*Analisis_Inputs_Grales!$D$21</f>
        <v>4872.96</v>
      </c>
      <c r="S86" s="99"/>
      <c r="T86" s="99"/>
      <c r="U86" s="99"/>
      <c r="V86" s="99"/>
      <c r="W86" s="99"/>
    </row>
    <row r="87" customFormat="false" ht="14.25" hidden="false" customHeight="false" outlineLevel="0" collapsed="false">
      <c r="B87" s="95" t="s">
        <v>203</v>
      </c>
      <c r="C87" s="96" t="s">
        <v>197</v>
      </c>
      <c r="D87" s="97" t="n">
        <f aca="false">Analisis_Inputs_Grales!$D$36*'Analisis 20Años'!D85</f>
        <v>0.00705</v>
      </c>
      <c r="E87" s="97" t="n">
        <f aca="false">Analisis_Inputs_Grales!$D$36*'Analisis 20Años'!E85</f>
        <v>0.00705</v>
      </c>
      <c r="F87" s="97" t="n">
        <f aca="false">Analisis_Inputs_Grales!$D$36*'Analisis 20Años'!F85</f>
        <v>0.00705</v>
      </c>
      <c r="G87" s="97" t="n">
        <f aca="false">Analisis_Inputs_Grales!$D$36*'Analisis 20Años'!G85</f>
        <v>0.00705</v>
      </c>
      <c r="H87" s="97" t="n">
        <f aca="false">Analisis_Inputs_Grales!$D$36*'Analisis 20Años'!H85</f>
        <v>0.00705</v>
      </c>
      <c r="I87" s="97" t="n">
        <f aca="false">Analisis_Inputs_Grales!$D$36*'Analisis 20Años'!I85</f>
        <v>0.00705</v>
      </c>
      <c r="J87" s="97" t="n">
        <f aca="false">Analisis_Inputs_Grales!$D$36*'Analisis 20Años'!J85</f>
        <v>0.00705</v>
      </c>
      <c r="K87" s="97" t="n">
        <f aca="false">Analisis_Inputs_Grales!$D$36*'Analisis 20Años'!K85</f>
        <v>0.00705</v>
      </c>
      <c r="L87" s="97" t="n">
        <f aca="false">Analisis_Inputs_Grales!$D$36*'Analisis 20Años'!L85</f>
        <v>0.00705</v>
      </c>
      <c r="M87" s="97" t="n">
        <f aca="false">Analisis_Inputs_Grales!$D$36*'Analisis 20Años'!M85</f>
        <v>0.00705</v>
      </c>
      <c r="N87" s="97" t="n">
        <f aca="false">Analisis_Inputs_Grales!$D$36*'Analisis 20Años'!N85</f>
        <v>0.00705</v>
      </c>
      <c r="O87" s="97" t="n">
        <f aca="false">Analisis_Inputs_Grales!$D$36*'Analisis 20Años'!O85</f>
        <v>0.00705</v>
      </c>
      <c r="P87" s="97" t="n">
        <f aca="false">Analisis_Inputs_Grales!$D$36*'Analisis 20Años'!P85</f>
        <v>0.00705</v>
      </c>
      <c r="Q87" s="97" t="n">
        <f aca="false">Analisis_Inputs_Grales!$D$36*'Analisis 20Años'!Q85</f>
        <v>0.00705</v>
      </c>
      <c r="R87" s="97" t="n">
        <f aca="false">Analisis_Inputs_Grales!$D$36*'Analisis 20Años'!R85</f>
        <v>0.00705</v>
      </c>
      <c r="S87" s="99"/>
      <c r="T87" s="99"/>
      <c r="U87" s="99"/>
      <c r="V87" s="99"/>
      <c r="W87" s="99"/>
    </row>
    <row r="88" customFormat="false" ht="14.25" hidden="false" customHeight="false" outlineLevel="0" collapsed="false">
      <c r="B88" s="98" t="s">
        <v>203</v>
      </c>
      <c r="C88" s="56" t="s">
        <v>96</v>
      </c>
      <c r="D88" s="99" t="n">
        <f aca="false">D87*12*Analisis_Inputs_Grales!$D$21</f>
        <v>730.944</v>
      </c>
      <c r="E88" s="99" t="n">
        <f aca="false">E87*12*Analisis_Inputs_Grales!$D$21</f>
        <v>730.944</v>
      </c>
      <c r="F88" s="99" t="n">
        <f aca="false">F87*12*Analisis_Inputs_Grales!$D$21</f>
        <v>730.944</v>
      </c>
      <c r="G88" s="99" t="n">
        <f aca="false">G87*12*Analisis_Inputs_Grales!$D$21</f>
        <v>730.944</v>
      </c>
      <c r="H88" s="99" t="n">
        <f aca="false">H87*12*Analisis_Inputs_Grales!$D$21</f>
        <v>730.944</v>
      </c>
      <c r="I88" s="99" t="n">
        <f aca="false">I87*12*Analisis_Inputs_Grales!$D$21</f>
        <v>730.944</v>
      </c>
      <c r="J88" s="99" t="n">
        <f aca="false">J87*12*Analisis_Inputs_Grales!$D$21</f>
        <v>730.944</v>
      </c>
      <c r="K88" s="99" t="n">
        <f aca="false">K87*12*Analisis_Inputs_Grales!$D$21</f>
        <v>730.944</v>
      </c>
      <c r="L88" s="99" t="n">
        <f aca="false">L87*12*Analisis_Inputs_Grales!$D$21</f>
        <v>730.944</v>
      </c>
      <c r="M88" s="99" t="n">
        <f aca="false">M87*12*Analisis_Inputs_Grales!$D$21</f>
        <v>730.944</v>
      </c>
      <c r="N88" s="99" t="n">
        <f aca="false">N87*12*Analisis_Inputs_Grales!$D$21</f>
        <v>730.944</v>
      </c>
      <c r="O88" s="99" t="n">
        <f aca="false">O87*12*Analisis_Inputs_Grales!$D$21</f>
        <v>730.944</v>
      </c>
      <c r="P88" s="99" t="n">
        <f aca="false">P87*12*Analisis_Inputs_Grales!$D$21</f>
        <v>730.944</v>
      </c>
      <c r="Q88" s="99" t="n">
        <f aca="false">Q87*12*Analisis_Inputs_Grales!$D$21</f>
        <v>730.944</v>
      </c>
      <c r="R88" s="99" t="n">
        <f aca="false">R87*12*Analisis_Inputs_Grales!$D$21</f>
        <v>730.944</v>
      </c>
      <c r="S88" s="99"/>
      <c r="T88" s="99"/>
      <c r="U88" s="99"/>
      <c r="V88" s="99"/>
      <c r="W88" s="99"/>
    </row>
    <row r="89" customFormat="false" ht="14.25" hidden="false" customHeight="false" outlineLevel="0" collapsed="false">
      <c r="B89" s="95" t="s">
        <v>204</v>
      </c>
      <c r="C89" s="96" t="s">
        <v>197</v>
      </c>
      <c r="D89" s="97" t="n">
        <f aca="false">Analisis_Inputs_Grales!$D$37*('Analisis 20Años'!D87+'Analisis 20Años'!D85)</f>
        <v>0.02162</v>
      </c>
      <c r="E89" s="97" t="n">
        <f aca="false">Analisis_Inputs_Grales!$D$37*('Analisis 20Años'!E87+'Analisis 20Años'!E85)</f>
        <v>0.02162</v>
      </c>
      <c r="F89" s="97" t="n">
        <f aca="false">Analisis_Inputs_Grales!$D$37*('Analisis 20Años'!F87+'Analisis 20Años'!F85)</f>
        <v>0.02162</v>
      </c>
      <c r="G89" s="97" t="n">
        <f aca="false">Analisis_Inputs_Grales!$D$37*('Analisis 20Años'!G87+'Analisis 20Años'!G85)</f>
        <v>0.02162</v>
      </c>
      <c r="H89" s="97" t="n">
        <f aca="false">Analisis_Inputs_Grales!$D$37*('Analisis 20Años'!H87+'Analisis 20Años'!H85)</f>
        <v>0.02162</v>
      </c>
      <c r="I89" s="97" t="n">
        <f aca="false">Analisis_Inputs_Grales!$D$37*('Analisis 20Años'!I87+'Analisis 20Años'!I85)</f>
        <v>0.02162</v>
      </c>
      <c r="J89" s="97" t="n">
        <f aca="false">Analisis_Inputs_Grales!$D$37*('Analisis 20Años'!J87+'Analisis 20Años'!J85)</f>
        <v>0.02162</v>
      </c>
      <c r="K89" s="97" t="n">
        <f aca="false">Analisis_Inputs_Grales!$D$37*('Analisis 20Años'!K87+'Analisis 20Años'!K85)</f>
        <v>0.02162</v>
      </c>
      <c r="L89" s="97" t="n">
        <f aca="false">Analisis_Inputs_Grales!$D$37*('Analisis 20Años'!L87+'Analisis 20Años'!L85)</f>
        <v>0.02162</v>
      </c>
      <c r="M89" s="97" t="n">
        <f aca="false">Analisis_Inputs_Grales!$D$37*('Analisis 20Años'!M87+'Analisis 20Años'!M85)</f>
        <v>0.02162</v>
      </c>
      <c r="N89" s="97" t="n">
        <f aca="false">Analisis_Inputs_Grales!$D$37*('Analisis 20Años'!N87+'Analisis 20Años'!N85)</f>
        <v>0.02162</v>
      </c>
      <c r="O89" s="97" t="n">
        <f aca="false">Analisis_Inputs_Grales!$D$37*('Analisis 20Años'!O87+'Analisis 20Años'!O85)</f>
        <v>0.02162</v>
      </c>
      <c r="P89" s="97" t="n">
        <f aca="false">Analisis_Inputs_Grales!$D$37*('Analisis 20Años'!P87+'Analisis 20Años'!P85)</f>
        <v>0.02162</v>
      </c>
      <c r="Q89" s="97" t="n">
        <f aca="false">Analisis_Inputs_Grales!$D$37*('Analisis 20Años'!Q87+'Analisis 20Años'!Q85)</f>
        <v>0.02162</v>
      </c>
      <c r="R89" s="97" t="n">
        <f aca="false">Analisis_Inputs_Grales!$D$37*('Analisis 20Años'!R87+'Analisis 20Años'!R85)</f>
        <v>0.02162</v>
      </c>
      <c r="S89" s="99"/>
      <c r="T89" s="99"/>
      <c r="U89" s="99"/>
      <c r="V89" s="99"/>
      <c r="W89" s="99"/>
    </row>
    <row r="90" customFormat="false" ht="14.25" hidden="false" customHeight="false" outlineLevel="0" collapsed="false">
      <c r="B90" s="98" t="s">
        <v>204</v>
      </c>
      <c r="C90" s="56" t="s">
        <v>96</v>
      </c>
      <c r="D90" s="99" t="n">
        <f aca="false">D89*12*Analisis_Inputs_Grales!$D$21</f>
        <v>2241.5616</v>
      </c>
      <c r="E90" s="99" t="n">
        <f aca="false">E89*12*Analisis_Inputs_Grales!$D$21</f>
        <v>2241.5616</v>
      </c>
      <c r="F90" s="99" t="n">
        <f aca="false">F89*12*Analisis_Inputs_Grales!$D$21</f>
        <v>2241.5616</v>
      </c>
      <c r="G90" s="99" t="n">
        <f aca="false">G89*12*Analisis_Inputs_Grales!$D$21</f>
        <v>2241.5616</v>
      </c>
      <c r="H90" s="99" t="n">
        <f aca="false">H89*12*Analisis_Inputs_Grales!$D$21</f>
        <v>2241.5616</v>
      </c>
      <c r="I90" s="99" t="n">
        <f aca="false">I89*12*Analisis_Inputs_Grales!$D$21</f>
        <v>2241.5616</v>
      </c>
      <c r="J90" s="99" t="n">
        <f aca="false">J89*12*Analisis_Inputs_Grales!$D$21</f>
        <v>2241.5616</v>
      </c>
      <c r="K90" s="99" t="n">
        <f aca="false">K89*12*Analisis_Inputs_Grales!$D$21</f>
        <v>2241.5616</v>
      </c>
      <c r="L90" s="99" t="n">
        <f aca="false">L89*12*Analisis_Inputs_Grales!$D$21</f>
        <v>2241.5616</v>
      </c>
      <c r="M90" s="99" t="n">
        <f aca="false">M89*12*Analisis_Inputs_Grales!$D$21</f>
        <v>2241.5616</v>
      </c>
      <c r="N90" s="99" t="n">
        <f aca="false">N89*12*Analisis_Inputs_Grales!$D$21</f>
        <v>2241.5616</v>
      </c>
      <c r="O90" s="99" t="n">
        <f aca="false">O89*12*Analisis_Inputs_Grales!$D$21</f>
        <v>2241.5616</v>
      </c>
      <c r="P90" s="99" t="n">
        <f aca="false">P89*12*Analisis_Inputs_Grales!$D$21</f>
        <v>2241.5616</v>
      </c>
      <c r="Q90" s="99" t="n">
        <f aca="false">Q89*12*Analisis_Inputs_Grales!$D$21</f>
        <v>2241.5616</v>
      </c>
      <c r="R90" s="99" t="n">
        <f aca="false">R89*12*Analisis_Inputs_Grales!$D$21</f>
        <v>2241.5616</v>
      </c>
      <c r="S90" s="99"/>
      <c r="T90" s="99"/>
      <c r="U90" s="99"/>
      <c r="V90" s="99"/>
      <c r="W90" s="99"/>
    </row>
    <row r="91" customFormat="false" ht="14.25" hidden="false" customHeight="false" outlineLevel="0" collapsed="false">
      <c r="B91" s="95" t="s">
        <v>205</v>
      </c>
      <c r="C91" s="96" t="s">
        <v>197</v>
      </c>
      <c r="D91" s="97" t="n">
        <f aca="false">D89+D87+D85</f>
        <v>0.07567</v>
      </c>
      <c r="E91" s="97" t="n">
        <f aca="false">E89+E87+E85</f>
        <v>0.07567</v>
      </c>
      <c r="F91" s="97" t="n">
        <f aca="false">F89+F87+F85</f>
        <v>0.07567</v>
      </c>
      <c r="G91" s="97" t="n">
        <f aca="false">G89+G87+G85</f>
        <v>0.07567</v>
      </c>
      <c r="H91" s="97" t="n">
        <f aca="false">H89+H87+H85</f>
        <v>0.07567</v>
      </c>
      <c r="I91" s="97" t="n">
        <f aca="false">I89+I87+I85</f>
        <v>0.07567</v>
      </c>
      <c r="J91" s="97" t="n">
        <f aca="false">J89+J87+J85</f>
        <v>0.07567</v>
      </c>
      <c r="K91" s="97" t="n">
        <f aca="false">K89+K87+K85</f>
        <v>0.07567</v>
      </c>
      <c r="L91" s="97" t="n">
        <f aca="false">L89+L87+L85</f>
        <v>0.07567</v>
      </c>
      <c r="M91" s="97" t="n">
        <f aca="false">M89+M87+M85</f>
        <v>0.07567</v>
      </c>
      <c r="N91" s="97" t="n">
        <f aca="false">N89+N87+N85</f>
        <v>0.07567</v>
      </c>
      <c r="O91" s="97" t="n">
        <f aca="false">O89+O87+O85</f>
        <v>0.07567</v>
      </c>
      <c r="P91" s="97" t="n">
        <f aca="false">P89+P87+P85</f>
        <v>0.07567</v>
      </c>
      <c r="Q91" s="97" t="n">
        <f aca="false">Q89+Q87+Q85</f>
        <v>0.07567</v>
      </c>
      <c r="R91" s="97" t="n">
        <f aca="false">R89+R87+R85</f>
        <v>0.07567</v>
      </c>
      <c r="S91" s="99"/>
      <c r="T91" s="99"/>
      <c r="U91" s="99"/>
      <c r="V91" s="99"/>
      <c r="W91" s="99"/>
    </row>
    <row r="92" customFormat="false" ht="14.25" hidden="false" customHeight="false" outlineLevel="0" collapsed="false">
      <c r="B92" s="101" t="s">
        <v>205</v>
      </c>
      <c r="C92" s="56" t="s">
        <v>96</v>
      </c>
      <c r="D92" s="99" t="n">
        <f aca="false">D90+D88+D86</f>
        <v>7845.4656</v>
      </c>
      <c r="E92" s="99" t="n">
        <f aca="false">E90+E88+E86</f>
        <v>7845.4656</v>
      </c>
      <c r="F92" s="99" t="n">
        <f aca="false">F90+F88+F86</f>
        <v>7845.4656</v>
      </c>
      <c r="G92" s="99" t="n">
        <f aca="false">G90+G88+G86</f>
        <v>7845.4656</v>
      </c>
      <c r="H92" s="99" t="n">
        <f aca="false">H90+H88+H86</f>
        <v>7845.4656</v>
      </c>
      <c r="I92" s="99" t="n">
        <f aca="false">I90+I88+I86</f>
        <v>7845.4656</v>
      </c>
      <c r="J92" s="99" t="n">
        <f aca="false">J90+J88+J86</f>
        <v>7845.4656</v>
      </c>
      <c r="K92" s="99" t="n">
        <f aca="false">K90+K88+K86</f>
        <v>7845.4656</v>
      </c>
      <c r="L92" s="99" t="n">
        <f aca="false">L90+L88+L86</f>
        <v>7845.4656</v>
      </c>
      <c r="M92" s="99" t="n">
        <f aca="false">M90+M88+M86</f>
        <v>7845.4656</v>
      </c>
      <c r="N92" s="99" t="n">
        <f aca="false">N90+N88+N86</f>
        <v>7845.4656</v>
      </c>
      <c r="O92" s="99" t="n">
        <f aca="false">O90+O88+O86</f>
        <v>7845.4656</v>
      </c>
      <c r="P92" s="99" t="n">
        <f aca="false">P90+P88+P86</f>
        <v>7845.4656</v>
      </c>
      <c r="Q92" s="99" t="n">
        <f aca="false">Q90+Q88+Q86</f>
        <v>7845.4656</v>
      </c>
      <c r="R92" s="99" t="n">
        <f aca="false">R90+R88+R86</f>
        <v>7845.4656</v>
      </c>
      <c r="S92" s="99"/>
      <c r="T92" s="99"/>
      <c r="U92" s="99"/>
      <c r="V92" s="99"/>
      <c r="W92" s="99"/>
    </row>
    <row r="93" customFormat="false" ht="14.25" hidden="false" customHeight="false" outlineLevel="0" collapsed="false">
      <c r="B93" s="103"/>
      <c r="S93" s="99"/>
      <c r="T93" s="99"/>
      <c r="U93" s="99"/>
      <c r="V93" s="99"/>
      <c r="W93" s="99"/>
    </row>
    <row r="94" customFormat="false" ht="14.25" hidden="false" customHeight="false" outlineLevel="0" collapsed="false">
      <c r="B94" s="104" t="s">
        <v>206</v>
      </c>
      <c r="C94" s="105" t="s">
        <v>197</v>
      </c>
      <c r="D94" s="97" t="n">
        <f aca="false">+D81+D91</f>
        <v>0.833471732676673</v>
      </c>
      <c r="E94" s="97" t="n">
        <f aca="false">+E81+E91</f>
        <v>0.833471732676673</v>
      </c>
      <c r="F94" s="97" t="n">
        <f aca="false">+F81+F91</f>
        <v>0.833471732676673</v>
      </c>
      <c r="G94" s="97" t="n">
        <f aca="false">+G81+G91</f>
        <v>0.833471732676673</v>
      </c>
      <c r="H94" s="97" t="n">
        <f aca="false">+H81+H91</f>
        <v>0.833471732676673</v>
      </c>
      <c r="I94" s="97" t="n">
        <f aca="false">+I81+I91</f>
        <v>0.833471732676673</v>
      </c>
      <c r="J94" s="97" t="n">
        <f aca="false">+J81+J91</f>
        <v>0.833471732676673</v>
      </c>
      <c r="K94" s="97" t="n">
        <f aca="false">+K81+K91</f>
        <v>0.833471732676673</v>
      </c>
      <c r="L94" s="97" t="n">
        <f aca="false">+L81+L91</f>
        <v>0.833471732676673</v>
      </c>
      <c r="M94" s="97" t="n">
        <f aca="false">+M81+M91</f>
        <v>0.833471732676673</v>
      </c>
      <c r="N94" s="97" t="n">
        <f aca="false">+N81+N91</f>
        <v>0.833471732676673</v>
      </c>
      <c r="O94" s="97" t="n">
        <f aca="false">+O81+O91</f>
        <v>0.833471732676673</v>
      </c>
      <c r="P94" s="97" t="n">
        <f aca="false">+P81+P91</f>
        <v>0.833471732676673</v>
      </c>
      <c r="Q94" s="97" t="n">
        <f aca="false">+Q81+Q91</f>
        <v>0.833471732676673</v>
      </c>
      <c r="R94" s="97" t="n">
        <f aca="false">+R81+R91</f>
        <v>0.833471732676673</v>
      </c>
      <c r="S94" s="99"/>
      <c r="T94" s="99"/>
      <c r="U94" s="99"/>
      <c r="V94" s="99"/>
      <c r="W94" s="99"/>
    </row>
    <row r="95" customFormat="false" ht="14.25" hidden="false" customHeight="false" outlineLevel="0" collapsed="false">
      <c r="B95" s="106" t="s">
        <v>206</v>
      </c>
      <c r="C95" s="107" t="s">
        <v>96</v>
      </c>
      <c r="D95" s="99" t="n">
        <f aca="false">D94*12*Analisis_Inputs_Grales!$D$21</f>
        <v>86414.3492439175</v>
      </c>
      <c r="E95" s="99" t="n">
        <f aca="false">E94*12*Analisis_Inputs_Grales!$D$21</f>
        <v>86414.3492439175</v>
      </c>
      <c r="F95" s="99" t="n">
        <f aca="false">F94*12*Analisis_Inputs_Grales!$D$21</f>
        <v>86414.3492439175</v>
      </c>
      <c r="G95" s="99" t="n">
        <f aca="false">G94*12*Analisis_Inputs_Grales!$D$21</f>
        <v>86414.3492439175</v>
      </c>
      <c r="H95" s="99" t="n">
        <f aca="false">H94*12*Analisis_Inputs_Grales!$D$21</f>
        <v>86414.3492439175</v>
      </c>
      <c r="I95" s="99" t="n">
        <f aca="false">I94*12*Analisis_Inputs_Grales!$D$21</f>
        <v>86414.3492439175</v>
      </c>
      <c r="J95" s="99" t="n">
        <f aca="false">J94*12*Analisis_Inputs_Grales!$D$21</f>
        <v>86414.3492439175</v>
      </c>
      <c r="K95" s="99" t="n">
        <f aca="false">K94*12*Analisis_Inputs_Grales!$D$21</f>
        <v>86414.3492439175</v>
      </c>
      <c r="L95" s="99" t="n">
        <f aca="false">L94*12*Analisis_Inputs_Grales!$D$21</f>
        <v>86414.3492439175</v>
      </c>
      <c r="M95" s="99" t="n">
        <f aca="false">M94*12*Analisis_Inputs_Grales!$D$21</f>
        <v>86414.3492439175</v>
      </c>
      <c r="N95" s="99" t="n">
        <f aca="false">N94*12*Analisis_Inputs_Grales!$D$21</f>
        <v>86414.3492439175</v>
      </c>
      <c r="O95" s="99" t="n">
        <f aca="false">O94*12*Analisis_Inputs_Grales!$D$21</f>
        <v>86414.3492439175</v>
      </c>
      <c r="P95" s="99" t="n">
        <f aca="false">P94*12*Analisis_Inputs_Grales!$D$21</f>
        <v>86414.3492439175</v>
      </c>
      <c r="Q95" s="99" t="n">
        <f aca="false">Q94*12*Analisis_Inputs_Grales!$D$21</f>
        <v>86414.3492439175</v>
      </c>
      <c r="R95" s="99" t="n">
        <f aca="false">R94*12*Analisis_Inputs_Grales!$D$21</f>
        <v>86414.3492439175</v>
      </c>
      <c r="S95" s="99"/>
      <c r="T95" s="99"/>
      <c r="U95" s="99"/>
      <c r="V95" s="99"/>
      <c r="W95" s="99"/>
    </row>
    <row r="96" customFormat="false" ht="14.25" hidden="false" customHeight="false" outlineLevel="0" collapsed="false">
      <c r="B96" s="108"/>
      <c r="C96" s="109"/>
      <c r="S96" s="99"/>
      <c r="T96" s="99"/>
      <c r="U96" s="99"/>
      <c r="V96" s="99"/>
      <c r="W96" s="99"/>
    </row>
    <row r="97" customFormat="false" ht="14.25" hidden="false" customHeight="false" outlineLevel="0" collapsed="false">
      <c r="B97" s="110" t="s">
        <v>207</v>
      </c>
      <c r="C97" s="105" t="s">
        <v>208</v>
      </c>
      <c r="D97" s="97" t="n">
        <f aca="false">D94/Analisis_Inputs_Grales!$D$26</f>
        <v>0.138911955446112</v>
      </c>
      <c r="E97" s="97" t="n">
        <f aca="false">E94/Analisis_Inputs_Grales!$D$26</f>
        <v>0.138911955446112</v>
      </c>
      <c r="F97" s="97" t="n">
        <f aca="false">F94/Analisis_Inputs_Grales!$D$26</f>
        <v>0.138911955446112</v>
      </c>
      <c r="G97" s="97" t="n">
        <f aca="false">G94/Analisis_Inputs_Grales!$D$26</f>
        <v>0.138911955446112</v>
      </c>
      <c r="H97" s="97" t="n">
        <f aca="false">H94/Analisis_Inputs_Grales!$D$26</f>
        <v>0.138911955446112</v>
      </c>
      <c r="I97" s="97" t="n">
        <f aca="false">I94/Analisis_Inputs_Grales!$D$26</f>
        <v>0.138911955446112</v>
      </c>
      <c r="J97" s="97" t="n">
        <f aca="false">J94/Analisis_Inputs_Grales!$D$26</f>
        <v>0.138911955446112</v>
      </c>
      <c r="K97" s="97" t="n">
        <f aca="false">K94/Analisis_Inputs_Grales!$D$26</f>
        <v>0.138911955446112</v>
      </c>
      <c r="L97" s="97" t="n">
        <f aca="false">L94/Analisis_Inputs_Grales!$D$26</f>
        <v>0.138911955446112</v>
      </c>
      <c r="M97" s="97" t="n">
        <f aca="false">M94/Analisis_Inputs_Grales!$D$26</f>
        <v>0.138911955446112</v>
      </c>
      <c r="N97" s="97" t="n">
        <f aca="false">N94/Analisis_Inputs_Grales!$D$26</f>
        <v>0.138911955446112</v>
      </c>
      <c r="O97" s="97" t="n">
        <f aca="false">O94/Analisis_Inputs_Grales!$D$26</f>
        <v>0.138911955446112</v>
      </c>
      <c r="P97" s="97" t="n">
        <f aca="false">P94/Analisis_Inputs_Grales!$D$26</f>
        <v>0.138911955446112</v>
      </c>
      <c r="Q97" s="97" t="n">
        <f aca="false">Q94/Analisis_Inputs_Grales!$D$26</f>
        <v>0.138911955446112</v>
      </c>
      <c r="R97" s="97" t="n">
        <f aca="false">R94/Analisis_Inputs_Grales!$D$26</f>
        <v>0.138911955446112</v>
      </c>
      <c r="S97" s="99"/>
      <c r="T97" s="99"/>
      <c r="U97" s="99"/>
      <c r="V97" s="99"/>
      <c r="W97" s="99"/>
    </row>
    <row r="98" customFormat="false" ht="14.25" hidden="false" customHeight="false" outlineLevel="0" collapsed="false">
      <c r="B98" s="103" t="s">
        <v>209</v>
      </c>
      <c r="C98" s="56" t="s">
        <v>210</v>
      </c>
      <c r="D98" s="99" t="n">
        <f aca="false">D97*12*Analisis_Inputs_Grales!$D$21</f>
        <v>14402.3915406529</v>
      </c>
      <c r="E98" s="99" t="n">
        <f aca="false">E97*12*Analisis_Inputs_Grales!$D$21</f>
        <v>14402.3915406529</v>
      </c>
      <c r="F98" s="99" t="n">
        <f aca="false">F97*12*Analisis_Inputs_Grales!$D$21</f>
        <v>14402.3915406529</v>
      </c>
      <c r="G98" s="99" t="n">
        <f aca="false">G97*12*Analisis_Inputs_Grales!$D$21</f>
        <v>14402.3915406529</v>
      </c>
      <c r="H98" s="99" t="n">
        <f aca="false">H97*12*Analisis_Inputs_Grales!$D$21</f>
        <v>14402.3915406529</v>
      </c>
      <c r="I98" s="99" t="n">
        <f aca="false">I97*12*Analisis_Inputs_Grales!$D$21</f>
        <v>14402.3915406529</v>
      </c>
      <c r="J98" s="99" t="n">
        <f aca="false">J97*12*Analisis_Inputs_Grales!$D$21</f>
        <v>14402.3915406529</v>
      </c>
      <c r="K98" s="99" t="n">
        <f aca="false">K97*12*Analisis_Inputs_Grales!$D$21</f>
        <v>14402.3915406529</v>
      </c>
      <c r="L98" s="99" t="n">
        <f aca="false">L97*12*Analisis_Inputs_Grales!$D$21</f>
        <v>14402.3915406529</v>
      </c>
      <c r="M98" s="99" t="n">
        <f aca="false">M97*12*Analisis_Inputs_Grales!$D$21</f>
        <v>14402.3915406529</v>
      </c>
      <c r="N98" s="99" t="n">
        <f aca="false">N97*12*Analisis_Inputs_Grales!$D$21</f>
        <v>14402.3915406529</v>
      </c>
      <c r="O98" s="99" t="n">
        <f aca="false">O97*12*Analisis_Inputs_Grales!$D$21</f>
        <v>14402.3915406529</v>
      </c>
      <c r="P98" s="99" t="n">
        <f aca="false">P97*12*Analisis_Inputs_Grales!$D$21</f>
        <v>14402.3915406529</v>
      </c>
      <c r="Q98" s="99" t="n">
        <f aca="false">Q97*12*Analisis_Inputs_Grales!$D$21</f>
        <v>14402.3915406529</v>
      </c>
      <c r="R98" s="99" t="n">
        <f aca="false">R97*12*Analisis_Inputs_Grales!$D$21</f>
        <v>14402.3915406529</v>
      </c>
      <c r="S98" s="99"/>
      <c r="T98" s="99"/>
      <c r="U98" s="99"/>
      <c r="V98" s="99"/>
      <c r="W98" s="99"/>
    </row>
    <row r="99" customFormat="false" ht="14.25" hidden="false" customHeight="false" outlineLevel="0" collapsed="false">
      <c r="B99" s="103" t="s">
        <v>211</v>
      </c>
      <c r="C99" s="56" t="s">
        <v>212</v>
      </c>
      <c r="D99" s="97" t="n">
        <f aca="false">Analisis_Inputs_Grales!$D$34*'Analisis 20Años'!D97/60</f>
        <v>0.0725429100663031</v>
      </c>
      <c r="E99" s="97" t="n">
        <f aca="false">Analisis_Inputs_Grales!$D$34*'Analisis 20Años'!E97/60</f>
        <v>0.0725429100663031</v>
      </c>
      <c r="F99" s="97" t="n">
        <f aca="false">Analisis_Inputs_Grales!$D$34*'Analisis 20Años'!F97/60</f>
        <v>0.0725429100663031</v>
      </c>
      <c r="G99" s="97" t="n">
        <f aca="false">Analisis_Inputs_Grales!$D$34*'Analisis 20Años'!G97/60</f>
        <v>0.0725429100663031</v>
      </c>
      <c r="H99" s="97" t="n">
        <f aca="false">Analisis_Inputs_Grales!$D$34*'Analisis 20Años'!H97/60</f>
        <v>0.0725429100663031</v>
      </c>
      <c r="I99" s="97" t="n">
        <f aca="false">Analisis_Inputs_Grales!$D$34*'Analisis 20Años'!I97/60</f>
        <v>0.0725429100663031</v>
      </c>
      <c r="J99" s="97" t="n">
        <f aca="false">Analisis_Inputs_Grales!$D$34*'Analisis 20Años'!J97/60</f>
        <v>0.0725429100663031</v>
      </c>
      <c r="K99" s="97" t="n">
        <f aca="false">Analisis_Inputs_Grales!$D$34*'Analisis 20Años'!K97/60</f>
        <v>0.0725429100663031</v>
      </c>
      <c r="L99" s="97" t="n">
        <f aca="false">Analisis_Inputs_Grales!$D$34*'Analisis 20Años'!L97/60</f>
        <v>0.0725429100663031</v>
      </c>
      <c r="M99" s="97" t="n">
        <f aca="false">Analisis_Inputs_Grales!$D$34*'Analisis 20Años'!M97/60</f>
        <v>0.0725429100663031</v>
      </c>
      <c r="N99" s="97" t="n">
        <f aca="false">Analisis_Inputs_Grales!$D$34*'Analisis 20Años'!N97/60</f>
        <v>0.0725429100663031</v>
      </c>
      <c r="O99" s="97" t="n">
        <f aca="false">Analisis_Inputs_Grales!$D$34*'Analisis 20Años'!O97/60</f>
        <v>0.0725429100663031</v>
      </c>
      <c r="P99" s="97" t="n">
        <f aca="false">Analisis_Inputs_Grales!$D$34*'Analisis 20Años'!P97/60</f>
        <v>0.0725429100663031</v>
      </c>
      <c r="Q99" s="97" t="n">
        <f aca="false">Analisis_Inputs_Grales!$D$34*'Analisis 20Años'!Q97/60</f>
        <v>0.0725429100663031</v>
      </c>
      <c r="R99" s="97" t="n">
        <f aca="false">Analisis_Inputs_Grales!$D$34*'Analisis 20Años'!R97/60</f>
        <v>0.0725429100663031</v>
      </c>
      <c r="S99" s="99"/>
      <c r="T99" s="99"/>
      <c r="U99" s="99"/>
      <c r="V99" s="99"/>
      <c r="W99" s="99"/>
    </row>
    <row r="100" customFormat="false" ht="14.25" hidden="false" customHeight="false" outlineLevel="0" collapsed="false">
      <c r="B100" s="103"/>
      <c r="C100" s="56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9"/>
      <c r="T100" s="99"/>
      <c r="U100" s="99"/>
      <c r="V100" s="99"/>
      <c r="W100" s="99"/>
    </row>
    <row r="101" customFormat="false" ht="14.25" hidden="false" customHeight="false" outlineLevel="0" collapsed="false">
      <c r="B101" s="111" t="s">
        <v>213</v>
      </c>
      <c r="C101" s="112" t="s">
        <v>19</v>
      </c>
      <c r="D101" s="97" t="n">
        <f aca="false">(1+Analisis_Inputs_Grales!$D$118)^'Analisis 20Años'!D$3</f>
        <v>1</v>
      </c>
      <c r="E101" s="97" t="n">
        <f aca="false">(1+Analisis_Inputs_Grales!$D$118)^'Analisis 20Años'!E$3</f>
        <v>1.12</v>
      </c>
      <c r="F101" s="97" t="n">
        <f aca="false">(1+Analisis_Inputs_Grales!$D$118)^'Analisis 20Años'!F$3</f>
        <v>1.2544</v>
      </c>
      <c r="G101" s="97" t="n">
        <f aca="false">(1+Analisis_Inputs_Grales!$D$118)^'Analisis 20Años'!G$3</f>
        <v>1.404928</v>
      </c>
      <c r="H101" s="97" t="n">
        <f aca="false">(1+Analisis_Inputs_Grales!$D$118)^'Analisis 20Años'!H$3</f>
        <v>1.57351936</v>
      </c>
      <c r="I101" s="97" t="n">
        <f aca="false">(1+Analisis_Inputs_Grales!$D$118)^'Analisis 20Años'!I$3</f>
        <v>1.7623416832</v>
      </c>
      <c r="J101" s="97" t="n">
        <f aca="false">(1+Analisis_Inputs_Grales!$D$118)^'Analisis 20Años'!J$3</f>
        <v>1.973822685184</v>
      </c>
      <c r="K101" s="97" t="n">
        <f aca="false">(1+Analisis_Inputs_Grales!$D$118)^'Analisis 20Años'!K$3</f>
        <v>2.21068140740608</v>
      </c>
      <c r="L101" s="97" t="n">
        <f aca="false">(1+Analisis_Inputs_Grales!$D$118)^'Analisis 20Años'!L$3</f>
        <v>2.47596317629481</v>
      </c>
      <c r="M101" s="97" t="n">
        <f aca="false">(1+Analisis_Inputs_Grales!$D$118)^'Analisis 20Años'!M$3</f>
        <v>2.77307875745019</v>
      </c>
      <c r="N101" s="97" t="n">
        <f aca="false">(1+Analisis_Inputs_Grales!$D$118)^'Analisis 20Años'!N$3</f>
        <v>3.10584820834421</v>
      </c>
      <c r="O101" s="97" t="n">
        <f aca="false">(1+Analisis_Inputs_Grales!$D$118)^'Analisis 20Años'!O$3</f>
        <v>3.47854999334552</v>
      </c>
      <c r="P101" s="97" t="n">
        <f aca="false">(1+Analisis_Inputs_Grales!$D$118)^'Analisis 20Años'!P$3</f>
        <v>3.89597599254698</v>
      </c>
      <c r="Q101" s="97" t="n">
        <f aca="false">(1+Analisis_Inputs_Grales!$D$118)^'Analisis 20Años'!Q$3</f>
        <v>4.36349311165262</v>
      </c>
      <c r="R101" s="97" t="n">
        <f aca="false">(1+Analisis_Inputs_Grales!$D$118)^'Analisis 20Años'!R$3</f>
        <v>4.88711228505093</v>
      </c>
      <c r="S101" s="99"/>
      <c r="T101" s="99"/>
      <c r="U101" s="99"/>
      <c r="V101" s="99"/>
      <c r="W101" s="99"/>
    </row>
    <row r="102" customFormat="false" ht="14.25" hidden="false" customHeight="false" outlineLevel="0" collapsed="false">
      <c r="B102" s="111" t="s">
        <v>214</v>
      </c>
      <c r="C102" s="112" t="s">
        <v>212</v>
      </c>
      <c r="D102" s="97" t="n">
        <f aca="false">D99*D101</f>
        <v>0.0725429100663031</v>
      </c>
      <c r="E102" s="97" t="n">
        <f aca="false">E99*E101</f>
        <v>0.0812480592742594</v>
      </c>
      <c r="F102" s="97" t="n">
        <f aca="false">F99*F101</f>
        <v>0.0909978263871706</v>
      </c>
      <c r="G102" s="97" t="n">
        <f aca="false">G99*G101</f>
        <v>0.101917565553631</v>
      </c>
      <c r="H102" s="97" t="n">
        <f aca="false">H99*H101</f>
        <v>0.114147673420067</v>
      </c>
      <c r="I102" s="97" t="n">
        <f aca="false">I99*I101</f>
        <v>0.127845394230475</v>
      </c>
      <c r="J102" s="97" t="n">
        <f aca="false">J99*J101</f>
        <v>0.143186841538132</v>
      </c>
      <c r="K102" s="97" t="n">
        <f aca="false">K99*K101</f>
        <v>0.160369262522708</v>
      </c>
      <c r="L102" s="97" t="n">
        <f aca="false">L99*L101</f>
        <v>0.179613574025433</v>
      </c>
      <c r="M102" s="97" t="n">
        <f aca="false">M99*M101</f>
        <v>0.201167202908484</v>
      </c>
      <c r="N102" s="97" t="n">
        <f aca="false">N99*N101</f>
        <v>0.225307267257503</v>
      </c>
      <c r="O102" s="97" t="n">
        <f aca="false">O99*O101</f>
        <v>0.252344139328403</v>
      </c>
      <c r="P102" s="97" t="n">
        <f aca="false">P99*P101</f>
        <v>0.282625436047811</v>
      </c>
      <c r="Q102" s="97" t="n">
        <f aca="false">Q99*Q101</f>
        <v>0.316540488373549</v>
      </c>
      <c r="R102" s="97" t="n">
        <f aca="false">R99*R101</f>
        <v>0.354525346978375</v>
      </c>
      <c r="S102" s="99"/>
      <c r="T102" s="99"/>
      <c r="U102" s="99"/>
      <c r="V102" s="99"/>
      <c r="W102" s="99"/>
    </row>
    <row r="103" customFormat="false" ht="15" hidden="false" customHeight="false" outlineLevel="0" collapsed="false">
      <c r="B103" s="113" t="s">
        <v>216</v>
      </c>
      <c r="C103" s="112" t="s">
        <v>212</v>
      </c>
      <c r="D103" s="114" t="n">
        <f aca="false">SUM(D102:R102)</f>
        <v>2.7043789879123</v>
      </c>
      <c r="E103" s="99"/>
      <c r="F103" s="99"/>
      <c r="G103" s="99"/>
      <c r="H103" s="99"/>
      <c r="I103" s="99"/>
      <c r="J103" s="99"/>
      <c r="K103" s="99"/>
      <c r="L103" s="99"/>
      <c r="M103" s="99"/>
      <c r="N103" s="99"/>
      <c r="O103" s="99"/>
      <c r="P103" s="99"/>
      <c r="Q103" s="99"/>
      <c r="R103" s="99"/>
      <c r="S103" s="99"/>
      <c r="T103" s="99"/>
      <c r="U103" s="99"/>
      <c r="V103" s="99"/>
      <c r="W103" s="99"/>
    </row>
    <row r="104" customFormat="false" ht="14.25" hidden="false" customHeight="false" outlineLevel="0" collapsed="false">
      <c r="B104" s="103"/>
      <c r="C104" s="56"/>
      <c r="D104" s="99"/>
      <c r="E104" s="99"/>
      <c r="F104" s="99"/>
      <c r="G104" s="99"/>
      <c r="H104" s="99"/>
      <c r="I104" s="99"/>
      <c r="J104" s="99"/>
      <c r="K104" s="99"/>
      <c r="L104" s="99"/>
      <c r="M104" s="99"/>
      <c r="N104" s="99"/>
      <c r="O104" s="99"/>
      <c r="P104" s="99"/>
      <c r="Q104" s="99"/>
      <c r="R104" s="99"/>
      <c r="S104" s="99"/>
      <c r="T104" s="99"/>
      <c r="U104" s="99"/>
      <c r="V104" s="99"/>
      <c r="W104" s="99"/>
    </row>
    <row r="105" customFormat="false" ht="15" hidden="false" customHeight="false" outlineLevel="0" collapsed="false">
      <c r="B105" s="103"/>
      <c r="C105" s="56"/>
      <c r="D105" s="99"/>
      <c r="E105" s="99"/>
      <c r="F105" s="99"/>
      <c r="G105" s="99"/>
      <c r="H105" s="99"/>
      <c r="I105" s="99"/>
      <c r="J105" s="99"/>
      <c r="K105" s="99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</row>
    <row r="106" customFormat="false" ht="16.5" hidden="false" customHeight="false" outlineLevel="0" collapsed="false">
      <c r="B106" s="92" t="s">
        <v>130</v>
      </c>
      <c r="C106" s="93" t="n">
        <v>20</v>
      </c>
      <c r="H106" s="99"/>
      <c r="I106" s="99"/>
      <c r="J106" s="99"/>
      <c r="K106" s="99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</row>
    <row r="107" customFormat="false" ht="15.75" hidden="false" customHeight="false" outlineLevel="0" collapsed="false">
      <c r="B107" s="94" t="s">
        <v>195</v>
      </c>
      <c r="H107" s="99"/>
      <c r="I107" s="99"/>
      <c r="J107" s="99"/>
      <c r="K107" s="99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</row>
    <row r="108" customFormat="false" ht="14.25" hidden="false" customHeight="false" outlineLevel="0" collapsed="false">
      <c r="B108" s="95" t="s">
        <v>196</v>
      </c>
      <c r="C108" s="96" t="s">
        <v>197</v>
      </c>
      <c r="D108" s="97" t="n">
        <f aca="false">Analisis_Inputs_Grales!$D$29*(Analisis_Inputs_Grales!$D$118/12)/Analisis_Inputs_Grales!$D$21</f>
        <v>0.175651000796794</v>
      </c>
      <c r="E108" s="97" t="n">
        <f aca="false">Analisis_Inputs_Grales!$D$29*(Analisis_Inputs_Grales!$D$118/12)/Analisis_Inputs_Grales!$D$21</f>
        <v>0.175651000796794</v>
      </c>
      <c r="F108" s="97" t="n">
        <f aca="false">Analisis_Inputs_Grales!$D$29*(Analisis_Inputs_Grales!$D$118/12)/Analisis_Inputs_Grales!$D$21</f>
        <v>0.175651000796794</v>
      </c>
      <c r="G108" s="97" t="n">
        <f aca="false">Analisis_Inputs_Grales!$D$29*(Analisis_Inputs_Grales!$D$118/12)/Analisis_Inputs_Grales!$D$21</f>
        <v>0.175651000796794</v>
      </c>
      <c r="H108" s="97" t="n">
        <f aca="false">Analisis_Inputs_Grales!$D$29*(Analisis_Inputs_Grales!$D$118/12)/Analisis_Inputs_Grales!$D$21</f>
        <v>0.175651000796794</v>
      </c>
      <c r="I108" s="97" t="n">
        <f aca="false">Analisis_Inputs_Grales!$D$29*(Analisis_Inputs_Grales!$D$118/12)/Analisis_Inputs_Grales!$D$21</f>
        <v>0.175651000796794</v>
      </c>
      <c r="J108" s="97" t="n">
        <f aca="false">Analisis_Inputs_Grales!$D$29*(Analisis_Inputs_Grales!$D$118/12)/Analisis_Inputs_Grales!$D$21</f>
        <v>0.175651000796794</v>
      </c>
      <c r="K108" s="97" t="n">
        <f aca="false">Analisis_Inputs_Grales!$D$29*(Analisis_Inputs_Grales!$D$118/12)/Analisis_Inputs_Grales!$D$21</f>
        <v>0.175651000796794</v>
      </c>
      <c r="L108" s="97" t="n">
        <f aca="false">Analisis_Inputs_Grales!$D$29*(Analisis_Inputs_Grales!$D$118/12)/Analisis_Inputs_Grales!$D$21</f>
        <v>0.175651000796794</v>
      </c>
      <c r="M108" s="97" t="n">
        <f aca="false">Analisis_Inputs_Grales!$D$29*(Analisis_Inputs_Grales!$D$118/12)/Analisis_Inputs_Grales!$D$21</f>
        <v>0.175651000796794</v>
      </c>
      <c r="N108" s="97" t="n">
        <f aca="false">Analisis_Inputs_Grales!$D$29*(Analisis_Inputs_Grales!$D$118/12)/Analisis_Inputs_Grales!$D$21</f>
        <v>0.175651000796794</v>
      </c>
      <c r="O108" s="97" t="n">
        <f aca="false">Analisis_Inputs_Grales!$D$29*(Analisis_Inputs_Grales!$D$118/12)/Analisis_Inputs_Grales!$D$21</f>
        <v>0.175651000796794</v>
      </c>
      <c r="P108" s="97" t="n">
        <f aca="false">Analisis_Inputs_Grales!$D$29*(Analisis_Inputs_Grales!$D$118/12)/Analisis_Inputs_Grales!$D$21</f>
        <v>0.175651000796794</v>
      </c>
      <c r="Q108" s="97" t="n">
        <f aca="false">Analisis_Inputs_Grales!$D$29*(Analisis_Inputs_Grales!$D$118/12)/Analisis_Inputs_Grales!$D$21</f>
        <v>0.175651000796794</v>
      </c>
      <c r="R108" s="97" t="n">
        <f aca="false">Analisis_Inputs_Grales!$D$29*(Analisis_Inputs_Grales!$D$118/12)/Analisis_Inputs_Grales!$D$21</f>
        <v>0.175651000796794</v>
      </c>
      <c r="S108" s="97" t="n">
        <f aca="false">Analisis_Inputs_Grales!$D$29*(Analisis_Inputs_Grales!$D$118/12)/Analisis_Inputs_Grales!$D$21</f>
        <v>0.175651000796794</v>
      </c>
      <c r="T108" s="97" t="n">
        <f aca="false">Analisis_Inputs_Grales!$D$29*(Analisis_Inputs_Grales!$D$118/12)/Analisis_Inputs_Grales!$D$21</f>
        <v>0.175651000796794</v>
      </c>
      <c r="U108" s="97" t="n">
        <f aca="false">Analisis_Inputs_Grales!$D$29*(Analisis_Inputs_Grales!$D$118/12)/Analisis_Inputs_Grales!$D$21</f>
        <v>0.175651000796794</v>
      </c>
      <c r="V108" s="97" t="n">
        <f aca="false">Analisis_Inputs_Grales!$D$29*(Analisis_Inputs_Grales!$D$118/12)/Analisis_Inputs_Grales!$D$21</f>
        <v>0.175651000796794</v>
      </c>
      <c r="W108" s="97" t="n">
        <f aca="false">Analisis_Inputs_Grales!$D$29*(Analisis_Inputs_Grales!$D$118/12)/Analisis_Inputs_Grales!$D$21</f>
        <v>0.175651000796794</v>
      </c>
    </row>
    <row r="109" customFormat="false" ht="14.25" hidden="false" customHeight="false" outlineLevel="0" collapsed="false">
      <c r="B109" s="98" t="s">
        <v>196</v>
      </c>
      <c r="C109" s="56" t="s">
        <v>96</v>
      </c>
      <c r="D109" s="99" t="n">
        <f aca="false">D108*Analisis_Inputs_Grales!$D$21*12</f>
        <v>18211.4957626117</v>
      </c>
      <c r="E109" s="99" t="n">
        <f aca="false">E108*Analisis_Inputs_Grales!$D$21*12</f>
        <v>18211.4957626117</v>
      </c>
      <c r="F109" s="99" t="n">
        <f aca="false">F108*Analisis_Inputs_Grales!$D$21*12</f>
        <v>18211.4957626117</v>
      </c>
      <c r="G109" s="99" t="n">
        <f aca="false">G108*Analisis_Inputs_Grales!$D$21*12</f>
        <v>18211.4957626117</v>
      </c>
      <c r="H109" s="99" t="n">
        <f aca="false">H108*Analisis_Inputs_Grales!$D$21*12</f>
        <v>18211.4957626117</v>
      </c>
      <c r="I109" s="99" t="n">
        <f aca="false">I108*Analisis_Inputs_Grales!$D$21*12</f>
        <v>18211.4957626117</v>
      </c>
      <c r="J109" s="99" t="n">
        <f aca="false">J108*Analisis_Inputs_Grales!$D$21*12</f>
        <v>18211.4957626117</v>
      </c>
      <c r="K109" s="99" t="n">
        <f aca="false">K108*Analisis_Inputs_Grales!$D$21*12</f>
        <v>18211.4957626117</v>
      </c>
      <c r="L109" s="99" t="n">
        <f aca="false">L108*Analisis_Inputs_Grales!$D$21*12</f>
        <v>18211.4957626117</v>
      </c>
      <c r="M109" s="99" t="n">
        <f aca="false">M108*Analisis_Inputs_Grales!$D$21*12</f>
        <v>18211.4957626117</v>
      </c>
      <c r="N109" s="99" t="n">
        <f aca="false">N108*Analisis_Inputs_Grales!$D$21*12</f>
        <v>18211.4957626117</v>
      </c>
      <c r="O109" s="99" t="n">
        <f aca="false">O108*Analisis_Inputs_Grales!$D$21*12</f>
        <v>18211.4957626117</v>
      </c>
      <c r="P109" s="99" t="n">
        <f aca="false">P108*Analisis_Inputs_Grales!$D$21*12</f>
        <v>18211.4957626117</v>
      </c>
      <c r="Q109" s="99" t="n">
        <f aca="false">Q108*Analisis_Inputs_Grales!$D$21*12</f>
        <v>18211.4957626117</v>
      </c>
      <c r="R109" s="99" t="n">
        <f aca="false">R108*Analisis_Inputs_Grales!$D$21*12</f>
        <v>18211.4957626117</v>
      </c>
      <c r="S109" s="99" t="n">
        <f aca="false">S108*Analisis_Inputs_Grales!$D$21*12</f>
        <v>18211.4957626117</v>
      </c>
      <c r="T109" s="99" t="n">
        <f aca="false">T108*Analisis_Inputs_Grales!$D$21*12</f>
        <v>18211.4957626117</v>
      </c>
      <c r="U109" s="99" t="n">
        <f aca="false">U108*Analisis_Inputs_Grales!$D$21*12</f>
        <v>18211.4957626117</v>
      </c>
      <c r="V109" s="99" t="n">
        <f aca="false">V108*Analisis_Inputs_Grales!$D$21*12</f>
        <v>18211.4957626117</v>
      </c>
      <c r="W109" s="99" t="n">
        <f aca="false">W108*Analisis_Inputs_Grales!$D$21*12</f>
        <v>18211.4957626117</v>
      </c>
    </row>
    <row r="110" customFormat="false" ht="14.25" hidden="false" customHeight="false" outlineLevel="0" collapsed="false">
      <c r="B110" s="95" t="s">
        <v>198</v>
      </c>
      <c r="C110" s="96" t="s">
        <v>197</v>
      </c>
      <c r="D110" s="97" t="n">
        <f aca="false">(Analisis_Inputs_Grales!$D$30-Analisis_Inputs_Grales!$D$32*Analisis_Inputs_Grales!$D$30)/(Analisis_Inputs_Grales!$D$21*$C106*12)</f>
        <v>0.0658691252987979</v>
      </c>
      <c r="E110" s="97" t="n">
        <f aca="false">(Analisis_Inputs_Grales!$D$30-Analisis_Inputs_Grales!$D$32*Analisis_Inputs_Grales!$D$30)/(Analisis_Inputs_Grales!$D$21*$C106*12)</f>
        <v>0.0658691252987979</v>
      </c>
      <c r="F110" s="97" t="n">
        <f aca="false">(Analisis_Inputs_Grales!$D$30-Analisis_Inputs_Grales!$D$32*Analisis_Inputs_Grales!$D$30)/(Analisis_Inputs_Grales!$D$21*$C106*12)</f>
        <v>0.0658691252987979</v>
      </c>
      <c r="G110" s="97" t="n">
        <f aca="false">(Analisis_Inputs_Grales!$D$30-Analisis_Inputs_Grales!$D$32*Analisis_Inputs_Grales!$D$30)/(Analisis_Inputs_Grales!$D$21*$C106*12)</f>
        <v>0.0658691252987979</v>
      </c>
      <c r="H110" s="97" t="n">
        <f aca="false">(Analisis_Inputs_Grales!$D$30-Analisis_Inputs_Grales!$D$32*Analisis_Inputs_Grales!$D$30)/(Analisis_Inputs_Grales!$D$21*$C106*12)</f>
        <v>0.0658691252987979</v>
      </c>
      <c r="I110" s="97" t="n">
        <f aca="false">(Analisis_Inputs_Grales!$D$30-Analisis_Inputs_Grales!$D$32*Analisis_Inputs_Grales!$D$30)/(Analisis_Inputs_Grales!$D$21*$C106*12)</f>
        <v>0.0658691252987979</v>
      </c>
      <c r="J110" s="97" t="n">
        <f aca="false">(Analisis_Inputs_Grales!$D$30-Analisis_Inputs_Grales!$D$32*Analisis_Inputs_Grales!$D$30)/(Analisis_Inputs_Grales!$D$21*$C106*12)</f>
        <v>0.0658691252987979</v>
      </c>
      <c r="K110" s="97" t="n">
        <f aca="false">(Analisis_Inputs_Grales!$D$30-Analisis_Inputs_Grales!$D$32*Analisis_Inputs_Grales!$D$30)/(Analisis_Inputs_Grales!$D$21*$C106*12)</f>
        <v>0.0658691252987979</v>
      </c>
      <c r="L110" s="97" t="n">
        <f aca="false">(Analisis_Inputs_Grales!$D$30-Analisis_Inputs_Grales!$D$32*Analisis_Inputs_Grales!$D$30)/(Analisis_Inputs_Grales!$D$21*$C106*12)</f>
        <v>0.0658691252987979</v>
      </c>
      <c r="M110" s="97" t="n">
        <f aca="false">(Analisis_Inputs_Grales!$D$30-Analisis_Inputs_Grales!$D$32*Analisis_Inputs_Grales!$D$30)/(Analisis_Inputs_Grales!$D$21*$C106*12)</f>
        <v>0.0658691252987979</v>
      </c>
      <c r="N110" s="97" t="n">
        <f aca="false">(Analisis_Inputs_Grales!$D$30-Analisis_Inputs_Grales!$D$32*Analisis_Inputs_Grales!$D$30)/(Analisis_Inputs_Grales!$D$21*$C106*12)</f>
        <v>0.0658691252987979</v>
      </c>
      <c r="O110" s="97" t="n">
        <f aca="false">(Analisis_Inputs_Grales!$D$30-Analisis_Inputs_Grales!$D$32*Analisis_Inputs_Grales!$D$30)/(Analisis_Inputs_Grales!$D$21*$C106*12)</f>
        <v>0.0658691252987979</v>
      </c>
      <c r="P110" s="97" t="n">
        <f aca="false">(Analisis_Inputs_Grales!$D$30-Analisis_Inputs_Grales!$D$32*Analisis_Inputs_Grales!$D$30)/(Analisis_Inputs_Grales!$D$21*$C106*12)</f>
        <v>0.0658691252987979</v>
      </c>
      <c r="Q110" s="97" t="n">
        <f aca="false">(Analisis_Inputs_Grales!$D$30-Analisis_Inputs_Grales!$D$32*Analisis_Inputs_Grales!$D$30)/(Analisis_Inputs_Grales!$D$21*$C106*12)</f>
        <v>0.0658691252987979</v>
      </c>
      <c r="R110" s="97" t="n">
        <f aca="false">(Analisis_Inputs_Grales!$D$30-Analisis_Inputs_Grales!$D$32*Analisis_Inputs_Grales!$D$30)/(Analisis_Inputs_Grales!$D$21*$C106*12)</f>
        <v>0.0658691252987979</v>
      </c>
      <c r="S110" s="97" t="n">
        <f aca="false">(Analisis_Inputs_Grales!$D$30-Analisis_Inputs_Grales!$D$32*Analisis_Inputs_Grales!$D$30)/(Analisis_Inputs_Grales!$D$21*$C106*12)</f>
        <v>0.0658691252987979</v>
      </c>
      <c r="T110" s="97" t="n">
        <f aca="false">(Analisis_Inputs_Grales!$D$30-Analisis_Inputs_Grales!$D$32*Analisis_Inputs_Grales!$D$30)/(Analisis_Inputs_Grales!$D$21*$C106*12)</f>
        <v>0.0658691252987979</v>
      </c>
      <c r="U110" s="97" t="n">
        <f aca="false">(Analisis_Inputs_Grales!$D$30-Analisis_Inputs_Grales!$D$32*Analisis_Inputs_Grales!$D$30)/(Analisis_Inputs_Grales!$D$21*$C106*12)</f>
        <v>0.0658691252987979</v>
      </c>
      <c r="V110" s="97" t="n">
        <f aca="false">(Analisis_Inputs_Grales!$D$30-Analisis_Inputs_Grales!$D$32*Analisis_Inputs_Grales!$D$30)/(Analisis_Inputs_Grales!$D$21*$C106*12)</f>
        <v>0.0658691252987979</v>
      </c>
      <c r="W110" s="97" t="n">
        <f aca="false">(Analisis_Inputs_Grales!$D$30-Analisis_Inputs_Grales!$D$32*Analisis_Inputs_Grales!$D$30)/(Analisis_Inputs_Grales!$D$21*$C106*12)</f>
        <v>0.0658691252987979</v>
      </c>
    </row>
    <row r="111" customFormat="false" ht="14.25" hidden="false" customHeight="false" outlineLevel="0" collapsed="false">
      <c r="B111" s="98" t="s">
        <v>198</v>
      </c>
      <c r="C111" s="56" t="s">
        <v>96</v>
      </c>
      <c r="D111" s="99" t="n">
        <f aca="false">D110*Analisis_Inputs_Grales!$D$21*12</f>
        <v>6829.31091097937</v>
      </c>
      <c r="E111" s="99" t="n">
        <f aca="false">E110*Analisis_Inputs_Grales!$D$21*12</f>
        <v>6829.31091097937</v>
      </c>
      <c r="F111" s="99" t="n">
        <f aca="false">F110*Analisis_Inputs_Grales!$D$21*12</f>
        <v>6829.31091097937</v>
      </c>
      <c r="G111" s="99" t="n">
        <f aca="false">G110*Analisis_Inputs_Grales!$D$21*12</f>
        <v>6829.31091097937</v>
      </c>
      <c r="H111" s="99" t="n">
        <f aca="false">H110*Analisis_Inputs_Grales!$D$21*12</f>
        <v>6829.31091097937</v>
      </c>
      <c r="I111" s="99" t="n">
        <f aca="false">I110*Analisis_Inputs_Grales!$D$21*12</f>
        <v>6829.31091097937</v>
      </c>
      <c r="J111" s="99" t="n">
        <f aca="false">J110*Analisis_Inputs_Grales!$D$21*12</f>
        <v>6829.31091097937</v>
      </c>
      <c r="K111" s="99" t="n">
        <f aca="false">K110*Analisis_Inputs_Grales!$D$21*12</f>
        <v>6829.31091097937</v>
      </c>
      <c r="L111" s="99" t="n">
        <f aca="false">L110*Analisis_Inputs_Grales!$D$21*12</f>
        <v>6829.31091097937</v>
      </c>
      <c r="M111" s="99" t="n">
        <f aca="false">M110*Analisis_Inputs_Grales!$D$21*12</f>
        <v>6829.31091097937</v>
      </c>
      <c r="N111" s="99" t="n">
        <f aca="false">N110*Analisis_Inputs_Grales!$D$21*12</f>
        <v>6829.31091097937</v>
      </c>
      <c r="O111" s="99" t="n">
        <f aca="false">O110*Analisis_Inputs_Grales!$D$21*12</f>
        <v>6829.31091097937</v>
      </c>
      <c r="P111" s="99" t="n">
        <f aca="false">P110*Analisis_Inputs_Grales!$D$21*12</f>
        <v>6829.31091097937</v>
      </c>
      <c r="Q111" s="99" t="n">
        <f aca="false">Q110*Analisis_Inputs_Grales!$D$21*12</f>
        <v>6829.31091097937</v>
      </c>
      <c r="R111" s="99" t="n">
        <f aca="false">R110*Analisis_Inputs_Grales!$D$21*12</f>
        <v>6829.31091097937</v>
      </c>
      <c r="S111" s="99" t="n">
        <f aca="false">S110*Analisis_Inputs_Grales!$D$21*12</f>
        <v>6829.31091097937</v>
      </c>
      <c r="T111" s="99" t="n">
        <f aca="false">T110*Analisis_Inputs_Grales!$D$21*12</f>
        <v>6829.31091097937</v>
      </c>
      <c r="U111" s="99" t="n">
        <f aca="false">U110*Analisis_Inputs_Grales!$D$21*12</f>
        <v>6829.31091097937</v>
      </c>
      <c r="V111" s="99" t="n">
        <f aca="false">V110*Analisis_Inputs_Grales!$D$21*12</f>
        <v>6829.31091097937</v>
      </c>
      <c r="W111" s="99" t="n">
        <f aca="false">W110*Analisis_Inputs_Grales!$D$21*12</f>
        <v>6829.31091097937</v>
      </c>
    </row>
    <row r="112" customFormat="false" ht="14.25" hidden="false" customHeight="false" outlineLevel="0" collapsed="false">
      <c r="B112" s="95" t="s">
        <v>199</v>
      </c>
      <c r="C112" s="96" t="s">
        <v>197</v>
      </c>
      <c r="D112" s="97" t="n">
        <f aca="false">Analisis_Inputs_Grales!$D$13/Analisis_Inputs_Grales!$D$21</f>
        <v>0.494325231481482</v>
      </c>
      <c r="E112" s="97" t="n">
        <f aca="false">Analisis_Inputs_Grales!$D$13/Analisis_Inputs_Grales!$D$21</f>
        <v>0.494325231481482</v>
      </c>
      <c r="F112" s="97" t="n">
        <f aca="false">Analisis_Inputs_Grales!$D$13/Analisis_Inputs_Grales!$D$21</f>
        <v>0.494325231481482</v>
      </c>
      <c r="G112" s="97" t="n">
        <f aca="false">Analisis_Inputs_Grales!$D$13/Analisis_Inputs_Grales!$D$21</f>
        <v>0.494325231481482</v>
      </c>
      <c r="H112" s="97" t="n">
        <f aca="false">Analisis_Inputs_Grales!$D$13/Analisis_Inputs_Grales!$D$21</f>
        <v>0.494325231481482</v>
      </c>
      <c r="I112" s="97" t="n">
        <f aca="false">Analisis_Inputs_Grales!$D$13/Analisis_Inputs_Grales!$D$21</f>
        <v>0.494325231481482</v>
      </c>
      <c r="J112" s="97" t="n">
        <f aca="false">Analisis_Inputs_Grales!$D$13/Analisis_Inputs_Grales!$D$21</f>
        <v>0.494325231481482</v>
      </c>
      <c r="K112" s="97" t="n">
        <f aca="false">Analisis_Inputs_Grales!$D$13/Analisis_Inputs_Grales!$D$21</f>
        <v>0.494325231481482</v>
      </c>
      <c r="L112" s="97" t="n">
        <f aca="false">Analisis_Inputs_Grales!$D$13/Analisis_Inputs_Grales!$D$21</f>
        <v>0.494325231481482</v>
      </c>
      <c r="M112" s="97" t="n">
        <f aca="false">Analisis_Inputs_Grales!$D$13/Analisis_Inputs_Grales!$D$21</f>
        <v>0.494325231481482</v>
      </c>
      <c r="N112" s="97" t="n">
        <f aca="false">Analisis_Inputs_Grales!$D$13/Analisis_Inputs_Grales!$D$21</f>
        <v>0.494325231481482</v>
      </c>
      <c r="O112" s="97" t="n">
        <f aca="false">Analisis_Inputs_Grales!$D$13/Analisis_Inputs_Grales!$D$21</f>
        <v>0.494325231481482</v>
      </c>
      <c r="P112" s="97" t="n">
        <f aca="false">Analisis_Inputs_Grales!$D$13/Analisis_Inputs_Grales!$D$21</f>
        <v>0.494325231481482</v>
      </c>
      <c r="Q112" s="97" t="n">
        <f aca="false">Analisis_Inputs_Grales!$D$13/Analisis_Inputs_Grales!$D$21</f>
        <v>0.494325231481482</v>
      </c>
      <c r="R112" s="97" t="n">
        <f aca="false">Analisis_Inputs_Grales!$D$13/Analisis_Inputs_Grales!$D$21</f>
        <v>0.494325231481482</v>
      </c>
      <c r="S112" s="97" t="n">
        <f aca="false">Analisis_Inputs_Grales!$D$13/Analisis_Inputs_Grales!$D$21</f>
        <v>0.494325231481482</v>
      </c>
      <c r="T112" s="97" t="n">
        <f aca="false">Analisis_Inputs_Grales!$D$13/Analisis_Inputs_Grales!$D$21</f>
        <v>0.494325231481482</v>
      </c>
      <c r="U112" s="97" t="n">
        <f aca="false">Analisis_Inputs_Grales!$D$13/Analisis_Inputs_Grales!$D$21</f>
        <v>0.494325231481482</v>
      </c>
      <c r="V112" s="97" t="n">
        <f aca="false">Analisis_Inputs_Grales!$D$13/Analisis_Inputs_Grales!$D$21</f>
        <v>0.494325231481482</v>
      </c>
      <c r="W112" s="97" t="n">
        <f aca="false">Analisis_Inputs_Grales!$D$13/Analisis_Inputs_Grales!$D$21</f>
        <v>0.494325231481482</v>
      </c>
    </row>
    <row r="113" customFormat="false" ht="14.25" hidden="false" customHeight="false" outlineLevel="0" collapsed="false">
      <c r="B113" s="101" t="s">
        <v>199</v>
      </c>
      <c r="C113" s="102" t="s">
        <v>96</v>
      </c>
      <c r="D113" s="99" t="n">
        <f aca="false">D112*Analisis_Inputs_Grales!$D$21*12</f>
        <v>51251.64</v>
      </c>
      <c r="E113" s="99" t="n">
        <f aca="false">E112*Analisis_Inputs_Grales!$D$21*12</f>
        <v>51251.64</v>
      </c>
      <c r="F113" s="99" t="n">
        <f aca="false">F112*Analisis_Inputs_Grales!$D$21*12</f>
        <v>51251.64</v>
      </c>
      <c r="G113" s="99" t="n">
        <f aca="false">G112*Analisis_Inputs_Grales!$D$21*12</f>
        <v>51251.64</v>
      </c>
      <c r="H113" s="99" t="n">
        <f aca="false">H112*Analisis_Inputs_Grales!$D$21*12</f>
        <v>51251.64</v>
      </c>
      <c r="I113" s="99" t="n">
        <f aca="false">I112*Analisis_Inputs_Grales!$D$21*12</f>
        <v>51251.64</v>
      </c>
      <c r="J113" s="99" t="n">
        <f aca="false">J112*Analisis_Inputs_Grales!$D$21*12</f>
        <v>51251.64</v>
      </c>
      <c r="K113" s="99" t="n">
        <f aca="false">K112*Analisis_Inputs_Grales!$D$21*12</f>
        <v>51251.64</v>
      </c>
      <c r="L113" s="99" t="n">
        <f aca="false">L112*Analisis_Inputs_Grales!$D$21*12</f>
        <v>51251.64</v>
      </c>
      <c r="M113" s="99" t="n">
        <f aca="false">M112*Analisis_Inputs_Grales!$D$21*12</f>
        <v>51251.64</v>
      </c>
      <c r="N113" s="99" t="n">
        <f aca="false">N112*Analisis_Inputs_Grales!$D$21*12</f>
        <v>51251.64</v>
      </c>
      <c r="O113" s="99" t="n">
        <f aca="false">O112*Analisis_Inputs_Grales!$D$21*12</f>
        <v>51251.64</v>
      </c>
      <c r="P113" s="99" t="n">
        <f aca="false">P112*Analisis_Inputs_Grales!$D$21*12</f>
        <v>51251.64</v>
      </c>
      <c r="Q113" s="99" t="n">
        <f aca="false">Q112*Analisis_Inputs_Grales!$D$21*12</f>
        <v>51251.64</v>
      </c>
      <c r="R113" s="99" t="n">
        <f aca="false">R112*Analisis_Inputs_Grales!$D$21*12</f>
        <v>51251.64</v>
      </c>
      <c r="S113" s="99" t="n">
        <f aca="false">S112*Analisis_Inputs_Grales!$D$21*12</f>
        <v>51251.64</v>
      </c>
      <c r="T113" s="99" t="n">
        <f aca="false">T112*Analisis_Inputs_Grales!$D$21*12</f>
        <v>51251.64</v>
      </c>
      <c r="U113" s="99" t="n">
        <f aca="false">U112*Analisis_Inputs_Grales!$D$21*12</f>
        <v>51251.64</v>
      </c>
      <c r="V113" s="99" t="n">
        <f aca="false">V112*Analisis_Inputs_Grales!$D$21*12</f>
        <v>51251.64</v>
      </c>
      <c r="W113" s="99" t="n">
        <f aca="false">W112*Analisis_Inputs_Grales!$D$21*12</f>
        <v>51251.64</v>
      </c>
    </row>
    <row r="114" customFormat="false" ht="14.25" hidden="false" customHeight="false" outlineLevel="0" collapsed="false">
      <c r="B114" s="95" t="s">
        <v>200</v>
      </c>
      <c r="C114" s="96" t="s">
        <v>197</v>
      </c>
      <c r="D114" s="97" t="n">
        <f aca="false">D112+D110+D108</f>
        <v>0.735845357577074</v>
      </c>
      <c r="E114" s="97" t="n">
        <f aca="false">E112+E110+E108</f>
        <v>0.735845357577074</v>
      </c>
      <c r="F114" s="97" t="n">
        <f aca="false">F112+F110+F108</f>
        <v>0.735845357577074</v>
      </c>
      <c r="G114" s="97" t="n">
        <f aca="false">G112+G110+G108</f>
        <v>0.735845357577074</v>
      </c>
      <c r="H114" s="97" t="n">
        <f aca="false">H112+H110+H108</f>
        <v>0.735845357577074</v>
      </c>
      <c r="I114" s="97" t="n">
        <f aca="false">I112+I110+I108</f>
        <v>0.735845357577074</v>
      </c>
      <c r="J114" s="97" t="n">
        <f aca="false">J112+J110+J108</f>
        <v>0.735845357577074</v>
      </c>
      <c r="K114" s="97" t="n">
        <f aca="false">K112+K110+K108</f>
        <v>0.735845357577074</v>
      </c>
      <c r="L114" s="97" t="n">
        <f aca="false">L112+L110+L108</f>
        <v>0.735845357577074</v>
      </c>
      <c r="M114" s="97" t="n">
        <f aca="false">M112+M110+M108</f>
        <v>0.735845357577074</v>
      </c>
      <c r="N114" s="97" t="n">
        <f aca="false">N112+N110+N108</f>
        <v>0.735845357577074</v>
      </c>
      <c r="O114" s="97" t="n">
        <f aca="false">O112+O110+O108</f>
        <v>0.735845357577074</v>
      </c>
      <c r="P114" s="97" t="n">
        <f aca="false">P112+P110+P108</f>
        <v>0.735845357577074</v>
      </c>
      <c r="Q114" s="97" t="n">
        <f aca="false">Q112+Q110+Q108</f>
        <v>0.735845357577074</v>
      </c>
      <c r="R114" s="97" t="n">
        <f aca="false">R112+R110+R108</f>
        <v>0.735845357577074</v>
      </c>
      <c r="S114" s="97" t="n">
        <f aca="false">S112+S110+S108</f>
        <v>0.735845357577074</v>
      </c>
      <c r="T114" s="97" t="n">
        <f aca="false">T112+T110+T108</f>
        <v>0.735845357577074</v>
      </c>
      <c r="U114" s="97" t="n">
        <f aca="false">U112+U110+U108</f>
        <v>0.735845357577074</v>
      </c>
      <c r="V114" s="97" t="n">
        <f aca="false">V112+V110+V108</f>
        <v>0.735845357577074</v>
      </c>
      <c r="W114" s="97" t="n">
        <f aca="false">W112+W110+W108</f>
        <v>0.735845357577074</v>
      </c>
    </row>
    <row r="115" customFormat="false" ht="14.25" hidden="false" customHeight="false" outlineLevel="0" collapsed="false">
      <c r="B115" s="98" t="s">
        <v>200</v>
      </c>
      <c r="C115" s="56" t="s">
        <v>96</v>
      </c>
      <c r="D115" s="99" t="n">
        <f aca="false">D113+D111+D109</f>
        <v>76292.446673591</v>
      </c>
      <c r="E115" s="99" t="n">
        <f aca="false">E113+E111+E109</f>
        <v>76292.446673591</v>
      </c>
      <c r="F115" s="99" t="n">
        <f aca="false">F113+F111+F109</f>
        <v>76292.446673591</v>
      </c>
      <c r="G115" s="99" t="n">
        <f aca="false">G113+G111+G109</f>
        <v>76292.446673591</v>
      </c>
      <c r="H115" s="99" t="n">
        <f aca="false">H113+H111+H109</f>
        <v>76292.446673591</v>
      </c>
      <c r="I115" s="99" t="n">
        <f aca="false">I113+I111+I109</f>
        <v>76292.446673591</v>
      </c>
      <c r="J115" s="99" t="n">
        <f aca="false">J113+J111+J109</f>
        <v>76292.446673591</v>
      </c>
      <c r="K115" s="99" t="n">
        <f aca="false">K113+K111+K109</f>
        <v>76292.446673591</v>
      </c>
      <c r="L115" s="99" t="n">
        <f aca="false">L113+L111+L109</f>
        <v>76292.446673591</v>
      </c>
      <c r="M115" s="99" t="n">
        <f aca="false">M113+M111+M109</f>
        <v>76292.446673591</v>
      </c>
      <c r="N115" s="99" t="n">
        <f aca="false">N113+N111+N109</f>
        <v>76292.446673591</v>
      </c>
      <c r="O115" s="99" t="n">
        <f aca="false">O113+O111+O109</f>
        <v>76292.446673591</v>
      </c>
      <c r="P115" s="99" t="n">
        <f aca="false">P113+P111+P109</f>
        <v>76292.446673591</v>
      </c>
      <c r="Q115" s="99" t="n">
        <f aca="false">Q113+Q111+Q109</f>
        <v>76292.446673591</v>
      </c>
      <c r="R115" s="99" t="n">
        <f aca="false">R113+R111+R109</f>
        <v>76292.446673591</v>
      </c>
      <c r="S115" s="99" t="n">
        <f aca="false">S113+S111+S109</f>
        <v>76292.446673591</v>
      </c>
      <c r="T115" s="99" t="n">
        <f aca="false">T113+T111+T109</f>
        <v>76292.446673591</v>
      </c>
      <c r="U115" s="99" t="n">
        <f aca="false">U113+U111+U109</f>
        <v>76292.446673591</v>
      </c>
      <c r="V115" s="99" t="n">
        <f aca="false">V113+V111+V109</f>
        <v>76292.446673591</v>
      </c>
      <c r="W115" s="99" t="n">
        <f aca="false">W113+W111+W109</f>
        <v>76292.446673591</v>
      </c>
    </row>
    <row r="116" customFormat="false" ht="14.25" hidden="false" customHeight="false" outlineLevel="0" collapsed="false">
      <c r="C116" s="56"/>
    </row>
    <row r="117" customFormat="false" ht="15.75" hidden="false" customHeight="false" outlineLevel="0" collapsed="false">
      <c r="B117" s="94" t="s">
        <v>201</v>
      </c>
      <c r="C117" s="56"/>
    </row>
    <row r="118" customFormat="false" ht="14.25" hidden="false" customHeight="false" outlineLevel="0" collapsed="false">
      <c r="B118" s="95" t="s">
        <v>202</v>
      </c>
      <c r="C118" s="96" t="s">
        <v>197</v>
      </c>
      <c r="D118" s="57" t="n">
        <f aca="false">Analisis_Inputs_Grales!$D$35/(Analisis_Inputs_Grales!$D$33/(Analisis_Inputs_Grales!$D$34/60))</f>
        <v>0.047</v>
      </c>
      <c r="E118" s="57" t="n">
        <f aca="false">Analisis_Inputs_Grales!$D$35/(Analisis_Inputs_Grales!$D$33/(Analisis_Inputs_Grales!$D$34/60))</f>
        <v>0.047</v>
      </c>
      <c r="F118" s="57" t="n">
        <f aca="false">Analisis_Inputs_Grales!$D$35/(Analisis_Inputs_Grales!$D$33/(Analisis_Inputs_Grales!$D$34/60))</f>
        <v>0.047</v>
      </c>
      <c r="G118" s="57" t="n">
        <f aca="false">Analisis_Inputs_Grales!$D$35/(Analisis_Inputs_Grales!$D$33/(Analisis_Inputs_Grales!$D$34/60))</f>
        <v>0.047</v>
      </c>
      <c r="H118" s="57" t="n">
        <f aca="false">Analisis_Inputs_Grales!$D$35/(Analisis_Inputs_Grales!$D$33/(Analisis_Inputs_Grales!$D$34/60))</f>
        <v>0.047</v>
      </c>
      <c r="I118" s="57" t="n">
        <f aca="false">Analisis_Inputs_Grales!$D$35/(Analisis_Inputs_Grales!$D$33/(Analisis_Inputs_Grales!$D$34/60))</f>
        <v>0.047</v>
      </c>
      <c r="J118" s="57" t="n">
        <f aca="false">Analisis_Inputs_Grales!$D$35/(Analisis_Inputs_Grales!$D$33/(Analisis_Inputs_Grales!$D$34/60))</f>
        <v>0.047</v>
      </c>
      <c r="K118" s="57" t="n">
        <f aca="false">Analisis_Inputs_Grales!$D$35/(Analisis_Inputs_Grales!$D$33/(Analisis_Inputs_Grales!$D$34/60))</f>
        <v>0.047</v>
      </c>
      <c r="L118" s="57" t="n">
        <f aca="false">Analisis_Inputs_Grales!$D$35/(Analisis_Inputs_Grales!$D$33/(Analisis_Inputs_Grales!$D$34/60))</f>
        <v>0.047</v>
      </c>
      <c r="M118" s="57" t="n">
        <f aca="false">Analisis_Inputs_Grales!$D$35/(Analisis_Inputs_Grales!$D$33/(Analisis_Inputs_Grales!$D$34/60))</f>
        <v>0.047</v>
      </c>
      <c r="N118" s="57" t="n">
        <f aca="false">Analisis_Inputs_Grales!$D$35/(Analisis_Inputs_Grales!$D$33/(Analisis_Inputs_Grales!$D$34/60))</f>
        <v>0.047</v>
      </c>
      <c r="O118" s="57" t="n">
        <f aca="false">Analisis_Inputs_Grales!$D$35/(Analisis_Inputs_Grales!$D$33/(Analisis_Inputs_Grales!$D$34/60))</f>
        <v>0.047</v>
      </c>
      <c r="P118" s="57" t="n">
        <f aca="false">Analisis_Inputs_Grales!$D$35/(Analisis_Inputs_Grales!$D$33/(Analisis_Inputs_Grales!$D$34/60))</f>
        <v>0.047</v>
      </c>
      <c r="Q118" s="57" t="n">
        <f aca="false">Analisis_Inputs_Grales!$D$35/(Analisis_Inputs_Grales!$D$33/(Analisis_Inputs_Grales!$D$34/60))</f>
        <v>0.047</v>
      </c>
      <c r="R118" s="57" t="n">
        <f aca="false">Analisis_Inputs_Grales!$D$35/(Analisis_Inputs_Grales!$D$33/(Analisis_Inputs_Grales!$D$34/60))</f>
        <v>0.047</v>
      </c>
      <c r="S118" s="57" t="n">
        <f aca="false">Analisis_Inputs_Grales!$D$35/(Analisis_Inputs_Grales!$D$33/(Analisis_Inputs_Grales!$D$34/60))</f>
        <v>0.047</v>
      </c>
      <c r="T118" s="57" t="n">
        <f aca="false">Analisis_Inputs_Grales!$D$35/(Analisis_Inputs_Grales!$D$33/(Analisis_Inputs_Grales!$D$34/60))</f>
        <v>0.047</v>
      </c>
      <c r="U118" s="57" t="n">
        <f aca="false">Analisis_Inputs_Grales!$D$35/(Analisis_Inputs_Grales!$D$33/(Analisis_Inputs_Grales!$D$34/60))</f>
        <v>0.047</v>
      </c>
      <c r="V118" s="57" t="n">
        <f aca="false">Analisis_Inputs_Grales!$D$35/(Analisis_Inputs_Grales!$D$33/(Analisis_Inputs_Grales!$D$34/60))</f>
        <v>0.047</v>
      </c>
      <c r="W118" s="57" t="n">
        <f aca="false">Analisis_Inputs_Grales!$D$35/(Analisis_Inputs_Grales!$D$33/(Analisis_Inputs_Grales!$D$34/60))</f>
        <v>0.047</v>
      </c>
    </row>
    <row r="119" customFormat="false" ht="14.25" hidden="false" customHeight="false" outlineLevel="0" collapsed="false">
      <c r="B119" s="98" t="s">
        <v>202</v>
      </c>
      <c r="C119" s="56" t="s">
        <v>96</v>
      </c>
      <c r="D119" s="99" t="n">
        <f aca="false">D118*12*Analisis_Inputs_Grales!$D$21</f>
        <v>4872.96</v>
      </c>
      <c r="E119" s="99" t="n">
        <f aca="false">E118*12*Analisis_Inputs_Grales!$D$21</f>
        <v>4872.96</v>
      </c>
      <c r="F119" s="99" t="n">
        <f aca="false">F118*12*Analisis_Inputs_Grales!$D$21</f>
        <v>4872.96</v>
      </c>
      <c r="G119" s="99" t="n">
        <f aca="false">G118*12*Analisis_Inputs_Grales!$D$21</f>
        <v>4872.96</v>
      </c>
      <c r="H119" s="99" t="n">
        <f aca="false">H118*12*Analisis_Inputs_Grales!$D$21</f>
        <v>4872.96</v>
      </c>
      <c r="I119" s="99" t="n">
        <f aca="false">I118*12*Analisis_Inputs_Grales!$D$21</f>
        <v>4872.96</v>
      </c>
      <c r="J119" s="99" t="n">
        <f aca="false">J118*12*Analisis_Inputs_Grales!$D$21</f>
        <v>4872.96</v>
      </c>
      <c r="K119" s="99" t="n">
        <f aca="false">K118*12*Analisis_Inputs_Grales!$D$21</f>
        <v>4872.96</v>
      </c>
      <c r="L119" s="99" t="n">
        <f aca="false">L118*12*Analisis_Inputs_Grales!$D$21</f>
        <v>4872.96</v>
      </c>
      <c r="M119" s="99" t="n">
        <f aca="false">M118*12*Analisis_Inputs_Grales!$D$21</f>
        <v>4872.96</v>
      </c>
      <c r="N119" s="99" t="n">
        <f aca="false">N118*12*Analisis_Inputs_Grales!$D$21</f>
        <v>4872.96</v>
      </c>
      <c r="O119" s="99" t="n">
        <f aca="false">O118*12*Analisis_Inputs_Grales!$D$21</f>
        <v>4872.96</v>
      </c>
      <c r="P119" s="99" t="n">
        <f aca="false">P118*12*Analisis_Inputs_Grales!$D$21</f>
        <v>4872.96</v>
      </c>
      <c r="Q119" s="99" t="n">
        <f aca="false">Q118*12*Analisis_Inputs_Grales!$D$21</f>
        <v>4872.96</v>
      </c>
      <c r="R119" s="99" t="n">
        <f aca="false">R118*12*Analisis_Inputs_Grales!$D$21</f>
        <v>4872.96</v>
      </c>
      <c r="S119" s="99" t="n">
        <f aca="false">S118*12*Analisis_Inputs_Grales!$D$21</f>
        <v>4872.96</v>
      </c>
      <c r="T119" s="99" t="n">
        <f aca="false">T118*12*Analisis_Inputs_Grales!$D$21</f>
        <v>4872.96</v>
      </c>
      <c r="U119" s="99" t="n">
        <f aca="false">U118*12*Analisis_Inputs_Grales!$D$21</f>
        <v>4872.96</v>
      </c>
      <c r="V119" s="99" t="n">
        <f aca="false">V118*12*Analisis_Inputs_Grales!$D$21</f>
        <v>4872.96</v>
      </c>
      <c r="W119" s="99" t="n">
        <f aca="false">W118*12*Analisis_Inputs_Grales!$D$21</f>
        <v>4872.96</v>
      </c>
    </row>
    <row r="120" customFormat="false" ht="14.25" hidden="false" customHeight="false" outlineLevel="0" collapsed="false">
      <c r="B120" s="95" t="s">
        <v>203</v>
      </c>
      <c r="C120" s="96" t="s">
        <v>197</v>
      </c>
      <c r="D120" s="97" t="n">
        <f aca="false">Analisis_Inputs_Grales!$D$36*'Analisis 20Años'!D118</f>
        <v>0.00705</v>
      </c>
      <c r="E120" s="97" t="n">
        <f aca="false">Analisis_Inputs_Grales!$D$36*'Analisis 20Años'!E118</f>
        <v>0.00705</v>
      </c>
      <c r="F120" s="97" t="n">
        <f aca="false">Analisis_Inputs_Grales!$D$36*'Analisis 20Años'!F118</f>
        <v>0.00705</v>
      </c>
      <c r="G120" s="97" t="n">
        <f aca="false">Analisis_Inputs_Grales!$D$36*'Analisis 20Años'!G118</f>
        <v>0.00705</v>
      </c>
      <c r="H120" s="97" t="n">
        <f aca="false">Analisis_Inputs_Grales!$D$36*'Analisis 20Años'!H118</f>
        <v>0.00705</v>
      </c>
      <c r="I120" s="97" t="n">
        <f aca="false">Analisis_Inputs_Grales!$D$36*'Analisis 20Años'!I118</f>
        <v>0.00705</v>
      </c>
      <c r="J120" s="97" t="n">
        <f aca="false">Analisis_Inputs_Grales!$D$36*'Analisis 20Años'!J118</f>
        <v>0.00705</v>
      </c>
      <c r="K120" s="97" t="n">
        <f aca="false">Analisis_Inputs_Grales!$D$36*'Analisis 20Años'!K118</f>
        <v>0.00705</v>
      </c>
      <c r="L120" s="97" t="n">
        <f aca="false">Analisis_Inputs_Grales!$D$36*'Analisis 20Años'!L118</f>
        <v>0.00705</v>
      </c>
      <c r="M120" s="97" t="n">
        <f aca="false">Analisis_Inputs_Grales!$D$36*'Analisis 20Años'!M118</f>
        <v>0.00705</v>
      </c>
      <c r="N120" s="97" t="n">
        <f aca="false">Analisis_Inputs_Grales!$D$36*'Analisis 20Años'!N118</f>
        <v>0.00705</v>
      </c>
      <c r="O120" s="97" t="n">
        <f aca="false">Analisis_Inputs_Grales!$D$36*'Analisis 20Años'!O118</f>
        <v>0.00705</v>
      </c>
      <c r="P120" s="97" t="n">
        <f aca="false">Analisis_Inputs_Grales!$D$36*'Analisis 20Años'!P118</f>
        <v>0.00705</v>
      </c>
      <c r="Q120" s="97" t="n">
        <f aca="false">Analisis_Inputs_Grales!$D$36*'Analisis 20Años'!Q118</f>
        <v>0.00705</v>
      </c>
      <c r="R120" s="97" t="n">
        <f aca="false">Analisis_Inputs_Grales!$D$36*'Analisis 20Años'!R118</f>
        <v>0.00705</v>
      </c>
      <c r="S120" s="97" t="n">
        <f aca="false">Analisis_Inputs_Grales!$D$36*'Analisis 20Años'!S118</f>
        <v>0.00705</v>
      </c>
      <c r="T120" s="97" t="n">
        <f aca="false">Analisis_Inputs_Grales!$D$36*'Analisis 20Años'!T118</f>
        <v>0.00705</v>
      </c>
      <c r="U120" s="97" t="n">
        <f aca="false">Analisis_Inputs_Grales!$D$36*'Analisis 20Años'!U118</f>
        <v>0.00705</v>
      </c>
      <c r="V120" s="97" t="n">
        <f aca="false">Analisis_Inputs_Grales!$D$36*'Analisis 20Años'!V118</f>
        <v>0.00705</v>
      </c>
      <c r="W120" s="97" t="n">
        <f aca="false">Analisis_Inputs_Grales!$D$36*'Analisis 20Años'!W118</f>
        <v>0.00705</v>
      </c>
    </row>
    <row r="121" customFormat="false" ht="14.25" hidden="false" customHeight="false" outlineLevel="0" collapsed="false">
      <c r="B121" s="98" t="s">
        <v>203</v>
      </c>
      <c r="C121" s="56" t="s">
        <v>96</v>
      </c>
      <c r="D121" s="99" t="n">
        <f aca="false">D120*12*Analisis_Inputs_Grales!$D$21</f>
        <v>730.944</v>
      </c>
      <c r="E121" s="99" t="n">
        <f aca="false">E120*12*Analisis_Inputs_Grales!$D$21</f>
        <v>730.944</v>
      </c>
      <c r="F121" s="99" t="n">
        <f aca="false">F120*12*Analisis_Inputs_Grales!$D$21</f>
        <v>730.944</v>
      </c>
      <c r="G121" s="99" t="n">
        <f aca="false">G120*12*Analisis_Inputs_Grales!$D$21</f>
        <v>730.944</v>
      </c>
      <c r="H121" s="99" t="n">
        <f aca="false">H120*12*Analisis_Inputs_Grales!$D$21</f>
        <v>730.944</v>
      </c>
      <c r="I121" s="99" t="n">
        <f aca="false">I120*12*Analisis_Inputs_Grales!$D$21</f>
        <v>730.944</v>
      </c>
      <c r="J121" s="99" t="n">
        <f aca="false">J120*12*Analisis_Inputs_Grales!$D$21</f>
        <v>730.944</v>
      </c>
      <c r="K121" s="99" t="n">
        <f aca="false">K120*12*Analisis_Inputs_Grales!$D$21</f>
        <v>730.944</v>
      </c>
      <c r="L121" s="99" t="n">
        <f aca="false">L120*12*Analisis_Inputs_Grales!$D$21</f>
        <v>730.944</v>
      </c>
      <c r="M121" s="99" t="n">
        <f aca="false">M120*12*Analisis_Inputs_Grales!$D$21</f>
        <v>730.944</v>
      </c>
      <c r="N121" s="99" t="n">
        <f aca="false">N120*12*Analisis_Inputs_Grales!$D$21</f>
        <v>730.944</v>
      </c>
      <c r="O121" s="99" t="n">
        <f aca="false">O120*12*Analisis_Inputs_Grales!$D$21</f>
        <v>730.944</v>
      </c>
      <c r="P121" s="99" t="n">
        <f aca="false">P120*12*Analisis_Inputs_Grales!$D$21</f>
        <v>730.944</v>
      </c>
      <c r="Q121" s="99" t="n">
        <f aca="false">Q120*12*Analisis_Inputs_Grales!$D$21</f>
        <v>730.944</v>
      </c>
      <c r="R121" s="99" t="n">
        <f aca="false">R120*12*Analisis_Inputs_Grales!$D$21</f>
        <v>730.944</v>
      </c>
      <c r="S121" s="99" t="n">
        <f aca="false">S120*12*Analisis_Inputs_Grales!$D$21</f>
        <v>730.944</v>
      </c>
      <c r="T121" s="99" t="n">
        <f aca="false">T120*12*Analisis_Inputs_Grales!$D$21</f>
        <v>730.944</v>
      </c>
      <c r="U121" s="99" t="n">
        <f aca="false">U120*12*Analisis_Inputs_Grales!$D$21</f>
        <v>730.944</v>
      </c>
      <c r="V121" s="99" t="n">
        <f aca="false">V120*12*Analisis_Inputs_Grales!$D$21</f>
        <v>730.944</v>
      </c>
      <c r="W121" s="99" t="n">
        <f aca="false">W120*12*Analisis_Inputs_Grales!$D$21</f>
        <v>730.944</v>
      </c>
    </row>
    <row r="122" customFormat="false" ht="14.25" hidden="false" customHeight="false" outlineLevel="0" collapsed="false">
      <c r="B122" s="95" t="s">
        <v>204</v>
      </c>
      <c r="C122" s="96" t="s">
        <v>197</v>
      </c>
      <c r="D122" s="97" t="n">
        <f aca="false">Analisis_Inputs_Grales!$D$37*('Analisis 20Años'!D120+'Analisis 20Años'!D118)</f>
        <v>0.02162</v>
      </c>
      <c r="E122" s="97" t="n">
        <f aca="false">Analisis_Inputs_Grales!$D$37*('Analisis 20Años'!E120+'Analisis 20Años'!E118)</f>
        <v>0.02162</v>
      </c>
      <c r="F122" s="97" t="n">
        <f aca="false">Analisis_Inputs_Grales!$D$37*('Analisis 20Años'!F120+'Analisis 20Años'!F118)</f>
        <v>0.02162</v>
      </c>
      <c r="G122" s="97" t="n">
        <f aca="false">Analisis_Inputs_Grales!$D$37*('Analisis 20Años'!G120+'Analisis 20Años'!G118)</f>
        <v>0.02162</v>
      </c>
      <c r="H122" s="97" t="n">
        <f aca="false">Analisis_Inputs_Grales!$D$37*('Analisis 20Años'!H120+'Analisis 20Años'!H118)</f>
        <v>0.02162</v>
      </c>
      <c r="I122" s="97" t="n">
        <f aca="false">Analisis_Inputs_Grales!$D$37*('Analisis 20Años'!I120+'Analisis 20Años'!I118)</f>
        <v>0.02162</v>
      </c>
      <c r="J122" s="97" t="n">
        <f aca="false">Analisis_Inputs_Grales!$D$37*('Analisis 20Años'!J120+'Analisis 20Años'!J118)</f>
        <v>0.02162</v>
      </c>
      <c r="K122" s="97" t="n">
        <f aca="false">Analisis_Inputs_Grales!$D$37*('Analisis 20Años'!K120+'Analisis 20Años'!K118)</f>
        <v>0.02162</v>
      </c>
      <c r="L122" s="97" t="n">
        <f aca="false">Analisis_Inputs_Grales!$D$37*('Analisis 20Años'!L120+'Analisis 20Años'!L118)</f>
        <v>0.02162</v>
      </c>
      <c r="M122" s="97" t="n">
        <f aca="false">Analisis_Inputs_Grales!$D$37*('Analisis 20Años'!M120+'Analisis 20Años'!M118)</f>
        <v>0.02162</v>
      </c>
      <c r="N122" s="97" t="n">
        <f aca="false">Analisis_Inputs_Grales!$D$37*('Analisis 20Años'!N120+'Analisis 20Años'!N118)</f>
        <v>0.02162</v>
      </c>
      <c r="O122" s="97" t="n">
        <f aca="false">Analisis_Inputs_Grales!$D$37*('Analisis 20Años'!O120+'Analisis 20Años'!O118)</f>
        <v>0.02162</v>
      </c>
      <c r="P122" s="97" t="n">
        <f aca="false">Analisis_Inputs_Grales!$D$37*('Analisis 20Años'!P120+'Analisis 20Años'!P118)</f>
        <v>0.02162</v>
      </c>
      <c r="Q122" s="97" t="n">
        <f aca="false">Analisis_Inputs_Grales!$D$37*('Analisis 20Años'!Q120+'Analisis 20Años'!Q118)</f>
        <v>0.02162</v>
      </c>
      <c r="R122" s="97" t="n">
        <f aca="false">Analisis_Inputs_Grales!$D$37*('Analisis 20Años'!R120+'Analisis 20Años'!R118)</f>
        <v>0.02162</v>
      </c>
      <c r="S122" s="97" t="n">
        <f aca="false">Analisis_Inputs_Grales!$D$37*('Analisis 20Años'!S120+'Analisis 20Años'!S118)</f>
        <v>0.02162</v>
      </c>
      <c r="T122" s="97" t="n">
        <f aca="false">Analisis_Inputs_Grales!$D$37*('Analisis 20Años'!T120+'Analisis 20Años'!T118)</f>
        <v>0.02162</v>
      </c>
      <c r="U122" s="97" t="n">
        <f aca="false">Analisis_Inputs_Grales!$D$37*('Analisis 20Años'!U120+'Analisis 20Años'!U118)</f>
        <v>0.02162</v>
      </c>
      <c r="V122" s="97" t="n">
        <f aca="false">Analisis_Inputs_Grales!$D$37*('Analisis 20Años'!V120+'Analisis 20Años'!V118)</f>
        <v>0.02162</v>
      </c>
      <c r="W122" s="97" t="n">
        <f aca="false">Analisis_Inputs_Grales!$D$37*('Analisis 20Años'!W120+'Analisis 20Años'!W118)</f>
        <v>0.02162</v>
      </c>
    </row>
    <row r="123" customFormat="false" ht="14.25" hidden="false" customHeight="false" outlineLevel="0" collapsed="false">
      <c r="B123" s="98" t="s">
        <v>204</v>
      </c>
      <c r="C123" s="56" t="s">
        <v>96</v>
      </c>
      <c r="D123" s="99" t="n">
        <f aca="false">D122*12*Analisis_Inputs_Grales!$D$21</f>
        <v>2241.5616</v>
      </c>
      <c r="E123" s="99" t="n">
        <f aca="false">E122*12*Analisis_Inputs_Grales!$D$21</f>
        <v>2241.5616</v>
      </c>
      <c r="F123" s="99" t="n">
        <f aca="false">F122*12*Analisis_Inputs_Grales!$D$21</f>
        <v>2241.5616</v>
      </c>
      <c r="G123" s="99" t="n">
        <f aca="false">G122*12*Analisis_Inputs_Grales!$D$21</f>
        <v>2241.5616</v>
      </c>
      <c r="H123" s="99" t="n">
        <f aca="false">H122*12*Analisis_Inputs_Grales!$D$21</f>
        <v>2241.5616</v>
      </c>
      <c r="I123" s="99" t="n">
        <f aca="false">I122*12*Analisis_Inputs_Grales!$D$21</f>
        <v>2241.5616</v>
      </c>
      <c r="J123" s="99" t="n">
        <f aca="false">J122*12*Analisis_Inputs_Grales!$D$21</f>
        <v>2241.5616</v>
      </c>
      <c r="K123" s="99" t="n">
        <f aca="false">K122*12*Analisis_Inputs_Grales!$D$21</f>
        <v>2241.5616</v>
      </c>
      <c r="L123" s="99" t="n">
        <f aca="false">L122*12*Analisis_Inputs_Grales!$D$21</f>
        <v>2241.5616</v>
      </c>
      <c r="M123" s="99" t="n">
        <f aca="false">M122*12*Analisis_Inputs_Grales!$D$21</f>
        <v>2241.5616</v>
      </c>
      <c r="N123" s="99" t="n">
        <f aca="false">N122*12*Analisis_Inputs_Grales!$D$21</f>
        <v>2241.5616</v>
      </c>
      <c r="O123" s="99" t="n">
        <f aca="false">O122*12*Analisis_Inputs_Grales!$D$21</f>
        <v>2241.5616</v>
      </c>
      <c r="P123" s="99" t="n">
        <f aca="false">P122*12*Analisis_Inputs_Grales!$D$21</f>
        <v>2241.5616</v>
      </c>
      <c r="Q123" s="99" t="n">
        <f aca="false">Q122*12*Analisis_Inputs_Grales!$D$21</f>
        <v>2241.5616</v>
      </c>
      <c r="R123" s="99" t="n">
        <f aca="false">R122*12*Analisis_Inputs_Grales!$D$21</f>
        <v>2241.5616</v>
      </c>
      <c r="S123" s="99" t="n">
        <f aca="false">S122*12*Analisis_Inputs_Grales!$D$21</f>
        <v>2241.5616</v>
      </c>
      <c r="T123" s="99" t="n">
        <f aca="false">T122*12*Analisis_Inputs_Grales!$D$21</f>
        <v>2241.5616</v>
      </c>
      <c r="U123" s="99" t="n">
        <f aca="false">U122*12*Analisis_Inputs_Grales!$D$21</f>
        <v>2241.5616</v>
      </c>
      <c r="V123" s="99" t="n">
        <f aca="false">V122*12*Analisis_Inputs_Grales!$D$21</f>
        <v>2241.5616</v>
      </c>
      <c r="W123" s="99" t="n">
        <f aca="false">W122*12*Analisis_Inputs_Grales!$D$21</f>
        <v>2241.5616</v>
      </c>
    </row>
    <row r="124" customFormat="false" ht="14.25" hidden="false" customHeight="false" outlineLevel="0" collapsed="false">
      <c r="B124" s="95" t="s">
        <v>205</v>
      </c>
      <c r="C124" s="96" t="s">
        <v>197</v>
      </c>
      <c r="D124" s="97" t="n">
        <f aca="false">D122+D120+D118</f>
        <v>0.07567</v>
      </c>
      <c r="E124" s="97" t="n">
        <f aca="false">E122+E120+E118</f>
        <v>0.07567</v>
      </c>
      <c r="F124" s="97" t="n">
        <f aca="false">F122+F120+F118</f>
        <v>0.07567</v>
      </c>
      <c r="G124" s="97" t="n">
        <f aca="false">G122+G120+G118</f>
        <v>0.07567</v>
      </c>
      <c r="H124" s="97" t="n">
        <f aca="false">H122+H120+H118</f>
        <v>0.07567</v>
      </c>
      <c r="I124" s="97" t="n">
        <f aca="false">I122+I120+I118</f>
        <v>0.07567</v>
      </c>
      <c r="J124" s="97" t="n">
        <f aca="false">J122+J120+J118</f>
        <v>0.07567</v>
      </c>
      <c r="K124" s="97" t="n">
        <f aca="false">K122+K120+K118</f>
        <v>0.07567</v>
      </c>
      <c r="L124" s="97" t="n">
        <f aca="false">L122+L120+L118</f>
        <v>0.07567</v>
      </c>
      <c r="M124" s="97" t="n">
        <f aca="false">M122+M120+M118</f>
        <v>0.07567</v>
      </c>
      <c r="N124" s="97" t="n">
        <f aca="false">N122+N120+N118</f>
        <v>0.07567</v>
      </c>
      <c r="O124" s="97" t="n">
        <f aca="false">O122+O120+O118</f>
        <v>0.07567</v>
      </c>
      <c r="P124" s="97" t="n">
        <f aca="false">P122+P120+P118</f>
        <v>0.07567</v>
      </c>
      <c r="Q124" s="97" t="n">
        <f aca="false">Q122+Q120+Q118</f>
        <v>0.07567</v>
      </c>
      <c r="R124" s="97" t="n">
        <f aca="false">R122+R120+R118</f>
        <v>0.07567</v>
      </c>
      <c r="S124" s="97" t="n">
        <f aca="false">S122+S120+S118</f>
        <v>0.07567</v>
      </c>
      <c r="T124" s="97" t="n">
        <f aca="false">T122+T120+T118</f>
        <v>0.07567</v>
      </c>
      <c r="U124" s="97" t="n">
        <f aca="false">U122+U120+U118</f>
        <v>0.07567</v>
      </c>
      <c r="V124" s="97" t="n">
        <f aca="false">V122+V120+V118</f>
        <v>0.07567</v>
      </c>
      <c r="W124" s="97" t="n">
        <f aca="false">W122+W120+W118</f>
        <v>0.07567</v>
      </c>
    </row>
    <row r="125" customFormat="false" ht="14.25" hidden="false" customHeight="false" outlineLevel="0" collapsed="false">
      <c r="B125" s="101" t="s">
        <v>205</v>
      </c>
      <c r="C125" s="56" t="s">
        <v>96</v>
      </c>
      <c r="D125" s="99" t="n">
        <f aca="false">D123+D121+D119</f>
        <v>7845.4656</v>
      </c>
      <c r="E125" s="99" t="n">
        <f aca="false">E123+E121+E119</f>
        <v>7845.4656</v>
      </c>
      <c r="F125" s="99" t="n">
        <f aca="false">F123+F121+F119</f>
        <v>7845.4656</v>
      </c>
      <c r="G125" s="99" t="n">
        <f aca="false">G123+G121+G119</f>
        <v>7845.4656</v>
      </c>
      <c r="H125" s="99" t="n">
        <f aca="false">H123+H121+H119</f>
        <v>7845.4656</v>
      </c>
      <c r="I125" s="99" t="n">
        <f aca="false">I123+I121+I119</f>
        <v>7845.4656</v>
      </c>
      <c r="J125" s="99" t="n">
        <f aca="false">J123+J121+J119</f>
        <v>7845.4656</v>
      </c>
      <c r="K125" s="99" t="n">
        <f aca="false">K123+K121+K119</f>
        <v>7845.4656</v>
      </c>
      <c r="L125" s="99" t="n">
        <f aca="false">L123+L121+L119</f>
        <v>7845.4656</v>
      </c>
      <c r="M125" s="99" t="n">
        <f aca="false">M123+M121+M119</f>
        <v>7845.4656</v>
      </c>
      <c r="N125" s="99" t="n">
        <f aca="false">N123+N121+N119</f>
        <v>7845.4656</v>
      </c>
      <c r="O125" s="99" t="n">
        <f aca="false">O123+O121+O119</f>
        <v>7845.4656</v>
      </c>
      <c r="P125" s="99" t="n">
        <f aca="false">P123+P121+P119</f>
        <v>7845.4656</v>
      </c>
      <c r="Q125" s="99" t="n">
        <f aca="false">Q123+Q121+Q119</f>
        <v>7845.4656</v>
      </c>
      <c r="R125" s="99" t="n">
        <f aca="false">R123+R121+R119</f>
        <v>7845.4656</v>
      </c>
      <c r="S125" s="99" t="n">
        <f aca="false">S123+S121+S119</f>
        <v>7845.4656</v>
      </c>
      <c r="T125" s="99" t="n">
        <f aca="false">T123+T121+T119</f>
        <v>7845.4656</v>
      </c>
      <c r="U125" s="99" t="n">
        <f aca="false">U123+U121+U119</f>
        <v>7845.4656</v>
      </c>
      <c r="V125" s="99" t="n">
        <f aca="false">V123+V121+V119</f>
        <v>7845.4656</v>
      </c>
      <c r="W125" s="99" t="n">
        <f aca="false">W123+W121+W119</f>
        <v>7845.4656</v>
      </c>
    </row>
    <row r="126" customFormat="false" ht="14.25" hidden="false" customHeight="false" outlineLevel="0" collapsed="false">
      <c r="B126" s="103"/>
    </row>
    <row r="127" customFormat="false" ht="14.25" hidden="false" customHeight="false" outlineLevel="0" collapsed="false">
      <c r="B127" s="104" t="s">
        <v>206</v>
      </c>
      <c r="C127" s="105" t="s">
        <v>197</v>
      </c>
      <c r="D127" s="97" t="n">
        <f aca="false">+D114+D124</f>
        <v>0.811515357577074</v>
      </c>
      <c r="E127" s="97" t="n">
        <f aca="false">+E114+E124</f>
        <v>0.811515357577074</v>
      </c>
      <c r="F127" s="97" t="n">
        <f aca="false">+F114+F124</f>
        <v>0.811515357577074</v>
      </c>
      <c r="G127" s="97" t="n">
        <f aca="false">+G114+G124</f>
        <v>0.811515357577074</v>
      </c>
      <c r="H127" s="97" t="n">
        <f aca="false">+H114+H124</f>
        <v>0.811515357577074</v>
      </c>
      <c r="I127" s="97" t="n">
        <f aca="false">+I114+I124</f>
        <v>0.811515357577074</v>
      </c>
      <c r="J127" s="97" t="n">
        <f aca="false">+J114+J124</f>
        <v>0.811515357577074</v>
      </c>
      <c r="K127" s="97" t="n">
        <f aca="false">+K114+K124</f>
        <v>0.811515357577074</v>
      </c>
      <c r="L127" s="97" t="n">
        <f aca="false">+L114+L124</f>
        <v>0.811515357577074</v>
      </c>
      <c r="M127" s="97" t="n">
        <f aca="false">+M114+M124</f>
        <v>0.811515357577074</v>
      </c>
      <c r="N127" s="97" t="n">
        <f aca="false">+N114+N124</f>
        <v>0.811515357577074</v>
      </c>
      <c r="O127" s="97" t="n">
        <f aca="false">+O114+O124</f>
        <v>0.811515357577074</v>
      </c>
      <c r="P127" s="97" t="n">
        <f aca="false">+P114+P124</f>
        <v>0.811515357577074</v>
      </c>
      <c r="Q127" s="97" t="n">
        <f aca="false">+Q114+Q124</f>
        <v>0.811515357577074</v>
      </c>
      <c r="R127" s="97" t="n">
        <f aca="false">+R114+R124</f>
        <v>0.811515357577074</v>
      </c>
      <c r="S127" s="97" t="n">
        <f aca="false">+S114+S124</f>
        <v>0.811515357577074</v>
      </c>
      <c r="T127" s="97" t="n">
        <f aca="false">+T114+T124</f>
        <v>0.811515357577074</v>
      </c>
      <c r="U127" s="97" t="n">
        <f aca="false">+U114+U124</f>
        <v>0.811515357577074</v>
      </c>
      <c r="V127" s="97" t="n">
        <f aca="false">+V114+V124</f>
        <v>0.811515357577074</v>
      </c>
      <c r="W127" s="97" t="n">
        <f aca="false">+W114+W124</f>
        <v>0.811515357577074</v>
      </c>
    </row>
    <row r="128" customFormat="false" ht="14.25" hidden="false" customHeight="false" outlineLevel="0" collapsed="false">
      <c r="B128" s="106" t="s">
        <v>206</v>
      </c>
      <c r="C128" s="107" t="s">
        <v>96</v>
      </c>
      <c r="D128" s="99" t="n">
        <f aca="false">D127*12*Analisis_Inputs_Grales!$D$21</f>
        <v>84137.912273591</v>
      </c>
      <c r="E128" s="99" t="n">
        <f aca="false">E127*12*Analisis_Inputs_Grales!$D$21</f>
        <v>84137.912273591</v>
      </c>
      <c r="F128" s="99" t="n">
        <f aca="false">F127*12*Analisis_Inputs_Grales!$D$21</f>
        <v>84137.912273591</v>
      </c>
      <c r="G128" s="99" t="n">
        <f aca="false">G127*12*Analisis_Inputs_Grales!$D$21</f>
        <v>84137.912273591</v>
      </c>
      <c r="H128" s="99" t="n">
        <f aca="false">H127*12*Analisis_Inputs_Grales!$D$21</f>
        <v>84137.912273591</v>
      </c>
      <c r="I128" s="99" t="n">
        <f aca="false">I127*12*Analisis_Inputs_Grales!$D$21</f>
        <v>84137.912273591</v>
      </c>
      <c r="J128" s="99" t="n">
        <f aca="false">J127*12*Analisis_Inputs_Grales!$D$21</f>
        <v>84137.912273591</v>
      </c>
      <c r="K128" s="99" t="n">
        <f aca="false">K127*12*Analisis_Inputs_Grales!$D$21</f>
        <v>84137.912273591</v>
      </c>
      <c r="L128" s="99" t="n">
        <f aca="false">L127*12*Analisis_Inputs_Grales!$D$21</f>
        <v>84137.912273591</v>
      </c>
      <c r="M128" s="99" t="n">
        <f aca="false">M127*12*Analisis_Inputs_Grales!$D$21</f>
        <v>84137.912273591</v>
      </c>
      <c r="N128" s="99" t="n">
        <f aca="false">N127*12*Analisis_Inputs_Grales!$D$21</f>
        <v>84137.912273591</v>
      </c>
      <c r="O128" s="99" t="n">
        <f aca="false">O127*12*Analisis_Inputs_Grales!$D$21</f>
        <v>84137.912273591</v>
      </c>
      <c r="P128" s="99" t="n">
        <f aca="false">P127*12*Analisis_Inputs_Grales!$D$21</f>
        <v>84137.912273591</v>
      </c>
      <c r="Q128" s="99" t="n">
        <f aca="false">Q127*12*Analisis_Inputs_Grales!$D$21</f>
        <v>84137.912273591</v>
      </c>
      <c r="R128" s="99" t="n">
        <f aca="false">R127*12*Analisis_Inputs_Grales!$D$21</f>
        <v>84137.912273591</v>
      </c>
      <c r="S128" s="99" t="n">
        <f aca="false">S127*12*Analisis_Inputs_Grales!$D$21</f>
        <v>84137.912273591</v>
      </c>
      <c r="T128" s="99" t="n">
        <f aca="false">T127*12*Analisis_Inputs_Grales!$D$21</f>
        <v>84137.912273591</v>
      </c>
      <c r="U128" s="99" t="n">
        <f aca="false">U127*12*Analisis_Inputs_Grales!$D$21</f>
        <v>84137.912273591</v>
      </c>
      <c r="V128" s="99" t="n">
        <f aca="false">V127*12*Analisis_Inputs_Grales!$D$21</f>
        <v>84137.912273591</v>
      </c>
      <c r="W128" s="99" t="n">
        <f aca="false">W127*12*Analisis_Inputs_Grales!$D$21</f>
        <v>84137.912273591</v>
      </c>
    </row>
    <row r="129" customFormat="false" ht="14.25" hidden="false" customHeight="false" outlineLevel="0" collapsed="false">
      <c r="B129" s="108"/>
      <c r="C129" s="109"/>
    </row>
    <row r="130" customFormat="false" ht="14.25" hidden="false" customHeight="false" outlineLevel="0" collapsed="false">
      <c r="B130" s="110" t="s">
        <v>207</v>
      </c>
      <c r="C130" s="105" t="s">
        <v>208</v>
      </c>
      <c r="D130" s="97" t="n">
        <f aca="false">D127/Analisis_Inputs_Grales!$D$26</f>
        <v>0.135252559596179</v>
      </c>
      <c r="E130" s="97" t="n">
        <f aca="false">E127/Analisis_Inputs_Grales!$D$26</f>
        <v>0.135252559596179</v>
      </c>
      <c r="F130" s="97" t="n">
        <f aca="false">F127/Analisis_Inputs_Grales!$D$26</f>
        <v>0.135252559596179</v>
      </c>
      <c r="G130" s="97" t="n">
        <f aca="false">G127/Analisis_Inputs_Grales!$D$26</f>
        <v>0.135252559596179</v>
      </c>
      <c r="H130" s="97" t="n">
        <f aca="false">H127/Analisis_Inputs_Grales!$D$26</f>
        <v>0.135252559596179</v>
      </c>
      <c r="I130" s="97" t="n">
        <f aca="false">I127/Analisis_Inputs_Grales!$D$26</f>
        <v>0.135252559596179</v>
      </c>
      <c r="J130" s="97" t="n">
        <f aca="false">J127/Analisis_Inputs_Grales!$D$26</f>
        <v>0.135252559596179</v>
      </c>
      <c r="K130" s="97" t="n">
        <f aca="false">K127/Analisis_Inputs_Grales!$D$26</f>
        <v>0.135252559596179</v>
      </c>
      <c r="L130" s="97" t="n">
        <f aca="false">L127/Analisis_Inputs_Grales!$D$26</f>
        <v>0.135252559596179</v>
      </c>
      <c r="M130" s="97" t="n">
        <f aca="false">M127/Analisis_Inputs_Grales!$D$26</f>
        <v>0.135252559596179</v>
      </c>
      <c r="N130" s="97" t="n">
        <f aca="false">N127/Analisis_Inputs_Grales!$D$26</f>
        <v>0.135252559596179</v>
      </c>
      <c r="O130" s="97" t="n">
        <f aca="false">O127/Analisis_Inputs_Grales!$D$26</f>
        <v>0.135252559596179</v>
      </c>
      <c r="P130" s="97" t="n">
        <f aca="false">P127/Analisis_Inputs_Grales!$D$26</f>
        <v>0.135252559596179</v>
      </c>
      <c r="Q130" s="97" t="n">
        <f aca="false">Q127/Analisis_Inputs_Grales!$D$26</f>
        <v>0.135252559596179</v>
      </c>
      <c r="R130" s="97" t="n">
        <f aca="false">R127/Analisis_Inputs_Grales!$D$26</f>
        <v>0.135252559596179</v>
      </c>
      <c r="S130" s="97" t="n">
        <f aca="false">S127/Analisis_Inputs_Grales!$D$26</f>
        <v>0.135252559596179</v>
      </c>
      <c r="T130" s="97" t="n">
        <f aca="false">T127/Analisis_Inputs_Grales!$D$26</f>
        <v>0.135252559596179</v>
      </c>
      <c r="U130" s="97" t="n">
        <f aca="false">U127/Analisis_Inputs_Grales!$D$26</f>
        <v>0.135252559596179</v>
      </c>
      <c r="V130" s="97" t="n">
        <f aca="false">V127/Analisis_Inputs_Grales!$D$26</f>
        <v>0.135252559596179</v>
      </c>
      <c r="W130" s="97" t="n">
        <f aca="false">W127/Analisis_Inputs_Grales!$D$26</f>
        <v>0.135252559596179</v>
      </c>
    </row>
    <row r="131" customFormat="false" ht="14.25" hidden="false" customHeight="false" outlineLevel="0" collapsed="false">
      <c r="B131" s="103" t="s">
        <v>209</v>
      </c>
      <c r="C131" s="56" t="s">
        <v>210</v>
      </c>
      <c r="D131" s="99" t="n">
        <f aca="false">D130*12*Analisis_Inputs_Grales!$D$21</f>
        <v>14022.9853789318</v>
      </c>
      <c r="E131" s="99" t="n">
        <f aca="false">E130*12*Analisis_Inputs_Grales!$D$21</f>
        <v>14022.9853789318</v>
      </c>
      <c r="F131" s="99" t="n">
        <f aca="false">F130*12*Analisis_Inputs_Grales!$D$21</f>
        <v>14022.9853789318</v>
      </c>
      <c r="G131" s="99" t="n">
        <f aca="false">G130*12*Analisis_Inputs_Grales!$D$21</f>
        <v>14022.9853789318</v>
      </c>
      <c r="H131" s="99" t="n">
        <f aca="false">H130*12*Analisis_Inputs_Grales!$D$21</f>
        <v>14022.9853789318</v>
      </c>
      <c r="I131" s="99" t="n">
        <f aca="false">I130*12*Analisis_Inputs_Grales!$D$21</f>
        <v>14022.9853789318</v>
      </c>
      <c r="J131" s="99" t="n">
        <f aca="false">J130*12*Analisis_Inputs_Grales!$D$21</f>
        <v>14022.9853789318</v>
      </c>
      <c r="K131" s="99" t="n">
        <f aca="false">K130*12*Analisis_Inputs_Grales!$D$21</f>
        <v>14022.9853789318</v>
      </c>
      <c r="L131" s="99" t="n">
        <f aca="false">L130*12*Analisis_Inputs_Grales!$D$21</f>
        <v>14022.9853789318</v>
      </c>
      <c r="M131" s="99" t="n">
        <f aca="false">M130*12*Analisis_Inputs_Grales!$D$21</f>
        <v>14022.9853789318</v>
      </c>
      <c r="N131" s="99" t="n">
        <f aca="false">N130*12*Analisis_Inputs_Grales!$D$21</f>
        <v>14022.9853789318</v>
      </c>
      <c r="O131" s="99" t="n">
        <f aca="false">O130*12*Analisis_Inputs_Grales!$D$21</f>
        <v>14022.9853789318</v>
      </c>
      <c r="P131" s="99" t="n">
        <f aca="false">P130*12*Analisis_Inputs_Grales!$D$21</f>
        <v>14022.9853789318</v>
      </c>
      <c r="Q131" s="99" t="n">
        <f aca="false">Q130*12*Analisis_Inputs_Grales!$D$21</f>
        <v>14022.9853789318</v>
      </c>
      <c r="R131" s="99" t="n">
        <f aca="false">R130*12*Analisis_Inputs_Grales!$D$21</f>
        <v>14022.9853789318</v>
      </c>
      <c r="S131" s="99" t="n">
        <f aca="false">S130*12*Analisis_Inputs_Grales!$D$21</f>
        <v>14022.9853789318</v>
      </c>
      <c r="T131" s="99" t="n">
        <f aca="false">T130*12*Analisis_Inputs_Grales!$D$21</f>
        <v>14022.9853789318</v>
      </c>
      <c r="U131" s="99" t="n">
        <f aca="false">U130*12*Analisis_Inputs_Grales!$D$21</f>
        <v>14022.9853789318</v>
      </c>
      <c r="V131" s="99" t="n">
        <f aca="false">V130*12*Analisis_Inputs_Grales!$D$21</f>
        <v>14022.9853789318</v>
      </c>
      <c r="W131" s="99" t="n">
        <f aca="false">W130*12*Analisis_Inputs_Grales!$D$21</f>
        <v>14022.9853789318</v>
      </c>
    </row>
    <row r="132" customFormat="false" ht="14.25" hidden="false" customHeight="false" outlineLevel="0" collapsed="false">
      <c r="B132" s="103" t="s">
        <v>211</v>
      </c>
      <c r="C132" s="56" t="s">
        <v>212</v>
      </c>
      <c r="D132" s="97" t="n">
        <f aca="false">Analisis_Inputs_Grales!$D$34*'Analisis 20Años'!D130/60</f>
        <v>0.0706318922335601</v>
      </c>
      <c r="E132" s="97" t="n">
        <f aca="false">Analisis_Inputs_Grales!$D$34*'Analisis 20Años'!E130/60</f>
        <v>0.0706318922335601</v>
      </c>
      <c r="F132" s="97" t="n">
        <f aca="false">Analisis_Inputs_Grales!$D$34*'Analisis 20Años'!F130/60</f>
        <v>0.0706318922335601</v>
      </c>
      <c r="G132" s="97" t="n">
        <f aca="false">Analisis_Inputs_Grales!$D$34*'Analisis 20Años'!G130/60</f>
        <v>0.0706318922335601</v>
      </c>
      <c r="H132" s="97" t="n">
        <f aca="false">Analisis_Inputs_Grales!$D$34*'Analisis 20Años'!H130/60</f>
        <v>0.0706318922335601</v>
      </c>
      <c r="I132" s="97" t="n">
        <f aca="false">Analisis_Inputs_Grales!$D$34*'Analisis 20Años'!I130/60</f>
        <v>0.0706318922335601</v>
      </c>
      <c r="J132" s="97" t="n">
        <f aca="false">Analisis_Inputs_Grales!$D$34*'Analisis 20Años'!J130/60</f>
        <v>0.0706318922335601</v>
      </c>
      <c r="K132" s="97" t="n">
        <f aca="false">Analisis_Inputs_Grales!$D$34*'Analisis 20Años'!K130/60</f>
        <v>0.0706318922335601</v>
      </c>
      <c r="L132" s="97" t="n">
        <f aca="false">Analisis_Inputs_Grales!$D$34*'Analisis 20Años'!L130/60</f>
        <v>0.0706318922335601</v>
      </c>
      <c r="M132" s="97" t="n">
        <f aca="false">Analisis_Inputs_Grales!$D$34*'Analisis 20Años'!M130/60</f>
        <v>0.0706318922335601</v>
      </c>
      <c r="N132" s="97" t="n">
        <f aca="false">Analisis_Inputs_Grales!$D$34*'Analisis 20Años'!N130/60</f>
        <v>0.0706318922335601</v>
      </c>
      <c r="O132" s="97" t="n">
        <f aca="false">Analisis_Inputs_Grales!$D$34*'Analisis 20Años'!O130/60</f>
        <v>0.0706318922335601</v>
      </c>
      <c r="P132" s="97" t="n">
        <f aca="false">Analisis_Inputs_Grales!$D$34*'Analisis 20Años'!P130/60</f>
        <v>0.0706318922335601</v>
      </c>
      <c r="Q132" s="97" t="n">
        <f aca="false">Analisis_Inputs_Grales!$D$34*'Analisis 20Años'!Q130/60</f>
        <v>0.0706318922335601</v>
      </c>
      <c r="R132" s="97" t="n">
        <f aca="false">Analisis_Inputs_Grales!$D$34*'Analisis 20Años'!R130/60</f>
        <v>0.0706318922335601</v>
      </c>
      <c r="S132" s="97" t="n">
        <f aca="false">Analisis_Inputs_Grales!$D$34*'Analisis 20Años'!S130/60</f>
        <v>0.0706318922335601</v>
      </c>
      <c r="T132" s="97" t="n">
        <f aca="false">Analisis_Inputs_Grales!$D$34*'Analisis 20Años'!T130/60</f>
        <v>0.0706318922335601</v>
      </c>
      <c r="U132" s="97" t="n">
        <f aca="false">Analisis_Inputs_Grales!$D$34*'Analisis 20Años'!U130/60</f>
        <v>0.0706318922335601</v>
      </c>
      <c r="V132" s="97" t="n">
        <f aca="false">Analisis_Inputs_Grales!$D$34*'Analisis 20Años'!V130/60</f>
        <v>0.0706318922335601</v>
      </c>
      <c r="W132" s="97" t="n">
        <f aca="false">Analisis_Inputs_Grales!$D$34*'Analisis 20Años'!W130/60</f>
        <v>0.0706318922335601</v>
      </c>
    </row>
    <row r="133" customFormat="false" ht="14.25" hidden="false" customHeight="false" outlineLevel="0" collapsed="false">
      <c r="B133" s="103"/>
      <c r="C133" s="56"/>
      <c r="D133" s="97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</row>
    <row r="134" customFormat="false" ht="14.25" hidden="false" customHeight="false" outlineLevel="0" collapsed="false">
      <c r="B134" s="111" t="s">
        <v>213</v>
      </c>
      <c r="C134" s="112" t="s">
        <v>19</v>
      </c>
      <c r="D134" s="97" t="n">
        <f aca="false">(1+Analisis_Inputs_Grales!$D$118)^'Analisis 20Años'!D$3</f>
        <v>1</v>
      </c>
      <c r="E134" s="97" t="n">
        <f aca="false">(1+Analisis_Inputs_Grales!$D$118)^'Analisis 20Años'!E$3</f>
        <v>1.12</v>
      </c>
      <c r="F134" s="97" t="n">
        <f aca="false">(1+Analisis_Inputs_Grales!$D$118)^'Analisis 20Años'!F$3</f>
        <v>1.2544</v>
      </c>
      <c r="G134" s="97" t="n">
        <f aca="false">(1+Analisis_Inputs_Grales!$D$118)^'Analisis 20Años'!G$3</f>
        <v>1.404928</v>
      </c>
      <c r="H134" s="97" t="n">
        <f aca="false">(1+Analisis_Inputs_Grales!$D$118)^'Analisis 20Años'!H$3</f>
        <v>1.57351936</v>
      </c>
      <c r="I134" s="97" t="n">
        <f aca="false">(1+Analisis_Inputs_Grales!$D$118)^'Analisis 20Años'!I$3</f>
        <v>1.7623416832</v>
      </c>
      <c r="J134" s="97" t="n">
        <f aca="false">(1+Analisis_Inputs_Grales!$D$118)^'Analisis 20Años'!J$3</f>
        <v>1.973822685184</v>
      </c>
      <c r="K134" s="97" t="n">
        <f aca="false">(1+Analisis_Inputs_Grales!$D$118)^'Analisis 20Años'!K$3</f>
        <v>2.21068140740608</v>
      </c>
      <c r="L134" s="97" t="n">
        <f aca="false">(1+Analisis_Inputs_Grales!$D$118)^'Analisis 20Años'!L$3</f>
        <v>2.47596317629481</v>
      </c>
      <c r="M134" s="97" t="n">
        <f aca="false">(1+Analisis_Inputs_Grales!$D$118)^'Analisis 20Años'!M$3</f>
        <v>2.77307875745019</v>
      </c>
      <c r="N134" s="97" t="n">
        <f aca="false">(1+Analisis_Inputs_Grales!$D$118)^'Analisis 20Años'!N$3</f>
        <v>3.10584820834421</v>
      </c>
      <c r="O134" s="97" t="n">
        <f aca="false">(1+Analisis_Inputs_Grales!$D$118)^'Analisis 20Años'!O$3</f>
        <v>3.47854999334552</v>
      </c>
      <c r="P134" s="97" t="n">
        <f aca="false">(1+Analisis_Inputs_Grales!$D$118)^'Analisis 20Años'!P$3</f>
        <v>3.89597599254698</v>
      </c>
      <c r="Q134" s="97" t="n">
        <f aca="false">(1+Analisis_Inputs_Grales!$D$118)^'Analisis 20Años'!Q$3</f>
        <v>4.36349311165262</v>
      </c>
      <c r="R134" s="97" t="n">
        <f aca="false">(1+Analisis_Inputs_Grales!$D$118)^'Analisis 20Años'!R$3</f>
        <v>4.88711228505093</v>
      </c>
      <c r="S134" s="97" t="n">
        <f aca="false">(1+Analisis_Inputs_Grales!$D$118)^'Analisis 20Años'!S$3</f>
        <v>5.47356575925704</v>
      </c>
      <c r="T134" s="97" t="n">
        <f aca="false">(1+Analisis_Inputs_Grales!$D$118)^'Analisis 20Años'!T$3</f>
        <v>6.13039365036789</v>
      </c>
      <c r="U134" s="97" t="n">
        <f aca="false">(1+Analisis_Inputs_Grales!$D$118)^'Analisis 20Años'!U$3</f>
        <v>6.86604088841204</v>
      </c>
      <c r="V134" s="97" t="n">
        <f aca="false">(1+Analisis_Inputs_Grales!$D$118)^'Analisis 20Años'!V$3</f>
        <v>7.68996579502148</v>
      </c>
      <c r="W134" s="97" t="n">
        <f aca="false">(1+Analisis_Inputs_Grales!$D$118)^'Analisis 20Años'!W$3</f>
        <v>8.61276169042406</v>
      </c>
    </row>
    <row r="135" customFormat="false" ht="14.25" hidden="false" customHeight="false" outlineLevel="0" collapsed="false">
      <c r="B135" s="111" t="s">
        <v>214</v>
      </c>
      <c r="C135" s="112" t="s">
        <v>212</v>
      </c>
      <c r="D135" s="97" t="n">
        <f aca="false">D132*D134</f>
        <v>0.0706318922335601</v>
      </c>
      <c r="E135" s="97" t="n">
        <f aca="false">E132*E134</f>
        <v>0.0791077193015874</v>
      </c>
      <c r="F135" s="97" t="n">
        <f aca="false">F132*F134</f>
        <v>0.0886006456177778</v>
      </c>
      <c r="G135" s="97" t="n">
        <f aca="false">G132*G134</f>
        <v>0.0992327230919112</v>
      </c>
      <c r="H135" s="97" t="n">
        <f aca="false">H132*H134</f>
        <v>0.111140649862941</v>
      </c>
      <c r="I135" s="97" t="n">
        <f aca="false">I132*I134</f>
        <v>0.124477527846493</v>
      </c>
      <c r="J135" s="97" t="n">
        <f aca="false">J132*J134</f>
        <v>0.139414831188073</v>
      </c>
      <c r="K135" s="97" t="n">
        <f aca="false">K132*K134</f>
        <v>0.156144610930641</v>
      </c>
      <c r="L135" s="97" t="n">
        <f aca="false">L132*L134</f>
        <v>0.174881964242318</v>
      </c>
      <c r="M135" s="97" t="n">
        <f aca="false">M132*M134</f>
        <v>0.195867799951397</v>
      </c>
      <c r="N135" s="97" t="n">
        <f aca="false">N132*N134</f>
        <v>0.219371935945564</v>
      </c>
      <c r="O135" s="97" t="n">
        <f aca="false">O132*O134</f>
        <v>0.245696568259032</v>
      </c>
      <c r="P135" s="97" t="n">
        <f aca="false">P132*P134</f>
        <v>0.275180156450116</v>
      </c>
      <c r="Q135" s="97" t="n">
        <f aca="false">Q132*Q134</f>
        <v>0.30820177522413</v>
      </c>
      <c r="R135" s="97" t="n">
        <f aca="false">R132*R134</f>
        <v>0.345185988251025</v>
      </c>
      <c r="S135" s="97" t="n">
        <f aca="false">S132*S134</f>
        <v>0.386608306841148</v>
      </c>
      <c r="T135" s="97" t="n">
        <f aca="false">T132*T134</f>
        <v>0.433001303662086</v>
      </c>
      <c r="U135" s="97" t="n">
        <f aca="false">U132*U134</f>
        <v>0.484961460101536</v>
      </c>
      <c r="V135" s="97" t="n">
        <f aca="false">V132*V134</f>
        <v>0.543156835313721</v>
      </c>
      <c r="W135" s="97" t="n">
        <f aca="false">W132*W134</f>
        <v>0.608335655551367</v>
      </c>
    </row>
    <row r="136" customFormat="false" ht="15" hidden="false" customHeight="false" outlineLevel="0" collapsed="false">
      <c r="B136" s="113" t="s">
        <v>217</v>
      </c>
      <c r="C136" s="112" t="s">
        <v>212</v>
      </c>
      <c r="D136" s="114" t="n">
        <f aca="false">SUM(D135:W135)</f>
        <v>5.08920034986643</v>
      </c>
      <c r="E136" s="99"/>
      <c r="F136" s="99"/>
      <c r="G136" s="99"/>
      <c r="H136" s="99"/>
      <c r="I136" s="99"/>
      <c r="J136" s="99"/>
      <c r="K136" s="99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</row>
    <row r="137" customFormat="false" ht="15" hidden="false" customHeight="false" outlineLevel="0" collapsed="false">
      <c r="B137" s="103"/>
      <c r="C137" s="56"/>
      <c r="D137" s="99"/>
      <c r="E137" s="99"/>
      <c r="F137" s="99"/>
      <c r="G137" s="99"/>
      <c r="H137" s="99"/>
      <c r="I137" s="99"/>
      <c r="J137" s="99"/>
      <c r="K137" s="99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</row>
    <row r="138" customFormat="false" ht="14.25" hidden="false" customHeight="false" outlineLevel="0" collapsed="false">
      <c r="B138" s="115" t="s">
        <v>218</v>
      </c>
      <c r="C138" s="116" t="n">
        <v>5</v>
      </c>
      <c r="D138" s="117" t="n">
        <f aca="false">D33</f>
        <v>0.0878310527282463</v>
      </c>
      <c r="E138" s="99"/>
      <c r="F138" s="99"/>
      <c r="G138" s="99"/>
      <c r="H138" s="99"/>
      <c r="I138" s="99"/>
      <c r="J138" s="99"/>
      <c r="K138" s="99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</row>
    <row r="139" customFormat="false" ht="14.25" hidden="false" customHeight="false" outlineLevel="0" collapsed="false">
      <c r="B139" s="115"/>
      <c r="C139" s="118" t="n">
        <v>10</v>
      </c>
      <c r="D139" s="119" t="n">
        <f aca="false">D66</f>
        <v>0.0763649457317888</v>
      </c>
      <c r="E139" s="99"/>
      <c r="F139" s="99"/>
      <c r="G139" s="99"/>
      <c r="H139" s="99"/>
      <c r="I139" s="99"/>
      <c r="J139" s="99"/>
      <c r="K139" s="99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</row>
    <row r="140" customFormat="false" ht="14.25" hidden="false" customHeight="false" outlineLevel="0" collapsed="false">
      <c r="B140" s="115"/>
      <c r="C140" s="118" t="n">
        <v>15</v>
      </c>
      <c r="D140" s="119" t="n">
        <f aca="false">D99</f>
        <v>0.0725429100663031</v>
      </c>
      <c r="E140" s="99"/>
      <c r="F140" s="99"/>
      <c r="G140" s="99"/>
      <c r="H140" s="99"/>
      <c r="I140" s="99"/>
      <c r="J140" s="99"/>
      <c r="K140" s="99"/>
      <c r="L140" s="99"/>
      <c r="M140" s="99"/>
      <c r="N140" s="99"/>
      <c r="O140" s="99"/>
      <c r="P140" s="99"/>
      <c r="Q140" s="99"/>
      <c r="R140" s="99"/>
      <c r="S140" s="99"/>
      <c r="T140" s="99"/>
      <c r="U140" s="99"/>
      <c r="V140" s="99"/>
      <c r="W140" s="99"/>
    </row>
    <row r="141" customFormat="false" ht="15" hidden="false" customHeight="false" outlineLevel="0" collapsed="false">
      <c r="B141" s="115"/>
      <c r="C141" s="120" t="n">
        <v>20</v>
      </c>
      <c r="D141" s="121" t="n">
        <f aca="false">D132</f>
        <v>0.0706318922335601</v>
      </c>
      <c r="E141" s="99"/>
      <c r="F141" s="99"/>
      <c r="G141" s="99"/>
      <c r="H141" s="99"/>
      <c r="I141" s="99"/>
      <c r="J141" s="99"/>
      <c r="K141" s="99"/>
      <c r="L141" s="99"/>
      <c r="M141" s="99"/>
      <c r="N141" s="99"/>
      <c r="O141" s="99"/>
      <c r="P141" s="99"/>
      <c r="Q141" s="99"/>
      <c r="R141" s="99"/>
      <c r="S141" s="99"/>
      <c r="T141" s="99"/>
      <c r="U141" s="99"/>
      <c r="V141" s="99"/>
      <c r="W141" s="99"/>
    </row>
    <row r="142" customFormat="false" ht="14.25" hidden="false" customHeight="false" outlineLevel="0" collapsed="false">
      <c r="B142" s="103"/>
      <c r="C142" s="56"/>
      <c r="D142" s="99"/>
      <c r="E142" s="99"/>
      <c r="F142" s="99"/>
      <c r="G142" s="99"/>
      <c r="H142" s="99"/>
      <c r="I142" s="99"/>
      <c r="J142" s="99"/>
      <c r="K142" s="99"/>
      <c r="L142" s="99"/>
      <c r="M142" s="99"/>
      <c r="N142" s="99"/>
      <c r="O142" s="99"/>
      <c r="P142" s="99"/>
      <c r="Q142" s="99"/>
      <c r="R142" s="99"/>
      <c r="S142" s="99"/>
      <c r="T142" s="99"/>
      <c r="U142" s="99"/>
      <c r="V142" s="99"/>
      <c r="W142" s="99"/>
    </row>
    <row r="143" customFormat="false" ht="14.25" hidden="false" customHeight="false" outlineLevel="0" collapsed="false">
      <c r="B143" s="103"/>
      <c r="C143" s="56"/>
      <c r="D143" s="99"/>
      <c r="E143" s="99"/>
      <c r="F143" s="99"/>
      <c r="G143" s="99"/>
      <c r="H143" s="99"/>
      <c r="I143" s="99"/>
      <c r="J143" s="99"/>
      <c r="K143" s="99"/>
      <c r="L143" s="99"/>
      <c r="M143" s="99"/>
      <c r="N143" s="99"/>
      <c r="O143" s="99"/>
      <c r="P143" s="99"/>
      <c r="Q143" s="99"/>
      <c r="R143" s="99"/>
      <c r="S143" s="99"/>
      <c r="T143" s="99"/>
      <c r="U143" s="99"/>
      <c r="V143" s="99"/>
      <c r="W143" s="99"/>
    </row>
    <row r="144" customFormat="false" ht="18.75" hidden="false" customHeight="false" outlineLevel="0" collapsed="false">
      <c r="B144" s="66" t="s">
        <v>219</v>
      </c>
      <c r="D144" s="99"/>
      <c r="E144" s="99"/>
      <c r="F144" s="99"/>
      <c r="G144" s="99"/>
      <c r="H144" s="99"/>
      <c r="I144" s="99"/>
      <c r="J144" s="99"/>
      <c r="K144" s="99"/>
      <c r="L144" s="99"/>
      <c r="M144" s="99"/>
      <c r="N144" s="99"/>
      <c r="O144" s="99"/>
      <c r="P144" s="99"/>
      <c r="Q144" s="99"/>
      <c r="R144" s="99"/>
      <c r="S144" s="99"/>
      <c r="T144" s="99"/>
      <c r="U144" s="99"/>
      <c r="V144" s="99"/>
      <c r="W144" s="99"/>
    </row>
    <row r="145" customFormat="false" ht="16.5" hidden="false" customHeight="false" outlineLevel="0" collapsed="false">
      <c r="B145" s="92" t="s">
        <v>130</v>
      </c>
      <c r="C145" s="93" t="n">
        <v>5</v>
      </c>
      <c r="D145" s="99"/>
      <c r="E145" s="99"/>
      <c r="F145" s="99"/>
      <c r="G145" s="99"/>
      <c r="H145" s="99"/>
      <c r="I145" s="99"/>
      <c r="J145" s="99"/>
      <c r="K145" s="99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</row>
    <row r="146" customFormat="false" ht="15.75" hidden="false" customHeight="false" outlineLevel="0" collapsed="false">
      <c r="B146" s="94" t="s">
        <v>195</v>
      </c>
      <c r="D146" s="99"/>
      <c r="E146" s="99"/>
      <c r="F146" s="99"/>
      <c r="G146" s="99"/>
      <c r="H146" s="99"/>
      <c r="I146" s="99"/>
      <c r="J146" s="99"/>
      <c r="K146" s="99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</row>
    <row r="147" customFormat="false" ht="14.25" hidden="false" customHeight="false" outlineLevel="0" collapsed="false">
      <c r="B147" s="95" t="s">
        <v>196</v>
      </c>
      <c r="C147" s="96" t="s">
        <v>197</v>
      </c>
      <c r="D147" s="97" t="n">
        <f aca="false">Analisis_Inputs_Grales!$D$67*(Analisis_Inputs_Grales!$D$118/12)/Analisis_Inputs_Grales!$D$59</f>
        <v>0.27468806355493</v>
      </c>
      <c r="E147" s="97" t="n">
        <f aca="false">Analisis_Inputs_Grales!$D$67*(Analisis_Inputs_Grales!$D$118/12)/Analisis_Inputs_Grales!$D$59</f>
        <v>0.27468806355493</v>
      </c>
      <c r="F147" s="97" t="n">
        <f aca="false">Analisis_Inputs_Grales!$D$67*(Analisis_Inputs_Grales!$D$118/12)/Analisis_Inputs_Grales!$D$59</f>
        <v>0.27468806355493</v>
      </c>
      <c r="G147" s="97" t="n">
        <f aca="false">Analisis_Inputs_Grales!$D$67*(Analisis_Inputs_Grales!$D$118/12)/Analisis_Inputs_Grales!$D$59</f>
        <v>0.27468806355493</v>
      </c>
      <c r="H147" s="97" t="n">
        <f aca="false">Analisis_Inputs_Grales!$D$67*(Analisis_Inputs_Grales!$D$118/12)/Analisis_Inputs_Grales!$D$59</f>
        <v>0.27468806355493</v>
      </c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</row>
    <row r="148" customFormat="false" ht="14.25" hidden="false" customHeight="false" outlineLevel="0" collapsed="false">
      <c r="B148" s="98" t="s">
        <v>196</v>
      </c>
      <c r="C148" s="56" t="s">
        <v>96</v>
      </c>
      <c r="D148" s="99" t="n">
        <f aca="false">D147*12*Analisis_Inputs_Grales!$D$59</f>
        <v>28479.6584293752</v>
      </c>
      <c r="E148" s="99" t="n">
        <f aca="false">E147*12*Analisis_Inputs_Grales!$D$59</f>
        <v>28479.6584293752</v>
      </c>
      <c r="F148" s="99" t="n">
        <f aca="false">F147*12*Analisis_Inputs_Grales!$D$59</f>
        <v>28479.6584293752</v>
      </c>
      <c r="G148" s="99" t="n">
        <f aca="false">G147*12*Analisis_Inputs_Grales!$D$59</f>
        <v>28479.6584293752</v>
      </c>
      <c r="H148" s="99" t="n">
        <f aca="false">H147*12*Analisis_Inputs_Grales!$D$59</f>
        <v>28479.6584293752</v>
      </c>
      <c r="I148" s="99"/>
      <c r="J148" s="99"/>
      <c r="K148" s="99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</row>
    <row r="149" customFormat="false" ht="14.25" hidden="false" customHeight="false" outlineLevel="0" collapsed="false">
      <c r="B149" s="95" t="s">
        <v>198</v>
      </c>
      <c r="C149" s="96" t="s">
        <v>197</v>
      </c>
      <c r="D149" s="97" t="n">
        <f aca="false">(Analisis_Inputs_Grales!$D$67-Analisis_Inputs_Grales!$D$70*Analisis_Inputs_Grales!$D$67)/(Analisis_Inputs_Grales!$D$59*12*$C$145)</f>
        <v>0.412032095332396</v>
      </c>
      <c r="E149" s="97" t="n">
        <f aca="false">(Analisis_Inputs_Grales!$D$67-Analisis_Inputs_Grales!$D$70*Analisis_Inputs_Grales!$D$67)/(Analisis_Inputs_Grales!$D$59*12*$C$145)</f>
        <v>0.412032095332396</v>
      </c>
      <c r="F149" s="97" t="n">
        <f aca="false">(Analisis_Inputs_Grales!$D$67-Analisis_Inputs_Grales!$D$70*Analisis_Inputs_Grales!$D$67)/(Analisis_Inputs_Grales!$D$59*12*$C$145)</f>
        <v>0.412032095332396</v>
      </c>
      <c r="G149" s="97" t="n">
        <f aca="false">(Analisis_Inputs_Grales!$D$67-Analisis_Inputs_Grales!$D$70*Analisis_Inputs_Grales!$D$67)/(Analisis_Inputs_Grales!$D$59*12*$C$145)</f>
        <v>0.412032095332396</v>
      </c>
      <c r="H149" s="97" t="n">
        <f aca="false">(Analisis_Inputs_Grales!$D$67-Analisis_Inputs_Grales!$D$70*Analisis_Inputs_Grales!$D$67)/(Analisis_Inputs_Grales!$D$59*12*$C$145)</f>
        <v>0.412032095332396</v>
      </c>
      <c r="I149" s="100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</row>
    <row r="150" customFormat="false" ht="14.25" hidden="false" customHeight="false" outlineLevel="0" collapsed="false">
      <c r="B150" s="98" t="s">
        <v>198</v>
      </c>
      <c r="C150" s="56" t="s">
        <v>96</v>
      </c>
      <c r="D150" s="99" t="n">
        <f aca="false">D149*12*Analisis_Inputs_Grales!$D$59</f>
        <v>42719.4876440628</v>
      </c>
      <c r="E150" s="99" t="n">
        <f aca="false">E149*12*Analisis_Inputs_Grales!$D$59</f>
        <v>42719.4876440628</v>
      </c>
      <c r="F150" s="99" t="n">
        <f aca="false">F149*12*Analisis_Inputs_Grales!$D$59</f>
        <v>42719.4876440628</v>
      </c>
      <c r="G150" s="99" t="n">
        <f aca="false">G149*12*Analisis_Inputs_Grales!$D$59</f>
        <v>42719.4876440628</v>
      </c>
      <c r="H150" s="99" t="n">
        <f aca="false">H149*12*Analisis_Inputs_Grales!$D$59</f>
        <v>42719.4876440628</v>
      </c>
      <c r="I150" s="99"/>
      <c r="J150" s="99"/>
      <c r="K150" s="99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</row>
    <row r="151" customFormat="false" ht="14.25" hidden="false" customHeight="false" outlineLevel="0" collapsed="false">
      <c r="B151" s="95" t="s">
        <v>199</v>
      </c>
      <c r="C151" s="96" t="s">
        <v>197</v>
      </c>
      <c r="D151" s="97" t="n">
        <f aca="false">Analisis_Inputs_Grales!$D$51/Analisis_Inputs_Grales!$D$59</f>
        <v>0.18265162037037</v>
      </c>
      <c r="E151" s="97" t="n">
        <f aca="false">Analisis_Inputs_Grales!$D$51/Analisis_Inputs_Grales!$D$59</f>
        <v>0.18265162037037</v>
      </c>
      <c r="F151" s="97" t="n">
        <f aca="false">Analisis_Inputs_Grales!$D$51/Analisis_Inputs_Grales!$D$59</f>
        <v>0.18265162037037</v>
      </c>
      <c r="G151" s="97" t="n">
        <f aca="false">Analisis_Inputs_Grales!$D$51/Analisis_Inputs_Grales!$D$59</f>
        <v>0.18265162037037</v>
      </c>
      <c r="H151" s="97" t="n">
        <f aca="false">Analisis_Inputs_Grales!$D$51/Analisis_Inputs_Grales!$D$59</f>
        <v>0.18265162037037</v>
      </c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</row>
    <row r="152" customFormat="false" ht="14.25" hidden="false" customHeight="false" outlineLevel="0" collapsed="false">
      <c r="B152" s="101" t="s">
        <v>199</v>
      </c>
      <c r="C152" s="102" t="s">
        <v>96</v>
      </c>
      <c r="D152" s="99" t="n">
        <f aca="false">D151*12*Analisis_Inputs_Grales!$D$59</f>
        <v>18937.32</v>
      </c>
      <c r="E152" s="99" t="n">
        <f aca="false">E151*12*Analisis_Inputs_Grales!$D$59</f>
        <v>18937.32</v>
      </c>
      <c r="F152" s="99" t="n">
        <f aca="false">F151*12*Analisis_Inputs_Grales!$D$59</f>
        <v>18937.32</v>
      </c>
      <c r="G152" s="99" t="n">
        <f aca="false">G151*12*Analisis_Inputs_Grales!$D$59</f>
        <v>18937.32</v>
      </c>
      <c r="H152" s="99" t="n">
        <f aca="false">H151*12*Analisis_Inputs_Grales!$D$59</f>
        <v>18937.32</v>
      </c>
      <c r="I152" s="99"/>
      <c r="J152" s="99"/>
      <c r="K152" s="99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</row>
    <row r="153" customFormat="false" ht="14.25" hidden="false" customHeight="false" outlineLevel="0" collapsed="false">
      <c r="B153" s="95" t="s">
        <v>200</v>
      </c>
      <c r="C153" s="96" t="s">
        <v>197</v>
      </c>
      <c r="D153" s="97" t="n">
        <f aca="false">D151+D149+D147</f>
        <v>0.869371779257697</v>
      </c>
      <c r="E153" s="97" t="n">
        <f aca="false">E151+E149+E147</f>
        <v>0.869371779257697</v>
      </c>
      <c r="F153" s="97" t="n">
        <f aca="false">F151+F149+F147</f>
        <v>0.869371779257697</v>
      </c>
      <c r="G153" s="97" t="n">
        <f aca="false">G151+G149+G147</f>
        <v>0.869371779257697</v>
      </c>
      <c r="H153" s="97" t="n">
        <f aca="false">H151+H149+H147</f>
        <v>0.869371779257697</v>
      </c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</row>
    <row r="154" customFormat="false" ht="14.25" hidden="false" customHeight="false" outlineLevel="0" collapsed="false">
      <c r="B154" s="98" t="s">
        <v>200</v>
      </c>
      <c r="C154" s="56" t="s">
        <v>96</v>
      </c>
      <c r="D154" s="99" t="n">
        <f aca="false">D153*12*Analisis_Inputs_Grales!$D$59</f>
        <v>90136.466073438</v>
      </c>
      <c r="E154" s="99" t="n">
        <f aca="false">E153*12*Analisis_Inputs_Grales!$D$59</f>
        <v>90136.466073438</v>
      </c>
      <c r="F154" s="99" t="n">
        <f aca="false">F153*12*Analisis_Inputs_Grales!$D$59</f>
        <v>90136.466073438</v>
      </c>
      <c r="G154" s="99" t="n">
        <f aca="false">G153*12*Analisis_Inputs_Grales!$D$59</f>
        <v>90136.466073438</v>
      </c>
      <c r="H154" s="99" t="n">
        <f aca="false">H153*12*Analisis_Inputs_Grales!$D$59</f>
        <v>90136.466073438</v>
      </c>
      <c r="I154" s="99"/>
      <c r="J154" s="99"/>
      <c r="K154" s="99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</row>
    <row r="155" customFormat="false" ht="14.25" hidden="false" customHeight="false" outlineLevel="0" collapsed="false">
      <c r="C155" s="56"/>
    </row>
    <row r="156" customFormat="false" ht="15" hidden="false" customHeight="false" outlineLevel="0" collapsed="false">
      <c r="B156" s="122" t="s">
        <v>201</v>
      </c>
      <c r="C156" s="56"/>
    </row>
    <row r="157" customFormat="false" ht="14.25" hidden="false" customHeight="false" outlineLevel="0" collapsed="false">
      <c r="B157" s="95" t="s">
        <v>202</v>
      </c>
      <c r="C157" s="96" t="s">
        <v>197</v>
      </c>
      <c r="D157" s="97" t="n">
        <f aca="false">Analisis_Inputs_Grales!$D$73/(Analisis_Inputs_Grales!$D$71*Analisis_Inputs_Grales!$D$72/60)</f>
        <v>0.0656583629893238</v>
      </c>
      <c r="E157" s="97" t="n">
        <f aca="false">Analisis_Inputs_Grales!$D$73/(Analisis_Inputs_Grales!$D$71*Analisis_Inputs_Grales!$D$72/60)</f>
        <v>0.0656583629893238</v>
      </c>
      <c r="F157" s="97" t="n">
        <f aca="false">Analisis_Inputs_Grales!$D$73/(Analisis_Inputs_Grales!$D$71*Analisis_Inputs_Grales!$D$72/60)</f>
        <v>0.0656583629893238</v>
      </c>
      <c r="G157" s="97" t="n">
        <f aca="false">Analisis_Inputs_Grales!$D$73/(Analisis_Inputs_Grales!$D$71*Analisis_Inputs_Grales!$D$72/60)</f>
        <v>0.0656583629893238</v>
      </c>
      <c r="H157" s="97" t="n">
        <f aca="false">Analisis_Inputs_Grales!$D$73/(Analisis_Inputs_Grales!$D$71*Analisis_Inputs_Grales!$D$72/60)</f>
        <v>0.0656583629893238</v>
      </c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</row>
    <row r="158" customFormat="false" ht="14.25" hidden="false" customHeight="false" outlineLevel="0" collapsed="false">
      <c r="B158" s="98" t="s">
        <v>202</v>
      </c>
      <c r="C158" s="56" t="s">
        <v>96</v>
      </c>
      <c r="D158" s="99" t="n">
        <f aca="false">D157*12*Analisis_Inputs_Grales!$D$59</f>
        <v>6807.4590747331</v>
      </c>
      <c r="E158" s="99" t="n">
        <f aca="false">E157*12*Analisis_Inputs_Grales!$D$59</f>
        <v>6807.4590747331</v>
      </c>
      <c r="F158" s="99" t="n">
        <f aca="false">F157*12*Analisis_Inputs_Grales!$D$59</f>
        <v>6807.4590747331</v>
      </c>
      <c r="G158" s="99" t="n">
        <f aca="false">G157*12*Analisis_Inputs_Grales!$D$59</f>
        <v>6807.4590747331</v>
      </c>
      <c r="H158" s="99" t="n">
        <f aca="false">H157*12*Analisis_Inputs_Grales!$D$59</f>
        <v>6807.4590747331</v>
      </c>
      <c r="I158" s="99"/>
      <c r="J158" s="99"/>
      <c r="K158" s="99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</row>
    <row r="159" customFormat="false" ht="14.25" hidden="false" customHeight="false" outlineLevel="0" collapsed="false">
      <c r="B159" s="95" t="s">
        <v>203</v>
      </c>
      <c r="C159" s="96" t="s">
        <v>197</v>
      </c>
      <c r="D159" s="97" t="n">
        <f aca="false">Analisis_Inputs_Grales!$D$74*'Analisis 20Años'!D157</f>
        <v>0.00984875444839858</v>
      </c>
      <c r="E159" s="97" t="n">
        <f aca="false">Analisis_Inputs_Grales!$D$74*'Analisis 20Años'!E157</f>
        <v>0.00984875444839858</v>
      </c>
      <c r="F159" s="97" t="n">
        <f aca="false">Analisis_Inputs_Grales!$D$74*'Analisis 20Años'!F157</f>
        <v>0.00984875444839858</v>
      </c>
      <c r="G159" s="97" t="n">
        <f aca="false">Analisis_Inputs_Grales!$D$74*'Analisis 20Años'!G157</f>
        <v>0.00984875444839858</v>
      </c>
      <c r="H159" s="97" t="n">
        <f aca="false">Analisis_Inputs_Grales!$D$74*'Analisis 20Años'!H157</f>
        <v>0.00984875444839858</v>
      </c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</row>
    <row r="160" customFormat="false" ht="14.25" hidden="false" customHeight="false" outlineLevel="0" collapsed="false">
      <c r="B160" s="98" t="s">
        <v>203</v>
      </c>
      <c r="C160" s="56" t="s">
        <v>96</v>
      </c>
      <c r="D160" s="99" t="n">
        <f aca="false">D159*12*Analisis_Inputs_Grales!$D$59</f>
        <v>1021.11886120996</v>
      </c>
      <c r="E160" s="99" t="n">
        <f aca="false">E159*12*Analisis_Inputs_Grales!$D$59</f>
        <v>1021.11886120996</v>
      </c>
      <c r="F160" s="99" t="n">
        <f aca="false">F159*12*Analisis_Inputs_Grales!$D$59</f>
        <v>1021.11886120996</v>
      </c>
      <c r="G160" s="99" t="n">
        <f aca="false">G159*12*Analisis_Inputs_Grales!$D$59</f>
        <v>1021.11886120996</v>
      </c>
      <c r="H160" s="99" t="n">
        <f aca="false">H159*12*Analisis_Inputs_Grales!$D$59</f>
        <v>1021.11886120996</v>
      </c>
      <c r="I160" s="99"/>
      <c r="J160" s="99"/>
      <c r="K160" s="99"/>
      <c r="L160" s="99"/>
      <c r="M160" s="99"/>
      <c r="N160" s="99"/>
      <c r="O160" s="99"/>
      <c r="P160" s="99"/>
      <c r="Q160" s="99"/>
      <c r="R160" s="99"/>
      <c r="S160" s="99"/>
      <c r="T160" s="99"/>
      <c r="U160" s="99"/>
      <c r="V160" s="99"/>
      <c r="W160" s="99"/>
    </row>
    <row r="161" customFormat="false" ht="14.25" hidden="false" customHeight="false" outlineLevel="0" collapsed="false">
      <c r="B161" s="95" t="s">
        <v>204</v>
      </c>
      <c r="C161" s="96" t="s">
        <v>197</v>
      </c>
      <c r="D161" s="97" t="n">
        <f aca="false">Analisis_Inputs_Grales!$D$75*('Analisis 20Años'!D157+'Analisis 20Años'!D159)</f>
        <v>0.030202846975089</v>
      </c>
      <c r="E161" s="97" t="n">
        <f aca="false">Analisis_Inputs_Grales!$D$75*('Analisis 20Años'!E157+'Analisis 20Años'!E159)</f>
        <v>0.030202846975089</v>
      </c>
      <c r="F161" s="97" t="n">
        <f aca="false">Analisis_Inputs_Grales!$D$75*('Analisis 20Años'!F157+'Analisis 20Años'!F159)</f>
        <v>0.030202846975089</v>
      </c>
      <c r="G161" s="97" t="n">
        <f aca="false">Analisis_Inputs_Grales!$D$75*('Analisis 20Años'!G157+'Analisis 20Años'!G159)</f>
        <v>0.030202846975089</v>
      </c>
      <c r="H161" s="97" t="n">
        <f aca="false">Analisis_Inputs_Grales!$D$75*('Analisis 20Años'!H157+'Analisis 20Años'!H159)</f>
        <v>0.030202846975089</v>
      </c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</row>
    <row r="162" customFormat="false" ht="14.25" hidden="false" customHeight="false" outlineLevel="0" collapsed="false">
      <c r="B162" s="98" t="s">
        <v>204</v>
      </c>
      <c r="C162" s="56" t="s">
        <v>96</v>
      </c>
      <c r="D162" s="99" t="n">
        <f aca="false">D161*12*Analisis_Inputs_Grales!$D$59</f>
        <v>3131.43117437722</v>
      </c>
      <c r="E162" s="99" t="n">
        <f aca="false">E161*12*Analisis_Inputs_Grales!$D$59</f>
        <v>3131.43117437722</v>
      </c>
      <c r="F162" s="99" t="n">
        <f aca="false">F161*12*Analisis_Inputs_Grales!$D$59</f>
        <v>3131.43117437722</v>
      </c>
      <c r="G162" s="99" t="n">
        <f aca="false">G161*12*Analisis_Inputs_Grales!$D$59</f>
        <v>3131.43117437722</v>
      </c>
      <c r="H162" s="99" t="n">
        <f aca="false">H161*12*Analisis_Inputs_Grales!$D$59</f>
        <v>3131.43117437722</v>
      </c>
      <c r="I162" s="99"/>
      <c r="J162" s="99"/>
      <c r="K162" s="99"/>
      <c r="L162" s="99"/>
      <c r="M162" s="99"/>
      <c r="N162" s="99"/>
      <c r="O162" s="99"/>
      <c r="P162" s="99"/>
      <c r="Q162" s="99"/>
      <c r="R162" s="99"/>
      <c r="S162" s="99"/>
      <c r="T162" s="99"/>
      <c r="U162" s="99"/>
      <c r="V162" s="99"/>
      <c r="W162" s="99"/>
    </row>
    <row r="163" customFormat="false" ht="14.25" hidden="false" customHeight="false" outlineLevel="0" collapsed="false">
      <c r="B163" s="95" t="s">
        <v>205</v>
      </c>
      <c r="C163" s="96" t="s">
        <v>197</v>
      </c>
      <c r="D163" s="97" t="n">
        <f aca="false">D161+D159+D157</f>
        <v>0.105709964412811</v>
      </c>
      <c r="E163" s="97" t="n">
        <f aca="false">E161+E159+E157</f>
        <v>0.105709964412811</v>
      </c>
      <c r="F163" s="97" t="n">
        <f aca="false">F161+F159+F157</f>
        <v>0.105709964412811</v>
      </c>
      <c r="G163" s="97" t="n">
        <f aca="false">G161+G159+G157</f>
        <v>0.105709964412811</v>
      </c>
      <c r="H163" s="97" t="n">
        <f aca="false">H161+H159+H157</f>
        <v>0.105709964412811</v>
      </c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</row>
    <row r="164" customFormat="false" ht="14.25" hidden="false" customHeight="false" outlineLevel="0" collapsed="false">
      <c r="B164" s="101" t="s">
        <v>205</v>
      </c>
      <c r="C164" s="56" t="s">
        <v>96</v>
      </c>
      <c r="D164" s="99" t="n">
        <f aca="false">D163*12*Analisis_Inputs_Grales!$D$59</f>
        <v>10960.0091103203</v>
      </c>
      <c r="E164" s="99" t="n">
        <f aca="false">E163*12*Analisis_Inputs_Grales!$D$59</f>
        <v>10960.0091103203</v>
      </c>
      <c r="F164" s="99" t="n">
        <f aca="false">F163*12*Analisis_Inputs_Grales!$D$59</f>
        <v>10960.0091103203</v>
      </c>
      <c r="G164" s="99" t="n">
        <f aca="false">G163*12*Analisis_Inputs_Grales!$D$59</f>
        <v>10960.0091103203</v>
      </c>
      <c r="H164" s="99" t="n">
        <f aca="false">H163*12*Analisis_Inputs_Grales!$D$59</f>
        <v>10960.0091103203</v>
      </c>
      <c r="I164" s="99"/>
      <c r="J164" s="99"/>
      <c r="K164" s="99"/>
      <c r="L164" s="99"/>
      <c r="M164" s="99"/>
      <c r="N164" s="99"/>
      <c r="O164" s="99"/>
      <c r="P164" s="99"/>
      <c r="Q164" s="99"/>
      <c r="R164" s="99"/>
      <c r="S164" s="99"/>
      <c r="T164" s="99"/>
      <c r="U164" s="99"/>
      <c r="V164" s="99"/>
      <c r="W164" s="99"/>
    </row>
    <row r="165" customFormat="false" ht="14.25" hidden="false" customHeight="false" outlineLevel="0" collapsed="false">
      <c r="B165" s="103"/>
    </row>
    <row r="166" customFormat="false" ht="14.25" hidden="false" customHeight="false" outlineLevel="0" collapsed="false">
      <c r="B166" s="104" t="s">
        <v>206</v>
      </c>
      <c r="C166" s="105" t="s">
        <v>197</v>
      </c>
      <c r="D166" s="97" t="n">
        <f aca="false">+D153+D163</f>
        <v>0.975081743670508</v>
      </c>
      <c r="E166" s="97" t="n">
        <f aca="false">+E153+E163</f>
        <v>0.975081743670508</v>
      </c>
      <c r="F166" s="97" t="n">
        <f aca="false">+F153+F163</f>
        <v>0.975081743670508</v>
      </c>
      <c r="G166" s="97" t="n">
        <f aca="false">+G153+G163</f>
        <v>0.975081743670508</v>
      </c>
      <c r="H166" s="97" t="n">
        <f aca="false">+H153+H163</f>
        <v>0.975081743670508</v>
      </c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</row>
    <row r="167" customFormat="false" ht="14.25" hidden="false" customHeight="false" outlineLevel="0" collapsed="false">
      <c r="B167" s="106" t="s">
        <v>206</v>
      </c>
      <c r="C167" s="107" t="s">
        <v>96</v>
      </c>
      <c r="D167" s="99" t="n">
        <f aca="false">D166*12*Analisis_Inputs_Grales!$D$59</f>
        <v>101096.475183758</v>
      </c>
      <c r="E167" s="99" t="n">
        <f aca="false">E166*12*Analisis_Inputs_Grales!$D$59</f>
        <v>101096.475183758</v>
      </c>
      <c r="F167" s="99" t="n">
        <f aca="false">F166*12*Analisis_Inputs_Grales!$D$59</f>
        <v>101096.475183758</v>
      </c>
      <c r="G167" s="99" t="n">
        <f aca="false">G166*12*Analisis_Inputs_Grales!$D$59</f>
        <v>101096.475183758</v>
      </c>
      <c r="H167" s="99" t="n">
        <f aca="false">H166*12*Analisis_Inputs_Grales!$D$59</f>
        <v>101096.475183758</v>
      </c>
      <c r="I167" s="99"/>
      <c r="J167" s="99"/>
      <c r="K167" s="99"/>
      <c r="L167" s="99"/>
      <c r="M167" s="99"/>
      <c r="N167" s="99"/>
      <c r="O167" s="99"/>
      <c r="P167" s="99"/>
      <c r="Q167" s="99"/>
      <c r="R167" s="99"/>
      <c r="S167" s="99"/>
      <c r="T167" s="99"/>
      <c r="U167" s="99"/>
      <c r="V167" s="99"/>
      <c r="W167" s="99"/>
    </row>
    <row r="168" customFormat="false" ht="14.25" hidden="false" customHeight="false" outlineLevel="0" collapsed="false">
      <c r="B168" s="108"/>
      <c r="C168" s="109"/>
    </row>
    <row r="169" customFormat="false" ht="14.25" hidden="false" customHeight="false" outlineLevel="0" collapsed="false">
      <c r="B169" s="110" t="s">
        <v>207</v>
      </c>
      <c r="C169" s="105" t="s">
        <v>208</v>
      </c>
      <c r="D169" s="97" t="n">
        <f aca="false">D166/(Analisis_Inputs_Grales!$D$64)</f>
        <v>0.0942107964899041</v>
      </c>
      <c r="E169" s="97" t="n">
        <f aca="false">E166/(Analisis_Inputs_Grales!$D$64)</f>
        <v>0.0942107964899041</v>
      </c>
      <c r="F169" s="97" t="n">
        <f aca="false">F166/(Analisis_Inputs_Grales!$D$64)</f>
        <v>0.0942107964899041</v>
      </c>
      <c r="G169" s="97" t="n">
        <f aca="false">G166/(Analisis_Inputs_Grales!$D$64)</f>
        <v>0.0942107964899041</v>
      </c>
      <c r="H169" s="97" t="n">
        <f aca="false">H166/(Analisis_Inputs_Grales!$D$64)</f>
        <v>0.0942107964899041</v>
      </c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</row>
    <row r="170" customFormat="false" ht="14.25" hidden="false" customHeight="false" outlineLevel="0" collapsed="false">
      <c r="B170" s="103" t="s">
        <v>209</v>
      </c>
      <c r="C170" s="56" t="s">
        <v>210</v>
      </c>
      <c r="D170" s="99" t="n">
        <f aca="false">D169*12*Analisis_Inputs_Grales!$D$59</f>
        <v>9767.77538007326</v>
      </c>
      <c r="E170" s="99" t="n">
        <f aca="false">E169*12*Analisis_Inputs_Grales!$D$59</f>
        <v>9767.77538007326</v>
      </c>
      <c r="F170" s="99" t="n">
        <f aca="false">F169*12*Analisis_Inputs_Grales!$D$59</f>
        <v>9767.77538007326</v>
      </c>
      <c r="G170" s="99" t="n">
        <f aca="false">G169*12*Analisis_Inputs_Grales!$D$59</f>
        <v>9767.77538007326</v>
      </c>
      <c r="H170" s="99" t="n">
        <f aca="false">H169*12*Analisis_Inputs_Grales!$D$59</f>
        <v>9767.77538007326</v>
      </c>
      <c r="I170" s="99"/>
      <c r="J170" s="99"/>
      <c r="K170" s="99"/>
      <c r="L170" s="99"/>
      <c r="M170" s="99"/>
      <c r="N170" s="99"/>
      <c r="O170" s="99"/>
      <c r="P170" s="99"/>
      <c r="Q170" s="99"/>
      <c r="R170" s="99"/>
      <c r="S170" s="99"/>
      <c r="T170" s="99"/>
      <c r="U170" s="99"/>
      <c r="V170" s="99"/>
      <c r="W170" s="99"/>
    </row>
    <row r="171" customFormat="false" ht="28.5" hidden="false" customHeight="false" outlineLevel="0" collapsed="false">
      <c r="B171" s="106" t="s">
        <v>220</v>
      </c>
      <c r="C171" s="107" t="s">
        <v>221</v>
      </c>
      <c r="D171" s="97" t="n">
        <f aca="false">(Analisis_Inputs_Grales!$D$79+Analisis_Inputs_Grales!$D$80)*D153/Analisis_Inputs_Grales!$D$64</f>
        <v>2.9399045675381</v>
      </c>
      <c r="E171" s="97" t="n">
        <f aca="false">(Analisis_Inputs_Grales!$D$79+Analisis_Inputs_Grales!$D$80)*E153/Analisis_Inputs_Grales!$D$64</f>
        <v>2.9399045675381</v>
      </c>
      <c r="F171" s="97" t="n">
        <f aca="false">(Analisis_Inputs_Grales!$D$79+Analisis_Inputs_Grales!$D$80)*F153/Analisis_Inputs_Grales!$D$64</f>
        <v>2.9399045675381</v>
      </c>
      <c r="G171" s="97" t="n">
        <f aca="false">(Analisis_Inputs_Grales!$D$79+Analisis_Inputs_Grales!$D$80)*G153/Analisis_Inputs_Grales!$D$64</f>
        <v>2.9399045675381</v>
      </c>
      <c r="H171" s="97" t="n">
        <f aca="false">(Analisis_Inputs_Grales!$D$79+Analisis_Inputs_Grales!$D$80)*H153/Analisis_Inputs_Grales!$D$64</f>
        <v>2.9399045675381</v>
      </c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</row>
    <row r="173" customFormat="false" ht="14.25" hidden="false" customHeight="false" outlineLevel="0" collapsed="false">
      <c r="B173" s="103" t="s">
        <v>211</v>
      </c>
      <c r="C173" s="56" t="s">
        <v>212</v>
      </c>
      <c r="D173" s="97" t="n">
        <f aca="false">(D169*Analisis_Inputs_Grales!$D$34/60)+D171</f>
        <v>2.98910353903839</v>
      </c>
      <c r="E173" s="97" t="n">
        <f aca="false">(E169*Analisis_Inputs_Grales!$D$34/60)+E171</f>
        <v>2.98910353903839</v>
      </c>
      <c r="F173" s="97" t="n">
        <f aca="false">(F169*Analisis_Inputs_Grales!$D$34/60)+F171</f>
        <v>2.98910353903839</v>
      </c>
      <c r="G173" s="97" t="n">
        <f aca="false">(G169*Analisis_Inputs_Grales!$D$34/60)+G171</f>
        <v>2.98910353903839</v>
      </c>
      <c r="H173" s="97" t="n">
        <f aca="false">(H169*Analisis_Inputs_Grales!$D$34/60)+H171</f>
        <v>2.98910353903839</v>
      </c>
    </row>
    <row r="174" customFormat="false" ht="14.25" hidden="false" customHeight="false" outlineLevel="0" collapsed="false">
      <c r="B174" s="111" t="s">
        <v>213</v>
      </c>
      <c r="C174" s="112" t="s">
        <v>19</v>
      </c>
      <c r="D174" s="97" t="n">
        <f aca="false">(1+Analisis_Inputs_Grales!$D$118)^'Analisis 20Años'!D$3</f>
        <v>1</v>
      </c>
      <c r="E174" s="97" t="n">
        <f aca="false">(1+Analisis_Inputs_Grales!$D$118)^'Analisis 20Años'!E$3</f>
        <v>1.12</v>
      </c>
      <c r="F174" s="97" t="n">
        <f aca="false">(1+Analisis_Inputs_Grales!$D$118)^'Analisis 20Años'!F$3</f>
        <v>1.2544</v>
      </c>
      <c r="G174" s="97" t="n">
        <f aca="false">(1+Analisis_Inputs_Grales!$D$118)^'Analisis 20Años'!G$3</f>
        <v>1.404928</v>
      </c>
      <c r="H174" s="97" t="n">
        <f aca="false">(1+Analisis_Inputs_Grales!$D$118)^'Analisis 20Años'!H$3</f>
        <v>1.57351936</v>
      </c>
    </row>
    <row r="175" customFormat="false" ht="14.25" hidden="false" customHeight="false" outlineLevel="0" collapsed="false">
      <c r="B175" s="111" t="s">
        <v>214</v>
      </c>
      <c r="C175" s="112" t="s">
        <v>212</v>
      </c>
      <c r="D175" s="97" t="n">
        <f aca="false">D173*D174</f>
        <v>2.98910353903839</v>
      </c>
      <c r="E175" s="97" t="n">
        <f aca="false">E173*E174</f>
        <v>3.34779596372299</v>
      </c>
      <c r="F175" s="97" t="n">
        <f aca="false">F173*F174</f>
        <v>3.74953147936975</v>
      </c>
      <c r="G175" s="97" t="n">
        <f aca="false">G173*G174</f>
        <v>4.19947525689412</v>
      </c>
      <c r="H175" s="97" t="n">
        <f aca="false">H173*H174</f>
        <v>4.70341228772142</v>
      </c>
    </row>
    <row r="176" customFormat="false" ht="15" hidden="false" customHeight="false" outlineLevel="0" collapsed="false">
      <c r="B176" s="113" t="s">
        <v>215</v>
      </c>
      <c r="C176" s="112" t="s">
        <v>212</v>
      </c>
      <c r="D176" s="97" t="n">
        <f aca="false">SUM(D175:H175)</f>
        <v>18.9893185267467</v>
      </c>
    </row>
    <row r="177" customFormat="false" ht="15" hidden="false" customHeight="false" outlineLevel="0" collapsed="false">
      <c r="B177" s="122"/>
    </row>
    <row r="178" customFormat="false" ht="15" hidden="false" customHeight="false" outlineLevel="0" collapsed="false">
      <c r="B178" s="98"/>
      <c r="C178" s="56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</row>
    <row r="179" customFormat="false" ht="16.5" hidden="false" customHeight="false" outlineLevel="0" collapsed="false">
      <c r="B179" s="92" t="s">
        <v>130</v>
      </c>
      <c r="C179" s="93" t="n">
        <v>10</v>
      </c>
      <c r="D179" s="99"/>
      <c r="E179" s="99"/>
      <c r="F179" s="99"/>
      <c r="G179" s="99"/>
      <c r="H179" s="99"/>
      <c r="I179" s="99"/>
      <c r="J179" s="99"/>
      <c r="K179" s="99"/>
      <c r="L179" s="99"/>
      <c r="M179" s="99"/>
      <c r="N179" s="99"/>
      <c r="O179" s="99"/>
      <c r="P179" s="99"/>
      <c r="Q179" s="99"/>
      <c r="R179" s="99"/>
      <c r="S179" s="99"/>
      <c r="T179" s="99"/>
      <c r="U179" s="99"/>
      <c r="V179" s="99"/>
      <c r="W179" s="99"/>
    </row>
    <row r="180" customFormat="false" ht="15.75" hidden="false" customHeight="false" outlineLevel="0" collapsed="false">
      <c r="B180" s="94" t="s">
        <v>195</v>
      </c>
      <c r="D180" s="99"/>
      <c r="E180" s="99"/>
      <c r="F180" s="99"/>
      <c r="G180" s="99"/>
      <c r="H180" s="99"/>
      <c r="I180" s="99"/>
      <c r="J180" s="99"/>
      <c r="K180" s="99"/>
      <c r="L180" s="99"/>
      <c r="M180" s="99"/>
      <c r="N180" s="99"/>
      <c r="O180" s="99"/>
      <c r="P180" s="99"/>
      <c r="Q180" s="99"/>
      <c r="R180" s="99"/>
      <c r="S180" s="99"/>
      <c r="T180" s="99"/>
      <c r="U180" s="99"/>
      <c r="V180" s="99"/>
      <c r="W180" s="99"/>
    </row>
    <row r="181" customFormat="false" ht="14.25" hidden="false" customHeight="false" outlineLevel="0" collapsed="false">
      <c r="B181" s="95" t="s">
        <v>196</v>
      </c>
      <c r="C181" s="96" t="s">
        <v>197</v>
      </c>
      <c r="D181" s="97" t="n">
        <f aca="false">Analisis_Inputs_Grales!$D$67*(Analisis_Inputs_Grales!$D$118/12)/Analisis_Inputs_Grales!$D$59</f>
        <v>0.27468806355493</v>
      </c>
      <c r="E181" s="97" t="n">
        <f aca="false">Analisis_Inputs_Grales!$D$67*(Analisis_Inputs_Grales!$D$118/12)/Analisis_Inputs_Grales!$D$59</f>
        <v>0.27468806355493</v>
      </c>
      <c r="F181" s="97" t="n">
        <f aca="false">Analisis_Inputs_Grales!$D$67*(Analisis_Inputs_Grales!$D$118/12)/Analisis_Inputs_Grales!$D$59</f>
        <v>0.27468806355493</v>
      </c>
      <c r="G181" s="97" t="n">
        <f aca="false">Analisis_Inputs_Grales!$D$67*(Analisis_Inputs_Grales!$D$118/12)/Analisis_Inputs_Grales!$D$59</f>
        <v>0.27468806355493</v>
      </c>
      <c r="H181" s="97" t="n">
        <f aca="false">Analisis_Inputs_Grales!$D$67*(Analisis_Inputs_Grales!$D$118/12)/Analisis_Inputs_Grales!$D$59</f>
        <v>0.27468806355493</v>
      </c>
      <c r="I181" s="97" t="n">
        <f aca="false">Analisis_Inputs_Grales!$D$67*(Analisis_Inputs_Grales!$D$118/12)/Analisis_Inputs_Grales!$D$59</f>
        <v>0.27468806355493</v>
      </c>
      <c r="J181" s="97" t="n">
        <f aca="false">Analisis_Inputs_Grales!$D$67*(Analisis_Inputs_Grales!$D$118/12)/Analisis_Inputs_Grales!$D$59</f>
        <v>0.27468806355493</v>
      </c>
      <c r="K181" s="97" t="n">
        <f aca="false">Analisis_Inputs_Grales!$D$67*(Analisis_Inputs_Grales!$D$118/12)/Analisis_Inputs_Grales!$D$59</f>
        <v>0.27468806355493</v>
      </c>
      <c r="L181" s="97" t="n">
        <f aca="false">Analisis_Inputs_Grales!$D$67*(Analisis_Inputs_Grales!$D$118/12)/Analisis_Inputs_Grales!$D$59</f>
        <v>0.27468806355493</v>
      </c>
      <c r="M181" s="97" t="n">
        <f aca="false">Analisis_Inputs_Grales!$D$67*(Analisis_Inputs_Grales!$D$118/12)/Analisis_Inputs_Grales!$D$59</f>
        <v>0.27468806355493</v>
      </c>
      <c r="N181" s="97"/>
      <c r="O181" s="97"/>
      <c r="P181" s="97"/>
      <c r="Q181" s="97"/>
      <c r="R181" s="97"/>
      <c r="S181" s="97"/>
      <c r="T181" s="97"/>
      <c r="U181" s="97"/>
      <c r="V181" s="97"/>
      <c r="W181" s="97"/>
    </row>
    <row r="182" customFormat="false" ht="14.25" hidden="false" customHeight="false" outlineLevel="0" collapsed="false">
      <c r="B182" s="98" t="s">
        <v>196</v>
      </c>
      <c r="C182" s="56" t="s">
        <v>96</v>
      </c>
      <c r="D182" s="99" t="n">
        <f aca="false">D181*12*Analisis_Inputs_Grales!$D$59</f>
        <v>28479.6584293752</v>
      </c>
      <c r="E182" s="99" t="n">
        <f aca="false">E181*12*Analisis_Inputs_Grales!$D$59</f>
        <v>28479.6584293752</v>
      </c>
      <c r="F182" s="99" t="n">
        <f aca="false">F181*12*Analisis_Inputs_Grales!$D$59</f>
        <v>28479.6584293752</v>
      </c>
      <c r="G182" s="99" t="n">
        <f aca="false">G181*12*Analisis_Inputs_Grales!$D$59</f>
        <v>28479.6584293752</v>
      </c>
      <c r="H182" s="99" t="n">
        <f aca="false">H181*12*Analisis_Inputs_Grales!$D$59</f>
        <v>28479.6584293752</v>
      </c>
      <c r="I182" s="99" t="n">
        <f aca="false">I181*12*Analisis_Inputs_Grales!$D$59</f>
        <v>28479.6584293752</v>
      </c>
      <c r="J182" s="99" t="n">
        <f aca="false">J181*12*Analisis_Inputs_Grales!$D$59</f>
        <v>28479.6584293752</v>
      </c>
      <c r="K182" s="99" t="n">
        <f aca="false">K181*12*Analisis_Inputs_Grales!$D$59</f>
        <v>28479.6584293752</v>
      </c>
      <c r="L182" s="99" t="n">
        <f aca="false">L181*12*Analisis_Inputs_Grales!$D$59</f>
        <v>28479.6584293752</v>
      </c>
      <c r="M182" s="99" t="n">
        <f aca="false">M181*12*Analisis_Inputs_Grales!$D$59</f>
        <v>28479.6584293752</v>
      </c>
    </row>
    <row r="183" customFormat="false" ht="14.25" hidden="false" customHeight="false" outlineLevel="0" collapsed="false">
      <c r="B183" s="95" t="s">
        <v>198</v>
      </c>
      <c r="C183" s="96" t="s">
        <v>197</v>
      </c>
      <c r="D183" s="97" t="n">
        <f aca="false">(Analisis_Inputs_Grales!$D$67-Analisis_Inputs_Grales!$D$70*Analisis_Inputs_Grales!$D$67)/(Analisis_Inputs_Grales!$D$59*12*$C$179)</f>
        <v>0.206016047666198</v>
      </c>
      <c r="E183" s="97" t="n">
        <f aca="false">(Analisis_Inputs_Grales!$D$67-Analisis_Inputs_Grales!$D$70*Analisis_Inputs_Grales!$D$67)/(Analisis_Inputs_Grales!$D$59*12*$C$179)</f>
        <v>0.206016047666198</v>
      </c>
      <c r="F183" s="97" t="n">
        <f aca="false">(Analisis_Inputs_Grales!$D$67-Analisis_Inputs_Grales!$D$70*Analisis_Inputs_Grales!$D$67)/(Analisis_Inputs_Grales!$D$59*12*$C$179)</f>
        <v>0.206016047666198</v>
      </c>
      <c r="G183" s="97" t="n">
        <f aca="false">(Analisis_Inputs_Grales!$D$67-Analisis_Inputs_Grales!$D$70*Analisis_Inputs_Grales!$D$67)/(Analisis_Inputs_Grales!$D$59*12*$C$179)</f>
        <v>0.206016047666198</v>
      </c>
      <c r="H183" s="97" t="n">
        <f aca="false">(Analisis_Inputs_Grales!$D$67-Analisis_Inputs_Grales!$D$70*Analisis_Inputs_Grales!$D$67)/(Analisis_Inputs_Grales!$D$59*12*$C$179)</f>
        <v>0.206016047666198</v>
      </c>
      <c r="I183" s="97" t="n">
        <f aca="false">(Analisis_Inputs_Grales!$D$67-Analisis_Inputs_Grales!$D$70*Analisis_Inputs_Grales!$D$67)/(Analisis_Inputs_Grales!$D$59*12*$C$179)</f>
        <v>0.206016047666198</v>
      </c>
      <c r="J183" s="97" t="n">
        <f aca="false">(Analisis_Inputs_Grales!$D$67-Analisis_Inputs_Grales!$D$70*Analisis_Inputs_Grales!$D$67)/(Analisis_Inputs_Grales!$D$59*12*$C$179)</f>
        <v>0.206016047666198</v>
      </c>
      <c r="K183" s="97" t="n">
        <f aca="false">(Analisis_Inputs_Grales!$D$67-Analisis_Inputs_Grales!$D$70*Analisis_Inputs_Grales!$D$67)/(Analisis_Inputs_Grales!$D$59*12*$C$179)</f>
        <v>0.206016047666198</v>
      </c>
      <c r="L183" s="97" t="n">
        <f aca="false">(Analisis_Inputs_Grales!$D$67-Analisis_Inputs_Grales!$D$70*Analisis_Inputs_Grales!$D$67)/(Analisis_Inputs_Grales!$D$59*12*$C$179)</f>
        <v>0.206016047666198</v>
      </c>
      <c r="M183" s="97" t="n">
        <f aca="false">(Analisis_Inputs_Grales!$D$67-Analisis_Inputs_Grales!$D$70*Analisis_Inputs_Grales!$D$67)/(Analisis_Inputs_Grales!$D$59*12*$C$179)</f>
        <v>0.206016047666198</v>
      </c>
    </row>
    <row r="184" customFormat="false" ht="14.25" hidden="false" customHeight="false" outlineLevel="0" collapsed="false">
      <c r="B184" s="98" t="s">
        <v>198</v>
      </c>
      <c r="C184" s="56" t="s">
        <v>96</v>
      </c>
      <c r="D184" s="99" t="n">
        <f aca="false">D183*12*Analisis_Inputs_Grales!$D$59</f>
        <v>21359.7438220314</v>
      </c>
      <c r="E184" s="99" t="n">
        <f aca="false">E183*12*Analisis_Inputs_Grales!$D$59</f>
        <v>21359.7438220314</v>
      </c>
      <c r="F184" s="99" t="n">
        <f aca="false">F183*12*Analisis_Inputs_Grales!$D$59</f>
        <v>21359.7438220314</v>
      </c>
      <c r="G184" s="99" t="n">
        <f aca="false">G183*12*Analisis_Inputs_Grales!$D$59</f>
        <v>21359.7438220314</v>
      </c>
      <c r="H184" s="99" t="n">
        <f aca="false">H183*12*Analisis_Inputs_Grales!$D$59</f>
        <v>21359.7438220314</v>
      </c>
      <c r="I184" s="99" t="n">
        <f aca="false">I183*12*Analisis_Inputs_Grales!$D$59</f>
        <v>21359.7438220314</v>
      </c>
      <c r="J184" s="99" t="n">
        <f aca="false">J183*12*Analisis_Inputs_Grales!$D$59</f>
        <v>21359.7438220314</v>
      </c>
      <c r="K184" s="99" t="n">
        <f aca="false">K183*12*Analisis_Inputs_Grales!$D$59</f>
        <v>21359.7438220314</v>
      </c>
      <c r="L184" s="99" t="n">
        <f aca="false">L183*12*Analisis_Inputs_Grales!$D$59</f>
        <v>21359.7438220314</v>
      </c>
      <c r="M184" s="99" t="n">
        <f aca="false">M183*12*Analisis_Inputs_Grales!$D$59</f>
        <v>21359.7438220314</v>
      </c>
    </row>
    <row r="185" customFormat="false" ht="14.25" hidden="false" customHeight="false" outlineLevel="0" collapsed="false">
      <c r="B185" s="95" t="s">
        <v>199</v>
      </c>
      <c r="C185" s="96" t="s">
        <v>197</v>
      </c>
      <c r="D185" s="97" t="n">
        <f aca="false">Analisis_Inputs_Grales!$D$51/Analisis_Inputs_Grales!$D$59</f>
        <v>0.18265162037037</v>
      </c>
      <c r="E185" s="97" t="n">
        <f aca="false">Analisis_Inputs_Grales!$D$51/Analisis_Inputs_Grales!$D$59</f>
        <v>0.18265162037037</v>
      </c>
      <c r="F185" s="97" t="n">
        <f aca="false">Analisis_Inputs_Grales!$D$51/Analisis_Inputs_Grales!$D$59</f>
        <v>0.18265162037037</v>
      </c>
      <c r="G185" s="97" t="n">
        <f aca="false">Analisis_Inputs_Grales!$D$51/Analisis_Inputs_Grales!$D$59</f>
        <v>0.18265162037037</v>
      </c>
      <c r="H185" s="97" t="n">
        <f aca="false">Analisis_Inputs_Grales!$D$51/Analisis_Inputs_Grales!$D$59</f>
        <v>0.18265162037037</v>
      </c>
      <c r="I185" s="97" t="n">
        <f aca="false">Analisis_Inputs_Grales!$D$51/Analisis_Inputs_Grales!$D$59</f>
        <v>0.18265162037037</v>
      </c>
      <c r="J185" s="97" t="n">
        <f aca="false">Analisis_Inputs_Grales!$D$51/Analisis_Inputs_Grales!$D$59</f>
        <v>0.18265162037037</v>
      </c>
      <c r="K185" s="97" t="n">
        <f aca="false">Analisis_Inputs_Grales!$D$51/Analisis_Inputs_Grales!$D$59</f>
        <v>0.18265162037037</v>
      </c>
      <c r="L185" s="97" t="n">
        <f aca="false">Analisis_Inputs_Grales!$D$51/Analisis_Inputs_Grales!$D$59</f>
        <v>0.18265162037037</v>
      </c>
      <c r="M185" s="97" t="n">
        <f aca="false">Analisis_Inputs_Grales!$D$51/Analisis_Inputs_Grales!$D$59</f>
        <v>0.18265162037037</v>
      </c>
    </row>
    <row r="186" customFormat="false" ht="14.25" hidden="false" customHeight="false" outlineLevel="0" collapsed="false">
      <c r="B186" s="101" t="s">
        <v>199</v>
      </c>
      <c r="C186" s="102" t="s">
        <v>96</v>
      </c>
      <c r="D186" s="99" t="n">
        <f aca="false">D185*12*Analisis_Inputs_Grales!$D$59</f>
        <v>18937.32</v>
      </c>
      <c r="E186" s="99" t="n">
        <f aca="false">E185*12*Analisis_Inputs_Grales!$D$59</f>
        <v>18937.32</v>
      </c>
      <c r="F186" s="99" t="n">
        <f aca="false">F185*12*Analisis_Inputs_Grales!$D$59</f>
        <v>18937.32</v>
      </c>
      <c r="G186" s="99" t="n">
        <f aca="false">G185*12*Analisis_Inputs_Grales!$D$59</f>
        <v>18937.32</v>
      </c>
      <c r="H186" s="99" t="n">
        <f aca="false">H185*12*Analisis_Inputs_Grales!$D$59</f>
        <v>18937.32</v>
      </c>
      <c r="I186" s="99" t="n">
        <f aca="false">I185*12*Analisis_Inputs_Grales!$D$59</f>
        <v>18937.32</v>
      </c>
      <c r="J186" s="99" t="n">
        <f aca="false">J185*12*Analisis_Inputs_Grales!$D$59</f>
        <v>18937.32</v>
      </c>
      <c r="K186" s="99" t="n">
        <f aca="false">K185*12*Analisis_Inputs_Grales!$D$59</f>
        <v>18937.32</v>
      </c>
      <c r="L186" s="99" t="n">
        <f aca="false">L185*12*Analisis_Inputs_Grales!$D$59</f>
        <v>18937.32</v>
      </c>
      <c r="M186" s="99" t="n">
        <f aca="false">M185*12*Analisis_Inputs_Grales!$D$59</f>
        <v>18937.32</v>
      </c>
    </row>
    <row r="187" customFormat="false" ht="14.25" hidden="false" customHeight="false" outlineLevel="0" collapsed="false">
      <c r="B187" s="95" t="s">
        <v>200</v>
      </c>
      <c r="C187" s="96" t="s">
        <v>197</v>
      </c>
      <c r="D187" s="97" t="n">
        <f aca="false">D185+D183+D181</f>
        <v>0.663355731591499</v>
      </c>
      <c r="E187" s="97" t="n">
        <f aca="false">E185+E183+E181</f>
        <v>0.663355731591499</v>
      </c>
      <c r="F187" s="97" t="n">
        <f aca="false">F185+F183+F181</f>
        <v>0.663355731591499</v>
      </c>
      <c r="G187" s="97" t="n">
        <f aca="false">G185+G183+G181</f>
        <v>0.663355731591499</v>
      </c>
      <c r="H187" s="97" t="n">
        <f aca="false">H185+H183+H181</f>
        <v>0.663355731591499</v>
      </c>
      <c r="I187" s="97" t="n">
        <f aca="false">I185+I183+I181</f>
        <v>0.663355731591499</v>
      </c>
      <c r="J187" s="97" t="n">
        <f aca="false">J185+J183+J181</f>
        <v>0.663355731591499</v>
      </c>
      <c r="K187" s="97" t="n">
        <f aca="false">K185+K183+K181</f>
        <v>0.663355731591499</v>
      </c>
      <c r="L187" s="97" t="n">
        <f aca="false">L185+L183+L181</f>
        <v>0.663355731591499</v>
      </c>
      <c r="M187" s="97" t="n">
        <f aca="false">M185+M183+M181</f>
        <v>0.663355731591499</v>
      </c>
    </row>
    <row r="188" customFormat="false" ht="14.25" hidden="false" customHeight="false" outlineLevel="0" collapsed="false">
      <c r="B188" s="98" t="s">
        <v>200</v>
      </c>
      <c r="C188" s="56" t="s">
        <v>96</v>
      </c>
      <c r="D188" s="99" t="n">
        <f aca="false">D187*12*Analisis_Inputs_Grales!$D$59</f>
        <v>68776.7222514066</v>
      </c>
      <c r="E188" s="99" t="n">
        <f aca="false">E187*12*Analisis_Inputs_Grales!$D$59</f>
        <v>68776.7222514066</v>
      </c>
      <c r="F188" s="99" t="n">
        <f aca="false">F187*12*Analisis_Inputs_Grales!$D$59</f>
        <v>68776.7222514066</v>
      </c>
      <c r="G188" s="99" t="n">
        <f aca="false">G187*12*Analisis_Inputs_Grales!$D$59</f>
        <v>68776.7222514066</v>
      </c>
      <c r="H188" s="99" t="n">
        <f aca="false">H187*12*Analisis_Inputs_Grales!$D$59</f>
        <v>68776.7222514066</v>
      </c>
      <c r="I188" s="99" t="n">
        <f aca="false">I187*12*Analisis_Inputs_Grales!$D$59</f>
        <v>68776.7222514066</v>
      </c>
      <c r="J188" s="99" t="n">
        <f aca="false">J187*12*Analisis_Inputs_Grales!$D$59</f>
        <v>68776.7222514066</v>
      </c>
      <c r="K188" s="99" t="n">
        <f aca="false">K187*12*Analisis_Inputs_Grales!$D$59</f>
        <v>68776.7222514066</v>
      </c>
      <c r="L188" s="99" t="n">
        <f aca="false">L187*12*Analisis_Inputs_Grales!$D$59</f>
        <v>68776.7222514066</v>
      </c>
      <c r="M188" s="99" t="n">
        <f aca="false">M187*12*Analisis_Inputs_Grales!$D$59</f>
        <v>68776.7222514066</v>
      </c>
    </row>
    <row r="189" customFormat="false" ht="14.25" hidden="false" customHeight="false" outlineLevel="0" collapsed="false">
      <c r="C189" s="56"/>
    </row>
    <row r="190" customFormat="false" ht="15" hidden="false" customHeight="false" outlineLevel="0" collapsed="false">
      <c r="B190" s="122" t="s">
        <v>201</v>
      </c>
      <c r="C190" s="56"/>
    </row>
    <row r="191" customFormat="false" ht="14.25" hidden="false" customHeight="false" outlineLevel="0" collapsed="false">
      <c r="B191" s="95" t="s">
        <v>202</v>
      </c>
      <c r="C191" s="96" t="s">
        <v>197</v>
      </c>
      <c r="D191" s="97" t="n">
        <f aca="false">Analisis_Inputs_Grales!$D$73/(Analisis_Inputs_Grales!$D$71*Analisis_Inputs_Grales!$D$72/60)</f>
        <v>0.0656583629893238</v>
      </c>
      <c r="E191" s="97" t="n">
        <f aca="false">Analisis_Inputs_Grales!$D$73/(Analisis_Inputs_Grales!$D$71*Analisis_Inputs_Grales!$D$72/60)</f>
        <v>0.0656583629893238</v>
      </c>
      <c r="F191" s="97" t="n">
        <f aca="false">Analisis_Inputs_Grales!$D$73/(Analisis_Inputs_Grales!$D$71*Analisis_Inputs_Grales!$D$72/60)</f>
        <v>0.0656583629893238</v>
      </c>
      <c r="G191" s="97" t="n">
        <f aca="false">Analisis_Inputs_Grales!$D$73/(Analisis_Inputs_Grales!$D$71*Analisis_Inputs_Grales!$D$72/60)</f>
        <v>0.0656583629893238</v>
      </c>
      <c r="H191" s="97" t="n">
        <f aca="false">Analisis_Inputs_Grales!$D$73/(Analisis_Inputs_Grales!$D$71*Analisis_Inputs_Grales!$D$72/60)</f>
        <v>0.0656583629893238</v>
      </c>
      <c r="I191" s="97" t="n">
        <f aca="false">Analisis_Inputs_Grales!$D$73/(Analisis_Inputs_Grales!$D$71*Analisis_Inputs_Grales!$D$72/60)</f>
        <v>0.0656583629893238</v>
      </c>
      <c r="J191" s="97" t="n">
        <f aca="false">Analisis_Inputs_Grales!$D$73/(Analisis_Inputs_Grales!$D$71*Analisis_Inputs_Grales!$D$72/60)</f>
        <v>0.0656583629893238</v>
      </c>
      <c r="K191" s="97" t="n">
        <f aca="false">Analisis_Inputs_Grales!$D$73/(Analisis_Inputs_Grales!$D$71*Analisis_Inputs_Grales!$D$72/60)</f>
        <v>0.0656583629893238</v>
      </c>
      <c r="L191" s="97" t="n">
        <f aca="false">Analisis_Inputs_Grales!$D$73/(Analisis_Inputs_Grales!$D$71*Analisis_Inputs_Grales!$D$72/60)</f>
        <v>0.0656583629893238</v>
      </c>
      <c r="M191" s="97" t="n">
        <f aca="false">Analisis_Inputs_Grales!$D$73/(Analisis_Inputs_Grales!$D$71*Analisis_Inputs_Grales!$D$72/60)</f>
        <v>0.0656583629893238</v>
      </c>
    </row>
    <row r="192" customFormat="false" ht="14.25" hidden="false" customHeight="false" outlineLevel="0" collapsed="false">
      <c r="B192" s="98" t="s">
        <v>202</v>
      </c>
      <c r="C192" s="56" t="s">
        <v>96</v>
      </c>
      <c r="D192" s="99" t="n">
        <f aca="false">D191*12*Analisis_Inputs_Grales!$D$59</f>
        <v>6807.4590747331</v>
      </c>
      <c r="E192" s="99" t="n">
        <f aca="false">E191*12*Analisis_Inputs_Grales!$D$59</f>
        <v>6807.4590747331</v>
      </c>
      <c r="F192" s="99" t="n">
        <f aca="false">F191*12*Analisis_Inputs_Grales!$D$59</f>
        <v>6807.4590747331</v>
      </c>
      <c r="G192" s="99" t="n">
        <f aca="false">G191*12*Analisis_Inputs_Grales!$D$59</f>
        <v>6807.4590747331</v>
      </c>
      <c r="H192" s="99" t="n">
        <f aca="false">H191*12*Analisis_Inputs_Grales!$D$59</f>
        <v>6807.4590747331</v>
      </c>
      <c r="I192" s="99" t="n">
        <f aca="false">I191*12*Analisis_Inputs_Grales!$D$59</f>
        <v>6807.4590747331</v>
      </c>
      <c r="J192" s="99" t="n">
        <f aca="false">J191*12*Analisis_Inputs_Grales!$D$59</f>
        <v>6807.4590747331</v>
      </c>
      <c r="K192" s="99" t="n">
        <f aca="false">K191*12*Analisis_Inputs_Grales!$D$59</f>
        <v>6807.4590747331</v>
      </c>
      <c r="L192" s="99" t="n">
        <f aca="false">L191*12*Analisis_Inputs_Grales!$D$59</f>
        <v>6807.4590747331</v>
      </c>
      <c r="M192" s="99" t="n">
        <f aca="false">M191*12*Analisis_Inputs_Grales!$D$59</f>
        <v>6807.4590747331</v>
      </c>
    </row>
    <row r="193" customFormat="false" ht="14.25" hidden="false" customHeight="false" outlineLevel="0" collapsed="false">
      <c r="B193" s="95" t="s">
        <v>203</v>
      </c>
      <c r="C193" s="96" t="s">
        <v>197</v>
      </c>
      <c r="D193" s="97" t="n">
        <f aca="false">Analisis_Inputs_Grales!$D$74*'Analisis 20Años'!D191</f>
        <v>0.00984875444839858</v>
      </c>
      <c r="E193" s="97" t="n">
        <f aca="false">Analisis_Inputs_Grales!$D$74*'Analisis 20Años'!E191</f>
        <v>0.00984875444839858</v>
      </c>
      <c r="F193" s="97" t="n">
        <f aca="false">Analisis_Inputs_Grales!$D$74*'Analisis 20Años'!F191</f>
        <v>0.00984875444839858</v>
      </c>
      <c r="G193" s="97" t="n">
        <f aca="false">Analisis_Inputs_Grales!$D$74*'Analisis 20Años'!G191</f>
        <v>0.00984875444839858</v>
      </c>
      <c r="H193" s="97" t="n">
        <f aca="false">Analisis_Inputs_Grales!$D$74*'Analisis 20Años'!H191</f>
        <v>0.00984875444839858</v>
      </c>
      <c r="I193" s="97" t="n">
        <f aca="false">Analisis_Inputs_Grales!$D$74*'Analisis 20Años'!I191</f>
        <v>0.00984875444839858</v>
      </c>
      <c r="J193" s="97" t="n">
        <f aca="false">Analisis_Inputs_Grales!$D$74*'Analisis 20Años'!J191</f>
        <v>0.00984875444839858</v>
      </c>
      <c r="K193" s="97" t="n">
        <f aca="false">Analisis_Inputs_Grales!$D$74*'Analisis 20Años'!K191</f>
        <v>0.00984875444839858</v>
      </c>
      <c r="L193" s="97" t="n">
        <f aca="false">Analisis_Inputs_Grales!$D$74*'Analisis 20Años'!L191</f>
        <v>0.00984875444839858</v>
      </c>
      <c r="M193" s="97" t="n">
        <f aca="false">Analisis_Inputs_Grales!$D$74*'Analisis 20Años'!M191</f>
        <v>0.00984875444839858</v>
      </c>
    </row>
    <row r="194" customFormat="false" ht="14.25" hidden="false" customHeight="false" outlineLevel="0" collapsed="false">
      <c r="B194" s="98" t="s">
        <v>203</v>
      </c>
      <c r="C194" s="56" t="s">
        <v>96</v>
      </c>
      <c r="D194" s="99" t="n">
        <f aca="false">D193*12*Analisis_Inputs_Grales!$D$59</f>
        <v>1021.11886120996</v>
      </c>
      <c r="E194" s="99" t="n">
        <f aca="false">E193*12*Analisis_Inputs_Grales!$D$59</f>
        <v>1021.11886120996</v>
      </c>
      <c r="F194" s="99" t="n">
        <f aca="false">F193*12*Analisis_Inputs_Grales!$D$59</f>
        <v>1021.11886120996</v>
      </c>
      <c r="G194" s="99" t="n">
        <f aca="false">G193*12*Analisis_Inputs_Grales!$D$59</f>
        <v>1021.11886120996</v>
      </c>
      <c r="H194" s="99" t="n">
        <f aca="false">H193*12*Analisis_Inputs_Grales!$D$59</f>
        <v>1021.11886120996</v>
      </c>
      <c r="I194" s="99" t="n">
        <f aca="false">I193*12*Analisis_Inputs_Grales!$D$59</f>
        <v>1021.11886120996</v>
      </c>
      <c r="J194" s="99" t="n">
        <f aca="false">J193*12*Analisis_Inputs_Grales!$D$59</f>
        <v>1021.11886120996</v>
      </c>
      <c r="K194" s="99" t="n">
        <f aca="false">K193*12*Analisis_Inputs_Grales!$D$59</f>
        <v>1021.11886120996</v>
      </c>
      <c r="L194" s="99" t="n">
        <f aca="false">L193*12*Analisis_Inputs_Grales!$D$59</f>
        <v>1021.11886120996</v>
      </c>
      <c r="M194" s="99" t="n">
        <f aca="false">M193*12*Analisis_Inputs_Grales!$D$59</f>
        <v>1021.11886120996</v>
      </c>
    </row>
    <row r="195" customFormat="false" ht="14.25" hidden="false" customHeight="false" outlineLevel="0" collapsed="false">
      <c r="B195" s="95" t="s">
        <v>204</v>
      </c>
      <c r="C195" s="96" t="s">
        <v>197</v>
      </c>
      <c r="D195" s="97" t="n">
        <f aca="false">Analisis_Inputs_Grales!$D$75*('Analisis 20Años'!D191+'Analisis 20Años'!D193)</f>
        <v>0.030202846975089</v>
      </c>
      <c r="E195" s="97" t="n">
        <f aca="false">Analisis_Inputs_Grales!$D$75*('Analisis 20Años'!E191+'Analisis 20Años'!E193)</f>
        <v>0.030202846975089</v>
      </c>
      <c r="F195" s="97" t="n">
        <f aca="false">Analisis_Inputs_Grales!$D$75*('Analisis 20Años'!F191+'Analisis 20Años'!F193)</f>
        <v>0.030202846975089</v>
      </c>
      <c r="G195" s="97" t="n">
        <f aca="false">Analisis_Inputs_Grales!$D$75*('Analisis 20Años'!G191+'Analisis 20Años'!G193)</f>
        <v>0.030202846975089</v>
      </c>
      <c r="H195" s="97" t="n">
        <f aca="false">Analisis_Inputs_Grales!$D$75*('Analisis 20Años'!H191+'Analisis 20Años'!H193)</f>
        <v>0.030202846975089</v>
      </c>
      <c r="I195" s="97" t="n">
        <f aca="false">Analisis_Inputs_Grales!$D$75*('Analisis 20Años'!I191+'Analisis 20Años'!I193)</f>
        <v>0.030202846975089</v>
      </c>
      <c r="J195" s="97" t="n">
        <f aca="false">Analisis_Inputs_Grales!$D$75*('Analisis 20Años'!J191+'Analisis 20Años'!J193)</f>
        <v>0.030202846975089</v>
      </c>
      <c r="K195" s="97" t="n">
        <f aca="false">Analisis_Inputs_Grales!$D$75*('Analisis 20Años'!K191+'Analisis 20Años'!K193)</f>
        <v>0.030202846975089</v>
      </c>
      <c r="L195" s="97" t="n">
        <f aca="false">Analisis_Inputs_Grales!$D$75*('Analisis 20Años'!L191+'Analisis 20Años'!L193)</f>
        <v>0.030202846975089</v>
      </c>
      <c r="M195" s="97" t="n">
        <f aca="false">Analisis_Inputs_Grales!$D$75*('Analisis 20Años'!M191+'Analisis 20Años'!M193)</f>
        <v>0.030202846975089</v>
      </c>
    </row>
    <row r="196" customFormat="false" ht="14.25" hidden="false" customHeight="false" outlineLevel="0" collapsed="false">
      <c r="B196" s="98" t="s">
        <v>204</v>
      </c>
      <c r="C196" s="56" t="s">
        <v>96</v>
      </c>
      <c r="D196" s="99" t="n">
        <f aca="false">D195*12*Analisis_Inputs_Grales!$D$59</f>
        <v>3131.43117437722</v>
      </c>
      <c r="E196" s="99" t="n">
        <f aca="false">E195*12*Analisis_Inputs_Grales!$D$59</f>
        <v>3131.43117437722</v>
      </c>
      <c r="F196" s="99" t="n">
        <f aca="false">F195*12*Analisis_Inputs_Grales!$D$59</f>
        <v>3131.43117437722</v>
      </c>
      <c r="G196" s="99" t="n">
        <f aca="false">G195*12*Analisis_Inputs_Grales!$D$59</f>
        <v>3131.43117437722</v>
      </c>
      <c r="H196" s="99" t="n">
        <f aca="false">H195*12*Analisis_Inputs_Grales!$D$59</f>
        <v>3131.43117437722</v>
      </c>
      <c r="I196" s="99" t="n">
        <f aca="false">I195*12*Analisis_Inputs_Grales!$D$59</f>
        <v>3131.43117437722</v>
      </c>
      <c r="J196" s="99" t="n">
        <f aca="false">J195*12*Analisis_Inputs_Grales!$D$59</f>
        <v>3131.43117437722</v>
      </c>
      <c r="K196" s="99" t="n">
        <f aca="false">K195*12*Analisis_Inputs_Grales!$D$59</f>
        <v>3131.43117437722</v>
      </c>
      <c r="L196" s="99" t="n">
        <f aca="false">L195*12*Analisis_Inputs_Grales!$D$59</f>
        <v>3131.43117437722</v>
      </c>
      <c r="M196" s="99" t="n">
        <f aca="false">M195*12*Analisis_Inputs_Grales!$D$59</f>
        <v>3131.43117437722</v>
      </c>
    </row>
    <row r="197" customFormat="false" ht="14.25" hidden="false" customHeight="false" outlineLevel="0" collapsed="false">
      <c r="B197" s="95" t="s">
        <v>205</v>
      </c>
      <c r="C197" s="96" t="s">
        <v>197</v>
      </c>
      <c r="D197" s="97" t="n">
        <f aca="false">D195+D193+D191</f>
        <v>0.105709964412811</v>
      </c>
      <c r="E197" s="97" t="n">
        <f aca="false">E195+E193+E191</f>
        <v>0.105709964412811</v>
      </c>
      <c r="F197" s="97" t="n">
        <f aca="false">F195+F193+F191</f>
        <v>0.105709964412811</v>
      </c>
      <c r="G197" s="97" t="n">
        <f aca="false">G195+G193+G191</f>
        <v>0.105709964412811</v>
      </c>
      <c r="H197" s="97" t="n">
        <f aca="false">H195+H193+H191</f>
        <v>0.105709964412811</v>
      </c>
      <c r="I197" s="97" t="n">
        <f aca="false">I195+I193+I191</f>
        <v>0.105709964412811</v>
      </c>
      <c r="J197" s="97" t="n">
        <f aca="false">J195+J193+J191</f>
        <v>0.105709964412811</v>
      </c>
      <c r="K197" s="97" t="n">
        <f aca="false">K195+K193+K191</f>
        <v>0.105709964412811</v>
      </c>
      <c r="L197" s="97" t="n">
        <f aca="false">L195+L193+L191</f>
        <v>0.105709964412811</v>
      </c>
      <c r="M197" s="97" t="n">
        <f aca="false">M195+M193+M191</f>
        <v>0.105709964412811</v>
      </c>
    </row>
    <row r="198" customFormat="false" ht="14.25" hidden="false" customHeight="false" outlineLevel="0" collapsed="false">
      <c r="B198" s="101" t="s">
        <v>205</v>
      </c>
      <c r="C198" s="56" t="s">
        <v>96</v>
      </c>
      <c r="D198" s="99" t="n">
        <f aca="false">D197*12*Analisis_Inputs_Grales!$D$59</f>
        <v>10960.0091103203</v>
      </c>
      <c r="E198" s="99" t="n">
        <f aca="false">E197*12*Analisis_Inputs_Grales!$D$59</f>
        <v>10960.0091103203</v>
      </c>
      <c r="F198" s="99" t="n">
        <f aca="false">F197*12*Analisis_Inputs_Grales!$D$59</f>
        <v>10960.0091103203</v>
      </c>
      <c r="G198" s="99" t="n">
        <f aca="false">G197*12*Analisis_Inputs_Grales!$D$59</f>
        <v>10960.0091103203</v>
      </c>
      <c r="H198" s="99" t="n">
        <f aca="false">H197*12*Analisis_Inputs_Grales!$D$59</f>
        <v>10960.0091103203</v>
      </c>
      <c r="I198" s="99" t="n">
        <f aca="false">I197*12*Analisis_Inputs_Grales!$D$59</f>
        <v>10960.0091103203</v>
      </c>
      <c r="J198" s="99" t="n">
        <f aca="false">J197*12*Analisis_Inputs_Grales!$D$59</f>
        <v>10960.0091103203</v>
      </c>
      <c r="K198" s="99" t="n">
        <f aca="false">K197*12*Analisis_Inputs_Grales!$D$59</f>
        <v>10960.0091103203</v>
      </c>
      <c r="L198" s="99" t="n">
        <f aca="false">L197*12*Analisis_Inputs_Grales!$D$59</f>
        <v>10960.0091103203</v>
      </c>
      <c r="M198" s="99" t="n">
        <f aca="false">M197*12*Analisis_Inputs_Grales!$D$59</f>
        <v>10960.0091103203</v>
      </c>
    </row>
    <row r="199" customFormat="false" ht="14.25" hidden="false" customHeight="false" outlineLevel="0" collapsed="false">
      <c r="B199" s="103"/>
    </row>
    <row r="200" customFormat="false" ht="14.25" hidden="false" customHeight="false" outlineLevel="0" collapsed="false">
      <c r="B200" s="104" t="s">
        <v>206</v>
      </c>
      <c r="C200" s="105" t="s">
        <v>197</v>
      </c>
      <c r="D200" s="97" t="n">
        <f aca="false">+D187+D197</f>
        <v>0.76906569600431</v>
      </c>
      <c r="E200" s="97" t="n">
        <f aca="false">+E187+E197</f>
        <v>0.76906569600431</v>
      </c>
      <c r="F200" s="97" t="n">
        <f aca="false">+F187+F197</f>
        <v>0.76906569600431</v>
      </c>
      <c r="G200" s="97" t="n">
        <f aca="false">+G187+G197</f>
        <v>0.76906569600431</v>
      </c>
      <c r="H200" s="97" t="n">
        <f aca="false">+H187+H197</f>
        <v>0.76906569600431</v>
      </c>
      <c r="I200" s="97" t="n">
        <f aca="false">+I187+I197</f>
        <v>0.76906569600431</v>
      </c>
      <c r="J200" s="97" t="n">
        <f aca="false">+J187+J197</f>
        <v>0.76906569600431</v>
      </c>
      <c r="K200" s="97" t="n">
        <f aca="false">+K187+K197</f>
        <v>0.76906569600431</v>
      </c>
      <c r="L200" s="97" t="n">
        <f aca="false">+L187+L197</f>
        <v>0.76906569600431</v>
      </c>
      <c r="M200" s="97" t="n">
        <f aca="false">+M187+M197</f>
        <v>0.76906569600431</v>
      </c>
    </row>
    <row r="201" customFormat="false" ht="14.25" hidden="false" customHeight="false" outlineLevel="0" collapsed="false">
      <c r="B201" s="106" t="s">
        <v>206</v>
      </c>
      <c r="C201" s="107" t="s">
        <v>96</v>
      </c>
      <c r="D201" s="99" t="n">
        <f aca="false">D200*12*Analisis_Inputs_Grales!$D$59</f>
        <v>79736.7313617269</v>
      </c>
      <c r="E201" s="99" t="n">
        <f aca="false">E200*12*Analisis_Inputs_Grales!$D$59</f>
        <v>79736.7313617269</v>
      </c>
      <c r="F201" s="99" t="n">
        <f aca="false">F200*12*Analisis_Inputs_Grales!$D$59</f>
        <v>79736.7313617269</v>
      </c>
      <c r="G201" s="99" t="n">
        <f aca="false">G200*12*Analisis_Inputs_Grales!$D$59</f>
        <v>79736.7313617269</v>
      </c>
      <c r="H201" s="99" t="n">
        <f aca="false">H200*12*Analisis_Inputs_Grales!$D$59</f>
        <v>79736.7313617269</v>
      </c>
      <c r="I201" s="99" t="n">
        <f aca="false">I200*12*Analisis_Inputs_Grales!$D$59</f>
        <v>79736.7313617269</v>
      </c>
      <c r="J201" s="99" t="n">
        <f aca="false">J200*12*Analisis_Inputs_Grales!$D$59</f>
        <v>79736.7313617269</v>
      </c>
      <c r="K201" s="99" t="n">
        <f aca="false">K200*12*Analisis_Inputs_Grales!$D$59</f>
        <v>79736.7313617269</v>
      </c>
      <c r="L201" s="99" t="n">
        <f aca="false">L200*12*Analisis_Inputs_Grales!$D$59</f>
        <v>79736.7313617269</v>
      </c>
      <c r="M201" s="99" t="n">
        <f aca="false">M200*12*Analisis_Inputs_Grales!$D$59</f>
        <v>79736.7313617269</v>
      </c>
    </row>
    <row r="202" customFormat="false" ht="14.25" hidden="false" customHeight="false" outlineLevel="0" collapsed="false">
      <c r="B202" s="108"/>
      <c r="C202" s="109"/>
    </row>
    <row r="203" customFormat="false" ht="14.25" hidden="false" customHeight="false" outlineLevel="0" collapsed="false">
      <c r="B203" s="110" t="s">
        <v>207</v>
      </c>
      <c r="C203" s="105" t="s">
        <v>208</v>
      </c>
      <c r="D203" s="97" t="n">
        <f aca="false">D200/(Analisis_Inputs_Grales!$D$64)</f>
        <v>0.0743058643482425</v>
      </c>
      <c r="E203" s="97" t="n">
        <f aca="false">E200/(Analisis_Inputs_Grales!$D$64)</f>
        <v>0.0743058643482425</v>
      </c>
      <c r="F203" s="97" t="n">
        <f aca="false">F200/(Analisis_Inputs_Grales!$D$64)</f>
        <v>0.0743058643482425</v>
      </c>
      <c r="G203" s="97" t="n">
        <f aca="false">G200/(Analisis_Inputs_Grales!$D$64)</f>
        <v>0.0743058643482425</v>
      </c>
      <c r="H203" s="97" t="n">
        <f aca="false">H200/(Analisis_Inputs_Grales!$D$64)</f>
        <v>0.0743058643482425</v>
      </c>
      <c r="I203" s="97" t="n">
        <f aca="false">I200/(Analisis_Inputs_Grales!$D$64)</f>
        <v>0.0743058643482425</v>
      </c>
      <c r="J203" s="97" t="n">
        <f aca="false">J200/(Analisis_Inputs_Grales!$D$64)</f>
        <v>0.0743058643482425</v>
      </c>
      <c r="K203" s="97" t="n">
        <f aca="false">K200/(Analisis_Inputs_Grales!$D$64)</f>
        <v>0.0743058643482425</v>
      </c>
      <c r="L203" s="97" t="n">
        <f aca="false">L200/(Analisis_Inputs_Grales!$D$64)</f>
        <v>0.0743058643482425</v>
      </c>
      <c r="M203" s="97" t="n">
        <f aca="false">M200/(Analisis_Inputs_Grales!$D$64)</f>
        <v>0.0743058643482425</v>
      </c>
    </row>
    <row r="204" customFormat="false" ht="14.25" hidden="false" customHeight="false" outlineLevel="0" collapsed="false">
      <c r="B204" s="103" t="s">
        <v>209</v>
      </c>
      <c r="C204" s="56" t="s">
        <v>210</v>
      </c>
      <c r="D204" s="99" t="n">
        <f aca="false">D203*12*Analisis_Inputs_Grales!$D$59</f>
        <v>7704.03201562578</v>
      </c>
      <c r="E204" s="99" t="n">
        <f aca="false">E203*12*Analisis_Inputs_Grales!$D$59</f>
        <v>7704.03201562578</v>
      </c>
      <c r="F204" s="99" t="n">
        <f aca="false">F203*12*Analisis_Inputs_Grales!$D$59</f>
        <v>7704.03201562578</v>
      </c>
      <c r="G204" s="99" t="n">
        <f aca="false">G203*12*Analisis_Inputs_Grales!$D$59</f>
        <v>7704.03201562578</v>
      </c>
      <c r="H204" s="99" t="n">
        <f aca="false">H203*12*Analisis_Inputs_Grales!$D$59</f>
        <v>7704.03201562578</v>
      </c>
      <c r="I204" s="99" t="n">
        <f aca="false">I203*12*Analisis_Inputs_Grales!$D$59</f>
        <v>7704.03201562578</v>
      </c>
      <c r="J204" s="99" t="n">
        <f aca="false">J203*12*Analisis_Inputs_Grales!$D$59</f>
        <v>7704.03201562578</v>
      </c>
      <c r="K204" s="99" t="n">
        <f aca="false">K203*12*Analisis_Inputs_Grales!$D$59</f>
        <v>7704.03201562578</v>
      </c>
      <c r="L204" s="99" t="n">
        <f aca="false">L203*12*Analisis_Inputs_Grales!$D$59</f>
        <v>7704.03201562578</v>
      </c>
      <c r="M204" s="99" t="n">
        <f aca="false">M203*12*Analisis_Inputs_Grales!$D$59</f>
        <v>7704.03201562578</v>
      </c>
    </row>
    <row r="205" customFormat="false" ht="28.5" hidden="false" customHeight="false" outlineLevel="0" collapsed="false">
      <c r="B205" s="106" t="s">
        <v>220</v>
      </c>
      <c r="C205" s="107" t="s">
        <v>221</v>
      </c>
      <c r="D205" s="97" t="n">
        <f aca="false">(Analisis_Inputs_Grales!$D$79+Analisis_Inputs_Grales!$D$80)*D187/Analisis_Inputs_Grales!$D$64</f>
        <v>2.24323194257995</v>
      </c>
      <c r="E205" s="97" t="n">
        <f aca="false">(Analisis_Inputs_Grales!$D$79+Analisis_Inputs_Grales!$D$80)*E187/Analisis_Inputs_Grales!$D$64</f>
        <v>2.24323194257995</v>
      </c>
      <c r="F205" s="97" t="n">
        <f aca="false">(Analisis_Inputs_Grales!$D$79+Analisis_Inputs_Grales!$D$80)*F187/Analisis_Inputs_Grales!$D$64</f>
        <v>2.24323194257995</v>
      </c>
      <c r="G205" s="97" t="n">
        <f aca="false">(Analisis_Inputs_Grales!$D$79+Analisis_Inputs_Grales!$D$80)*G187/Analisis_Inputs_Grales!$D$64</f>
        <v>2.24323194257995</v>
      </c>
      <c r="H205" s="97" t="n">
        <f aca="false">(Analisis_Inputs_Grales!$D$79+Analisis_Inputs_Grales!$D$80)*H187/Analisis_Inputs_Grales!$D$64</f>
        <v>2.24323194257995</v>
      </c>
      <c r="I205" s="97" t="n">
        <f aca="false">(Analisis_Inputs_Grales!$D$79+Analisis_Inputs_Grales!$D$80)*I187/Analisis_Inputs_Grales!$D$64</f>
        <v>2.24323194257995</v>
      </c>
      <c r="J205" s="97" t="n">
        <f aca="false">(Analisis_Inputs_Grales!$D$79+Analisis_Inputs_Grales!$D$80)*J187/Analisis_Inputs_Grales!$D$64</f>
        <v>2.24323194257995</v>
      </c>
      <c r="K205" s="97" t="n">
        <f aca="false">(Analisis_Inputs_Grales!$D$79+Analisis_Inputs_Grales!$D$80)*K187/Analisis_Inputs_Grales!$D$64</f>
        <v>2.24323194257995</v>
      </c>
      <c r="L205" s="97" t="n">
        <f aca="false">(Analisis_Inputs_Grales!$D$79+Analisis_Inputs_Grales!$D$80)*L187/Analisis_Inputs_Grales!$D$64</f>
        <v>2.24323194257995</v>
      </c>
      <c r="M205" s="97" t="n">
        <f aca="false">(Analisis_Inputs_Grales!$D$79+Analisis_Inputs_Grales!$D$80)*M187/Analisis_Inputs_Grales!$D$64</f>
        <v>2.24323194257995</v>
      </c>
    </row>
    <row r="207" customFormat="false" ht="14.25" hidden="false" customHeight="false" outlineLevel="0" collapsed="false">
      <c r="B207" s="103" t="s">
        <v>211</v>
      </c>
      <c r="C207" s="56" t="s">
        <v>212</v>
      </c>
      <c r="D207" s="97" t="n">
        <f aca="false">(D203*Analisis_Inputs_Grales!$D$34/60)+D205</f>
        <v>2.28203611618403</v>
      </c>
      <c r="E207" s="97" t="n">
        <f aca="false">(E203*Analisis_Inputs_Grales!$D$34/60)+E205</f>
        <v>2.28203611618403</v>
      </c>
      <c r="F207" s="97" t="n">
        <f aca="false">(F203*Analisis_Inputs_Grales!$D$34/60)+F205</f>
        <v>2.28203611618403</v>
      </c>
      <c r="G207" s="97" t="n">
        <f aca="false">(G203*Analisis_Inputs_Grales!$D$34/60)+G205</f>
        <v>2.28203611618403</v>
      </c>
      <c r="H207" s="97" t="n">
        <f aca="false">(H203*Analisis_Inputs_Grales!$D$34/60)+H205</f>
        <v>2.28203611618403</v>
      </c>
      <c r="I207" s="97" t="n">
        <f aca="false">(I203*Analisis_Inputs_Grales!$D$34/60)+I205</f>
        <v>2.28203611618403</v>
      </c>
      <c r="J207" s="97" t="n">
        <f aca="false">(J203*Analisis_Inputs_Grales!$D$34/60)+J205</f>
        <v>2.28203611618403</v>
      </c>
      <c r="K207" s="97" t="n">
        <f aca="false">(K203*Analisis_Inputs_Grales!$D$34/60)+K205</f>
        <v>2.28203611618403</v>
      </c>
      <c r="L207" s="97" t="n">
        <f aca="false">(L203*Analisis_Inputs_Grales!$D$34/60)+L205</f>
        <v>2.28203611618403</v>
      </c>
      <c r="M207" s="97" t="n">
        <f aca="false">(M203*Analisis_Inputs_Grales!$D$34/60)+M205</f>
        <v>2.28203611618403</v>
      </c>
    </row>
    <row r="208" customFormat="false" ht="14.25" hidden="false" customHeight="false" outlineLevel="0" collapsed="false">
      <c r="B208" s="111" t="s">
        <v>213</v>
      </c>
      <c r="C208" s="112" t="s">
        <v>19</v>
      </c>
      <c r="D208" s="97" t="n">
        <f aca="false">(1+Analisis_Inputs_Grales!$D$118)^'Analisis 20Años'!D$3</f>
        <v>1</v>
      </c>
      <c r="E208" s="97" t="n">
        <f aca="false">(1+Analisis_Inputs_Grales!$D$118)^'Analisis 20Años'!E$3</f>
        <v>1.12</v>
      </c>
      <c r="F208" s="97" t="n">
        <f aca="false">(1+Analisis_Inputs_Grales!$D$118)^'Analisis 20Años'!F$3</f>
        <v>1.2544</v>
      </c>
      <c r="G208" s="97" t="n">
        <f aca="false">(1+Analisis_Inputs_Grales!$D$118)^'Analisis 20Años'!G$3</f>
        <v>1.404928</v>
      </c>
      <c r="H208" s="97" t="n">
        <f aca="false">(1+Analisis_Inputs_Grales!$D$118)^'Analisis 20Años'!H$3</f>
        <v>1.57351936</v>
      </c>
      <c r="I208" s="97" t="n">
        <f aca="false">(1+Analisis_Inputs_Grales!$D$118)^'Analisis 20Años'!I$3</f>
        <v>1.7623416832</v>
      </c>
      <c r="J208" s="97" t="n">
        <f aca="false">(1+Analisis_Inputs_Grales!$D$118)^'Analisis 20Años'!J$3</f>
        <v>1.973822685184</v>
      </c>
      <c r="K208" s="97" t="n">
        <f aca="false">(1+Analisis_Inputs_Grales!$D$118)^'Analisis 20Años'!K$3</f>
        <v>2.21068140740608</v>
      </c>
      <c r="L208" s="97" t="n">
        <f aca="false">(1+Analisis_Inputs_Grales!$D$118)^'Analisis 20Años'!L$3</f>
        <v>2.47596317629481</v>
      </c>
      <c r="M208" s="97" t="n">
        <f aca="false">(1+Analisis_Inputs_Grales!$D$118)^'Analisis 20Años'!M$3</f>
        <v>2.77307875745019</v>
      </c>
    </row>
    <row r="209" customFormat="false" ht="14.25" hidden="false" customHeight="false" outlineLevel="0" collapsed="false">
      <c r="B209" s="111" t="s">
        <v>214</v>
      </c>
      <c r="C209" s="112" t="s">
        <v>212</v>
      </c>
      <c r="D209" s="97" t="n">
        <f aca="false">D207*D208</f>
        <v>2.28203611618403</v>
      </c>
      <c r="E209" s="97" t="n">
        <f aca="false">E207*E208</f>
        <v>2.55588045012611</v>
      </c>
      <c r="F209" s="97" t="n">
        <f aca="false">F207*F208</f>
        <v>2.86258610414125</v>
      </c>
      <c r="G209" s="97" t="n">
        <f aca="false">G207*G208</f>
        <v>3.2060964366382</v>
      </c>
      <c r="H209" s="97" t="n">
        <f aca="false">H207*H208</f>
        <v>3.59082800903478</v>
      </c>
      <c r="I209" s="97" t="n">
        <f aca="false">I207*I208</f>
        <v>4.02172737011895</v>
      </c>
      <c r="J209" s="97" t="n">
        <f aca="false">J207*J208</f>
        <v>4.50433465453323</v>
      </c>
      <c r="K209" s="97" t="n">
        <f aca="false">K207*K208</f>
        <v>5.04485481307722</v>
      </c>
      <c r="L209" s="97" t="n">
        <f aca="false">L207*L208</f>
        <v>5.65023739064648</v>
      </c>
      <c r="M209" s="97" t="n">
        <f aca="false">M207*M208</f>
        <v>6.32826587752406</v>
      </c>
    </row>
    <row r="210" customFormat="false" ht="15" hidden="false" customHeight="false" outlineLevel="0" collapsed="false">
      <c r="B210" s="113" t="s">
        <v>222</v>
      </c>
      <c r="C210" s="112" t="s">
        <v>212</v>
      </c>
      <c r="D210" s="97" t="n">
        <f aca="false">SUM(D209:M209)</f>
        <v>40.0468472220243</v>
      </c>
    </row>
    <row r="212" customFormat="false" ht="15" hidden="false" customHeight="false" outlineLevel="0" collapsed="false"/>
    <row r="213" customFormat="false" ht="16.5" hidden="false" customHeight="false" outlineLevel="0" collapsed="false">
      <c r="B213" s="92" t="s">
        <v>130</v>
      </c>
      <c r="C213" s="93" t="n">
        <v>15</v>
      </c>
      <c r="D213" s="99"/>
    </row>
    <row r="214" customFormat="false" ht="15.75" hidden="false" customHeight="false" outlineLevel="0" collapsed="false">
      <c r="B214" s="94" t="s">
        <v>195</v>
      </c>
      <c r="D214" s="99"/>
    </row>
    <row r="215" customFormat="false" ht="14.25" hidden="false" customHeight="false" outlineLevel="0" collapsed="false">
      <c r="B215" s="95" t="s">
        <v>196</v>
      </c>
      <c r="C215" s="96" t="s">
        <v>197</v>
      </c>
      <c r="D215" s="97" t="n">
        <f aca="false">Analisis_Inputs_Grales!$D$67*(Analisis_Inputs_Grales!$D$118/12)/Analisis_Inputs_Grales!$D$59</f>
        <v>0.27468806355493</v>
      </c>
      <c r="E215" s="97" t="n">
        <f aca="false">Analisis_Inputs_Grales!$D$67*(Analisis_Inputs_Grales!$D$118/12)/Analisis_Inputs_Grales!$D$59</f>
        <v>0.27468806355493</v>
      </c>
      <c r="F215" s="97" t="n">
        <f aca="false">Analisis_Inputs_Grales!$D$67*(Analisis_Inputs_Grales!$D$118/12)/Analisis_Inputs_Grales!$D$59</f>
        <v>0.27468806355493</v>
      </c>
      <c r="G215" s="97" t="n">
        <f aca="false">Analisis_Inputs_Grales!$D$67*(Analisis_Inputs_Grales!$D$118/12)/Analisis_Inputs_Grales!$D$59</f>
        <v>0.27468806355493</v>
      </c>
      <c r="H215" s="97" t="n">
        <f aca="false">Analisis_Inputs_Grales!$D$67*(Analisis_Inputs_Grales!$D$118/12)/Analisis_Inputs_Grales!$D$59</f>
        <v>0.27468806355493</v>
      </c>
      <c r="I215" s="97" t="n">
        <f aca="false">Analisis_Inputs_Grales!$D$67*(Analisis_Inputs_Grales!$D$118/12)/Analisis_Inputs_Grales!$D$59</f>
        <v>0.27468806355493</v>
      </c>
      <c r="J215" s="97" t="n">
        <f aca="false">Analisis_Inputs_Grales!$D$67*(Analisis_Inputs_Grales!$D$118/12)/Analisis_Inputs_Grales!$D$59</f>
        <v>0.27468806355493</v>
      </c>
      <c r="K215" s="97" t="n">
        <f aca="false">Analisis_Inputs_Grales!$D$67*(Analisis_Inputs_Grales!$D$118/12)/Analisis_Inputs_Grales!$D$59</f>
        <v>0.27468806355493</v>
      </c>
      <c r="L215" s="97" t="n">
        <f aca="false">Analisis_Inputs_Grales!$D$67*(Analisis_Inputs_Grales!$D$118/12)/Analisis_Inputs_Grales!$D$59</f>
        <v>0.27468806355493</v>
      </c>
      <c r="M215" s="97" t="n">
        <f aca="false">Analisis_Inputs_Grales!$D$67*(Analisis_Inputs_Grales!$D$118/12)/Analisis_Inputs_Grales!$D$59</f>
        <v>0.27468806355493</v>
      </c>
      <c r="N215" s="97" t="n">
        <f aca="false">Analisis_Inputs_Grales!$D$67*(Analisis_Inputs_Grales!$D$118/12)/Analisis_Inputs_Grales!$D$59</f>
        <v>0.27468806355493</v>
      </c>
      <c r="O215" s="97" t="n">
        <f aca="false">Analisis_Inputs_Grales!$D$67*(Analisis_Inputs_Grales!$D$118/12)/Analisis_Inputs_Grales!$D$59</f>
        <v>0.27468806355493</v>
      </c>
      <c r="P215" s="97" t="n">
        <f aca="false">Analisis_Inputs_Grales!$D$67*(Analisis_Inputs_Grales!$D$118/12)/Analisis_Inputs_Grales!$D$59</f>
        <v>0.27468806355493</v>
      </c>
      <c r="Q215" s="97" t="n">
        <f aca="false">Analisis_Inputs_Grales!$D$67*(Analisis_Inputs_Grales!$D$118/12)/Analisis_Inputs_Grales!$D$59</f>
        <v>0.27468806355493</v>
      </c>
      <c r="R215" s="97" t="n">
        <f aca="false">Analisis_Inputs_Grales!$D$67*(Analisis_Inputs_Grales!$D$118/12)/Analisis_Inputs_Grales!$D$59</f>
        <v>0.27468806355493</v>
      </c>
    </row>
    <row r="216" customFormat="false" ht="14.25" hidden="false" customHeight="false" outlineLevel="0" collapsed="false">
      <c r="B216" s="98" t="s">
        <v>196</v>
      </c>
      <c r="C216" s="56" t="s">
        <v>96</v>
      </c>
      <c r="D216" s="99" t="n">
        <f aca="false">D215*12*Analisis_Inputs_Grales!$D$59</f>
        <v>28479.6584293752</v>
      </c>
      <c r="E216" s="99" t="n">
        <f aca="false">E215*12*Analisis_Inputs_Grales!$D$59</f>
        <v>28479.6584293752</v>
      </c>
      <c r="F216" s="99" t="n">
        <f aca="false">F215*12*Analisis_Inputs_Grales!$D$59</f>
        <v>28479.6584293752</v>
      </c>
      <c r="G216" s="99" t="n">
        <f aca="false">G215*12*Analisis_Inputs_Grales!$D$59</f>
        <v>28479.6584293752</v>
      </c>
      <c r="H216" s="99" t="n">
        <f aca="false">H215*12*Analisis_Inputs_Grales!$D$59</f>
        <v>28479.6584293752</v>
      </c>
      <c r="I216" s="99" t="n">
        <f aca="false">I215*12*Analisis_Inputs_Grales!$D$59</f>
        <v>28479.6584293752</v>
      </c>
      <c r="J216" s="99" t="n">
        <f aca="false">J215*12*Analisis_Inputs_Grales!$D$59</f>
        <v>28479.6584293752</v>
      </c>
      <c r="K216" s="99" t="n">
        <f aca="false">K215*12*Analisis_Inputs_Grales!$D$59</f>
        <v>28479.6584293752</v>
      </c>
      <c r="L216" s="99" t="n">
        <f aca="false">L215*12*Analisis_Inputs_Grales!$D$59</f>
        <v>28479.6584293752</v>
      </c>
      <c r="M216" s="99" t="n">
        <f aca="false">M215*12*Analisis_Inputs_Grales!$D$59</f>
        <v>28479.6584293752</v>
      </c>
      <c r="N216" s="99" t="n">
        <f aca="false">N215*12*Analisis_Inputs_Grales!$D$59</f>
        <v>28479.6584293752</v>
      </c>
      <c r="O216" s="99" t="n">
        <f aca="false">O215*12*Analisis_Inputs_Grales!$D$59</f>
        <v>28479.6584293752</v>
      </c>
      <c r="P216" s="99" t="n">
        <f aca="false">P215*12*Analisis_Inputs_Grales!$D$59</f>
        <v>28479.6584293752</v>
      </c>
      <c r="Q216" s="99" t="n">
        <f aca="false">Q215*12*Analisis_Inputs_Grales!$D$59</f>
        <v>28479.6584293752</v>
      </c>
      <c r="R216" s="99" t="n">
        <f aca="false">R215*12*Analisis_Inputs_Grales!$D$59</f>
        <v>28479.6584293752</v>
      </c>
    </row>
    <row r="217" customFormat="false" ht="14.25" hidden="false" customHeight="false" outlineLevel="0" collapsed="false">
      <c r="B217" s="95" t="s">
        <v>198</v>
      </c>
      <c r="C217" s="96" t="s">
        <v>197</v>
      </c>
      <c r="D217" s="97" t="n">
        <f aca="false">(Analisis_Inputs_Grales!$D$67-Analisis_Inputs_Grales!$D$70*Analisis_Inputs_Grales!$D$67)/(Analisis_Inputs_Grales!$D$59*12*$C$213)</f>
        <v>0.137344031777465</v>
      </c>
      <c r="E217" s="97" t="n">
        <f aca="false">(Analisis_Inputs_Grales!$D$67-Analisis_Inputs_Grales!$D$70*Analisis_Inputs_Grales!$D$67)/(Analisis_Inputs_Grales!$D$59*12*$C$213)</f>
        <v>0.137344031777465</v>
      </c>
      <c r="F217" s="97" t="n">
        <f aca="false">(Analisis_Inputs_Grales!$D$67-Analisis_Inputs_Grales!$D$70*Analisis_Inputs_Grales!$D$67)/(Analisis_Inputs_Grales!$D$59*12*$C$213)</f>
        <v>0.137344031777465</v>
      </c>
      <c r="G217" s="97" t="n">
        <f aca="false">(Analisis_Inputs_Grales!$D$67-Analisis_Inputs_Grales!$D$70*Analisis_Inputs_Grales!$D$67)/(Analisis_Inputs_Grales!$D$59*12*$C$213)</f>
        <v>0.137344031777465</v>
      </c>
      <c r="H217" s="97" t="n">
        <f aca="false">(Analisis_Inputs_Grales!$D$67-Analisis_Inputs_Grales!$D$70*Analisis_Inputs_Grales!$D$67)/(Analisis_Inputs_Grales!$D$59*12*$C$213)</f>
        <v>0.137344031777465</v>
      </c>
      <c r="I217" s="97" t="n">
        <f aca="false">(Analisis_Inputs_Grales!$D$67-Analisis_Inputs_Grales!$D$70*Analisis_Inputs_Grales!$D$67)/(Analisis_Inputs_Grales!$D$59*12*$C$213)</f>
        <v>0.137344031777465</v>
      </c>
      <c r="J217" s="97" t="n">
        <f aca="false">(Analisis_Inputs_Grales!$D$67-Analisis_Inputs_Grales!$D$70*Analisis_Inputs_Grales!$D$67)/(Analisis_Inputs_Grales!$D$59*12*$C$213)</f>
        <v>0.137344031777465</v>
      </c>
      <c r="K217" s="97" t="n">
        <f aca="false">(Analisis_Inputs_Grales!$D$67-Analisis_Inputs_Grales!$D$70*Analisis_Inputs_Grales!$D$67)/(Analisis_Inputs_Grales!$D$59*12*$C$213)</f>
        <v>0.137344031777465</v>
      </c>
      <c r="L217" s="97" t="n">
        <f aca="false">(Analisis_Inputs_Grales!$D$67-Analisis_Inputs_Grales!$D$70*Analisis_Inputs_Grales!$D$67)/(Analisis_Inputs_Grales!$D$59*12*$C$213)</f>
        <v>0.137344031777465</v>
      </c>
      <c r="M217" s="97" t="n">
        <f aca="false">(Analisis_Inputs_Grales!$D$67-Analisis_Inputs_Grales!$D$70*Analisis_Inputs_Grales!$D$67)/(Analisis_Inputs_Grales!$D$59*12*$C$213)</f>
        <v>0.137344031777465</v>
      </c>
      <c r="N217" s="97" t="n">
        <f aca="false">(Analisis_Inputs_Grales!$D$67-Analisis_Inputs_Grales!$D$70*Analisis_Inputs_Grales!$D$67)/(Analisis_Inputs_Grales!$D$59*12*$C$213)</f>
        <v>0.137344031777465</v>
      </c>
      <c r="O217" s="97" t="n">
        <f aca="false">(Analisis_Inputs_Grales!$D$67-Analisis_Inputs_Grales!$D$70*Analisis_Inputs_Grales!$D$67)/(Analisis_Inputs_Grales!$D$59*12*$C$213)</f>
        <v>0.137344031777465</v>
      </c>
      <c r="P217" s="97" t="n">
        <f aca="false">(Analisis_Inputs_Grales!$D$67-Analisis_Inputs_Grales!$D$70*Analisis_Inputs_Grales!$D$67)/(Analisis_Inputs_Grales!$D$59*12*$C$213)</f>
        <v>0.137344031777465</v>
      </c>
      <c r="Q217" s="97" t="n">
        <f aca="false">(Analisis_Inputs_Grales!$D$67-Analisis_Inputs_Grales!$D$70*Analisis_Inputs_Grales!$D$67)/(Analisis_Inputs_Grales!$D$59*12*$C$213)</f>
        <v>0.137344031777465</v>
      </c>
      <c r="R217" s="97" t="n">
        <f aca="false">(Analisis_Inputs_Grales!$D$67-Analisis_Inputs_Grales!$D$70*Analisis_Inputs_Grales!$D$67)/(Analisis_Inputs_Grales!$D$59*12*$C$213)</f>
        <v>0.137344031777465</v>
      </c>
    </row>
    <row r="218" customFormat="false" ht="14.25" hidden="false" customHeight="false" outlineLevel="0" collapsed="false">
      <c r="B218" s="98" t="s">
        <v>198</v>
      </c>
      <c r="C218" s="56" t="s">
        <v>96</v>
      </c>
      <c r="D218" s="99" t="n">
        <f aca="false">D217*12*Analisis_Inputs_Grales!$D$59</f>
        <v>14239.8292146876</v>
      </c>
      <c r="E218" s="99" t="n">
        <f aca="false">E217*12*Analisis_Inputs_Grales!$D$59</f>
        <v>14239.8292146876</v>
      </c>
      <c r="F218" s="99" t="n">
        <f aca="false">F217*12*Analisis_Inputs_Grales!$D$59</f>
        <v>14239.8292146876</v>
      </c>
      <c r="G218" s="99" t="n">
        <f aca="false">G217*12*Analisis_Inputs_Grales!$D$59</f>
        <v>14239.8292146876</v>
      </c>
      <c r="H218" s="99" t="n">
        <f aca="false">H217*12*Analisis_Inputs_Grales!$D$59</f>
        <v>14239.8292146876</v>
      </c>
      <c r="I218" s="99" t="n">
        <f aca="false">I217*12*Analisis_Inputs_Grales!$D$59</f>
        <v>14239.8292146876</v>
      </c>
      <c r="J218" s="99" t="n">
        <f aca="false">J217*12*Analisis_Inputs_Grales!$D$59</f>
        <v>14239.8292146876</v>
      </c>
      <c r="K218" s="99" t="n">
        <f aca="false">K217*12*Analisis_Inputs_Grales!$D$59</f>
        <v>14239.8292146876</v>
      </c>
      <c r="L218" s="99" t="n">
        <f aca="false">L217*12*Analisis_Inputs_Grales!$D$59</f>
        <v>14239.8292146876</v>
      </c>
      <c r="M218" s="99" t="n">
        <f aca="false">M217*12*Analisis_Inputs_Grales!$D$59</f>
        <v>14239.8292146876</v>
      </c>
      <c r="N218" s="99" t="n">
        <f aca="false">N217*12*Analisis_Inputs_Grales!$D$59</f>
        <v>14239.8292146876</v>
      </c>
      <c r="O218" s="99" t="n">
        <f aca="false">O217*12*Analisis_Inputs_Grales!$D$59</f>
        <v>14239.8292146876</v>
      </c>
      <c r="P218" s="99" t="n">
        <f aca="false">P217*12*Analisis_Inputs_Grales!$D$59</f>
        <v>14239.8292146876</v>
      </c>
      <c r="Q218" s="99" t="n">
        <f aca="false">Q217*12*Analisis_Inputs_Grales!$D$59</f>
        <v>14239.8292146876</v>
      </c>
      <c r="R218" s="99" t="n">
        <f aca="false">R217*12*Analisis_Inputs_Grales!$D$59</f>
        <v>14239.8292146876</v>
      </c>
    </row>
    <row r="219" customFormat="false" ht="14.25" hidden="false" customHeight="false" outlineLevel="0" collapsed="false">
      <c r="B219" s="95" t="s">
        <v>199</v>
      </c>
      <c r="C219" s="96" t="s">
        <v>197</v>
      </c>
      <c r="D219" s="97" t="n">
        <f aca="false">Analisis_Inputs_Grales!$D$51/Analisis_Inputs_Grales!$D$59</f>
        <v>0.18265162037037</v>
      </c>
      <c r="E219" s="97" t="n">
        <f aca="false">Analisis_Inputs_Grales!$D$51/Analisis_Inputs_Grales!$D$59</f>
        <v>0.18265162037037</v>
      </c>
      <c r="F219" s="97" t="n">
        <f aca="false">Analisis_Inputs_Grales!$D$51/Analisis_Inputs_Grales!$D$59</f>
        <v>0.18265162037037</v>
      </c>
      <c r="G219" s="97" t="n">
        <f aca="false">Analisis_Inputs_Grales!$D$51/Analisis_Inputs_Grales!$D$59</f>
        <v>0.18265162037037</v>
      </c>
      <c r="H219" s="97" t="n">
        <f aca="false">Analisis_Inputs_Grales!$D$51/Analisis_Inputs_Grales!$D$59</f>
        <v>0.18265162037037</v>
      </c>
      <c r="I219" s="97" t="n">
        <f aca="false">Analisis_Inputs_Grales!$D$51/Analisis_Inputs_Grales!$D$59</f>
        <v>0.18265162037037</v>
      </c>
      <c r="J219" s="97" t="n">
        <f aca="false">Analisis_Inputs_Grales!$D$51/Analisis_Inputs_Grales!$D$59</f>
        <v>0.18265162037037</v>
      </c>
      <c r="K219" s="97" t="n">
        <f aca="false">Analisis_Inputs_Grales!$D$51/Analisis_Inputs_Grales!$D$59</f>
        <v>0.18265162037037</v>
      </c>
      <c r="L219" s="97" t="n">
        <f aca="false">Analisis_Inputs_Grales!$D$51/Analisis_Inputs_Grales!$D$59</f>
        <v>0.18265162037037</v>
      </c>
      <c r="M219" s="97" t="n">
        <f aca="false">Analisis_Inputs_Grales!$D$51/Analisis_Inputs_Grales!$D$59</f>
        <v>0.18265162037037</v>
      </c>
      <c r="N219" s="97" t="n">
        <f aca="false">Analisis_Inputs_Grales!$D$51/Analisis_Inputs_Grales!$D$59</f>
        <v>0.18265162037037</v>
      </c>
      <c r="O219" s="97" t="n">
        <f aca="false">Analisis_Inputs_Grales!$D$51/Analisis_Inputs_Grales!$D$59</f>
        <v>0.18265162037037</v>
      </c>
      <c r="P219" s="97" t="n">
        <f aca="false">Analisis_Inputs_Grales!$D$51/Analisis_Inputs_Grales!$D$59</f>
        <v>0.18265162037037</v>
      </c>
      <c r="Q219" s="97" t="n">
        <f aca="false">Analisis_Inputs_Grales!$D$51/Analisis_Inputs_Grales!$D$59</f>
        <v>0.18265162037037</v>
      </c>
      <c r="R219" s="97" t="n">
        <f aca="false">Analisis_Inputs_Grales!$D$51/Analisis_Inputs_Grales!$D$59</f>
        <v>0.18265162037037</v>
      </c>
    </row>
    <row r="220" customFormat="false" ht="14.25" hidden="false" customHeight="false" outlineLevel="0" collapsed="false">
      <c r="B220" s="101" t="s">
        <v>199</v>
      </c>
      <c r="C220" s="102" t="s">
        <v>96</v>
      </c>
      <c r="D220" s="99" t="n">
        <f aca="false">D219*12*Analisis_Inputs_Grales!$D$59</f>
        <v>18937.32</v>
      </c>
      <c r="E220" s="99" t="n">
        <f aca="false">E219*12*Analisis_Inputs_Grales!$D$59</f>
        <v>18937.32</v>
      </c>
      <c r="F220" s="99" t="n">
        <f aca="false">F219*12*Analisis_Inputs_Grales!$D$59</f>
        <v>18937.32</v>
      </c>
      <c r="G220" s="99" t="n">
        <f aca="false">G219*12*Analisis_Inputs_Grales!$D$59</f>
        <v>18937.32</v>
      </c>
      <c r="H220" s="99" t="n">
        <f aca="false">H219*12*Analisis_Inputs_Grales!$D$59</f>
        <v>18937.32</v>
      </c>
      <c r="I220" s="99" t="n">
        <f aca="false">I219*12*Analisis_Inputs_Grales!$D$59</f>
        <v>18937.32</v>
      </c>
      <c r="J220" s="99" t="n">
        <f aca="false">J219*12*Analisis_Inputs_Grales!$D$59</f>
        <v>18937.32</v>
      </c>
      <c r="K220" s="99" t="n">
        <f aca="false">K219*12*Analisis_Inputs_Grales!$D$59</f>
        <v>18937.32</v>
      </c>
      <c r="L220" s="99" t="n">
        <f aca="false">L219*12*Analisis_Inputs_Grales!$D$59</f>
        <v>18937.32</v>
      </c>
      <c r="M220" s="99" t="n">
        <f aca="false">M219*12*Analisis_Inputs_Grales!$D$59</f>
        <v>18937.32</v>
      </c>
      <c r="N220" s="99" t="n">
        <f aca="false">N219*12*Analisis_Inputs_Grales!$D$59</f>
        <v>18937.32</v>
      </c>
      <c r="O220" s="99" t="n">
        <f aca="false">O219*12*Analisis_Inputs_Grales!$D$59</f>
        <v>18937.32</v>
      </c>
      <c r="P220" s="99" t="n">
        <f aca="false">P219*12*Analisis_Inputs_Grales!$D$59</f>
        <v>18937.32</v>
      </c>
      <c r="Q220" s="99" t="n">
        <f aca="false">Q219*12*Analisis_Inputs_Grales!$D$59</f>
        <v>18937.32</v>
      </c>
      <c r="R220" s="99" t="n">
        <f aca="false">R219*12*Analisis_Inputs_Grales!$D$59</f>
        <v>18937.32</v>
      </c>
    </row>
    <row r="221" customFormat="false" ht="14.25" hidden="false" customHeight="false" outlineLevel="0" collapsed="false">
      <c r="B221" s="95" t="s">
        <v>200</v>
      </c>
      <c r="C221" s="96" t="s">
        <v>197</v>
      </c>
      <c r="D221" s="97" t="n">
        <f aca="false">D219+D217+D215</f>
        <v>0.594683715702766</v>
      </c>
      <c r="E221" s="97" t="n">
        <f aca="false">E219+E217+E215</f>
        <v>0.594683715702766</v>
      </c>
      <c r="F221" s="97" t="n">
        <f aca="false">F219+F217+F215</f>
        <v>0.594683715702766</v>
      </c>
      <c r="G221" s="97" t="n">
        <f aca="false">G219+G217+G215</f>
        <v>0.594683715702766</v>
      </c>
      <c r="H221" s="97" t="n">
        <f aca="false">H219+H217+H215</f>
        <v>0.594683715702766</v>
      </c>
      <c r="I221" s="97" t="n">
        <f aca="false">I219+I217+I215</f>
        <v>0.594683715702766</v>
      </c>
      <c r="J221" s="97" t="n">
        <f aca="false">J219+J217+J215</f>
        <v>0.594683715702766</v>
      </c>
      <c r="K221" s="97" t="n">
        <f aca="false">K219+K217+K215</f>
        <v>0.594683715702766</v>
      </c>
      <c r="L221" s="97" t="n">
        <f aca="false">L219+L217+L215</f>
        <v>0.594683715702766</v>
      </c>
      <c r="M221" s="97" t="n">
        <f aca="false">M219+M217+M215</f>
        <v>0.594683715702766</v>
      </c>
      <c r="N221" s="97" t="n">
        <f aca="false">N219+N217+N215</f>
        <v>0.594683715702766</v>
      </c>
      <c r="O221" s="97" t="n">
        <f aca="false">O219+O217+O215</f>
        <v>0.594683715702766</v>
      </c>
      <c r="P221" s="97" t="n">
        <f aca="false">P219+P217+P215</f>
        <v>0.594683715702766</v>
      </c>
      <c r="Q221" s="97" t="n">
        <f aca="false">Q219+Q217+Q215</f>
        <v>0.594683715702766</v>
      </c>
      <c r="R221" s="97" t="n">
        <f aca="false">R219+R217+R215</f>
        <v>0.594683715702766</v>
      </c>
    </row>
    <row r="222" customFormat="false" ht="14.25" hidden="false" customHeight="false" outlineLevel="0" collapsed="false">
      <c r="B222" s="98" t="s">
        <v>200</v>
      </c>
      <c r="C222" s="56" t="s">
        <v>96</v>
      </c>
      <c r="D222" s="99" t="n">
        <f aca="false">D221*12*Analisis_Inputs_Grales!$D$59</f>
        <v>61656.8076440628</v>
      </c>
      <c r="E222" s="99" t="n">
        <f aca="false">E221*12*Analisis_Inputs_Grales!$D$59</f>
        <v>61656.8076440628</v>
      </c>
      <c r="F222" s="99" t="n">
        <f aca="false">F221*12*Analisis_Inputs_Grales!$D$59</f>
        <v>61656.8076440628</v>
      </c>
      <c r="G222" s="99" t="n">
        <f aca="false">G221*12*Analisis_Inputs_Grales!$D$59</f>
        <v>61656.8076440628</v>
      </c>
      <c r="H222" s="99" t="n">
        <f aca="false">H221*12*Analisis_Inputs_Grales!$D$59</f>
        <v>61656.8076440628</v>
      </c>
      <c r="I222" s="99" t="n">
        <f aca="false">I221*12*Analisis_Inputs_Grales!$D$59</f>
        <v>61656.8076440628</v>
      </c>
      <c r="J222" s="99" t="n">
        <f aca="false">J221*12*Analisis_Inputs_Grales!$D$59</f>
        <v>61656.8076440628</v>
      </c>
      <c r="K222" s="99" t="n">
        <f aca="false">K221*12*Analisis_Inputs_Grales!$D$59</f>
        <v>61656.8076440628</v>
      </c>
      <c r="L222" s="99" t="n">
        <f aca="false">L221*12*Analisis_Inputs_Grales!$D$59</f>
        <v>61656.8076440628</v>
      </c>
      <c r="M222" s="99" t="n">
        <f aca="false">M221*12*Analisis_Inputs_Grales!$D$59</f>
        <v>61656.8076440628</v>
      </c>
      <c r="N222" s="99" t="n">
        <f aca="false">N221*12*Analisis_Inputs_Grales!$D$59</f>
        <v>61656.8076440628</v>
      </c>
      <c r="O222" s="99" t="n">
        <f aca="false">O221*12*Analisis_Inputs_Grales!$D$59</f>
        <v>61656.8076440628</v>
      </c>
      <c r="P222" s="99" t="n">
        <f aca="false">P221*12*Analisis_Inputs_Grales!$D$59</f>
        <v>61656.8076440628</v>
      </c>
      <c r="Q222" s="99" t="n">
        <f aca="false">Q221*12*Analisis_Inputs_Grales!$D$59</f>
        <v>61656.8076440628</v>
      </c>
      <c r="R222" s="99" t="n">
        <f aca="false">R221*12*Analisis_Inputs_Grales!$D$59</f>
        <v>61656.8076440628</v>
      </c>
    </row>
    <row r="223" customFormat="false" ht="14.25" hidden="false" customHeight="false" outlineLevel="0" collapsed="false">
      <c r="C223" s="56"/>
    </row>
    <row r="224" customFormat="false" ht="15" hidden="false" customHeight="false" outlineLevel="0" collapsed="false">
      <c r="B224" s="122" t="s">
        <v>201</v>
      </c>
      <c r="C224" s="56"/>
    </row>
    <row r="225" customFormat="false" ht="14.25" hidden="false" customHeight="false" outlineLevel="0" collapsed="false">
      <c r="B225" s="95" t="s">
        <v>202</v>
      </c>
      <c r="C225" s="96" t="s">
        <v>197</v>
      </c>
      <c r="D225" s="97" t="n">
        <f aca="false">Analisis_Inputs_Grales!$D$73/(Analisis_Inputs_Grales!$D$71*Analisis_Inputs_Grales!$D$72/60)</f>
        <v>0.0656583629893238</v>
      </c>
      <c r="E225" s="97" t="n">
        <f aca="false">Analisis_Inputs_Grales!$D$73/(Analisis_Inputs_Grales!$D$71*Analisis_Inputs_Grales!$D$72/60)</f>
        <v>0.0656583629893238</v>
      </c>
      <c r="F225" s="97" t="n">
        <f aca="false">Analisis_Inputs_Grales!$D$73/(Analisis_Inputs_Grales!$D$71*Analisis_Inputs_Grales!$D$72/60)</f>
        <v>0.0656583629893238</v>
      </c>
      <c r="G225" s="97" t="n">
        <f aca="false">Analisis_Inputs_Grales!$D$73/(Analisis_Inputs_Grales!$D$71*Analisis_Inputs_Grales!$D$72/60)</f>
        <v>0.0656583629893238</v>
      </c>
      <c r="H225" s="97" t="n">
        <f aca="false">Analisis_Inputs_Grales!$D$73/(Analisis_Inputs_Grales!$D$71*Analisis_Inputs_Grales!$D$72/60)</f>
        <v>0.0656583629893238</v>
      </c>
      <c r="I225" s="97" t="n">
        <f aca="false">Analisis_Inputs_Grales!$D$73/(Analisis_Inputs_Grales!$D$71*Analisis_Inputs_Grales!$D$72/60)</f>
        <v>0.0656583629893238</v>
      </c>
      <c r="J225" s="97" t="n">
        <f aca="false">Analisis_Inputs_Grales!$D$73/(Analisis_Inputs_Grales!$D$71*Analisis_Inputs_Grales!$D$72/60)</f>
        <v>0.0656583629893238</v>
      </c>
      <c r="K225" s="97" t="n">
        <f aca="false">Analisis_Inputs_Grales!$D$73/(Analisis_Inputs_Grales!$D$71*Analisis_Inputs_Grales!$D$72/60)</f>
        <v>0.0656583629893238</v>
      </c>
      <c r="L225" s="97" t="n">
        <f aca="false">Analisis_Inputs_Grales!$D$73/(Analisis_Inputs_Grales!$D$71*Analisis_Inputs_Grales!$D$72/60)</f>
        <v>0.0656583629893238</v>
      </c>
      <c r="M225" s="97" t="n">
        <f aca="false">Analisis_Inputs_Grales!$D$73/(Analisis_Inputs_Grales!$D$71*Analisis_Inputs_Grales!$D$72/60)</f>
        <v>0.0656583629893238</v>
      </c>
      <c r="N225" s="97" t="n">
        <f aca="false">Analisis_Inputs_Grales!$D$73/(Analisis_Inputs_Grales!$D$71*Analisis_Inputs_Grales!$D$72/60)</f>
        <v>0.0656583629893238</v>
      </c>
      <c r="O225" s="97" t="n">
        <f aca="false">Analisis_Inputs_Grales!$D$73/(Analisis_Inputs_Grales!$D$71*Analisis_Inputs_Grales!$D$72/60)</f>
        <v>0.0656583629893238</v>
      </c>
      <c r="P225" s="97" t="n">
        <f aca="false">Analisis_Inputs_Grales!$D$73/(Analisis_Inputs_Grales!$D$71*Analisis_Inputs_Grales!$D$72/60)</f>
        <v>0.0656583629893238</v>
      </c>
      <c r="Q225" s="97" t="n">
        <f aca="false">Analisis_Inputs_Grales!$D$73/(Analisis_Inputs_Grales!$D$71*Analisis_Inputs_Grales!$D$72/60)</f>
        <v>0.0656583629893238</v>
      </c>
      <c r="R225" s="97" t="n">
        <f aca="false">Analisis_Inputs_Grales!$D$73/(Analisis_Inputs_Grales!$D$71*Analisis_Inputs_Grales!$D$72/60)</f>
        <v>0.0656583629893238</v>
      </c>
    </row>
    <row r="226" customFormat="false" ht="14.25" hidden="false" customHeight="false" outlineLevel="0" collapsed="false">
      <c r="B226" s="98" t="s">
        <v>202</v>
      </c>
      <c r="C226" s="56" t="s">
        <v>96</v>
      </c>
      <c r="D226" s="99" t="n">
        <f aca="false">D225*12*Analisis_Inputs_Grales!$D$59</f>
        <v>6807.4590747331</v>
      </c>
      <c r="E226" s="99" t="n">
        <f aca="false">E225*12*Analisis_Inputs_Grales!$D$59</f>
        <v>6807.4590747331</v>
      </c>
      <c r="F226" s="99" t="n">
        <f aca="false">F225*12*Analisis_Inputs_Grales!$D$59</f>
        <v>6807.4590747331</v>
      </c>
      <c r="G226" s="99" t="n">
        <f aca="false">G225*12*Analisis_Inputs_Grales!$D$59</f>
        <v>6807.4590747331</v>
      </c>
      <c r="H226" s="99" t="n">
        <f aca="false">H225*12*Analisis_Inputs_Grales!$D$59</f>
        <v>6807.4590747331</v>
      </c>
      <c r="I226" s="99" t="n">
        <f aca="false">I225*12*Analisis_Inputs_Grales!$D$59</f>
        <v>6807.4590747331</v>
      </c>
      <c r="J226" s="99" t="n">
        <f aca="false">J225*12*Analisis_Inputs_Grales!$D$59</f>
        <v>6807.4590747331</v>
      </c>
      <c r="K226" s="99" t="n">
        <f aca="false">K225*12*Analisis_Inputs_Grales!$D$59</f>
        <v>6807.4590747331</v>
      </c>
      <c r="L226" s="99" t="n">
        <f aca="false">L225*12*Analisis_Inputs_Grales!$D$59</f>
        <v>6807.4590747331</v>
      </c>
      <c r="M226" s="99" t="n">
        <f aca="false">M225*12*Analisis_Inputs_Grales!$D$59</f>
        <v>6807.4590747331</v>
      </c>
      <c r="N226" s="99" t="n">
        <f aca="false">N225*12*Analisis_Inputs_Grales!$D$59</f>
        <v>6807.4590747331</v>
      </c>
      <c r="O226" s="99" t="n">
        <f aca="false">O225*12*Analisis_Inputs_Grales!$D$59</f>
        <v>6807.4590747331</v>
      </c>
      <c r="P226" s="99" t="n">
        <f aca="false">P225*12*Analisis_Inputs_Grales!$D$59</f>
        <v>6807.4590747331</v>
      </c>
      <c r="Q226" s="99" t="n">
        <f aca="false">Q225*12*Analisis_Inputs_Grales!$D$59</f>
        <v>6807.4590747331</v>
      </c>
      <c r="R226" s="99" t="n">
        <f aca="false">R225*12*Analisis_Inputs_Grales!$D$59</f>
        <v>6807.4590747331</v>
      </c>
    </row>
    <row r="227" customFormat="false" ht="14.25" hidden="false" customHeight="false" outlineLevel="0" collapsed="false">
      <c r="B227" s="95" t="s">
        <v>203</v>
      </c>
      <c r="C227" s="96" t="s">
        <v>197</v>
      </c>
      <c r="D227" s="97" t="n">
        <f aca="false">Analisis_Inputs_Grales!$D$74*'Analisis 20Años'!D225</f>
        <v>0.00984875444839858</v>
      </c>
      <c r="E227" s="97" t="n">
        <f aca="false">Analisis_Inputs_Grales!$D$74*'Analisis 20Años'!E225</f>
        <v>0.00984875444839858</v>
      </c>
      <c r="F227" s="97" t="n">
        <f aca="false">Analisis_Inputs_Grales!$D$74*'Analisis 20Años'!F225</f>
        <v>0.00984875444839858</v>
      </c>
      <c r="G227" s="97" t="n">
        <f aca="false">Analisis_Inputs_Grales!$D$74*'Analisis 20Años'!G225</f>
        <v>0.00984875444839858</v>
      </c>
      <c r="H227" s="97" t="n">
        <f aca="false">Analisis_Inputs_Grales!$D$74*'Analisis 20Años'!H225</f>
        <v>0.00984875444839858</v>
      </c>
      <c r="I227" s="97" t="n">
        <f aca="false">Analisis_Inputs_Grales!$D$74*'Analisis 20Años'!I225</f>
        <v>0.00984875444839858</v>
      </c>
      <c r="J227" s="97" t="n">
        <f aca="false">Analisis_Inputs_Grales!$D$74*'Analisis 20Años'!J225</f>
        <v>0.00984875444839858</v>
      </c>
      <c r="K227" s="97" t="n">
        <f aca="false">Analisis_Inputs_Grales!$D$74*'Analisis 20Años'!K225</f>
        <v>0.00984875444839858</v>
      </c>
      <c r="L227" s="97" t="n">
        <f aca="false">Analisis_Inputs_Grales!$D$74*'Analisis 20Años'!L225</f>
        <v>0.00984875444839858</v>
      </c>
      <c r="M227" s="97" t="n">
        <f aca="false">Analisis_Inputs_Grales!$D$74*'Analisis 20Años'!M225</f>
        <v>0.00984875444839858</v>
      </c>
      <c r="N227" s="97" t="n">
        <f aca="false">Analisis_Inputs_Grales!$D$74*'Analisis 20Años'!N225</f>
        <v>0.00984875444839858</v>
      </c>
      <c r="O227" s="97" t="n">
        <f aca="false">Analisis_Inputs_Grales!$D$74*'Analisis 20Años'!O225</f>
        <v>0.00984875444839858</v>
      </c>
      <c r="P227" s="97" t="n">
        <f aca="false">Analisis_Inputs_Grales!$D$74*'Analisis 20Años'!P225</f>
        <v>0.00984875444839858</v>
      </c>
      <c r="Q227" s="97" t="n">
        <f aca="false">Analisis_Inputs_Grales!$D$74*'Analisis 20Años'!Q225</f>
        <v>0.00984875444839858</v>
      </c>
      <c r="R227" s="97" t="n">
        <f aca="false">Analisis_Inputs_Grales!$D$74*'Analisis 20Años'!R225</f>
        <v>0.00984875444839858</v>
      </c>
    </row>
    <row r="228" customFormat="false" ht="14.25" hidden="false" customHeight="false" outlineLevel="0" collapsed="false">
      <c r="B228" s="98" t="s">
        <v>203</v>
      </c>
      <c r="C228" s="56" t="s">
        <v>96</v>
      </c>
      <c r="D228" s="99" t="n">
        <f aca="false">D227*12*Analisis_Inputs_Grales!$D$59</f>
        <v>1021.11886120996</v>
      </c>
      <c r="E228" s="99" t="n">
        <f aca="false">E227*12*Analisis_Inputs_Grales!$D$59</f>
        <v>1021.11886120996</v>
      </c>
      <c r="F228" s="99" t="n">
        <f aca="false">F227*12*Analisis_Inputs_Grales!$D$59</f>
        <v>1021.11886120996</v>
      </c>
      <c r="G228" s="99" t="n">
        <f aca="false">G227*12*Analisis_Inputs_Grales!$D$59</f>
        <v>1021.11886120996</v>
      </c>
      <c r="H228" s="99" t="n">
        <f aca="false">H227*12*Analisis_Inputs_Grales!$D$59</f>
        <v>1021.11886120996</v>
      </c>
      <c r="I228" s="99" t="n">
        <f aca="false">I227*12*Analisis_Inputs_Grales!$D$59</f>
        <v>1021.11886120996</v>
      </c>
      <c r="J228" s="99" t="n">
        <f aca="false">J227*12*Analisis_Inputs_Grales!$D$59</f>
        <v>1021.11886120996</v>
      </c>
      <c r="K228" s="99" t="n">
        <f aca="false">K227*12*Analisis_Inputs_Grales!$D$59</f>
        <v>1021.11886120996</v>
      </c>
      <c r="L228" s="99" t="n">
        <f aca="false">L227*12*Analisis_Inputs_Grales!$D$59</f>
        <v>1021.11886120996</v>
      </c>
      <c r="M228" s="99" t="n">
        <f aca="false">M227*12*Analisis_Inputs_Grales!$D$59</f>
        <v>1021.11886120996</v>
      </c>
      <c r="N228" s="99" t="n">
        <f aca="false">N227*12*Analisis_Inputs_Grales!$D$59</f>
        <v>1021.11886120996</v>
      </c>
      <c r="O228" s="99" t="n">
        <f aca="false">O227*12*Analisis_Inputs_Grales!$D$59</f>
        <v>1021.11886120996</v>
      </c>
      <c r="P228" s="99" t="n">
        <f aca="false">P227*12*Analisis_Inputs_Grales!$D$59</f>
        <v>1021.11886120996</v>
      </c>
      <c r="Q228" s="99" t="n">
        <f aca="false">Q227*12*Analisis_Inputs_Grales!$D$59</f>
        <v>1021.11886120996</v>
      </c>
      <c r="R228" s="99" t="n">
        <f aca="false">R227*12*Analisis_Inputs_Grales!$D$59</f>
        <v>1021.11886120996</v>
      </c>
    </row>
    <row r="229" customFormat="false" ht="14.25" hidden="false" customHeight="false" outlineLevel="0" collapsed="false">
      <c r="B229" s="95" t="s">
        <v>204</v>
      </c>
      <c r="C229" s="96" t="s">
        <v>197</v>
      </c>
      <c r="D229" s="97" t="n">
        <f aca="false">Analisis_Inputs_Grales!$D$75*('Analisis 20Años'!D225+'Analisis 20Años'!D227)</f>
        <v>0.030202846975089</v>
      </c>
      <c r="E229" s="97" t="n">
        <f aca="false">Analisis_Inputs_Grales!$D$75*('Analisis 20Años'!E225+'Analisis 20Años'!E227)</f>
        <v>0.030202846975089</v>
      </c>
      <c r="F229" s="97" t="n">
        <f aca="false">Analisis_Inputs_Grales!$D$75*('Analisis 20Años'!F225+'Analisis 20Años'!F227)</f>
        <v>0.030202846975089</v>
      </c>
      <c r="G229" s="97" t="n">
        <f aca="false">Analisis_Inputs_Grales!$D$75*('Analisis 20Años'!G225+'Analisis 20Años'!G227)</f>
        <v>0.030202846975089</v>
      </c>
      <c r="H229" s="97" t="n">
        <f aca="false">Analisis_Inputs_Grales!$D$75*('Analisis 20Años'!H225+'Analisis 20Años'!H227)</f>
        <v>0.030202846975089</v>
      </c>
      <c r="I229" s="97" t="n">
        <f aca="false">Analisis_Inputs_Grales!$D$75*('Analisis 20Años'!I225+'Analisis 20Años'!I227)</f>
        <v>0.030202846975089</v>
      </c>
      <c r="J229" s="97" t="n">
        <f aca="false">Analisis_Inputs_Grales!$D$75*('Analisis 20Años'!J225+'Analisis 20Años'!J227)</f>
        <v>0.030202846975089</v>
      </c>
      <c r="K229" s="97" t="n">
        <f aca="false">Analisis_Inputs_Grales!$D$75*('Analisis 20Años'!K225+'Analisis 20Años'!K227)</f>
        <v>0.030202846975089</v>
      </c>
      <c r="L229" s="97" t="n">
        <f aca="false">Analisis_Inputs_Grales!$D$75*('Analisis 20Años'!L225+'Analisis 20Años'!L227)</f>
        <v>0.030202846975089</v>
      </c>
      <c r="M229" s="97" t="n">
        <f aca="false">Analisis_Inputs_Grales!$D$75*('Analisis 20Años'!M225+'Analisis 20Años'!M227)</f>
        <v>0.030202846975089</v>
      </c>
      <c r="N229" s="97" t="n">
        <f aca="false">Analisis_Inputs_Grales!$D$75*('Analisis 20Años'!N225+'Analisis 20Años'!N227)</f>
        <v>0.030202846975089</v>
      </c>
      <c r="O229" s="97" t="n">
        <f aca="false">Analisis_Inputs_Grales!$D$75*('Analisis 20Años'!O225+'Analisis 20Años'!O227)</f>
        <v>0.030202846975089</v>
      </c>
      <c r="P229" s="97" t="n">
        <f aca="false">Analisis_Inputs_Grales!$D$75*('Analisis 20Años'!P225+'Analisis 20Años'!P227)</f>
        <v>0.030202846975089</v>
      </c>
      <c r="Q229" s="97" t="n">
        <f aca="false">Analisis_Inputs_Grales!$D$75*('Analisis 20Años'!Q225+'Analisis 20Años'!Q227)</f>
        <v>0.030202846975089</v>
      </c>
      <c r="R229" s="97" t="n">
        <f aca="false">Analisis_Inputs_Grales!$D$75*('Analisis 20Años'!R225+'Analisis 20Años'!R227)</f>
        <v>0.030202846975089</v>
      </c>
    </row>
    <row r="230" customFormat="false" ht="14.25" hidden="false" customHeight="false" outlineLevel="0" collapsed="false">
      <c r="B230" s="98" t="s">
        <v>204</v>
      </c>
      <c r="C230" s="56" t="s">
        <v>96</v>
      </c>
      <c r="D230" s="99" t="n">
        <f aca="false">D229*12*Analisis_Inputs_Grales!$D$59</f>
        <v>3131.43117437722</v>
      </c>
      <c r="E230" s="99" t="n">
        <f aca="false">E229*12*Analisis_Inputs_Grales!$D$59</f>
        <v>3131.43117437722</v>
      </c>
      <c r="F230" s="99" t="n">
        <f aca="false">F229*12*Analisis_Inputs_Grales!$D$59</f>
        <v>3131.43117437722</v>
      </c>
      <c r="G230" s="99" t="n">
        <f aca="false">G229*12*Analisis_Inputs_Grales!$D$59</f>
        <v>3131.43117437722</v>
      </c>
      <c r="H230" s="99" t="n">
        <f aca="false">H229*12*Analisis_Inputs_Grales!$D$59</f>
        <v>3131.43117437722</v>
      </c>
      <c r="I230" s="99" t="n">
        <f aca="false">I229*12*Analisis_Inputs_Grales!$D$59</f>
        <v>3131.43117437722</v>
      </c>
      <c r="J230" s="99" t="n">
        <f aca="false">J229*12*Analisis_Inputs_Grales!$D$59</f>
        <v>3131.43117437722</v>
      </c>
      <c r="K230" s="99" t="n">
        <f aca="false">K229*12*Analisis_Inputs_Grales!$D$59</f>
        <v>3131.43117437722</v>
      </c>
      <c r="L230" s="99" t="n">
        <f aca="false">L229*12*Analisis_Inputs_Grales!$D$59</f>
        <v>3131.43117437722</v>
      </c>
      <c r="M230" s="99" t="n">
        <f aca="false">M229*12*Analisis_Inputs_Grales!$D$59</f>
        <v>3131.43117437722</v>
      </c>
      <c r="N230" s="99" t="n">
        <f aca="false">N229*12*Analisis_Inputs_Grales!$D$59</f>
        <v>3131.43117437722</v>
      </c>
      <c r="O230" s="99" t="n">
        <f aca="false">O229*12*Analisis_Inputs_Grales!$D$59</f>
        <v>3131.43117437722</v>
      </c>
      <c r="P230" s="99" t="n">
        <f aca="false">P229*12*Analisis_Inputs_Grales!$D$59</f>
        <v>3131.43117437722</v>
      </c>
      <c r="Q230" s="99" t="n">
        <f aca="false">Q229*12*Analisis_Inputs_Grales!$D$59</f>
        <v>3131.43117437722</v>
      </c>
      <c r="R230" s="99" t="n">
        <f aca="false">R229*12*Analisis_Inputs_Grales!$D$59</f>
        <v>3131.43117437722</v>
      </c>
    </row>
    <row r="231" customFormat="false" ht="14.25" hidden="false" customHeight="false" outlineLevel="0" collapsed="false">
      <c r="B231" s="95" t="s">
        <v>205</v>
      </c>
      <c r="C231" s="96" t="s">
        <v>197</v>
      </c>
      <c r="D231" s="97" t="n">
        <f aca="false">D229+D227+D225</f>
        <v>0.105709964412811</v>
      </c>
      <c r="E231" s="97" t="n">
        <f aca="false">E229+E227+E225</f>
        <v>0.105709964412811</v>
      </c>
      <c r="F231" s="97" t="n">
        <f aca="false">F229+F227+F225</f>
        <v>0.105709964412811</v>
      </c>
      <c r="G231" s="97" t="n">
        <f aca="false">G229+G227+G225</f>
        <v>0.105709964412811</v>
      </c>
      <c r="H231" s="97" t="n">
        <f aca="false">H229+H227+H225</f>
        <v>0.105709964412811</v>
      </c>
      <c r="I231" s="97" t="n">
        <f aca="false">I229+I227+I225</f>
        <v>0.105709964412811</v>
      </c>
      <c r="J231" s="97" t="n">
        <f aca="false">J229+J227+J225</f>
        <v>0.105709964412811</v>
      </c>
      <c r="K231" s="97" t="n">
        <f aca="false">K229+K227+K225</f>
        <v>0.105709964412811</v>
      </c>
      <c r="L231" s="97" t="n">
        <f aca="false">L229+L227+L225</f>
        <v>0.105709964412811</v>
      </c>
      <c r="M231" s="97" t="n">
        <f aca="false">M229+M227+M225</f>
        <v>0.105709964412811</v>
      </c>
      <c r="N231" s="97" t="n">
        <f aca="false">N229+N227+N225</f>
        <v>0.105709964412811</v>
      </c>
      <c r="O231" s="97" t="n">
        <f aca="false">O229+O227+O225</f>
        <v>0.105709964412811</v>
      </c>
      <c r="P231" s="97" t="n">
        <f aca="false">P229+P227+P225</f>
        <v>0.105709964412811</v>
      </c>
      <c r="Q231" s="97" t="n">
        <f aca="false">Q229+Q227+Q225</f>
        <v>0.105709964412811</v>
      </c>
      <c r="R231" s="97" t="n">
        <f aca="false">R229+R227+R225</f>
        <v>0.105709964412811</v>
      </c>
    </row>
    <row r="232" customFormat="false" ht="14.25" hidden="false" customHeight="false" outlineLevel="0" collapsed="false">
      <c r="B232" s="101" t="s">
        <v>205</v>
      </c>
      <c r="C232" s="56" t="s">
        <v>96</v>
      </c>
      <c r="D232" s="99" t="n">
        <f aca="false">D231*12*Analisis_Inputs_Grales!$D$59</f>
        <v>10960.0091103203</v>
      </c>
      <c r="E232" s="99" t="n">
        <f aca="false">E231*12*Analisis_Inputs_Grales!$D$59</f>
        <v>10960.0091103203</v>
      </c>
      <c r="F232" s="99" t="n">
        <f aca="false">F231*12*Analisis_Inputs_Grales!$D$59</f>
        <v>10960.0091103203</v>
      </c>
      <c r="G232" s="99" t="n">
        <f aca="false">G231*12*Analisis_Inputs_Grales!$D$59</f>
        <v>10960.0091103203</v>
      </c>
      <c r="H232" s="99" t="n">
        <f aca="false">H231*12*Analisis_Inputs_Grales!$D$59</f>
        <v>10960.0091103203</v>
      </c>
      <c r="I232" s="99" t="n">
        <f aca="false">I231*12*Analisis_Inputs_Grales!$D$59</f>
        <v>10960.0091103203</v>
      </c>
      <c r="J232" s="99" t="n">
        <f aca="false">J231*12*Analisis_Inputs_Grales!$D$59</f>
        <v>10960.0091103203</v>
      </c>
      <c r="K232" s="99" t="n">
        <f aca="false">K231*12*Analisis_Inputs_Grales!$D$59</f>
        <v>10960.0091103203</v>
      </c>
      <c r="L232" s="99" t="n">
        <f aca="false">L231*12*Analisis_Inputs_Grales!$D$59</f>
        <v>10960.0091103203</v>
      </c>
      <c r="M232" s="99" t="n">
        <f aca="false">M231*12*Analisis_Inputs_Grales!$D$59</f>
        <v>10960.0091103203</v>
      </c>
      <c r="N232" s="99" t="n">
        <f aca="false">N231*12*Analisis_Inputs_Grales!$D$59</f>
        <v>10960.0091103203</v>
      </c>
      <c r="O232" s="99" t="n">
        <f aca="false">O231*12*Analisis_Inputs_Grales!$D$59</f>
        <v>10960.0091103203</v>
      </c>
      <c r="P232" s="99" t="n">
        <f aca="false">P231*12*Analisis_Inputs_Grales!$D$59</f>
        <v>10960.0091103203</v>
      </c>
      <c r="Q232" s="99" t="n">
        <f aca="false">Q231*12*Analisis_Inputs_Grales!$D$59</f>
        <v>10960.0091103203</v>
      </c>
      <c r="R232" s="99" t="n">
        <f aca="false">R231*12*Analisis_Inputs_Grales!$D$59</f>
        <v>10960.0091103203</v>
      </c>
    </row>
    <row r="233" customFormat="false" ht="14.25" hidden="false" customHeight="false" outlineLevel="0" collapsed="false">
      <c r="B233" s="103"/>
    </row>
    <row r="234" customFormat="false" ht="14.25" hidden="false" customHeight="false" outlineLevel="0" collapsed="false">
      <c r="B234" s="104" t="s">
        <v>206</v>
      </c>
      <c r="C234" s="105" t="s">
        <v>197</v>
      </c>
      <c r="D234" s="97" t="n">
        <f aca="false">+D221+D231</f>
        <v>0.700393680115578</v>
      </c>
      <c r="E234" s="97" t="n">
        <f aca="false">+E221+E231</f>
        <v>0.700393680115578</v>
      </c>
      <c r="F234" s="97" t="n">
        <f aca="false">+F221+F231</f>
        <v>0.700393680115578</v>
      </c>
      <c r="G234" s="97" t="n">
        <f aca="false">+G221+G231</f>
        <v>0.700393680115578</v>
      </c>
      <c r="H234" s="97" t="n">
        <f aca="false">+H221+H231</f>
        <v>0.700393680115578</v>
      </c>
      <c r="I234" s="97" t="n">
        <f aca="false">+I221+I231</f>
        <v>0.700393680115578</v>
      </c>
      <c r="J234" s="97" t="n">
        <f aca="false">+J221+J231</f>
        <v>0.700393680115578</v>
      </c>
      <c r="K234" s="97" t="n">
        <f aca="false">+K221+K231</f>
        <v>0.700393680115578</v>
      </c>
      <c r="L234" s="97" t="n">
        <f aca="false">+L221+L231</f>
        <v>0.700393680115578</v>
      </c>
      <c r="M234" s="97" t="n">
        <f aca="false">+M221+M231</f>
        <v>0.700393680115578</v>
      </c>
      <c r="N234" s="97" t="n">
        <f aca="false">+N221+N231</f>
        <v>0.700393680115578</v>
      </c>
      <c r="O234" s="97" t="n">
        <f aca="false">+O221+O231</f>
        <v>0.700393680115578</v>
      </c>
      <c r="P234" s="97" t="n">
        <f aca="false">+P221+P231</f>
        <v>0.700393680115578</v>
      </c>
      <c r="Q234" s="97" t="n">
        <f aca="false">+Q221+Q231</f>
        <v>0.700393680115578</v>
      </c>
      <c r="R234" s="97" t="n">
        <f aca="false">+R221+R231</f>
        <v>0.700393680115578</v>
      </c>
    </row>
    <row r="235" customFormat="false" ht="14.25" hidden="false" customHeight="false" outlineLevel="0" collapsed="false">
      <c r="B235" s="106" t="s">
        <v>206</v>
      </c>
      <c r="C235" s="107" t="s">
        <v>96</v>
      </c>
      <c r="D235" s="99" t="n">
        <f aca="false">D234*12*Analisis_Inputs_Grales!$D$59</f>
        <v>72616.8167543831</v>
      </c>
      <c r="E235" s="99" t="n">
        <f aca="false">E234*12*Analisis_Inputs_Grales!$D$59</f>
        <v>72616.8167543831</v>
      </c>
      <c r="F235" s="99" t="n">
        <f aca="false">F234*12*Analisis_Inputs_Grales!$D$59</f>
        <v>72616.8167543831</v>
      </c>
      <c r="G235" s="99" t="n">
        <f aca="false">G234*12*Analisis_Inputs_Grales!$D$59</f>
        <v>72616.8167543831</v>
      </c>
      <c r="H235" s="99" t="n">
        <f aca="false">H234*12*Analisis_Inputs_Grales!$D$59</f>
        <v>72616.8167543831</v>
      </c>
      <c r="I235" s="99" t="n">
        <f aca="false">I234*12*Analisis_Inputs_Grales!$D$59</f>
        <v>72616.8167543831</v>
      </c>
      <c r="J235" s="99" t="n">
        <f aca="false">J234*12*Analisis_Inputs_Grales!$D$59</f>
        <v>72616.8167543831</v>
      </c>
      <c r="K235" s="99" t="n">
        <f aca="false">K234*12*Analisis_Inputs_Grales!$D$59</f>
        <v>72616.8167543831</v>
      </c>
      <c r="L235" s="99" t="n">
        <f aca="false">L234*12*Analisis_Inputs_Grales!$D$59</f>
        <v>72616.8167543831</v>
      </c>
      <c r="M235" s="99" t="n">
        <f aca="false">M234*12*Analisis_Inputs_Grales!$D$59</f>
        <v>72616.8167543831</v>
      </c>
      <c r="N235" s="99" t="n">
        <f aca="false">N234*12*Analisis_Inputs_Grales!$D$59</f>
        <v>72616.8167543831</v>
      </c>
      <c r="O235" s="99" t="n">
        <f aca="false">O234*12*Analisis_Inputs_Grales!$D$59</f>
        <v>72616.8167543831</v>
      </c>
      <c r="P235" s="99" t="n">
        <f aca="false">P234*12*Analisis_Inputs_Grales!$D$59</f>
        <v>72616.8167543831</v>
      </c>
      <c r="Q235" s="99" t="n">
        <f aca="false">Q234*12*Analisis_Inputs_Grales!$D$59</f>
        <v>72616.8167543831</v>
      </c>
      <c r="R235" s="99" t="n">
        <f aca="false">R234*12*Analisis_Inputs_Grales!$D$59</f>
        <v>72616.8167543831</v>
      </c>
    </row>
    <row r="236" customFormat="false" ht="14.25" hidden="false" customHeight="false" outlineLevel="0" collapsed="false">
      <c r="B236" s="108"/>
      <c r="C236" s="109"/>
    </row>
    <row r="237" customFormat="false" ht="14.25" hidden="false" customHeight="false" outlineLevel="0" collapsed="false">
      <c r="B237" s="110" t="s">
        <v>207</v>
      </c>
      <c r="C237" s="105" t="s">
        <v>208</v>
      </c>
      <c r="D237" s="97" t="n">
        <f aca="false">D234/(Analisis_Inputs_Grales!$D$64)</f>
        <v>0.0676708869676887</v>
      </c>
      <c r="E237" s="97" t="n">
        <f aca="false">E234/(Analisis_Inputs_Grales!$D$64)</f>
        <v>0.0676708869676887</v>
      </c>
      <c r="F237" s="97" t="n">
        <f aca="false">F234/(Analisis_Inputs_Grales!$D$64)</f>
        <v>0.0676708869676887</v>
      </c>
      <c r="G237" s="97" t="n">
        <f aca="false">G234/(Analisis_Inputs_Grales!$D$64)</f>
        <v>0.0676708869676887</v>
      </c>
      <c r="H237" s="97" t="n">
        <f aca="false">H234/(Analisis_Inputs_Grales!$D$64)</f>
        <v>0.0676708869676887</v>
      </c>
      <c r="I237" s="97" t="n">
        <f aca="false">I234/(Analisis_Inputs_Grales!$D$64)</f>
        <v>0.0676708869676887</v>
      </c>
      <c r="J237" s="97" t="n">
        <f aca="false">J234/(Analisis_Inputs_Grales!$D$64)</f>
        <v>0.0676708869676887</v>
      </c>
      <c r="K237" s="97" t="n">
        <f aca="false">K234/(Analisis_Inputs_Grales!$D$64)</f>
        <v>0.0676708869676887</v>
      </c>
      <c r="L237" s="97" t="n">
        <f aca="false">L234/(Analisis_Inputs_Grales!$D$64)</f>
        <v>0.0676708869676887</v>
      </c>
      <c r="M237" s="97" t="n">
        <f aca="false">M234/(Analisis_Inputs_Grales!$D$64)</f>
        <v>0.0676708869676887</v>
      </c>
      <c r="N237" s="97" t="n">
        <f aca="false">N234/(Analisis_Inputs_Grales!$D$64)</f>
        <v>0.0676708869676887</v>
      </c>
      <c r="O237" s="97" t="n">
        <f aca="false">O234/(Analisis_Inputs_Grales!$D$64)</f>
        <v>0.0676708869676887</v>
      </c>
      <c r="P237" s="97" t="n">
        <f aca="false">P234/(Analisis_Inputs_Grales!$D$64)</f>
        <v>0.0676708869676887</v>
      </c>
      <c r="Q237" s="97" t="n">
        <f aca="false">Q234/(Analisis_Inputs_Grales!$D$64)</f>
        <v>0.0676708869676887</v>
      </c>
      <c r="R237" s="97" t="n">
        <f aca="false">R234/(Analisis_Inputs_Grales!$D$64)</f>
        <v>0.0676708869676887</v>
      </c>
    </row>
    <row r="238" customFormat="false" ht="14.25" hidden="false" customHeight="false" outlineLevel="0" collapsed="false">
      <c r="B238" s="103" t="s">
        <v>209</v>
      </c>
      <c r="C238" s="56" t="s">
        <v>210</v>
      </c>
      <c r="D238" s="99" t="n">
        <f aca="false">D237*12*Analisis_Inputs_Grales!$D$59</f>
        <v>7016.11756080996</v>
      </c>
      <c r="E238" s="99" t="n">
        <f aca="false">E237*12*Analisis_Inputs_Grales!$D$59</f>
        <v>7016.11756080996</v>
      </c>
      <c r="F238" s="99" t="n">
        <f aca="false">F237*12*Analisis_Inputs_Grales!$D$59</f>
        <v>7016.11756080996</v>
      </c>
      <c r="G238" s="99" t="n">
        <f aca="false">G237*12*Analisis_Inputs_Grales!$D$59</f>
        <v>7016.11756080996</v>
      </c>
      <c r="H238" s="99" t="n">
        <f aca="false">H237*12*Analisis_Inputs_Grales!$D$59</f>
        <v>7016.11756080996</v>
      </c>
      <c r="I238" s="99" t="n">
        <f aca="false">I237*12*Analisis_Inputs_Grales!$D$59</f>
        <v>7016.11756080996</v>
      </c>
      <c r="J238" s="99" t="n">
        <f aca="false">J237*12*Analisis_Inputs_Grales!$D$59</f>
        <v>7016.11756080996</v>
      </c>
      <c r="K238" s="99" t="n">
        <f aca="false">K237*12*Analisis_Inputs_Grales!$D$59</f>
        <v>7016.11756080996</v>
      </c>
      <c r="L238" s="99" t="n">
        <f aca="false">L237*12*Analisis_Inputs_Grales!$D$59</f>
        <v>7016.11756080996</v>
      </c>
      <c r="M238" s="99" t="n">
        <f aca="false">M237*12*Analisis_Inputs_Grales!$D$59</f>
        <v>7016.11756080996</v>
      </c>
      <c r="N238" s="99" t="n">
        <f aca="false">N237*12*Analisis_Inputs_Grales!$D$59</f>
        <v>7016.11756080996</v>
      </c>
      <c r="O238" s="99" t="n">
        <f aca="false">O237*12*Analisis_Inputs_Grales!$D$59</f>
        <v>7016.11756080996</v>
      </c>
      <c r="P238" s="99" t="n">
        <f aca="false">P237*12*Analisis_Inputs_Grales!$D$59</f>
        <v>7016.11756080996</v>
      </c>
      <c r="Q238" s="99" t="n">
        <f aca="false">Q237*12*Analisis_Inputs_Grales!$D$59</f>
        <v>7016.11756080996</v>
      </c>
      <c r="R238" s="99" t="n">
        <f aca="false">R237*12*Analisis_Inputs_Grales!$D$59</f>
        <v>7016.11756080996</v>
      </c>
    </row>
    <row r="239" customFormat="false" ht="28.5" hidden="false" customHeight="false" outlineLevel="0" collapsed="false">
      <c r="B239" s="106" t="s">
        <v>220</v>
      </c>
      <c r="C239" s="107" t="s">
        <v>221</v>
      </c>
      <c r="D239" s="97" t="n">
        <f aca="false">(Analisis_Inputs_Grales!$D$79+Analisis_Inputs_Grales!$D$80)*D221/Analisis_Inputs_Grales!$D$64</f>
        <v>2.01100773426056</v>
      </c>
      <c r="E239" s="97" t="n">
        <f aca="false">(Analisis_Inputs_Grales!$D$79+Analisis_Inputs_Grales!$D$80)*E221/Analisis_Inputs_Grales!$D$64</f>
        <v>2.01100773426056</v>
      </c>
      <c r="F239" s="97" t="n">
        <f aca="false">(Analisis_Inputs_Grales!$D$79+Analisis_Inputs_Grales!$D$80)*F221/Analisis_Inputs_Grales!$D$64</f>
        <v>2.01100773426056</v>
      </c>
      <c r="G239" s="97" t="n">
        <f aca="false">(Analisis_Inputs_Grales!$D$79+Analisis_Inputs_Grales!$D$80)*G221/Analisis_Inputs_Grales!$D$64</f>
        <v>2.01100773426056</v>
      </c>
      <c r="H239" s="97" t="n">
        <f aca="false">(Analisis_Inputs_Grales!$D$79+Analisis_Inputs_Grales!$D$80)*H221/Analisis_Inputs_Grales!$D$64</f>
        <v>2.01100773426056</v>
      </c>
      <c r="I239" s="97" t="n">
        <f aca="false">(Analisis_Inputs_Grales!$D$79+Analisis_Inputs_Grales!$D$80)*I221/Analisis_Inputs_Grales!$D$64</f>
        <v>2.01100773426056</v>
      </c>
      <c r="J239" s="97" t="n">
        <f aca="false">(Analisis_Inputs_Grales!$D$79+Analisis_Inputs_Grales!$D$80)*J221/Analisis_Inputs_Grales!$D$64</f>
        <v>2.01100773426056</v>
      </c>
      <c r="K239" s="97" t="n">
        <f aca="false">(Analisis_Inputs_Grales!$D$79+Analisis_Inputs_Grales!$D$80)*K221/Analisis_Inputs_Grales!$D$64</f>
        <v>2.01100773426056</v>
      </c>
      <c r="L239" s="97" t="n">
        <f aca="false">(Analisis_Inputs_Grales!$D$79+Analisis_Inputs_Grales!$D$80)*L221/Analisis_Inputs_Grales!$D$64</f>
        <v>2.01100773426056</v>
      </c>
      <c r="M239" s="97" t="n">
        <f aca="false">(Analisis_Inputs_Grales!$D$79+Analisis_Inputs_Grales!$D$80)*M221/Analisis_Inputs_Grales!$D$64</f>
        <v>2.01100773426056</v>
      </c>
      <c r="N239" s="97" t="n">
        <f aca="false">(Analisis_Inputs_Grales!$D$79+Analisis_Inputs_Grales!$D$80)*N221/Analisis_Inputs_Grales!$D$64</f>
        <v>2.01100773426056</v>
      </c>
      <c r="O239" s="97" t="n">
        <f aca="false">(Analisis_Inputs_Grales!$D$79+Analisis_Inputs_Grales!$D$80)*O221/Analisis_Inputs_Grales!$D$64</f>
        <v>2.01100773426056</v>
      </c>
      <c r="P239" s="97" t="n">
        <f aca="false">(Analisis_Inputs_Grales!$D$79+Analisis_Inputs_Grales!$D$80)*P221/Analisis_Inputs_Grales!$D$64</f>
        <v>2.01100773426056</v>
      </c>
      <c r="Q239" s="97" t="n">
        <f aca="false">(Analisis_Inputs_Grales!$D$79+Analisis_Inputs_Grales!$D$80)*Q221/Analisis_Inputs_Grales!$D$64</f>
        <v>2.01100773426056</v>
      </c>
      <c r="R239" s="97" t="n">
        <f aca="false">(Analisis_Inputs_Grales!$D$79+Analisis_Inputs_Grales!$D$80)*R221/Analisis_Inputs_Grales!$D$64</f>
        <v>2.01100773426056</v>
      </c>
    </row>
    <row r="241" customFormat="false" ht="14.25" hidden="false" customHeight="false" outlineLevel="0" collapsed="false">
      <c r="B241" s="103" t="s">
        <v>211</v>
      </c>
      <c r="C241" s="56" t="s">
        <v>212</v>
      </c>
      <c r="D241" s="97" t="n">
        <f aca="false">(D237*Analisis_Inputs_Grales!$D$34/60)+D239</f>
        <v>2.04634697523258</v>
      </c>
      <c r="E241" s="97" t="n">
        <f aca="false">(E237*Analisis_Inputs_Grales!$D$34/60)+E239</f>
        <v>2.04634697523258</v>
      </c>
      <c r="F241" s="97" t="n">
        <f aca="false">(F237*Analisis_Inputs_Grales!$D$34/60)+F239</f>
        <v>2.04634697523258</v>
      </c>
      <c r="G241" s="97" t="n">
        <f aca="false">(G237*Analisis_Inputs_Grales!$D$34/60)+G239</f>
        <v>2.04634697523258</v>
      </c>
      <c r="H241" s="97" t="n">
        <f aca="false">(H237*Analisis_Inputs_Grales!$D$34/60)+H239</f>
        <v>2.04634697523258</v>
      </c>
      <c r="I241" s="97" t="n">
        <f aca="false">(I237*Analisis_Inputs_Grales!$D$34/60)+I239</f>
        <v>2.04634697523258</v>
      </c>
      <c r="J241" s="97" t="n">
        <f aca="false">(J237*Analisis_Inputs_Grales!$D$34/60)+J239</f>
        <v>2.04634697523258</v>
      </c>
      <c r="K241" s="97" t="n">
        <f aca="false">(K237*Analisis_Inputs_Grales!$D$34/60)+K239</f>
        <v>2.04634697523258</v>
      </c>
      <c r="L241" s="97" t="n">
        <f aca="false">(L237*Analisis_Inputs_Grales!$D$34/60)+L239</f>
        <v>2.04634697523258</v>
      </c>
      <c r="M241" s="97" t="n">
        <f aca="false">(M237*Analisis_Inputs_Grales!$D$34/60)+M239</f>
        <v>2.04634697523258</v>
      </c>
      <c r="N241" s="97" t="n">
        <f aca="false">(N237*Analisis_Inputs_Grales!$D$34/60)+N239</f>
        <v>2.04634697523258</v>
      </c>
      <c r="O241" s="97" t="n">
        <f aca="false">(O237*Analisis_Inputs_Grales!$D$34/60)+O239</f>
        <v>2.04634697523258</v>
      </c>
      <c r="P241" s="97" t="n">
        <f aca="false">(P237*Analisis_Inputs_Grales!$D$34/60)+P239</f>
        <v>2.04634697523258</v>
      </c>
      <c r="Q241" s="97" t="n">
        <f aca="false">(Q237*Analisis_Inputs_Grales!$D$34/60)+Q239</f>
        <v>2.04634697523258</v>
      </c>
      <c r="R241" s="97" t="n">
        <f aca="false">(R237*Analisis_Inputs_Grales!$D$34/60)+R239</f>
        <v>2.04634697523258</v>
      </c>
    </row>
    <row r="242" customFormat="false" ht="14.25" hidden="false" customHeight="false" outlineLevel="0" collapsed="false">
      <c r="B242" s="111" t="s">
        <v>213</v>
      </c>
      <c r="C242" s="112" t="s">
        <v>19</v>
      </c>
      <c r="D242" s="97" t="n">
        <f aca="false">(1+Analisis_Inputs_Grales!$D$118)^'Analisis 20Años'!D$3</f>
        <v>1</v>
      </c>
      <c r="E242" s="97" t="n">
        <f aca="false">(1+Analisis_Inputs_Grales!$D$118)^'Analisis 20Años'!E$3</f>
        <v>1.12</v>
      </c>
      <c r="F242" s="97" t="n">
        <f aca="false">(1+Analisis_Inputs_Grales!$D$118)^'Analisis 20Años'!F$3</f>
        <v>1.2544</v>
      </c>
      <c r="G242" s="97" t="n">
        <f aca="false">(1+Analisis_Inputs_Grales!$D$118)^'Analisis 20Años'!G$3</f>
        <v>1.404928</v>
      </c>
      <c r="H242" s="97" t="n">
        <f aca="false">(1+Analisis_Inputs_Grales!$D$118)^'Analisis 20Años'!H$3</f>
        <v>1.57351936</v>
      </c>
      <c r="I242" s="97" t="n">
        <f aca="false">(1+Analisis_Inputs_Grales!$D$118)^'Analisis 20Años'!I$3</f>
        <v>1.7623416832</v>
      </c>
      <c r="J242" s="97" t="n">
        <f aca="false">(1+Analisis_Inputs_Grales!$D$118)^'Analisis 20Años'!J$3</f>
        <v>1.973822685184</v>
      </c>
      <c r="K242" s="97" t="n">
        <f aca="false">(1+Analisis_Inputs_Grales!$D$118)^'Analisis 20Años'!K$3</f>
        <v>2.21068140740608</v>
      </c>
      <c r="L242" s="97" t="n">
        <f aca="false">(1+Analisis_Inputs_Grales!$D$118)^'Analisis 20Años'!L$3</f>
        <v>2.47596317629481</v>
      </c>
      <c r="M242" s="97" t="n">
        <f aca="false">(1+Analisis_Inputs_Grales!$D$118)^'Analisis 20Años'!M$3</f>
        <v>2.77307875745019</v>
      </c>
      <c r="N242" s="97" t="n">
        <f aca="false">(1+Analisis_Inputs_Grales!$D$118)^'Analisis 20Años'!N$3</f>
        <v>3.10584820834421</v>
      </c>
      <c r="O242" s="97" t="n">
        <f aca="false">(1+Analisis_Inputs_Grales!$D$118)^'Analisis 20Años'!O$3</f>
        <v>3.47854999334552</v>
      </c>
      <c r="P242" s="97" t="n">
        <f aca="false">(1+Analisis_Inputs_Grales!$D$118)^'Analisis 20Años'!P$3</f>
        <v>3.89597599254698</v>
      </c>
      <c r="Q242" s="97" t="n">
        <f aca="false">(1+Analisis_Inputs_Grales!$D$118)^'Analisis 20Años'!Q$3</f>
        <v>4.36349311165262</v>
      </c>
      <c r="R242" s="97" t="n">
        <f aca="false">(1+Analisis_Inputs_Grales!$D$118)^'Analisis 20Años'!R$3</f>
        <v>4.88711228505093</v>
      </c>
    </row>
    <row r="243" customFormat="false" ht="14.25" hidden="false" customHeight="false" outlineLevel="0" collapsed="false">
      <c r="B243" s="111" t="s">
        <v>214</v>
      </c>
      <c r="C243" s="112" t="s">
        <v>212</v>
      </c>
      <c r="D243" s="97" t="n">
        <f aca="false">D241*D242</f>
        <v>2.04634697523258</v>
      </c>
      <c r="E243" s="97" t="n">
        <f aca="false">E241*E242</f>
        <v>2.29190861226049</v>
      </c>
      <c r="F243" s="97" t="n">
        <f aca="false">F241*F242</f>
        <v>2.56693764573174</v>
      </c>
      <c r="G243" s="97" t="n">
        <f aca="false">G241*G242</f>
        <v>2.87497016321955</v>
      </c>
      <c r="H243" s="97" t="n">
        <f aca="false">H241*H242</f>
        <v>3.2199665828059</v>
      </c>
      <c r="I243" s="97" t="n">
        <f aca="false">I241*I242</f>
        <v>3.60636257274261</v>
      </c>
      <c r="J243" s="97" t="n">
        <f aca="false">J241*J242</f>
        <v>4.03912608147172</v>
      </c>
      <c r="K243" s="97" t="n">
        <f aca="false">K241*K242</f>
        <v>4.52382121124833</v>
      </c>
      <c r="L243" s="97" t="n">
        <f aca="false">L241*L242</f>
        <v>5.06667975659813</v>
      </c>
      <c r="M243" s="97" t="n">
        <f aca="false">M241*M242</f>
        <v>5.67468132738991</v>
      </c>
      <c r="N243" s="97" t="n">
        <f aca="false">N241*N242</f>
        <v>6.35564308667669</v>
      </c>
      <c r="O243" s="97" t="n">
        <f aca="false">O241*O242</f>
        <v>7.1183202570779</v>
      </c>
      <c r="P243" s="97" t="n">
        <f aca="false">P241*P242</f>
        <v>7.97251868792725</v>
      </c>
      <c r="Q243" s="97" t="n">
        <f aca="false">Q241*Q242</f>
        <v>8.92922093047852</v>
      </c>
      <c r="R243" s="97" t="n">
        <f aca="false">R241*R242</f>
        <v>10.0007274421359</v>
      </c>
    </row>
    <row r="244" customFormat="false" ht="15" hidden="false" customHeight="false" outlineLevel="0" collapsed="false">
      <c r="B244" s="113" t="s">
        <v>216</v>
      </c>
      <c r="C244" s="112" t="s">
        <v>212</v>
      </c>
      <c r="D244" s="97" t="n">
        <f aca="false">SUM(D243:R243)</f>
        <v>76.2872313329973</v>
      </c>
    </row>
    <row r="246" customFormat="false" ht="15" hidden="false" customHeight="false" outlineLevel="0" collapsed="false"/>
    <row r="247" customFormat="false" ht="16.5" hidden="false" customHeight="false" outlineLevel="0" collapsed="false">
      <c r="B247" s="92" t="s">
        <v>130</v>
      </c>
      <c r="C247" s="93" t="n">
        <v>20</v>
      </c>
      <c r="D247" s="99"/>
    </row>
    <row r="248" customFormat="false" ht="15.75" hidden="false" customHeight="false" outlineLevel="0" collapsed="false">
      <c r="B248" s="94" t="s">
        <v>195</v>
      </c>
      <c r="D248" s="99"/>
    </row>
    <row r="249" customFormat="false" ht="14.25" hidden="false" customHeight="false" outlineLevel="0" collapsed="false">
      <c r="B249" s="95" t="s">
        <v>196</v>
      </c>
      <c r="C249" s="96" t="s">
        <v>197</v>
      </c>
      <c r="D249" s="97" t="n">
        <f aca="false">Analisis_Inputs_Grales!$D$67*(Analisis_Inputs_Grales!$D$118/12)/Analisis_Inputs_Grales!$D$59</f>
        <v>0.27468806355493</v>
      </c>
      <c r="E249" s="97" t="n">
        <f aca="false">Analisis_Inputs_Grales!$D$67*(Analisis_Inputs_Grales!$D$118/12)/Analisis_Inputs_Grales!$D$59</f>
        <v>0.27468806355493</v>
      </c>
      <c r="F249" s="97" t="n">
        <f aca="false">Analisis_Inputs_Grales!$D$67*(Analisis_Inputs_Grales!$D$118/12)/Analisis_Inputs_Grales!$D$59</f>
        <v>0.27468806355493</v>
      </c>
      <c r="G249" s="97" t="n">
        <f aca="false">Analisis_Inputs_Grales!$D$67*(Analisis_Inputs_Grales!$D$118/12)/Analisis_Inputs_Grales!$D$59</f>
        <v>0.27468806355493</v>
      </c>
      <c r="H249" s="97" t="n">
        <f aca="false">Analisis_Inputs_Grales!$D$67*(Analisis_Inputs_Grales!$D$118/12)/Analisis_Inputs_Grales!$D$59</f>
        <v>0.27468806355493</v>
      </c>
      <c r="I249" s="97" t="n">
        <f aca="false">Analisis_Inputs_Grales!$D$67*(Analisis_Inputs_Grales!$D$118/12)/Analisis_Inputs_Grales!$D$59</f>
        <v>0.27468806355493</v>
      </c>
      <c r="J249" s="97" t="n">
        <f aca="false">Analisis_Inputs_Grales!$D$67*(Analisis_Inputs_Grales!$D$118/12)/Analisis_Inputs_Grales!$D$59</f>
        <v>0.27468806355493</v>
      </c>
      <c r="K249" s="97" t="n">
        <f aca="false">Analisis_Inputs_Grales!$D$67*(Analisis_Inputs_Grales!$D$118/12)/Analisis_Inputs_Grales!$D$59</f>
        <v>0.27468806355493</v>
      </c>
      <c r="L249" s="97" t="n">
        <f aca="false">Analisis_Inputs_Grales!$D$67*(Analisis_Inputs_Grales!$D$118/12)/Analisis_Inputs_Grales!$D$59</f>
        <v>0.27468806355493</v>
      </c>
      <c r="M249" s="97" t="n">
        <f aca="false">Analisis_Inputs_Grales!$D$67*(Analisis_Inputs_Grales!$D$118/12)/Analisis_Inputs_Grales!$D$59</f>
        <v>0.27468806355493</v>
      </c>
      <c r="N249" s="97" t="n">
        <f aca="false">Analisis_Inputs_Grales!$D$67*(Analisis_Inputs_Grales!$D$118/12)/Analisis_Inputs_Grales!$D$59</f>
        <v>0.27468806355493</v>
      </c>
      <c r="O249" s="97" t="n">
        <f aca="false">Analisis_Inputs_Grales!$D$67*(Analisis_Inputs_Grales!$D$118/12)/Analisis_Inputs_Grales!$D$59</f>
        <v>0.27468806355493</v>
      </c>
      <c r="P249" s="97" t="n">
        <f aca="false">Analisis_Inputs_Grales!$D$67*(Analisis_Inputs_Grales!$D$118/12)/Analisis_Inputs_Grales!$D$59</f>
        <v>0.27468806355493</v>
      </c>
      <c r="Q249" s="97" t="n">
        <f aca="false">Analisis_Inputs_Grales!$D$67*(Analisis_Inputs_Grales!$D$118/12)/Analisis_Inputs_Grales!$D$59</f>
        <v>0.27468806355493</v>
      </c>
      <c r="R249" s="97" t="n">
        <f aca="false">Analisis_Inputs_Grales!$D$67*(Analisis_Inputs_Grales!$D$118/12)/Analisis_Inputs_Grales!$D$59</f>
        <v>0.27468806355493</v>
      </c>
      <c r="S249" s="97" t="n">
        <f aca="false">Analisis_Inputs_Grales!$D$67*(Analisis_Inputs_Grales!$D$118/12)/Analisis_Inputs_Grales!$D$59</f>
        <v>0.27468806355493</v>
      </c>
      <c r="T249" s="97" t="n">
        <f aca="false">Analisis_Inputs_Grales!$D$67*(Analisis_Inputs_Grales!$D$118/12)/Analisis_Inputs_Grales!$D$59</f>
        <v>0.27468806355493</v>
      </c>
      <c r="U249" s="97" t="n">
        <f aca="false">Analisis_Inputs_Grales!$D$67*(Analisis_Inputs_Grales!$D$118/12)/Analisis_Inputs_Grales!$D$59</f>
        <v>0.27468806355493</v>
      </c>
      <c r="V249" s="97" t="n">
        <f aca="false">Analisis_Inputs_Grales!$D$67*(Analisis_Inputs_Grales!$D$118/12)/Analisis_Inputs_Grales!$D$59</f>
        <v>0.27468806355493</v>
      </c>
      <c r="W249" s="97" t="n">
        <f aca="false">Analisis_Inputs_Grales!$D$67*(Analisis_Inputs_Grales!$D$118/12)/Analisis_Inputs_Grales!$D$59</f>
        <v>0.27468806355493</v>
      </c>
    </row>
    <row r="250" customFormat="false" ht="14.25" hidden="false" customHeight="false" outlineLevel="0" collapsed="false">
      <c r="B250" s="98" t="s">
        <v>196</v>
      </c>
      <c r="C250" s="56" t="s">
        <v>96</v>
      </c>
      <c r="D250" s="99" t="n">
        <f aca="false">D249*12*Analisis_Inputs_Grales!$D$59</f>
        <v>28479.6584293752</v>
      </c>
      <c r="E250" s="99" t="n">
        <f aca="false">E249*12*Analisis_Inputs_Grales!$D$59</f>
        <v>28479.6584293752</v>
      </c>
      <c r="F250" s="99" t="n">
        <f aca="false">F249*12*Analisis_Inputs_Grales!$D$59</f>
        <v>28479.6584293752</v>
      </c>
      <c r="G250" s="99" t="n">
        <f aca="false">G249*12*Analisis_Inputs_Grales!$D$59</f>
        <v>28479.6584293752</v>
      </c>
      <c r="H250" s="99" t="n">
        <f aca="false">H249*12*Analisis_Inputs_Grales!$D$59</f>
        <v>28479.6584293752</v>
      </c>
      <c r="I250" s="99" t="n">
        <f aca="false">I249*12*Analisis_Inputs_Grales!$D$59</f>
        <v>28479.6584293752</v>
      </c>
      <c r="J250" s="99" t="n">
        <f aca="false">J249*12*Analisis_Inputs_Grales!$D$59</f>
        <v>28479.6584293752</v>
      </c>
      <c r="K250" s="99" t="n">
        <f aca="false">K249*12*Analisis_Inputs_Grales!$D$59</f>
        <v>28479.6584293752</v>
      </c>
      <c r="L250" s="99" t="n">
        <f aca="false">L249*12*Analisis_Inputs_Grales!$D$59</f>
        <v>28479.6584293752</v>
      </c>
      <c r="M250" s="99" t="n">
        <f aca="false">M249*12*Analisis_Inputs_Grales!$D$59</f>
        <v>28479.6584293752</v>
      </c>
      <c r="N250" s="99" t="n">
        <f aca="false">N249*12*Analisis_Inputs_Grales!$D$59</f>
        <v>28479.6584293752</v>
      </c>
      <c r="O250" s="99" t="n">
        <f aca="false">O249*12*Analisis_Inputs_Grales!$D$59</f>
        <v>28479.6584293752</v>
      </c>
      <c r="P250" s="99" t="n">
        <f aca="false">P249*12*Analisis_Inputs_Grales!$D$59</f>
        <v>28479.6584293752</v>
      </c>
      <c r="Q250" s="99" t="n">
        <f aca="false">Q249*12*Analisis_Inputs_Grales!$D$59</f>
        <v>28479.6584293752</v>
      </c>
      <c r="R250" s="99" t="n">
        <f aca="false">R249*12*Analisis_Inputs_Grales!$D$59</f>
        <v>28479.6584293752</v>
      </c>
      <c r="S250" s="99" t="n">
        <f aca="false">S249*12*Analisis_Inputs_Grales!$D$59</f>
        <v>28479.6584293752</v>
      </c>
      <c r="T250" s="99" t="n">
        <f aca="false">T249*12*Analisis_Inputs_Grales!$D$59</f>
        <v>28479.6584293752</v>
      </c>
      <c r="U250" s="99" t="n">
        <f aca="false">U249*12*Analisis_Inputs_Grales!$D$59</f>
        <v>28479.6584293752</v>
      </c>
      <c r="V250" s="99" t="n">
        <f aca="false">V249*12*Analisis_Inputs_Grales!$D$59</f>
        <v>28479.6584293752</v>
      </c>
      <c r="W250" s="99" t="n">
        <f aca="false">W249*12*Analisis_Inputs_Grales!$D$59</f>
        <v>28479.6584293752</v>
      </c>
    </row>
    <row r="251" customFormat="false" ht="14.25" hidden="false" customHeight="false" outlineLevel="0" collapsed="false">
      <c r="B251" s="95" t="s">
        <v>198</v>
      </c>
      <c r="C251" s="96" t="s">
        <v>197</v>
      </c>
      <c r="D251" s="97" t="n">
        <f aca="false">(Analisis_Inputs_Grales!$D$67-Analisis_Inputs_Grales!$D$70*Analisis_Inputs_Grales!$D$67)/(Analisis_Inputs_Grales!$D$59*12*$C$247)</f>
        <v>0.103008023833099</v>
      </c>
      <c r="E251" s="97" t="n">
        <f aca="false">(Analisis_Inputs_Grales!$D$67-Analisis_Inputs_Grales!$D$70*Analisis_Inputs_Grales!$D$67)/(Analisis_Inputs_Grales!$D$59*12*$C$247)</f>
        <v>0.103008023833099</v>
      </c>
      <c r="F251" s="97" t="n">
        <f aca="false">(Analisis_Inputs_Grales!$D$67-Analisis_Inputs_Grales!$D$70*Analisis_Inputs_Grales!$D$67)/(Analisis_Inputs_Grales!$D$59*12*$C$247)</f>
        <v>0.103008023833099</v>
      </c>
      <c r="G251" s="97" t="n">
        <f aca="false">(Analisis_Inputs_Grales!$D$67-Analisis_Inputs_Grales!$D$70*Analisis_Inputs_Grales!$D$67)/(Analisis_Inputs_Grales!$D$59*12*$C$247)</f>
        <v>0.103008023833099</v>
      </c>
      <c r="H251" s="97" t="n">
        <f aca="false">(Analisis_Inputs_Grales!$D$67-Analisis_Inputs_Grales!$D$70*Analisis_Inputs_Grales!$D$67)/(Analisis_Inputs_Grales!$D$59*12*$C$247)</f>
        <v>0.103008023833099</v>
      </c>
      <c r="I251" s="97" t="n">
        <f aca="false">(Analisis_Inputs_Grales!$D$67-Analisis_Inputs_Grales!$D$70*Analisis_Inputs_Grales!$D$67)/(Analisis_Inputs_Grales!$D$59*12*$C$247)</f>
        <v>0.103008023833099</v>
      </c>
      <c r="J251" s="97" t="n">
        <f aca="false">(Analisis_Inputs_Grales!$D$67-Analisis_Inputs_Grales!$D$70*Analisis_Inputs_Grales!$D$67)/(Analisis_Inputs_Grales!$D$59*12*$C$247)</f>
        <v>0.103008023833099</v>
      </c>
      <c r="K251" s="97" t="n">
        <f aca="false">(Analisis_Inputs_Grales!$D$67-Analisis_Inputs_Grales!$D$70*Analisis_Inputs_Grales!$D$67)/(Analisis_Inputs_Grales!$D$59*12*$C$247)</f>
        <v>0.103008023833099</v>
      </c>
      <c r="L251" s="97" t="n">
        <f aca="false">(Analisis_Inputs_Grales!$D$67-Analisis_Inputs_Grales!$D$70*Analisis_Inputs_Grales!$D$67)/(Analisis_Inputs_Grales!$D$59*12*$C$247)</f>
        <v>0.103008023833099</v>
      </c>
      <c r="M251" s="97" t="n">
        <f aca="false">(Analisis_Inputs_Grales!$D$67-Analisis_Inputs_Grales!$D$70*Analisis_Inputs_Grales!$D$67)/(Analisis_Inputs_Grales!$D$59*12*$C$247)</f>
        <v>0.103008023833099</v>
      </c>
      <c r="N251" s="97" t="n">
        <f aca="false">(Analisis_Inputs_Grales!$D$67-Analisis_Inputs_Grales!$D$70*Analisis_Inputs_Grales!$D$67)/(Analisis_Inputs_Grales!$D$59*12*$C$247)</f>
        <v>0.103008023833099</v>
      </c>
      <c r="O251" s="97" t="n">
        <f aca="false">(Analisis_Inputs_Grales!$D$67-Analisis_Inputs_Grales!$D$70*Analisis_Inputs_Grales!$D$67)/(Analisis_Inputs_Grales!$D$59*12*$C$247)</f>
        <v>0.103008023833099</v>
      </c>
      <c r="P251" s="97" t="n">
        <f aca="false">(Analisis_Inputs_Grales!$D$67-Analisis_Inputs_Grales!$D$70*Analisis_Inputs_Grales!$D$67)/(Analisis_Inputs_Grales!$D$59*12*$C$247)</f>
        <v>0.103008023833099</v>
      </c>
      <c r="Q251" s="97" t="n">
        <f aca="false">(Analisis_Inputs_Grales!$D$67-Analisis_Inputs_Grales!$D$70*Analisis_Inputs_Grales!$D$67)/(Analisis_Inputs_Grales!$D$59*12*$C$247)</f>
        <v>0.103008023833099</v>
      </c>
      <c r="R251" s="97" t="n">
        <f aca="false">(Analisis_Inputs_Grales!$D$67-Analisis_Inputs_Grales!$D$70*Analisis_Inputs_Grales!$D$67)/(Analisis_Inputs_Grales!$D$59*12*$C$247)</f>
        <v>0.103008023833099</v>
      </c>
      <c r="S251" s="97" t="n">
        <f aca="false">(Analisis_Inputs_Grales!$D$67-Analisis_Inputs_Grales!$D$70*Analisis_Inputs_Grales!$D$67)/(Analisis_Inputs_Grales!$D$59*12*$C$247)</f>
        <v>0.103008023833099</v>
      </c>
      <c r="T251" s="97" t="n">
        <f aca="false">(Analisis_Inputs_Grales!$D$67-Analisis_Inputs_Grales!$D$70*Analisis_Inputs_Grales!$D$67)/(Analisis_Inputs_Grales!$D$59*12*$C$247)</f>
        <v>0.103008023833099</v>
      </c>
      <c r="U251" s="97" t="n">
        <f aca="false">(Analisis_Inputs_Grales!$D$67-Analisis_Inputs_Grales!$D$70*Analisis_Inputs_Grales!$D$67)/(Analisis_Inputs_Grales!$D$59*12*$C$247)</f>
        <v>0.103008023833099</v>
      </c>
      <c r="V251" s="97" t="n">
        <f aca="false">(Analisis_Inputs_Grales!$D$67-Analisis_Inputs_Grales!$D$70*Analisis_Inputs_Grales!$D$67)/(Analisis_Inputs_Grales!$D$59*12*$C$247)</f>
        <v>0.103008023833099</v>
      </c>
      <c r="W251" s="97" t="n">
        <f aca="false">(Analisis_Inputs_Grales!$D$67-Analisis_Inputs_Grales!$D$70*Analisis_Inputs_Grales!$D$67)/(Analisis_Inputs_Grales!$D$59*12*$C$247)</f>
        <v>0.103008023833099</v>
      </c>
    </row>
    <row r="252" customFormat="false" ht="14.25" hidden="false" customHeight="false" outlineLevel="0" collapsed="false">
      <c r="B252" s="98" t="s">
        <v>198</v>
      </c>
      <c r="C252" s="56" t="s">
        <v>96</v>
      </c>
      <c r="D252" s="99" t="n">
        <f aca="false">D251*12*Analisis_Inputs_Grales!$D$59</f>
        <v>10679.8719110157</v>
      </c>
      <c r="E252" s="99" t="n">
        <f aca="false">E251*12*Analisis_Inputs_Grales!$D$59</f>
        <v>10679.8719110157</v>
      </c>
      <c r="F252" s="99" t="n">
        <f aca="false">F251*12*Analisis_Inputs_Grales!$D$59</f>
        <v>10679.8719110157</v>
      </c>
      <c r="G252" s="99" t="n">
        <f aca="false">G251*12*Analisis_Inputs_Grales!$D$59</f>
        <v>10679.8719110157</v>
      </c>
      <c r="H252" s="99" t="n">
        <f aca="false">H251*12*Analisis_Inputs_Grales!$D$59</f>
        <v>10679.8719110157</v>
      </c>
      <c r="I252" s="99" t="n">
        <f aca="false">I251*12*Analisis_Inputs_Grales!$D$59</f>
        <v>10679.8719110157</v>
      </c>
      <c r="J252" s="99" t="n">
        <f aca="false">J251*12*Analisis_Inputs_Grales!$D$59</f>
        <v>10679.8719110157</v>
      </c>
      <c r="K252" s="99" t="n">
        <f aca="false">K251*12*Analisis_Inputs_Grales!$D$59</f>
        <v>10679.8719110157</v>
      </c>
      <c r="L252" s="99" t="n">
        <f aca="false">L251*12*Analisis_Inputs_Grales!$D$59</f>
        <v>10679.8719110157</v>
      </c>
      <c r="M252" s="99" t="n">
        <f aca="false">M251*12*Analisis_Inputs_Grales!$D$59</f>
        <v>10679.8719110157</v>
      </c>
      <c r="N252" s="99" t="n">
        <f aca="false">N251*12*Analisis_Inputs_Grales!$D$59</f>
        <v>10679.8719110157</v>
      </c>
      <c r="O252" s="99" t="n">
        <f aca="false">O251*12*Analisis_Inputs_Grales!$D$59</f>
        <v>10679.8719110157</v>
      </c>
      <c r="P252" s="99" t="n">
        <f aca="false">P251*12*Analisis_Inputs_Grales!$D$59</f>
        <v>10679.8719110157</v>
      </c>
      <c r="Q252" s="99" t="n">
        <f aca="false">Q251*12*Analisis_Inputs_Grales!$D$59</f>
        <v>10679.8719110157</v>
      </c>
      <c r="R252" s="99" t="n">
        <f aca="false">R251*12*Analisis_Inputs_Grales!$D$59</f>
        <v>10679.8719110157</v>
      </c>
      <c r="S252" s="99" t="n">
        <f aca="false">S251*12*Analisis_Inputs_Grales!$D$59</f>
        <v>10679.8719110157</v>
      </c>
      <c r="T252" s="99" t="n">
        <f aca="false">T251*12*Analisis_Inputs_Grales!$D$59</f>
        <v>10679.8719110157</v>
      </c>
      <c r="U252" s="99" t="n">
        <f aca="false">U251*12*Analisis_Inputs_Grales!$D$59</f>
        <v>10679.8719110157</v>
      </c>
      <c r="V252" s="99" t="n">
        <f aca="false">V251*12*Analisis_Inputs_Grales!$D$59</f>
        <v>10679.8719110157</v>
      </c>
      <c r="W252" s="99" t="n">
        <f aca="false">W251*12*Analisis_Inputs_Grales!$D$59</f>
        <v>10679.8719110157</v>
      </c>
    </row>
    <row r="253" customFormat="false" ht="14.25" hidden="false" customHeight="false" outlineLevel="0" collapsed="false">
      <c r="B253" s="95" t="s">
        <v>199</v>
      </c>
      <c r="C253" s="96" t="s">
        <v>197</v>
      </c>
      <c r="D253" s="97" t="n">
        <f aca="false">Analisis_Inputs_Grales!$D$51/Analisis_Inputs_Grales!$D$59</f>
        <v>0.18265162037037</v>
      </c>
      <c r="E253" s="97" t="n">
        <f aca="false">Analisis_Inputs_Grales!$D$51/Analisis_Inputs_Grales!$D$59</f>
        <v>0.18265162037037</v>
      </c>
      <c r="F253" s="97" t="n">
        <f aca="false">Analisis_Inputs_Grales!$D$51/Analisis_Inputs_Grales!$D$59</f>
        <v>0.18265162037037</v>
      </c>
      <c r="G253" s="97" t="n">
        <f aca="false">Analisis_Inputs_Grales!$D$51/Analisis_Inputs_Grales!$D$59</f>
        <v>0.18265162037037</v>
      </c>
      <c r="H253" s="97" t="n">
        <f aca="false">Analisis_Inputs_Grales!$D$51/Analisis_Inputs_Grales!$D$59</f>
        <v>0.18265162037037</v>
      </c>
      <c r="I253" s="97" t="n">
        <f aca="false">Analisis_Inputs_Grales!$D$51/Analisis_Inputs_Grales!$D$59</f>
        <v>0.18265162037037</v>
      </c>
      <c r="J253" s="97" t="n">
        <f aca="false">Analisis_Inputs_Grales!$D$51/Analisis_Inputs_Grales!$D$59</f>
        <v>0.18265162037037</v>
      </c>
      <c r="K253" s="97" t="n">
        <f aca="false">Analisis_Inputs_Grales!$D$51/Analisis_Inputs_Grales!$D$59</f>
        <v>0.18265162037037</v>
      </c>
      <c r="L253" s="97" t="n">
        <f aca="false">Analisis_Inputs_Grales!$D$51/Analisis_Inputs_Grales!$D$59</f>
        <v>0.18265162037037</v>
      </c>
      <c r="M253" s="97" t="n">
        <f aca="false">Analisis_Inputs_Grales!$D$51/Analisis_Inputs_Grales!$D$59</f>
        <v>0.18265162037037</v>
      </c>
      <c r="N253" s="97" t="n">
        <f aca="false">Analisis_Inputs_Grales!$D$51/Analisis_Inputs_Grales!$D$59</f>
        <v>0.18265162037037</v>
      </c>
      <c r="O253" s="97" t="n">
        <f aca="false">Analisis_Inputs_Grales!$D$51/Analisis_Inputs_Grales!$D$59</f>
        <v>0.18265162037037</v>
      </c>
      <c r="P253" s="97" t="n">
        <f aca="false">Analisis_Inputs_Grales!$D$51/Analisis_Inputs_Grales!$D$59</f>
        <v>0.18265162037037</v>
      </c>
      <c r="Q253" s="97" t="n">
        <f aca="false">Analisis_Inputs_Grales!$D$51/Analisis_Inputs_Grales!$D$59</f>
        <v>0.18265162037037</v>
      </c>
      <c r="R253" s="97" t="n">
        <f aca="false">Analisis_Inputs_Grales!$D$51/Analisis_Inputs_Grales!$D$59</f>
        <v>0.18265162037037</v>
      </c>
      <c r="S253" s="97" t="n">
        <f aca="false">Analisis_Inputs_Grales!$D$51/Analisis_Inputs_Grales!$D$59</f>
        <v>0.18265162037037</v>
      </c>
      <c r="T253" s="97" t="n">
        <f aca="false">Analisis_Inputs_Grales!$D$51/Analisis_Inputs_Grales!$D$59</f>
        <v>0.18265162037037</v>
      </c>
      <c r="U253" s="97" t="n">
        <f aca="false">Analisis_Inputs_Grales!$D$51/Analisis_Inputs_Grales!$D$59</f>
        <v>0.18265162037037</v>
      </c>
      <c r="V253" s="97" t="n">
        <f aca="false">Analisis_Inputs_Grales!$D$51/Analisis_Inputs_Grales!$D$59</f>
        <v>0.18265162037037</v>
      </c>
      <c r="W253" s="97" t="n">
        <f aca="false">Analisis_Inputs_Grales!$D$51/Analisis_Inputs_Grales!$D$59</f>
        <v>0.18265162037037</v>
      </c>
    </row>
    <row r="254" customFormat="false" ht="14.25" hidden="false" customHeight="false" outlineLevel="0" collapsed="false">
      <c r="B254" s="101" t="s">
        <v>199</v>
      </c>
      <c r="C254" s="102" t="s">
        <v>96</v>
      </c>
      <c r="D254" s="99" t="n">
        <f aca="false">D253*12*Analisis_Inputs_Grales!$D$59</f>
        <v>18937.32</v>
      </c>
      <c r="E254" s="99" t="n">
        <f aca="false">E253*12*Analisis_Inputs_Grales!$D$59</f>
        <v>18937.32</v>
      </c>
      <c r="F254" s="99" t="n">
        <f aca="false">F253*12*Analisis_Inputs_Grales!$D$59</f>
        <v>18937.32</v>
      </c>
      <c r="G254" s="99" t="n">
        <f aca="false">G253*12*Analisis_Inputs_Grales!$D$59</f>
        <v>18937.32</v>
      </c>
      <c r="H254" s="99" t="n">
        <f aca="false">H253*12*Analisis_Inputs_Grales!$D$59</f>
        <v>18937.32</v>
      </c>
      <c r="I254" s="99" t="n">
        <f aca="false">I253*12*Analisis_Inputs_Grales!$D$59</f>
        <v>18937.32</v>
      </c>
      <c r="J254" s="99" t="n">
        <f aca="false">J253*12*Analisis_Inputs_Grales!$D$59</f>
        <v>18937.32</v>
      </c>
      <c r="K254" s="99" t="n">
        <f aca="false">K253*12*Analisis_Inputs_Grales!$D$59</f>
        <v>18937.32</v>
      </c>
      <c r="L254" s="99" t="n">
        <f aca="false">L253*12*Analisis_Inputs_Grales!$D$59</f>
        <v>18937.32</v>
      </c>
      <c r="M254" s="99" t="n">
        <f aca="false">M253*12*Analisis_Inputs_Grales!$D$59</f>
        <v>18937.32</v>
      </c>
      <c r="N254" s="99" t="n">
        <f aca="false">N253*12*Analisis_Inputs_Grales!$D$59</f>
        <v>18937.32</v>
      </c>
      <c r="O254" s="99" t="n">
        <f aca="false">O253*12*Analisis_Inputs_Grales!$D$59</f>
        <v>18937.32</v>
      </c>
      <c r="P254" s="99" t="n">
        <f aca="false">P253*12*Analisis_Inputs_Grales!$D$59</f>
        <v>18937.32</v>
      </c>
      <c r="Q254" s="99" t="n">
        <f aca="false">Q253*12*Analisis_Inputs_Grales!$D$59</f>
        <v>18937.32</v>
      </c>
      <c r="R254" s="99" t="n">
        <f aca="false">R253*12*Analisis_Inputs_Grales!$D$59</f>
        <v>18937.32</v>
      </c>
      <c r="S254" s="99" t="n">
        <f aca="false">S253*12*Analisis_Inputs_Grales!$D$59</f>
        <v>18937.32</v>
      </c>
      <c r="T254" s="99" t="n">
        <f aca="false">T253*12*Analisis_Inputs_Grales!$D$59</f>
        <v>18937.32</v>
      </c>
      <c r="U254" s="99" t="n">
        <f aca="false">U253*12*Analisis_Inputs_Grales!$D$59</f>
        <v>18937.32</v>
      </c>
      <c r="V254" s="99" t="n">
        <f aca="false">V253*12*Analisis_Inputs_Grales!$D$59</f>
        <v>18937.32</v>
      </c>
      <c r="W254" s="99" t="n">
        <f aca="false">W253*12*Analisis_Inputs_Grales!$D$59</f>
        <v>18937.32</v>
      </c>
    </row>
    <row r="255" customFormat="false" ht="14.25" hidden="false" customHeight="false" outlineLevel="0" collapsed="false">
      <c r="B255" s="95" t="s">
        <v>200</v>
      </c>
      <c r="C255" s="96" t="s">
        <v>197</v>
      </c>
      <c r="D255" s="97" t="n">
        <f aca="false">D253+D251+D249</f>
        <v>0.5603477077584</v>
      </c>
      <c r="E255" s="97" t="n">
        <f aca="false">E253+E251+E249</f>
        <v>0.5603477077584</v>
      </c>
      <c r="F255" s="97" t="n">
        <f aca="false">F253+F251+F249</f>
        <v>0.5603477077584</v>
      </c>
      <c r="G255" s="97" t="n">
        <f aca="false">G253+G251+G249</f>
        <v>0.5603477077584</v>
      </c>
      <c r="H255" s="97" t="n">
        <f aca="false">H253+H251+H249</f>
        <v>0.5603477077584</v>
      </c>
      <c r="I255" s="97" t="n">
        <f aca="false">I253+I251+I249</f>
        <v>0.5603477077584</v>
      </c>
      <c r="J255" s="97" t="n">
        <f aca="false">J253+J251+J249</f>
        <v>0.5603477077584</v>
      </c>
      <c r="K255" s="97" t="n">
        <f aca="false">K253+K251+K249</f>
        <v>0.5603477077584</v>
      </c>
      <c r="L255" s="97" t="n">
        <f aca="false">L253+L251+L249</f>
        <v>0.5603477077584</v>
      </c>
      <c r="M255" s="97" t="n">
        <f aca="false">M253+M251+M249</f>
        <v>0.5603477077584</v>
      </c>
      <c r="N255" s="97" t="n">
        <f aca="false">N253+N251+N249</f>
        <v>0.5603477077584</v>
      </c>
      <c r="O255" s="97" t="n">
        <f aca="false">O253+O251+O249</f>
        <v>0.5603477077584</v>
      </c>
      <c r="P255" s="97" t="n">
        <f aca="false">P253+P251+P249</f>
        <v>0.5603477077584</v>
      </c>
      <c r="Q255" s="97" t="n">
        <f aca="false">Q253+Q251+Q249</f>
        <v>0.5603477077584</v>
      </c>
      <c r="R255" s="97" t="n">
        <f aca="false">R253+R251+R249</f>
        <v>0.5603477077584</v>
      </c>
      <c r="S255" s="97" t="n">
        <f aca="false">S253+S251+S249</f>
        <v>0.5603477077584</v>
      </c>
      <c r="T255" s="97" t="n">
        <f aca="false">T253+T251+T249</f>
        <v>0.5603477077584</v>
      </c>
      <c r="U255" s="97" t="n">
        <f aca="false">U253+U251+U249</f>
        <v>0.5603477077584</v>
      </c>
      <c r="V255" s="97" t="n">
        <f aca="false">V253+V251+V249</f>
        <v>0.5603477077584</v>
      </c>
      <c r="W255" s="97" t="n">
        <f aca="false">W253+W251+W249</f>
        <v>0.5603477077584</v>
      </c>
    </row>
    <row r="256" customFormat="false" ht="14.25" hidden="false" customHeight="false" outlineLevel="0" collapsed="false">
      <c r="B256" s="98" t="s">
        <v>200</v>
      </c>
      <c r="C256" s="56" t="s">
        <v>96</v>
      </c>
      <c r="D256" s="99" t="n">
        <f aca="false">D255*12*Analisis_Inputs_Grales!$D$59</f>
        <v>58096.8503403909</v>
      </c>
      <c r="E256" s="99" t="n">
        <f aca="false">E255*12*Analisis_Inputs_Grales!$D$59</f>
        <v>58096.8503403909</v>
      </c>
      <c r="F256" s="99" t="n">
        <f aca="false">F255*12*Analisis_Inputs_Grales!$D$59</f>
        <v>58096.8503403909</v>
      </c>
      <c r="G256" s="99" t="n">
        <f aca="false">G255*12*Analisis_Inputs_Grales!$D$59</f>
        <v>58096.8503403909</v>
      </c>
      <c r="H256" s="99" t="n">
        <f aca="false">H255*12*Analisis_Inputs_Grales!$D$59</f>
        <v>58096.8503403909</v>
      </c>
      <c r="I256" s="99" t="n">
        <f aca="false">I255*12*Analisis_Inputs_Grales!$D$59</f>
        <v>58096.8503403909</v>
      </c>
      <c r="J256" s="99" t="n">
        <f aca="false">J255*12*Analisis_Inputs_Grales!$D$59</f>
        <v>58096.8503403909</v>
      </c>
      <c r="K256" s="99" t="n">
        <f aca="false">K255*12*Analisis_Inputs_Grales!$D$59</f>
        <v>58096.8503403909</v>
      </c>
      <c r="L256" s="99" t="n">
        <f aca="false">L255*12*Analisis_Inputs_Grales!$D$59</f>
        <v>58096.8503403909</v>
      </c>
      <c r="M256" s="99" t="n">
        <f aca="false">M255*12*Analisis_Inputs_Grales!$D$59</f>
        <v>58096.8503403909</v>
      </c>
      <c r="N256" s="99" t="n">
        <f aca="false">N255*12*Analisis_Inputs_Grales!$D$59</f>
        <v>58096.8503403909</v>
      </c>
      <c r="O256" s="99" t="n">
        <f aca="false">O255*12*Analisis_Inputs_Grales!$D$59</f>
        <v>58096.8503403909</v>
      </c>
      <c r="P256" s="99" t="n">
        <f aca="false">P255*12*Analisis_Inputs_Grales!$D$59</f>
        <v>58096.8503403909</v>
      </c>
      <c r="Q256" s="99" t="n">
        <f aca="false">Q255*12*Analisis_Inputs_Grales!$D$59</f>
        <v>58096.8503403909</v>
      </c>
      <c r="R256" s="99" t="n">
        <f aca="false">R255*12*Analisis_Inputs_Grales!$D$59</f>
        <v>58096.8503403909</v>
      </c>
      <c r="S256" s="99" t="n">
        <f aca="false">S255*12*Analisis_Inputs_Grales!$D$59</f>
        <v>58096.8503403909</v>
      </c>
      <c r="T256" s="99" t="n">
        <f aca="false">T255*12*Analisis_Inputs_Grales!$D$59</f>
        <v>58096.8503403909</v>
      </c>
      <c r="U256" s="99" t="n">
        <f aca="false">U255*12*Analisis_Inputs_Grales!$D$59</f>
        <v>58096.8503403909</v>
      </c>
      <c r="V256" s="99" t="n">
        <f aca="false">V255*12*Analisis_Inputs_Grales!$D$59</f>
        <v>58096.8503403909</v>
      </c>
      <c r="W256" s="99" t="n">
        <f aca="false">W255*12*Analisis_Inputs_Grales!$D$59</f>
        <v>58096.8503403909</v>
      </c>
    </row>
    <row r="257" customFormat="false" ht="14.25" hidden="false" customHeight="false" outlineLevel="0" collapsed="false">
      <c r="C257" s="56"/>
    </row>
    <row r="258" customFormat="false" ht="15" hidden="false" customHeight="false" outlineLevel="0" collapsed="false">
      <c r="B258" s="122" t="s">
        <v>201</v>
      </c>
      <c r="C258" s="56"/>
    </row>
    <row r="259" customFormat="false" ht="14.25" hidden="false" customHeight="false" outlineLevel="0" collapsed="false">
      <c r="B259" s="95" t="s">
        <v>202</v>
      </c>
      <c r="C259" s="96" t="s">
        <v>197</v>
      </c>
      <c r="D259" s="97" t="n">
        <f aca="false">Analisis_Inputs_Grales!$D$73/(Analisis_Inputs_Grales!$D$71*Analisis_Inputs_Grales!$D$72/60)</f>
        <v>0.0656583629893238</v>
      </c>
      <c r="E259" s="97" t="n">
        <f aca="false">Analisis_Inputs_Grales!$D$73/(Analisis_Inputs_Grales!$D$71*Analisis_Inputs_Grales!$D$72/60)</f>
        <v>0.0656583629893238</v>
      </c>
      <c r="F259" s="97" t="n">
        <f aca="false">Analisis_Inputs_Grales!$D$73/(Analisis_Inputs_Grales!$D$71*Analisis_Inputs_Grales!$D$72/60)</f>
        <v>0.0656583629893238</v>
      </c>
      <c r="G259" s="97" t="n">
        <f aca="false">Analisis_Inputs_Grales!$D$73/(Analisis_Inputs_Grales!$D$71*Analisis_Inputs_Grales!$D$72/60)</f>
        <v>0.0656583629893238</v>
      </c>
      <c r="H259" s="97" t="n">
        <f aca="false">Analisis_Inputs_Grales!$D$73/(Analisis_Inputs_Grales!$D$71*Analisis_Inputs_Grales!$D$72/60)</f>
        <v>0.0656583629893238</v>
      </c>
      <c r="I259" s="97" t="n">
        <f aca="false">Analisis_Inputs_Grales!$D$73/(Analisis_Inputs_Grales!$D$71*Analisis_Inputs_Grales!$D$72/60)</f>
        <v>0.0656583629893238</v>
      </c>
      <c r="J259" s="97" t="n">
        <f aca="false">Analisis_Inputs_Grales!$D$73/(Analisis_Inputs_Grales!$D$71*Analisis_Inputs_Grales!$D$72/60)</f>
        <v>0.0656583629893238</v>
      </c>
      <c r="K259" s="97" t="n">
        <f aca="false">Analisis_Inputs_Grales!$D$73/(Analisis_Inputs_Grales!$D$71*Analisis_Inputs_Grales!$D$72/60)</f>
        <v>0.0656583629893238</v>
      </c>
      <c r="L259" s="97" t="n">
        <f aca="false">Analisis_Inputs_Grales!$D$73/(Analisis_Inputs_Grales!$D$71*Analisis_Inputs_Grales!$D$72/60)</f>
        <v>0.0656583629893238</v>
      </c>
      <c r="M259" s="97" t="n">
        <f aca="false">Analisis_Inputs_Grales!$D$73/(Analisis_Inputs_Grales!$D$71*Analisis_Inputs_Grales!$D$72/60)</f>
        <v>0.0656583629893238</v>
      </c>
      <c r="N259" s="97" t="n">
        <f aca="false">Analisis_Inputs_Grales!$D$73/(Analisis_Inputs_Grales!$D$71*Analisis_Inputs_Grales!$D$72/60)</f>
        <v>0.0656583629893238</v>
      </c>
      <c r="O259" s="97" t="n">
        <f aca="false">Analisis_Inputs_Grales!$D$73/(Analisis_Inputs_Grales!$D$71*Analisis_Inputs_Grales!$D$72/60)</f>
        <v>0.0656583629893238</v>
      </c>
      <c r="P259" s="97" t="n">
        <f aca="false">Analisis_Inputs_Grales!$D$73/(Analisis_Inputs_Grales!$D$71*Analisis_Inputs_Grales!$D$72/60)</f>
        <v>0.0656583629893238</v>
      </c>
      <c r="Q259" s="97" t="n">
        <f aca="false">Analisis_Inputs_Grales!$D$73/(Analisis_Inputs_Grales!$D$71*Analisis_Inputs_Grales!$D$72/60)</f>
        <v>0.0656583629893238</v>
      </c>
      <c r="R259" s="97" t="n">
        <f aca="false">Analisis_Inputs_Grales!$D$73/(Analisis_Inputs_Grales!$D$71*Analisis_Inputs_Grales!$D$72/60)</f>
        <v>0.0656583629893238</v>
      </c>
      <c r="S259" s="97" t="n">
        <f aca="false">Analisis_Inputs_Grales!$D$73/(Analisis_Inputs_Grales!$D$71*Analisis_Inputs_Grales!$D$72/60)</f>
        <v>0.0656583629893238</v>
      </c>
      <c r="T259" s="97" t="n">
        <f aca="false">Analisis_Inputs_Grales!$D$73/(Analisis_Inputs_Grales!$D$71*Analisis_Inputs_Grales!$D$72/60)</f>
        <v>0.0656583629893238</v>
      </c>
      <c r="U259" s="97" t="n">
        <f aca="false">Analisis_Inputs_Grales!$D$73/(Analisis_Inputs_Grales!$D$71*Analisis_Inputs_Grales!$D$72/60)</f>
        <v>0.0656583629893238</v>
      </c>
      <c r="V259" s="97" t="n">
        <f aca="false">Analisis_Inputs_Grales!$D$73/(Analisis_Inputs_Grales!$D$71*Analisis_Inputs_Grales!$D$72/60)</f>
        <v>0.0656583629893238</v>
      </c>
      <c r="W259" s="97" t="n">
        <f aca="false">Analisis_Inputs_Grales!$D$73/(Analisis_Inputs_Grales!$D$71*Analisis_Inputs_Grales!$D$72/60)</f>
        <v>0.0656583629893238</v>
      </c>
    </row>
    <row r="260" customFormat="false" ht="14.25" hidden="false" customHeight="false" outlineLevel="0" collapsed="false">
      <c r="B260" s="98" t="s">
        <v>202</v>
      </c>
      <c r="C260" s="56" t="s">
        <v>96</v>
      </c>
      <c r="D260" s="99" t="n">
        <f aca="false">D259*12*Analisis_Inputs_Grales!$D$59</f>
        <v>6807.4590747331</v>
      </c>
      <c r="E260" s="99" t="n">
        <f aca="false">E259*12*Analisis_Inputs_Grales!$D$59</f>
        <v>6807.4590747331</v>
      </c>
      <c r="F260" s="99" t="n">
        <f aca="false">F259*12*Analisis_Inputs_Grales!$D$59</f>
        <v>6807.4590747331</v>
      </c>
      <c r="G260" s="99" t="n">
        <f aca="false">G259*12*Analisis_Inputs_Grales!$D$59</f>
        <v>6807.4590747331</v>
      </c>
      <c r="H260" s="99" t="n">
        <f aca="false">H259*12*Analisis_Inputs_Grales!$D$59</f>
        <v>6807.4590747331</v>
      </c>
      <c r="I260" s="99" t="n">
        <f aca="false">I259*12*Analisis_Inputs_Grales!$D$59</f>
        <v>6807.4590747331</v>
      </c>
      <c r="J260" s="99" t="n">
        <f aca="false">J259*12*Analisis_Inputs_Grales!$D$59</f>
        <v>6807.4590747331</v>
      </c>
      <c r="K260" s="99" t="n">
        <f aca="false">K259*12*Analisis_Inputs_Grales!$D$59</f>
        <v>6807.4590747331</v>
      </c>
      <c r="L260" s="99" t="n">
        <f aca="false">L259*12*Analisis_Inputs_Grales!$D$59</f>
        <v>6807.4590747331</v>
      </c>
      <c r="M260" s="99" t="n">
        <f aca="false">M259*12*Analisis_Inputs_Grales!$D$59</f>
        <v>6807.4590747331</v>
      </c>
      <c r="N260" s="99" t="n">
        <f aca="false">N259*12*Analisis_Inputs_Grales!$D$59</f>
        <v>6807.4590747331</v>
      </c>
      <c r="O260" s="99" t="n">
        <f aca="false">O259*12*Analisis_Inputs_Grales!$D$59</f>
        <v>6807.4590747331</v>
      </c>
      <c r="P260" s="99" t="n">
        <f aca="false">P259*12*Analisis_Inputs_Grales!$D$59</f>
        <v>6807.4590747331</v>
      </c>
      <c r="Q260" s="99" t="n">
        <f aca="false">Q259*12*Analisis_Inputs_Grales!$D$59</f>
        <v>6807.4590747331</v>
      </c>
      <c r="R260" s="99" t="n">
        <f aca="false">R259*12*Analisis_Inputs_Grales!$D$59</f>
        <v>6807.4590747331</v>
      </c>
      <c r="S260" s="99" t="n">
        <f aca="false">S259*12*Analisis_Inputs_Grales!$D$59</f>
        <v>6807.4590747331</v>
      </c>
      <c r="T260" s="99" t="n">
        <f aca="false">T259*12*Analisis_Inputs_Grales!$D$59</f>
        <v>6807.4590747331</v>
      </c>
      <c r="U260" s="99" t="n">
        <f aca="false">U259*12*Analisis_Inputs_Grales!$D$59</f>
        <v>6807.4590747331</v>
      </c>
      <c r="V260" s="99" t="n">
        <f aca="false">V259*12*Analisis_Inputs_Grales!$D$59</f>
        <v>6807.4590747331</v>
      </c>
      <c r="W260" s="99" t="n">
        <f aca="false">W259*12*Analisis_Inputs_Grales!$D$59</f>
        <v>6807.4590747331</v>
      </c>
    </row>
    <row r="261" customFormat="false" ht="14.25" hidden="false" customHeight="false" outlineLevel="0" collapsed="false">
      <c r="B261" s="95" t="s">
        <v>203</v>
      </c>
      <c r="C261" s="96" t="s">
        <v>197</v>
      </c>
      <c r="D261" s="97" t="n">
        <f aca="false">Analisis_Inputs_Grales!$D$74*'Analisis 20Años'!D259</f>
        <v>0.00984875444839858</v>
      </c>
      <c r="E261" s="97" t="n">
        <f aca="false">Analisis_Inputs_Grales!$D$74*'Analisis 20Años'!E259</f>
        <v>0.00984875444839858</v>
      </c>
      <c r="F261" s="97" t="n">
        <f aca="false">Analisis_Inputs_Grales!$D$74*'Analisis 20Años'!F259</f>
        <v>0.00984875444839858</v>
      </c>
      <c r="G261" s="97" t="n">
        <f aca="false">Analisis_Inputs_Grales!$D$74*'Analisis 20Años'!G259</f>
        <v>0.00984875444839858</v>
      </c>
      <c r="H261" s="97" t="n">
        <f aca="false">Analisis_Inputs_Grales!$D$74*'Analisis 20Años'!H259</f>
        <v>0.00984875444839858</v>
      </c>
      <c r="I261" s="97" t="n">
        <f aca="false">Analisis_Inputs_Grales!$D$74*'Analisis 20Años'!I259</f>
        <v>0.00984875444839858</v>
      </c>
      <c r="J261" s="97" t="n">
        <f aca="false">Analisis_Inputs_Grales!$D$74*'Analisis 20Años'!J259</f>
        <v>0.00984875444839858</v>
      </c>
      <c r="K261" s="97" t="n">
        <f aca="false">Analisis_Inputs_Grales!$D$74*'Analisis 20Años'!K259</f>
        <v>0.00984875444839858</v>
      </c>
      <c r="L261" s="97" t="n">
        <f aca="false">Analisis_Inputs_Grales!$D$74*'Analisis 20Años'!L259</f>
        <v>0.00984875444839858</v>
      </c>
      <c r="M261" s="97" t="n">
        <f aca="false">Analisis_Inputs_Grales!$D$74*'Analisis 20Años'!M259</f>
        <v>0.00984875444839858</v>
      </c>
      <c r="N261" s="97" t="n">
        <f aca="false">Analisis_Inputs_Grales!$D$74*'Analisis 20Años'!N259</f>
        <v>0.00984875444839858</v>
      </c>
      <c r="O261" s="97" t="n">
        <f aca="false">Analisis_Inputs_Grales!$D$74*'Analisis 20Años'!O259</f>
        <v>0.00984875444839858</v>
      </c>
      <c r="P261" s="97" t="n">
        <f aca="false">Analisis_Inputs_Grales!$D$74*'Analisis 20Años'!P259</f>
        <v>0.00984875444839858</v>
      </c>
      <c r="Q261" s="97" t="n">
        <f aca="false">Analisis_Inputs_Grales!$D$74*'Analisis 20Años'!Q259</f>
        <v>0.00984875444839858</v>
      </c>
      <c r="R261" s="97" t="n">
        <f aca="false">Analisis_Inputs_Grales!$D$74*'Analisis 20Años'!R259</f>
        <v>0.00984875444839858</v>
      </c>
      <c r="S261" s="97" t="n">
        <f aca="false">Analisis_Inputs_Grales!$D$74*'Analisis 20Años'!S259</f>
        <v>0.00984875444839858</v>
      </c>
      <c r="T261" s="97" t="n">
        <f aca="false">Analisis_Inputs_Grales!$D$74*'Analisis 20Años'!T259</f>
        <v>0.00984875444839858</v>
      </c>
      <c r="U261" s="97" t="n">
        <f aca="false">Analisis_Inputs_Grales!$D$74*'Analisis 20Años'!U259</f>
        <v>0.00984875444839858</v>
      </c>
      <c r="V261" s="97" t="n">
        <f aca="false">Analisis_Inputs_Grales!$D$74*'Analisis 20Años'!V259</f>
        <v>0.00984875444839858</v>
      </c>
      <c r="W261" s="97" t="n">
        <f aca="false">Analisis_Inputs_Grales!$D$74*'Analisis 20Años'!W259</f>
        <v>0.00984875444839858</v>
      </c>
    </row>
    <row r="262" customFormat="false" ht="14.25" hidden="false" customHeight="false" outlineLevel="0" collapsed="false">
      <c r="B262" s="98" t="s">
        <v>203</v>
      </c>
      <c r="C262" s="56" t="s">
        <v>96</v>
      </c>
      <c r="D262" s="99" t="n">
        <f aca="false">D261*12*Analisis_Inputs_Grales!$D$59</f>
        <v>1021.11886120996</v>
      </c>
      <c r="E262" s="99" t="n">
        <f aca="false">E261*12*Analisis_Inputs_Grales!$D$59</f>
        <v>1021.11886120996</v>
      </c>
      <c r="F262" s="99" t="n">
        <f aca="false">F261*12*Analisis_Inputs_Grales!$D$59</f>
        <v>1021.11886120996</v>
      </c>
      <c r="G262" s="99" t="n">
        <f aca="false">G261*12*Analisis_Inputs_Grales!$D$59</f>
        <v>1021.11886120996</v>
      </c>
      <c r="H262" s="99" t="n">
        <f aca="false">H261*12*Analisis_Inputs_Grales!$D$59</f>
        <v>1021.11886120996</v>
      </c>
      <c r="I262" s="99" t="n">
        <f aca="false">I261*12*Analisis_Inputs_Grales!$D$59</f>
        <v>1021.11886120996</v>
      </c>
      <c r="J262" s="99" t="n">
        <f aca="false">J261*12*Analisis_Inputs_Grales!$D$59</f>
        <v>1021.11886120996</v>
      </c>
      <c r="K262" s="99" t="n">
        <f aca="false">K261*12*Analisis_Inputs_Grales!$D$59</f>
        <v>1021.11886120996</v>
      </c>
      <c r="L262" s="99" t="n">
        <f aca="false">L261*12*Analisis_Inputs_Grales!$D$59</f>
        <v>1021.11886120996</v>
      </c>
      <c r="M262" s="99" t="n">
        <f aca="false">M261*12*Analisis_Inputs_Grales!$D$59</f>
        <v>1021.11886120996</v>
      </c>
      <c r="N262" s="99" t="n">
        <f aca="false">N261*12*Analisis_Inputs_Grales!$D$59</f>
        <v>1021.11886120996</v>
      </c>
      <c r="O262" s="99" t="n">
        <f aca="false">O261*12*Analisis_Inputs_Grales!$D$59</f>
        <v>1021.11886120996</v>
      </c>
      <c r="P262" s="99" t="n">
        <f aca="false">P261*12*Analisis_Inputs_Grales!$D$59</f>
        <v>1021.11886120996</v>
      </c>
      <c r="Q262" s="99" t="n">
        <f aca="false">Q261*12*Analisis_Inputs_Grales!$D$59</f>
        <v>1021.11886120996</v>
      </c>
      <c r="R262" s="99" t="n">
        <f aca="false">R261*12*Analisis_Inputs_Grales!$D$59</f>
        <v>1021.11886120996</v>
      </c>
      <c r="S262" s="99" t="n">
        <f aca="false">S261*12*Analisis_Inputs_Grales!$D$59</f>
        <v>1021.11886120996</v>
      </c>
      <c r="T262" s="99" t="n">
        <f aca="false">T261*12*Analisis_Inputs_Grales!$D$59</f>
        <v>1021.11886120996</v>
      </c>
      <c r="U262" s="99" t="n">
        <f aca="false">U261*12*Analisis_Inputs_Grales!$D$59</f>
        <v>1021.11886120996</v>
      </c>
      <c r="V262" s="99" t="n">
        <f aca="false">V261*12*Analisis_Inputs_Grales!$D$59</f>
        <v>1021.11886120996</v>
      </c>
      <c r="W262" s="99" t="n">
        <f aca="false">W261*12*Analisis_Inputs_Grales!$D$59</f>
        <v>1021.11886120996</v>
      </c>
    </row>
    <row r="263" customFormat="false" ht="14.25" hidden="false" customHeight="false" outlineLevel="0" collapsed="false">
      <c r="B263" s="95" t="s">
        <v>204</v>
      </c>
      <c r="C263" s="96" t="s">
        <v>197</v>
      </c>
      <c r="D263" s="97" t="n">
        <f aca="false">Analisis_Inputs_Grales!$D$75*('Analisis 20Años'!D259+'Analisis 20Años'!D261)</f>
        <v>0.030202846975089</v>
      </c>
      <c r="E263" s="97" t="n">
        <f aca="false">Analisis_Inputs_Grales!$D$75*('Analisis 20Años'!E259+'Analisis 20Años'!E261)</f>
        <v>0.030202846975089</v>
      </c>
      <c r="F263" s="97" t="n">
        <f aca="false">Analisis_Inputs_Grales!$D$75*('Analisis 20Años'!F259+'Analisis 20Años'!F261)</f>
        <v>0.030202846975089</v>
      </c>
      <c r="G263" s="97" t="n">
        <f aca="false">Analisis_Inputs_Grales!$D$75*('Analisis 20Años'!G259+'Analisis 20Años'!G261)</f>
        <v>0.030202846975089</v>
      </c>
      <c r="H263" s="97" t="n">
        <f aca="false">Analisis_Inputs_Grales!$D$75*('Analisis 20Años'!H259+'Analisis 20Años'!H261)</f>
        <v>0.030202846975089</v>
      </c>
      <c r="I263" s="97" t="n">
        <f aca="false">Analisis_Inputs_Grales!$D$75*('Analisis 20Años'!I259+'Analisis 20Años'!I261)</f>
        <v>0.030202846975089</v>
      </c>
      <c r="J263" s="97" t="n">
        <f aca="false">Analisis_Inputs_Grales!$D$75*('Analisis 20Años'!J259+'Analisis 20Años'!J261)</f>
        <v>0.030202846975089</v>
      </c>
      <c r="K263" s="97" t="n">
        <f aca="false">Analisis_Inputs_Grales!$D$75*('Analisis 20Años'!K259+'Analisis 20Años'!K261)</f>
        <v>0.030202846975089</v>
      </c>
      <c r="L263" s="97" t="n">
        <f aca="false">Analisis_Inputs_Grales!$D$75*('Analisis 20Años'!L259+'Analisis 20Años'!L261)</f>
        <v>0.030202846975089</v>
      </c>
      <c r="M263" s="97" t="n">
        <f aca="false">Analisis_Inputs_Grales!$D$75*('Analisis 20Años'!M259+'Analisis 20Años'!M261)</f>
        <v>0.030202846975089</v>
      </c>
      <c r="N263" s="97" t="n">
        <f aca="false">Analisis_Inputs_Grales!$D$75*('Analisis 20Años'!N259+'Analisis 20Años'!N261)</f>
        <v>0.030202846975089</v>
      </c>
      <c r="O263" s="97" t="n">
        <f aca="false">Analisis_Inputs_Grales!$D$75*('Analisis 20Años'!O259+'Analisis 20Años'!O261)</f>
        <v>0.030202846975089</v>
      </c>
      <c r="P263" s="97" t="n">
        <f aca="false">Analisis_Inputs_Grales!$D$75*('Analisis 20Años'!P259+'Analisis 20Años'!P261)</f>
        <v>0.030202846975089</v>
      </c>
      <c r="Q263" s="97" t="n">
        <f aca="false">Analisis_Inputs_Grales!$D$75*('Analisis 20Años'!Q259+'Analisis 20Años'!Q261)</f>
        <v>0.030202846975089</v>
      </c>
      <c r="R263" s="97" t="n">
        <f aca="false">Analisis_Inputs_Grales!$D$75*('Analisis 20Años'!R259+'Analisis 20Años'!R261)</f>
        <v>0.030202846975089</v>
      </c>
      <c r="S263" s="97" t="n">
        <f aca="false">Analisis_Inputs_Grales!$D$75*('Analisis 20Años'!S259+'Analisis 20Años'!S261)</f>
        <v>0.030202846975089</v>
      </c>
      <c r="T263" s="97" t="n">
        <f aca="false">Analisis_Inputs_Grales!$D$75*('Analisis 20Años'!T259+'Analisis 20Años'!T261)</f>
        <v>0.030202846975089</v>
      </c>
      <c r="U263" s="97" t="n">
        <f aca="false">Analisis_Inputs_Grales!$D$75*('Analisis 20Años'!U259+'Analisis 20Años'!U261)</f>
        <v>0.030202846975089</v>
      </c>
      <c r="V263" s="97" t="n">
        <f aca="false">Analisis_Inputs_Grales!$D$75*('Analisis 20Años'!V259+'Analisis 20Años'!V261)</f>
        <v>0.030202846975089</v>
      </c>
      <c r="W263" s="97" t="n">
        <f aca="false">Analisis_Inputs_Grales!$D$75*('Analisis 20Años'!W259+'Analisis 20Años'!W261)</f>
        <v>0.030202846975089</v>
      </c>
    </row>
    <row r="264" customFormat="false" ht="14.25" hidden="false" customHeight="false" outlineLevel="0" collapsed="false">
      <c r="B264" s="98" t="s">
        <v>204</v>
      </c>
      <c r="C264" s="56" t="s">
        <v>96</v>
      </c>
      <c r="D264" s="99" t="n">
        <f aca="false">D263*12*Analisis_Inputs_Grales!$D$59</f>
        <v>3131.43117437722</v>
      </c>
      <c r="E264" s="99" t="n">
        <f aca="false">E263*12*Analisis_Inputs_Grales!$D$59</f>
        <v>3131.43117437722</v>
      </c>
      <c r="F264" s="99" t="n">
        <f aca="false">F263*12*Analisis_Inputs_Grales!$D$59</f>
        <v>3131.43117437722</v>
      </c>
      <c r="G264" s="99" t="n">
        <f aca="false">G263*12*Analisis_Inputs_Grales!$D$59</f>
        <v>3131.43117437722</v>
      </c>
      <c r="H264" s="99" t="n">
        <f aca="false">H263*12*Analisis_Inputs_Grales!$D$59</f>
        <v>3131.43117437722</v>
      </c>
      <c r="I264" s="99" t="n">
        <f aca="false">I263*12*Analisis_Inputs_Grales!$D$59</f>
        <v>3131.43117437722</v>
      </c>
      <c r="J264" s="99" t="n">
        <f aca="false">J263*12*Analisis_Inputs_Grales!$D$59</f>
        <v>3131.43117437722</v>
      </c>
      <c r="K264" s="99" t="n">
        <f aca="false">K263*12*Analisis_Inputs_Grales!$D$59</f>
        <v>3131.43117437722</v>
      </c>
      <c r="L264" s="99" t="n">
        <f aca="false">L263*12*Analisis_Inputs_Grales!$D$59</f>
        <v>3131.43117437722</v>
      </c>
      <c r="M264" s="99" t="n">
        <f aca="false">M263*12*Analisis_Inputs_Grales!$D$59</f>
        <v>3131.43117437722</v>
      </c>
      <c r="N264" s="99" t="n">
        <f aca="false">N263*12*Analisis_Inputs_Grales!$D$59</f>
        <v>3131.43117437722</v>
      </c>
      <c r="O264" s="99" t="n">
        <f aca="false">O263*12*Analisis_Inputs_Grales!$D$59</f>
        <v>3131.43117437722</v>
      </c>
      <c r="P264" s="99" t="n">
        <f aca="false">P263*12*Analisis_Inputs_Grales!$D$59</f>
        <v>3131.43117437722</v>
      </c>
      <c r="Q264" s="99" t="n">
        <f aca="false">Q263*12*Analisis_Inputs_Grales!$D$59</f>
        <v>3131.43117437722</v>
      </c>
      <c r="R264" s="99" t="n">
        <f aca="false">R263*12*Analisis_Inputs_Grales!$D$59</f>
        <v>3131.43117437722</v>
      </c>
      <c r="S264" s="99" t="n">
        <f aca="false">S263*12*Analisis_Inputs_Grales!$D$59</f>
        <v>3131.43117437722</v>
      </c>
      <c r="T264" s="99" t="n">
        <f aca="false">T263*12*Analisis_Inputs_Grales!$D$59</f>
        <v>3131.43117437722</v>
      </c>
      <c r="U264" s="99" t="n">
        <f aca="false">U263*12*Analisis_Inputs_Grales!$D$59</f>
        <v>3131.43117437722</v>
      </c>
      <c r="V264" s="99" t="n">
        <f aca="false">V263*12*Analisis_Inputs_Grales!$D$59</f>
        <v>3131.43117437722</v>
      </c>
      <c r="W264" s="99" t="n">
        <f aca="false">W263*12*Analisis_Inputs_Grales!$D$59</f>
        <v>3131.43117437722</v>
      </c>
    </row>
    <row r="265" customFormat="false" ht="14.25" hidden="false" customHeight="false" outlineLevel="0" collapsed="false">
      <c r="B265" s="95" t="s">
        <v>205</v>
      </c>
      <c r="C265" s="96" t="s">
        <v>197</v>
      </c>
      <c r="D265" s="97" t="n">
        <f aca="false">D263+D261+D259</f>
        <v>0.105709964412811</v>
      </c>
      <c r="E265" s="97" t="n">
        <f aca="false">E263+E261+E259</f>
        <v>0.105709964412811</v>
      </c>
      <c r="F265" s="97" t="n">
        <f aca="false">F263+F261+F259</f>
        <v>0.105709964412811</v>
      </c>
      <c r="G265" s="97" t="n">
        <f aca="false">G263+G261+G259</f>
        <v>0.105709964412811</v>
      </c>
      <c r="H265" s="97" t="n">
        <f aca="false">H263+H261+H259</f>
        <v>0.105709964412811</v>
      </c>
      <c r="I265" s="97" t="n">
        <f aca="false">I263+I261+I259</f>
        <v>0.105709964412811</v>
      </c>
      <c r="J265" s="97" t="n">
        <f aca="false">J263+J261+J259</f>
        <v>0.105709964412811</v>
      </c>
      <c r="K265" s="97" t="n">
        <f aca="false">K263+K261+K259</f>
        <v>0.105709964412811</v>
      </c>
      <c r="L265" s="97" t="n">
        <f aca="false">L263+L261+L259</f>
        <v>0.105709964412811</v>
      </c>
      <c r="M265" s="97" t="n">
        <f aca="false">M263+M261+M259</f>
        <v>0.105709964412811</v>
      </c>
      <c r="N265" s="97" t="n">
        <f aca="false">N263+N261+N259</f>
        <v>0.105709964412811</v>
      </c>
      <c r="O265" s="97" t="n">
        <f aca="false">O263+O261+O259</f>
        <v>0.105709964412811</v>
      </c>
      <c r="P265" s="97" t="n">
        <f aca="false">P263+P261+P259</f>
        <v>0.105709964412811</v>
      </c>
      <c r="Q265" s="97" t="n">
        <f aca="false">Q263+Q261+Q259</f>
        <v>0.105709964412811</v>
      </c>
      <c r="R265" s="97" t="n">
        <f aca="false">R263+R261+R259</f>
        <v>0.105709964412811</v>
      </c>
      <c r="S265" s="97" t="n">
        <f aca="false">S263+S261+S259</f>
        <v>0.105709964412811</v>
      </c>
      <c r="T265" s="97" t="n">
        <f aca="false">T263+T261+T259</f>
        <v>0.105709964412811</v>
      </c>
      <c r="U265" s="97" t="n">
        <f aca="false">U263+U261+U259</f>
        <v>0.105709964412811</v>
      </c>
      <c r="V265" s="97" t="n">
        <f aca="false">V263+V261+V259</f>
        <v>0.105709964412811</v>
      </c>
      <c r="W265" s="97" t="n">
        <f aca="false">W263+W261+W259</f>
        <v>0.105709964412811</v>
      </c>
    </row>
    <row r="266" customFormat="false" ht="14.25" hidden="false" customHeight="false" outlineLevel="0" collapsed="false">
      <c r="B266" s="101" t="s">
        <v>205</v>
      </c>
      <c r="C266" s="56" t="s">
        <v>96</v>
      </c>
      <c r="D266" s="99" t="n">
        <f aca="false">D265*12*Analisis_Inputs_Grales!$D$59</f>
        <v>10960.0091103203</v>
      </c>
      <c r="E266" s="99" t="n">
        <f aca="false">E265*12*Analisis_Inputs_Grales!$D$59</f>
        <v>10960.0091103203</v>
      </c>
      <c r="F266" s="99" t="n">
        <f aca="false">F265*12*Analisis_Inputs_Grales!$D$59</f>
        <v>10960.0091103203</v>
      </c>
      <c r="G266" s="99" t="n">
        <f aca="false">G265*12*Analisis_Inputs_Grales!$D$59</f>
        <v>10960.0091103203</v>
      </c>
      <c r="H266" s="99" t="n">
        <f aca="false">H265*12*Analisis_Inputs_Grales!$D$59</f>
        <v>10960.0091103203</v>
      </c>
      <c r="I266" s="99" t="n">
        <f aca="false">I265*12*Analisis_Inputs_Grales!$D$59</f>
        <v>10960.0091103203</v>
      </c>
      <c r="J266" s="99" t="n">
        <f aca="false">J265*12*Analisis_Inputs_Grales!$D$59</f>
        <v>10960.0091103203</v>
      </c>
      <c r="K266" s="99" t="n">
        <f aca="false">K265*12*Analisis_Inputs_Grales!$D$59</f>
        <v>10960.0091103203</v>
      </c>
      <c r="L266" s="99" t="n">
        <f aca="false">L265*12*Analisis_Inputs_Grales!$D$59</f>
        <v>10960.0091103203</v>
      </c>
      <c r="M266" s="99" t="n">
        <f aca="false">M265*12*Analisis_Inputs_Grales!$D$59</f>
        <v>10960.0091103203</v>
      </c>
      <c r="N266" s="99" t="n">
        <f aca="false">N265*12*Analisis_Inputs_Grales!$D$59</f>
        <v>10960.0091103203</v>
      </c>
      <c r="O266" s="99" t="n">
        <f aca="false">O265*12*Analisis_Inputs_Grales!$D$59</f>
        <v>10960.0091103203</v>
      </c>
      <c r="P266" s="99" t="n">
        <f aca="false">P265*12*Analisis_Inputs_Grales!$D$59</f>
        <v>10960.0091103203</v>
      </c>
      <c r="Q266" s="99" t="n">
        <f aca="false">Q265*12*Analisis_Inputs_Grales!$D$59</f>
        <v>10960.0091103203</v>
      </c>
      <c r="R266" s="99" t="n">
        <f aca="false">R265*12*Analisis_Inputs_Grales!$D$59</f>
        <v>10960.0091103203</v>
      </c>
      <c r="S266" s="99" t="n">
        <f aca="false">S265*12*Analisis_Inputs_Grales!$D$59</f>
        <v>10960.0091103203</v>
      </c>
      <c r="T266" s="99" t="n">
        <f aca="false">T265*12*Analisis_Inputs_Grales!$D$59</f>
        <v>10960.0091103203</v>
      </c>
      <c r="U266" s="99" t="n">
        <f aca="false">U265*12*Analisis_Inputs_Grales!$D$59</f>
        <v>10960.0091103203</v>
      </c>
      <c r="V266" s="99" t="n">
        <f aca="false">V265*12*Analisis_Inputs_Grales!$D$59</f>
        <v>10960.0091103203</v>
      </c>
      <c r="W266" s="99" t="n">
        <f aca="false">W265*12*Analisis_Inputs_Grales!$D$59</f>
        <v>10960.0091103203</v>
      </c>
    </row>
    <row r="267" customFormat="false" ht="14.25" hidden="false" customHeight="false" outlineLevel="0" collapsed="false">
      <c r="B267" s="103"/>
    </row>
    <row r="268" customFormat="false" ht="14.25" hidden="false" customHeight="false" outlineLevel="0" collapsed="false">
      <c r="B268" s="104" t="s">
        <v>206</v>
      </c>
      <c r="C268" s="105" t="s">
        <v>197</v>
      </c>
      <c r="D268" s="97" t="n">
        <f aca="false">+D255+D265</f>
        <v>0.666057672171211</v>
      </c>
      <c r="E268" s="97" t="n">
        <f aca="false">+E255+E265</f>
        <v>0.666057672171211</v>
      </c>
      <c r="F268" s="97" t="n">
        <f aca="false">+F255+F265</f>
        <v>0.666057672171211</v>
      </c>
      <c r="G268" s="97" t="n">
        <f aca="false">+G255+G265</f>
        <v>0.666057672171211</v>
      </c>
      <c r="H268" s="97" t="n">
        <f aca="false">+H255+H265</f>
        <v>0.666057672171211</v>
      </c>
      <c r="I268" s="97" t="n">
        <f aca="false">+I255+I265</f>
        <v>0.666057672171211</v>
      </c>
      <c r="J268" s="97" t="n">
        <f aca="false">+J255+J265</f>
        <v>0.666057672171211</v>
      </c>
      <c r="K268" s="97" t="n">
        <f aca="false">+K255+K265</f>
        <v>0.666057672171211</v>
      </c>
      <c r="L268" s="97" t="n">
        <f aca="false">+L255+L265</f>
        <v>0.666057672171211</v>
      </c>
      <c r="M268" s="97" t="n">
        <f aca="false">+M255+M265</f>
        <v>0.666057672171211</v>
      </c>
      <c r="N268" s="97" t="n">
        <f aca="false">+N255+N265</f>
        <v>0.666057672171211</v>
      </c>
      <c r="O268" s="97" t="n">
        <f aca="false">+O255+O265</f>
        <v>0.666057672171211</v>
      </c>
      <c r="P268" s="97" t="n">
        <f aca="false">+P255+P265</f>
        <v>0.666057672171211</v>
      </c>
      <c r="Q268" s="97" t="n">
        <f aca="false">+Q255+Q265</f>
        <v>0.666057672171211</v>
      </c>
      <c r="R268" s="97" t="n">
        <f aca="false">+R255+R265</f>
        <v>0.666057672171211</v>
      </c>
      <c r="S268" s="97" t="n">
        <f aca="false">+S255+S265</f>
        <v>0.666057672171211</v>
      </c>
      <c r="T268" s="97" t="n">
        <f aca="false">+T255+T265</f>
        <v>0.666057672171211</v>
      </c>
      <c r="U268" s="97" t="n">
        <f aca="false">+U255+U265</f>
        <v>0.666057672171211</v>
      </c>
      <c r="V268" s="97" t="n">
        <f aca="false">+V255+V265</f>
        <v>0.666057672171211</v>
      </c>
      <c r="W268" s="97" t="n">
        <f aca="false">+W255+W265</f>
        <v>0.666057672171211</v>
      </c>
    </row>
    <row r="269" customFormat="false" ht="14.25" hidden="false" customHeight="false" outlineLevel="0" collapsed="false">
      <c r="B269" s="106" t="s">
        <v>206</v>
      </c>
      <c r="C269" s="107" t="s">
        <v>96</v>
      </c>
      <c r="D269" s="99" t="n">
        <f aca="false">D268*12*Analisis_Inputs_Grales!$D$59</f>
        <v>69056.8594507112</v>
      </c>
      <c r="E269" s="99" t="n">
        <f aca="false">E268*12*Analisis_Inputs_Grales!$D$59</f>
        <v>69056.8594507112</v>
      </c>
      <c r="F269" s="99" t="n">
        <f aca="false">F268*12*Analisis_Inputs_Grales!$D$59</f>
        <v>69056.8594507112</v>
      </c>
      <c r="G269" s="99" t="n">
        <f aca="false">G268*12*Analisis_Inputs_Grales!$D$59</f>
        <v>69056.8594507112</v>
      </c>
      <c r="H269" s="99" t="n">
        <f aca="false">H268*12*Analisis_Inputs_Grales!$D$59</f>
        <v>69056.8594507112</v>
      </c>
      <c r="I269" s="99" t="n">
        <f aca="false">I268*12*Analisis_Inputs_Grales!$D$59</f>
        <v>69056.8594507112</v>
      </c>
      <c r="J269" s="99" t="n">
        <f aca="false">J268*12*Analisis_Inputs_Grales!$D$59</f>
        <v>69056.8594507112</v>
      </c>
      <c r="K269" s="99" t="n">
        <f aca="false">K268*12*Analisis_Inputs_Grales!$D$59</f>
        <v>69056.8594507112</v>
      </c>
      <c r="L269" s="99" t="n">
        <f aca="false">L268*12*Analisis_Inputs_Grales!$D$59</f>
        <v>69056.8594507112</v>
      </c>
      <c r="M269" s="99" t="n">
        <f aca="false">M268*12*Analisis_Inputs_Grales!$D$59</f>
        <v>69056.8594507112</v>
      </c>
      <c r="N269" s="99" t="n">
        <f aca="false">N268*12*Analisis_Inputs_Grales!$D$59</f>
        <v>69056.8594507112</v>
      </c>
      <c r="O269" s="99" t="n">
        <f aca="false">O268*12*Analisis_Inputs_Grales!$D$59</f>
        <v>69056.8594507112</v>
      </c>
      <c r="P269" s="99" t="n">
        <f aca="false">P268*12*Analisis_Inputs_Grales!$D$59</f>
        <v>69056.8594507112</v>
      </c>
      <c r="Q269" s="99" t="n">
        <f aca="false">Q268*12*Analisis_Inputs_Grales!$D$59</f>
        <v>69056.8594507112</v>
      </c>
      <c r="R269" s="99" t="n">
        <f aca="false">R268*12*Analisis_Inputs_Grales!$D$59</f>
        <v>69056.8594507112</v>
      </c>
      <c r="S269" s="99" t="n">
        <f aca="false">S268*12*Analisis_Inputs_Grales!$D$59</f>
        <v>69056.8594507112</v>
      </c>
      <c r="T269" s="99" t="n">
        <f aca="false">T268*12*Analisis_Inputs_Grales!$D$59</f>
        <v>69056.8594507112</v>
      </c>
      <c r="U269" s="99" t="n">
        <f aca="false">U268*12*Analisis_Inputs_Grales!$D$59</f>
        <v>69056.8594507112</v>
      </c>
      <c r="V269" s="99" t="n">
        <f aca="false">V268*12*Analisis_Inputs_Grales!$D$59</f>
        <v>69056.8594507112</v>
      </c>
      <c r="W269" s="99" t="n">
        <f aca="false">W268*12*Analisis_Inputs_Grales!$D$59</f>
        <v>69056.8594507112</v>
      </c>
    </row>
    <row r="270" customFormat="false" ht="14.25" hidden="false" customHeight="false" outlineLevel="0" collapsed="false">
      <c r="B270" s="108"/>
      <c r="C270" s="109"/>
    </row>
    <row r="271" customFormat="false" ht="14.25" hidden="false" customHeight="false" outlineLevel="0" collapsed="false">
      <c r="B271" s="110" t="s">
        <v>207</v>
      </c>
      <c r="C271" s="105" t="s">
        <v>208</v>
      </c>
      <c r="D271" s="97" t="n">
        <f aca="false">D268/(Analisis_Inputs_Grales!$D$64)</f>
        <v>0.0643533982774117</v>
      </c>
      <c r="E271" s="97" t="n">
        <f aca="false">E268/(Analisis_Inputs_Grales!$D$64)</f>
        <v>0.0643533982774117</v>
      </c>
      <c r="F271" s="97" t="n">
        <f aca="false">F268/(Analisis_Inputs_Grales!$D$64)</f>
        <v>0.0643533982774117</v>
      </c>
      <c r="G271" s="97" t="n">
        <f aca="false">G268/(Analisis_Inputs_Grales!$D$64)</f>
        <v>0.0643533982774117</v>
      </c>
      <c r="H271" s="97" t="n">
        <f aca="false">H268/(Analisis_Inputs_Grales!$D$64)</f>
        <v>0.0643533982774117</v>
      </c>
      <c r="I271" s="97" t="n">
        <f aca="false">I268/(Analisis_Inputs_Grales!$D$64)</f>
        <v>0.0643533982774117</v>
      </c>
      <c r="J271" s="97" t="n">
        <f aca="false">J268/(Analisis_Inputs_Grales!$D$64)</f>
        <v>0.0643533982774117</v>
      </c>
      <c r="K271" s="97" t="n">
        <f aca="false">K268/(Analisis_Inputs_Grales!$D$64)</f>
        <v>0.0643533982774117</v>
      </c>
      <c r="L271" s="97" t="n">
        <f aca="false">L268/(Analisis_Inputs_Grales!$D$64)</f>
        <v>0.0643533982774117</v>
      </c>
      <c r="M271" s="97" t="n">
        <f aca="false">M268/(Analisis_Inputs_Grales!$D$64)</f>
        <v>0.0643533982774117</v>
      </c>
      <c r="N271" s="97" t="n">
        <f aca="false">N268/(Analisis_Inputs_Grales!$D$64)</f>
        <v>0.0643533982774117</v>
      </c>
      <c r="O271" s="97" t="n">
        <f aca="false">O268/(Analisis_Inputs_Grales!$D$64)</f>
        <v>0.0643533982774117</v>
      </c>
      <c r="P271" s="97" t="n">
        <f aca="false">P268/(Analisis_Inputs_Grales!$D$64)</f>
        <v>0.0643533982774117</v>
      </c>
      <c r="Q271" s="97" t="n">
        <f aca="false">Q268/(Analisis_Inputs_Grales!$D$64)</f>
        <v>0.0643533982774117</v>
      </c>
      <c r="R271" s="97" t="n">
        <f aca="false">R268/(Analisis_Inputs_Grales!$D$64)</f>
        <v>0.0643533982774117</v>
      </c>
      <c r="S271" s="97" t="n">
        <f aca="false">S268/(Analisis_Inputs_Grales!$D$64)</f>
        <v>0.0643533982774117</v>
      </c>
      <c r="T271" s="97" t="n">
        <f aca="false">T268/(Analisis_Inputs_Grales!$D$64)</f>
        <v>0.0643533982774117</v>
      </c>
      <c r="U271" s="97" t="n">
        <f aca="false">U268/(Analisis_Inputs_Grales!$D$64)</f>
        <v>0.0643533982774117</v>
      </c>
      <c r="V271" s="97" t="n">
        <f aca="false">V268/(Analisis_Inputs_Grales!$D$64)</f>
        <v>0.0643533982774117</v>
      </c>
      <c r="W271" s="97" t="n">
        <f aca="false">W268/(Analisis_Inputs_Grales!$D$64)</f>
        <v>0.0643533982774117</v>
      </c>
    </row>
    <row r="272" customFormat="false" ht="14.25" hidden="false" customHeight="false" outlineLevel="0" collapsed="false">
      <c r="B272" s="103" t="s">
        <v>209</v>
      </c>
      <c r="C272" s="56" t="s">
        <v>210</v>
      </c>
      <c r="D272" s="99" t="n">
        <f aca="false">D271*12*Analisis_Inputs_Grales!$D$59</f>
        <v>6672.16033340205</v>
      </c>
      <c r="E272" s="99" t="n">
        <f aca="false">E271*12*Analisis_Inputs_Grales!$D$59</f>
        <v>6672.16033340205</v>
      </c>
      <c r="F272" s="99" t="n">
        <f aca="false">F271*12*Analisis_Inputs_Grales!$D$59</f>
        <v>6672.16033340205</v>
      </c>
      <c r="G272" s="99" t="n">
        <f aca="false">G271*12*Analisis_Inputs_Grales!$D$59</f>
        <v>6672.16033340205</v>
      </c>
      <c r="H272" s="99" t="n">
        <f aca="false">H271*12*Analisis_Inputs_Grales!$D$59</f>
        <v>6672.16033340205</v>
      </c>
      <c r="I272" s="99" t="n">
        <f aca="false">I271*12*Analisis_Inputs_Grales!$D$59</f>
        <v>6672.16033340205</v>
      </c>
      <c r="J272" s="99" t="n">
        <f aca="false">J271*12*Analisis_Inputs_Grales!$D$59</f>
        <v>6672.16033340205</v>
      </c>
      <c r="K272" s="99" t="n">
        <f aca="false">K271*12*Analisis_Inputs_Grales!$D$59</f>
        <v>6672.16033340205</v>
      </c>
      <c r="L272" s="99" t="n">
        <f aca="false">L271*12*Analisis_Inputs_Grales!$D$59</f>
        <v>6672.16033340205</v>
      </c>
      <c r="M272" s="99" t="n">
        <f aca="false">M271*12*Analisis_Inputs_Grales!$D$59</f>
        <v>6672.16033340205</v>
      </c>
      <c r="N272" s="99" t="n">
        <f aca="false">N271*12*Analisis_Inputs_Grales!$D$59</f>
        <v>6672.16033340205</v>
      </c>
      <c r="O272" s="99" t="n">
        <f aca="false">O271*12*Analisis_Inputs_Grales!$D$59</f>
        <v>6672.16033340205</v>
      </c>
      <c r="P272" s="99" t="n">
        <f aca="false">P271*12*Analisis_Inputs_Grales!$D$59</f>
        <v>6672.16033340205</v>
      </c>
      <c r="Q272" s="99" t="n">
        <f aca="false">Q271*12*Analisis_Inputs_Grales!$D$59</f>
        <v>6672.16033340205</v>
      </c>
      <c r="R272" s="99" t="n">
        <f aca="false">R271*12*Analisis_Inputs_Grales!$D$59</f>
        <v>6672.16033340205</v>
      </c>
      <c r="S272" s="99" t="n">
        <f aca="false">S271*12*Analisis_Inputs_Grales!$D$59</f>
        <v>6672.16033340205</v>
      </c>
      <c r="T272" s="99" t="n">
        <f aca="false">T271*12*Analisis_Inputs_Grales!$D$59</f>
        <v>6672.16033340205</v>
      </c>
      <c r="U272" s="99" t="n">
        <f aca="false">U271*12*Analisis_Inputs_Grales!$D$59</f>
        <v>6672.16033340205</v>
      </c>
      <c r="V272" s="99" t="n">
        <f aca="false">V271*12*Analisis_Inputs_Grales!$D$59</f>
        <v>6672.16033340205</v>
      </c>
      <c r="W272" s="99" t="n">
        <f aca="false">W271*12*Analisis_Inputs_Grales!$D$59</f>
        <v>6672.16033340205</v>
      </c>
    </row>
    <row r="273" customFormat="false" ht="28.5" hidden="false" customHeight="false" outlineLevel="0" collapsed="false">
      <c r="B273" s="106" t="s">
        <v>220</v>
      </c>
      <c r="C273" s="107" t="s">
        <v>221</v>
      </c>
      <c r="D273" s="97" t="n">
        <f aca="false">(Analisis_Inputs_Grales!$D$79+Analisis_Inputs_Grales!$D$80)*D255/Analisis_Inputs_Grales!$D$64</f>
        <v>1.89489563010087</v>
      </c>
      <c r="E273" s="97" t="n">
        <f aca="false">(Analisis_Inputs_Grales!$D$79+Analisis_Inputs_Grales!$D$80)*E255/Analisis_Inputs_Grales!$D$64</f>
        <v>1.89489563010087</v>
      </c>
      <c r="F273" s="97" t="n">
        <f aca="false">(Analisis_Inputs_Grales!$D$79+Analisis_Inputs_Grales!$D$80)*F255/Analisis_Inputs_Grales!$D$64</f>
        <v>1.89489563010087</v>
      </c>
      <c r="G273" s="97" t="n">
        <f aca="false">(Analisis_Inputs_Grales!$D$79+Analisis_Inputs_Grales!$D$80)*G255/Analisis_Inputs_Grales!$D$64</f>
        <v>1.89489563010087</v>
      </c>
      <c r="H273" s="97" t="n">
        <f aca="false">(Analisis_Inputs_Grales!$D$79+Analisis_Inputs_Grales!$D$80)*H255/Analisis_Inputs_Grales!$D$64</f>
        <v>1.89489563010087</v>
      </c>
      <c r="I273" s="97" t="n">
        <f aca="false">(Analisis_Inputs_Grales!$D$79+Analisis_Inputs_Grales!$D$80)*I255/Analisis_Inputs_Grales!$D$64</f>
        <v>1.89489563010087</v>
      </c>
      <c r="J273" s="97" t="n">
        <f aca="false">(Analisis_Inputs_Grales!$D$79+Analisis_Inputs_Grales!$D$80)*J255/Analisis_Inputs_Grales!$D$64</f>
        <v>1.89489563010087</v>
      </c>
      <c r="K273" s="97" t="n">
        <f aca="false">(Analisis_Inputs_Grales!$D$79+Analisis_Inputs_Grales!$D$80)*K255/Analisis_Inputs_Grales!$D$64</f>
        <v>1.89489563010087</v>
      </c>
      <c r="L273" s="97" t="n">
        <f aca="false">(Analisis_Inputs_Grales!$D$79+Analisis_Inputs_Grales!$D$80)*L255/Analisis_Inputs_Grales!$D$64</f>
        <v>1.89489563010087</v>
      </c>
      <c r="M273" s="97" t="n">
        <f aca="false">(Analisis_Inputs_Grales!$D$79+Analisis_Inputs_Grales!$D$80)*M255/Analisis_Inputs_Grales!$D$64</f>
        <v>1.89489563010087</v>
      </c>
      <c r="N273" s="97" t="n">
        <f aca="false">(Analisis_Inputs_Grales!$D$79+Analisis_Inputs_Grales!$D$80)*N255/Analisis_Inputs_Grales!$D$64</f>
        <v>1.89489563010087</v>
      </c>
      <c r="O273" s="97" t="n">
        <f aca="false">(Analisis_Inputs_Grales!$D$79+Analisis_Inputs_Grales!$D$80)*O255/Analisis_Inputs_Grales!$D$64</f>
        <v>1.89489563010087</v>
      </c>
      <c r="P273" s="97" t="n">
        <f aca="false">(Analisis_Inputs_Grales!$D$79+Analisis_Inputs_Grales!$D$80)*P255/Analisis_Inputs_Grales!$D$64</f>
        <v>1.89489563010087</v>
      </c>
      <c r="Q273" s="97" t="n">
        <f aca="false">(Analisis_Inputs_Grales!$D$79+Analisis_Inputs_Grales!$D$80)*Q255/Analisis_Inputs_Grales!$D$64</f>
        <v>1.89489563010087</v>
      </c>
      <c r="R273" s="97" t="n">
        <f aca="false">(Analisis_Inputs_Grales!$D$79+Analisis_Inputs_Grales!$D$80)*R255/Analisis_Inputs_Grales!$D$64</f>
        <v>1.89489563010087</v>
      </c>
      <c r="S273" s="97" t="n">
        <f aca="false">(Analisis_Inputs_Grales!$D$79+Analisis_Inputs_Grales!$D$80)*S255/Analisis_Inputs_Grales!$D$64</f>
        <v>1.89489563010087</v>
      </c>
      <c r="T273" s="97" t="n">
        <f aca="false">(Analisis_Inputs_Grales!$D$79+Analisis_Inputs_Grales!$D$80)*T255/Analisis_Inputs_Grales!$D$64</f>
        <v>1.89489563010087</v>
      </c>
      <c r="U273" s="97" t="n">
        <f aca="false">(Analisis_Inputs_Grales!$D$79+Analisis_Inputs_Grales!$D$80)*U255/Analisis_Inputs_Grales!$D$64</f>
        <v>1.89489563010087</v>
      </c>
      <c r="V273" s="97" t="n">
        <f aca="false">(Analisis_Inputs_Grales!$D$79+Analisis_Inputs_Grales!$D$80)*V255/Analisis_Inputs_Grales!$D$64</f>
        <v>1.89489563010087</v>
      </c>
      <c r="W273" s="97" t="n">
        <f aca="false">(Analisis_Inputs_Grales!$D$79+Analisis_Inputs_Grales!$D$80)*W255/Analisis_Inputs_Grales!$D$64</f>
        <v>1.89489563010087</v>
      </c>
    </row>
    <row r="275" customFormat="false" ht="14.25" hidden="false" customHeight="false" outlineLevel="0" collapsed="false">
      <c r="B275" s="103" t="s">
        <v>211</v>
      </c>
      <c r="C275" s="56" t="s">
        <v>212</v>
      </c>
      <c r="D275" s="97" t="n">
        <f aca="false">(D271*Analisis_Inputs_Grales!$D$34/60)+D273</f>
        <v>1.92850240475685</v>
      </c>
      <c r="E275" s="97" t="n">
        <f aca="false">(E271*Analisis_Inputs_Grales!$D$34/60)+E273</f>
        <v>1.92850240475685</v>
      </c>
      <c r="F275" s="97" t="n">
        <f aca="false">(F271*Analisis_Inputs_Grales!$D$34/60)+F273</f>
        <v>1.92850240475685</v>
      </c>
      <c r="G275" s="97" t="n">
        <f aca="false">(G271*Analisis_Inputs_Grales!$D$34/60)+G273</f>
        <v>1.92850240475685</v>
      </c>
      <c r="H275" s="97" t="n">
        <f aca="false">(H271*Analisis_Inputs_Grales!$D$34/60)+H273</f>
        <v>1.92850240475685</v>
      </c>
      <c r="I275" s="97" t="n">
        <f aca="false">(I271*Analisis_Inputs_Grales!$D$34/60)+I273</f>
        <v>1.92850240475685</v>
      </c>
      <c r="J275" s="97" t="n">
        <f aca="false">(J271*Analisis_Inputs_Grales!$D$34/60)+J273</f>
        <v>1.92850240475685</v>
      </c>
      <c r="K275" s="97" t="n">
        <f aca="false">(K271*Analisis_Inputs_Grales!$D$34/60)+K273</f>
        <v>1.92850240475685</v>
      </c>
      <c r="L275" s="97" t="n">
        <f aca="false">(L271*Analisis_Inputs_Grales!$D$34/60)+L273</f>
        <v>1.92850240475685</v>
      </c>
      <c r="M275" s="97" t="n">
        <f aca="false">(M271*Analisis_Inputs_Grales!$D$34/60)+M273</f>
        <v>1.92850240475685</v>
      </c>
      <c r="N275" s="97" t="n">
        <f aca="false">(N271*Analisis_Inputs_Grales!$D$34/60)+N273</f>
        <v>1.92850240475685</v>
      </c>
      <c r="O275" s="97" t="n">
        <f aca="false">(O271*Analisis_Inputs_Grales!$D$34/60)+O273</f>
        <v>1.92850240475685</v>
      </c>
      <c r="P275" s="97" t="n">
        <f aca="false">(P271*Analisis_Inputs_Grales!$D$34/60)+P273</f>
        <v>1.92850240475685</v>
      </c>
      <c r="Q275" s="97" t="n">
        <f aca="false">(Q271*Analisis_Inputs_Grales!$D$34/60)+Q273</f>
        <v>1.92850240475685</v>
      </c>
      <c r="R275" s="97" t="n">
        <f aca="false">(R271*Analisis_Inputs_Grales!$D$34/60)+R273</f>
        <v>1.92850240475685</v>
      </c>
      <c r="S275" s="97" t="n">
        <f aca="false">(S271*Analisis_Inputs_Grales!$D$34/60)+S273</f>
        <v>1.92850240475685</v>
      </c>
      <c r="T275" s="97" t="n">
        <f aca="false">(T271*Analisis_Inputs_Grales!$D$34/60)+T273</f>
        <v>1.92850240475685</v>
      </c>
      <c r="U275" s="97" t="n">
        <f aca="false">(U271*Analisis_Inputs_Grales!$D$34/60)+U273</f>
        <v>1.92850240475685</v>
      </c>
      <c r="V275" s="97" t="n">
        <f aca="false">(V271*Analisis_Inputs_Grales!$D$34/60)+V273</f>
        <v>1.92850240475685</v>
      </c>
      <c r="W275" s="97" t="n">
        <f aca="false">(W271*Analisis_Inputs_Grales!$D$34/60)+W273</f>
        <v>1.92850240475685</v>
      </c>
    </row>
    <row r="276" customFormat="false" ht="14.25" hidden="false" customHeight="false" outlineLevel="0" collapsed="false">
      <c r="B276" s="111" t="s">
        <v>213</v>
      </c>
      <c r="C276" s="112" t="s">
        <v>19</v>
      </c>
      <c r="D276" s="97" t="n">
        <f aca="false">(1+Analisis_Inputs_Grales!$D$118)^'Analisis 20Años'!D$3</f>
        <v>1</v>
      </c>
      <c r="E276" s="97" t="n">
        <f aca="false">(1+Analisis_Inputs_Grales!$D$118)^'Analisis 20Años'!E$3</f>
        <v>1.12</v>
      </c>
      <c r="F276" s="97" t="n">
        <f aca="false">(1+Analisis_Inputs_Grales!$D$118)^'Analisis 20Años'!F$3</f>
        <v>1.2544</v>
      </c>
      <c r="G276" s="97" t="n">
        <f aca="false">(1+Analisis_Inputs_Grales!$D$118)^'Analisis 20Años'!G$3</f>
        <v>1.404928</v>
      </c>
      <c r="H276" s="97" t="n">
        <f aca="false">(1+Analisis_Inputs_Grales!$D$118)^'Analisis 20Años'!H$3</f>
        <v>1.57351936</v>
      </c>
      <c r="I276" s="97" t="n">
        <f aca="false">(1+Analisis_Inputs_Grales!$D$118)^'Analisis 20Años'!I$3</f>
        <v>1.7623416832</v>
      </c>
      <c r="J276" s="97" t="n">
        <f aca="false">(1+Analisis_Inputs_Grales!$D$118)^'Analisis 20Años'!J$3</f>
        <v>1.973822685184</v>
      </c>
      <c r="K276" s="97" t="n">
        <f aca="false">(1+Analisis_Inputs_Grales!$D$118)^'Analisis 20Años'!K$3</f>
        <v>2.21068140740608</v>
      </c>
      <c r="L276" s="97" t="n">
        <f aca="false">(1+Analisis_Inputs_Grales!$D$118)^'Analisis 20Años'!L$3</f>
        <v>2.47596317629481</v>
      </c>
      <c r="M276" s="97" t="n">
        <f aca="false">(1+Analisis_Inputs_Grales!$D$118)^'Analisis 20Años'!M$3</f>
        <v>2.77307875745019</v>
      </c>
      <c r="N276" s="97" t="n">
        <f aca="false">(1+Analisis_Inputs_Grales!$D$118)^'Analisis 20Años'!N$3</f>
        <v>3.10584820834421</v>
      </c>
      <c r="O276" s="97" t="n">
        <f aca="false">(1+Analisis_Inputs_Grales!$D$118)^'Analisis 20Años'!O$3</f>
        <v>3.47854999334552</v>
      </c>
      <c r="P276" s="97" t="n">
        <f aca="false">(1+Analisis_Inputs_Grales!$D$118)^'Analisis 20Años'!P$3</f>
        <v>3.89597599254698</v>
      </c>
      <c r="Q276" s="97" t="n">
        <f aca="false">(1+Analisis_Inputs_Grales!$D$118)^'Analisis 20Años'!Q$3</f>
        <v>4.36349311165262</v>
      </c>
      <c r="R276" s="97" t="n">
        <f aca="false">(1+Analisis_Inputs_Grales!$D$118)^'Analisis 20Años'!R$3</f>
        <v>4.88711228505093</v>
      </c>
      <c r="S276" s="97" t="n">
        <f aca="false">(1+Analisis_Inputs_Grales!$D$118)^'Analisis 20Años'!S$3</f>
        <v>5.47356575925704</v>
      </c>
      <c r="T276" s="97" t="n">
        <f aca="false">(1+Analisis_Inputs_Grales!$D$118)^'Analisis 20Años'!T$3</f>
        <v>6.13039365036789</v>
      </c>
      <c r="U276" s="97" t="n">
        <f aca="false">(1+Analisis_Inputs_Grales!$D$118)^'Analisis 20Años'!U$3</f>
        <v>6.86604088841204</v>
      </c>
      <c r="V276" s="97" t="n">
        <f aca="false">(1+Analisis_Inputs_Grales!$D$118)^'Analisis 20Años'!V$3</f>
        <v>7.68996579502148</v>
      </c>
      <c r="W276" s="97" t="n">
        <f aca="false">(1+Analisis_Inputs_Grales!$D$118)^'Analisis 20Años'!W$3</f>
        <v>8.61276169042406</v>
      </c>
    </row>
    <row r="277" customFormat="false" ht="14.25" hidden="false" customHeight="false" outlineLevel="0" collapsed="false">
      <c r="B277" s="111" t="s">
        <v>214</v>
      </c>
      <c r="C277" s="112" t="s">
        <v>212</v>
      </c>
      <c r="D277" s="97" t="n">
        <f aca="false">D275*D276</f>
        <v>1.92850240475685</v>
      </c>
      <c r="E277" s="97" t="n">
        <f aca="false">E275*E276</f>
        <v>2.15992269332767</v>
      </c>
      <c r="F277" s="97" t="n">
        <f aca="false">F275*F276</f>
        <v>2.41911341652699</v>
      </c>
      <c r="G277" s="97" t="n">
        <f aca="false">G275*G276</f>
        <v>2.70940702651023</v>
      </c>
      <c r="H277" s="97" t="n">
        <f aca="false">H275*H276</f>
        <v>3.03453586969146</v>
      </c>
      <c r="I277" s="97" t="n">
        <f aca="false">I275*I276</f>
        <v>3.39868017405444</v>
      </c>
      <c r="J277" s="97" t="n">
        <f aca="false">J275*J276</f>
        <v>3.80652179494097</v>
      </c>
      <c r="K277" s="97" t="n">
        <f aca="false">K275*K276</f>
        <v>4.26330441033389</v>
      </c>
      <c r="L277" s="97" t="n">
        <f aca="false">L275*L276</f>
        <v>4.77490093957395</v>
      </c>
      <c r="M277" s="97" t="n">
        <f aca="false">M275*M276</f>
        <v>5.34788905232283</v>
      </c>
      <c r="N277" s="97" t="n">
        <f aca="false">N275*N276</f>
        <v>5.98963573860157</v>
      </c>
      <c r="O277" s="97" t="n">
        <f aca="false">O275*O276</f>
        <v>6.70839202723375</v>
      </c>
      <c r="P277" s="97" t="n">
        <f aca="false">P275*P276</f>
        <v>7.5133990705018</v>
      </c>
      <c r="Q277" s="97" t="n">
        <f aca="false">Q275*Q276</f>
        <v>8.41500695896202</v>
      </c>
      <c r="R277" s="97" t="n">
        <f aca="false">R275*R276</f>
        <v>9.42480779403747</v>
      </c>
      <c r="S277" s="97" t="n">
        <f aca="false">S275*S276</f>
        <v>10.555784729322</v>
      </c>
      <c r="T277" s="97" t="n">
        <f aca="false">T275*T276</f>
        <v>11.8224788968406</v>
      </c>
      <c r="U277" s="97" t="n">
        <f aca="false">U275*U276</f>
        <v>13.2411763644615</v>
      </c>
      <c r="V277" s="97" t="n">
        <f aca="false">V275*V276</f>
        <v>14.8301175281969</v>
      </c>
      <c r="W277" s="97" t="n">
        <f aca="false">W275*W276</f>
        <v>16.6097316315805</v>
      </c>
    </row>
    <row r="278" customFormat="false" ht="15" hidden="false" customHeight="false" outlineLevel="0" collapsed="false">
      <c r="B278" s="113" t="s">
        <v>217</v>
      </c>
      <c r="C278" s="112" t="s">
        <v>212</v>
      </c>
      <c r="D278" s="97" t="n">
        <f aca="false">SUM(D277:W277)</f>
        <v>138.953308521777</v>
      </c>
    </row>
    <row r="280" customFormat="false" ht="15" hidden="false" customHeight="false" outlineLevel="0" collapsed="false"/>
    <row r="281" customFormat="false" ht="14.25" hidden="false" customHeight="false" outlineLevel="0" collapsed="false">
      <c r="B281" s="115" t="s">
        <v>218</v>
      </c>
      <c r="C281" s="116" t="n">
        <v>5</v>
      </c>
      <c r="D281" s="117" t="n">
        <f aca="false">D173</f>
        <v>2.98910353903839</v>
      </c>
    </row>
    <row r="282" customFormat="false" ht="14.25" hidden="false" customHeight="false" outlineLevel="0" collapsed="false">
      <c r="B282" s="115"/>
      <c r="C282" s="118" t="n">
        <v>10</v>
      </c>
      <c r="D282" s="119" t="n">
        <f aca="false">D207</f>
        <v>2.28203611618403</v>
      </c>
    </row>
    <row r="283" customFormat="false" ht="14.25" hidden="false" customHeight="false" outlineLevel="0" collapsed="false">
      <c r="B283" s="115"/>
      <c r="C283" s="118" t="n">
        <v>15</v>
      </c>
      <c r="D283" s="119" t="n">
        <f aca="false">D241</f>
        <v>2.04634697523258</v>
      </c>
    </row>
    <row r="284" customFormat="false" ht="15" hidden="false" customHeight="false" outlineLevel="0" collapsed="false">
      <c r="B284" s="115"/>
      <c r="C284" s="120" t="n">
        <v>20</v>
      </c>
      <c r="D284" s="121" t="n">
        <f aca="false">D275</f>
        <v>1.92850240475685</v>
      </c>
      <c r="I284" s="123"/>
    </row>
    <row r="287" customFormat="false" ht="18" hidden="false" customHeight="false" outlineLevel="0" collapsed="false">
      <c r="B287" s="124" t="s">
        <v>169</v>
      </c>
    </row>
    <row r="288" customFormat="false" ht="15.75" hidden="false" customHeight="false" outlineLevel="0" collapsed="false">
      <c r="B288" s="125"/>
      <c r="C288" s="126"/>
    </row>
    <row r="289" customFormat="false" ht="14.25" hidden="false" customHeight="false" outlineLevel="0" collapsed="false">
      <c r="B289" s="55" t="s">
        <v>196</v>
      </c>
      <c r="C289" s="56" t="s">
        <v>223</v>
      </c>
      <c r="D289" s="127" t="n">
        <f aca="false">(Analisis_Inputs_Grales!D104*(Analisis_Inputs_Grales!D101)/Analisis_Inputs_Grales!D99)</f>
        <v>407.407407407407</v>
      </c>
    </row>
    <row r="290" customFormat="false" ht="14.25" hidden="false" customHeight="false" outlineLevel="0" collapsed="false">
      <c r="B290" s="55" t="s">
        <v>224</v>
      </c>
      <c r="C290" s="56" t="s">
        <v>223</v>
      </c>
      <c r="D290" s="127" t="n">
        <f aca="false">Analisis_Inputs_Grales!D104/(Analisis_Inputs_Grales!D103*Analisis_Inputs_Grales!D100*Analisis_Inputs_Grales!D97)</f>
        <v>176.282051282051</v>
      </c>
    </row>
    <row r="291" customFormat="false" ht="14.25" hidden="false" customHeight="false" outlineLevel="0" collapsed="false">
      <c r="B291" s="55" t="s">
        <v>179</v>
      </c>
      <c r="C291" s="56" t="s">
        <v>223</v>
      </c>
      <c r="D291" s="127" t="n">
        <f aca="false">Analisis_Inputs_Grales!D105/Analisis_Inputs_Grales!D99</f>
        <v>370.37037037037</v>
      </c>
    </row>
    <row r="293" customFormat="false" ht="14.25" hidden="false" customHeight="false" outlineLevel="0" collapsed="false">
      <c r="B293" s="128" t="s">
        <v>225</v>
      </c>
      <c r="C293" s="129" t="s">
        <v>221</v>
      </c>
      <c r="D293" s="130" t="n">
        <f aca="false">(D289+D290+D291)/Analisis_Inputs_Grales!D95</f>
        <v>1.90811965811966</v>
      </c>
    </row>
    <row r="297" customFormat="false" ht="15" hidden="false" customHeight="false" outlineLevel="0" collapsed="false"/>
    <row r="298" customFormat="false" ht="72" hidden="false" customHeight="false" outlineLevel="0" collapsed="false">
      <c r="E298" s="131" t="s">
        <v>226</v>
      </c>
      <c r="F298" s="132" t="s">
        <v>227</v>
      </c>
      <c r="G298" s="133" t="s">
        <v>228</v>
      </c>
    </row>
    <row r="299" customFormat="false" ht="14.25" hidden="false" customHeight="false" outlineLevel="0" collapsed="false">
      <c r="E299" s="134" t="n">
        <v>0</v>
      </c>
      <c r="F299" s="135" t="n">
        <f aca="false">$D$31*E299</f>
        <v>0</v>
      </c>
      <c r="G299" s="136" t="n">
        <f aca="false">$D$169*E299+($D$293+$D$171)</f>
        <v>4.84802422565776</v>
      </c>
    </row>
    <row r="300" customFormat="false" ht="14.25" hidden="false" customHeight="false" outlineLevel="0" collapsed="false">
      <c r="E300" s="137" t="n">
        <v>10</v>
      </c>
      <c r="F300" s="138" t="n">
        <f aca="false">$D$31*E300</f>
        <v>1.68187122245578</v>
      </c>
      <c r="G300" s="139" t="n">
        <f aca="false">$D$169*E300+($D$293+$D$171)</f>
        <v>5.7901321905568</v>
      </c>
    </row>
    <row r="301" customFormat="false" ht="14.25" hidden="false" customHeight="false" outlineLevel="0" collapsed="false">
      <c r="E301" s="137" t="n">
        <v>15</v>
      </c>
      <c r="F301" s="138" t="n">
        <f aca="false">$D$31*E301</f>
        <v>2.52280683368367</v>
      </c>
      <c r="G301" s="139" t="n">
        <f aca="false">$D$169*E301+($D$293+$D$171)</f>
        <v>6.26118617300632</v>
      </c>
    </row>
    <row r="302" customFormat="false" ht="14.25" hidden="false" customHeight="false" outlineLevel="0" collapsed="false">
      <c r="E302" s="137" t="n">
        <v>20</v>
      </c>
      <c r="F302" s="138" t="n">
        <f aca="false">$D$31*E302</f>
        <v>3.36374244491156</v>
      </c>
      <c r="G302" s="139" t="n">
        <f aca="false">$D$169*E302+($D$293+$D$171)</f>
        <v>6.73224015545585</v>
      </c>
    </row>
    <row r="303" customFormat="false" ht="14.25" hidden="false" customHeight="false" outlineLevel="0" collapsed="false">
      <c r="E303" s="137" t="n">
        <v>30</v>
      </c>
      <c r="F303" s="138" t="n">
        <f aca="false">$D$31*E303</f>
        <v>5.04561366736734</v>
      </c>
      <c r="G303" s="139" t="n">
        <f aca="false">$D$169*E303+($D$293+$D$171)</f>
        <v>7.67434812035489</v>
      </c>
    </row>
    <row r="304" customFormat="false" ht="14.25" hidden="false" customHeight="false" outlineLevel="0" collapsed="false">
      <c r="E304" s="137" t="n">
        <v>40</v>
      </c>
      <c r="F304" s="138" t="n">
        <f aca="false">$D$31*E304</f>
        <v>6.72748488982312</v>
      </c>
      <c r="G304" s="139" t="n">
        <f aca="false">$D$169*E304+($D$293+$D$171)</f>
        <v>8.61645608525393</v>
      </c>
    </row>
    <row r="305" customFormat="false" ht="14.25" hidden="false" customHeight="false" outlineLevel="0" collapsed="false">
      <c r="E305" s="140" t="n">
        <v>45</v>
      </c>
      <c r="F305" s="141" t="n">
        <f aca="false">$D$31*E305</f>
        <v>7.56842050105101</v>
      </c>
      <c r="G305" s="142" t="n">
        <f aca="false">$D$169*E305+($D$293+$D$171)</f>
        <v>9.08751006770345</v>
      </c>
    </row>
    <row r="306" customFormat="false" ht="14.25" hidden="false" customHeight="false" outlineLevel="0" collapsed="false">
      <c r="E306" s="137" t="n">
        <v>50</v>
      </c>
      <c r="F306" s="138" t="n">
        <f aca="false">$D$31*E306</f>
        <v>8.4093561122789</v>
      </c>
      <c r="G306" s="139" t="n">
        <f aca="false">$D$169*E306+($D$293+$D$171)</f>
        <v>9.55856405015297</v>
      </c>
    </row>
    <row r="307" customFormat="false" ht="14.25" hidden="false" customHeight="false" outlineLevel="0" collapsed="false">
      <c r="E307" s="137" t="n">
        <v>60</v>
      </c>
      <c r="F307" s="138" t="n">
        <f aca="false">$D$31*E307</f>
        <v>10.0912273347347</v>
      </c>
      <c r="G307" s="139" t="n">
        <f aca="false">$D$169*E307+($D$293+$D$171)</f>
        <v>10.500672015052</v>
      </c>
    </row>
    <row r="308" customFormat="false" ht="14.25" hidden="false" customHeight="false" outlineLevel="0" collapsed="false">
      <c r="E308" s="137" t="n">
        <v>70</v>
      </c>
      <c r="F308" s="138" t="n">
        <f aca="false">$D$31*E308</f>
        <v>11.7730985571905</v>
      </c>
      <c r="G308" s="139" t="n">
        <f aca="false">$D$169*E308+($D$293+$D$171)</f>
        <v>11.4427799799511</v>
      </c>
    </row>
    <row r="309" customFormat="false" ht="14.25" hidden="false" customHeight="false" outlineLevel="0" collapsed="false">
      <c r="E309" s="137" t="n">
        <v>80</v>
      </c>
      <c r="F309" s="138" t="n">
        <f aca="false">$D$31*E309</f>
        <v>13.4549697796462</v>
      </c>
      <c r="G309" s="139" t="n">
        <f aca="false">$D$169*E309+($D$293+$D$171)</f>
        <v>12.3848879448501</v>
      </c>
    </row>
    <row r="310" customFormat="false" ht="14.25" hidden="false" customHeight="false" outlineLevel="0" collapsed="false">
      <c r="E310" s="137" t="n">
        <v>90</v>
      </c>
      <c r="F310" s="138" t="n">
        <f aca="false">$D$31*E310</f>
        <v>15.136841002102</v>
      </c>
      <c r="G310" s="139" t="n">
        <f aca="false">$D$169*E310+($D$293+$D$171)</f>
        <v>13.3269959097491</v>
      </c>
    </row>
    <row r="311" customFormat="false" ht="14.25" hidden="false" customHeight="false" outlineLevel="0" collapsed="false">
      <c r="E311" s="137" t="n">
        <v>100</v>
      </c>
      <c r="F311" s="138" t="n">
        <f aca="false">$D$31*E311</f>
        <v>16.8187122245578</v>
      </c>
      <c r="G311" s="139" t="n">
        <f aca="false">$D$169*E311+($D$293+$D$171)</f>
        <v>14.2691038746482</v>
      </c>
    </row>
    <row r="312" customFormat="false" ht="15" hidden="false" customHeight="false" outlineLevel="0" collapsed="false">
      <c r="E312" s="143" t="n">
        <v>110</v>
      </c>
      <c r="F312" s="144" t="n">
        <f aca="false">$D$31*E312</f>
        <v>18.5005834470136</v>
      </c>
      <c r="G312" s="145" t="n">
        <f aca="false">$D$169*E312+($D$293+$D$171)</f>
        <v>15.2112118395472</v>
      </c>
    </row>
    <row r="316" customFormat="false" ht="14.25" hidden="false" customHeight="false" outlineLevel="0" collapsed="false">
      <c r="G316" s="146"/>
    </row>
    <row r="318" customFormat="false" ht="15" hidden="false" customHeight="false" outlineLevel="0" collapsed="false"/>
    <row r="319" customFormat="false" ht="72" hidden="false" customHeight="false" outlineLevel="0" collapsed="false">
      <c r="E319" s="147" t="s">
        <v>226</v>
      </c>
      <c r="F319" s="148" t="s">
        <v>227</v>
      </c>
      <c r="G319" s="149" t="s">
        <v>228</v>
      </c>
    </row>
    <row r="320" customFormat="false" ht="14.25" hidden="false" customHeight="false" outlineLevel="0" collapsed="false">
      <c r="E320" s="150" t="n">
        <v>0</v>
      </c>
      <c r="F320" s="151" t="n">
        <f aca="false">$D$31*E320</f>
        <v>0</v>
      </c>
      <c r="G320" s="152" t="n">
        <v>9.43173608833751</v>
      </c>
    </row>
    <row r="321" customFormat="false" ht="14.25" hidden="false" customHeight="false" outlineLevel="0" collapsed="false">
      <c r="E321" s="137" t="n">
        <v>10</v>
      </c>
      <c r="F321" s="138" t="n">
        <f aca="false">$D$31*E321</f>
        <v>1.68187122245578</v>
      </c>
      <c r="G321" s="136" t="n">
        <v>10.4995099630732</v>
      </c>
    </row>
    <row r="322" customFormat="false" ht="14.25" hidden="false" customHeight="false" outlineLevel="0" collapsed="false">
      <c r="E322" s="137" t="n">
        <v>15</v>
      </c>
      <c r="F322" s="138" t="n">
        <f aca="false">$D$31*E322</f>
        <v>2.52280683368367</v>
      </c>
      <c r="G322" s="136" t="n">
        <v>11.033396900441</v>
      </c>
    </row>
    <row r="323" customFormat="false" ht="14.25" hidden="false" customHeight="false" outlineLevel="0" collapsed="false">
      <c r="E323" s="137" t="n">
        <v>20</v>
      </c>
      <c r="F323" s="138" t="n">
        <f aca="false">$D$31*E323</f>
        <v>3.36374244491156</v>
      </c>
      <c r="G323" s="136" t="n">
        <v>11.5672838378088</v>
      </c>
    </row>
    <row r="324" customFormat="false" ht="14.25" hidden="false" customHeight="false" outlineLevel="0" collapsed="false">
      <c r="E324" s="137" t="n">
        <v>30</v>
      </c>
      <c r="F324" s="138" t="n">
        <f aca="false">$D$31*E324</f>
        <v>5.04561366736734</v>
      </c>
      <c r="G324" s="136" t="n">
        <v>12.6350577125445</v>
      </c>
    </row>
    <row r="325" customFormat="false" ht="14.25" hidden="false" customHeight="false" outlineLevel="0" collapsed="false">
      <c r="E325" s="137" t="n">
        <v>40</v>
      </c>
      <c r="F325" s="138" t="n">
        <f aca="false">$D$31*E325</f>
        <v>6.72748488982312</v>
      </c>
      <c r="G325" s="136" t="n">
        <v>13.7028315872801</v>
      </c>
    </row>
    <row r="326" customFormat="false" ht="14.25" hidden="false" customHeight="false" outlineLevel="0" collapsed="false">
      <c r="E326" s="137" t="n">
        <v>45</v>
      </c>
      <c r="F326" s="138" t="n">
        <f aca="false">$D$31*E326</f>
        <v>7.56842050105101</v>
      </c>
      <c r="G326" s="136" t="n">
        <v>14.2367185246479</v>
      </c>
    </row>
    <row r="327" customFormat="false" ht="14.25" hidden="false" customHeight="false" outlineLevel="0" collapsed="false">
      <c r="E327" s="137" t="n">
        <v>50</v>
      </c>
      <c r="F327" s="138" t="n">
        <f aca="false">$D$31*E327</f>
        <v>8.4093561122789</v>
      </c>
      <c r="G327" s="136" t="n">
        <v>14.7706054620157</v>
      </c>
    </row>
    <row r="328" customFormat="false" ht="14.25" hidden="false" customHeight="false" outlineLevel="0" collapsed="false">
      <c r="E328" s="137" t="n">
        <v>60</v>
      </c>
      <c r="F328" s="138" t="n">
        <f aca="false">$D$31*E328</f>
        <v>10.0912273347347</v>
      </c>
      <c r="G328" s="136" t="n">
        <v>15.8383793367514</v>
      </c>
    </row>
    <row r="329" customFormat="false" ht="14.25" hidden="false" customHeight="false" outlineLevel="0" collapsed="false">
      <c r="E329" s="137" t="n">
        <v>70</v>
      </c>
      <c r="F329" s="138" t="n">
        <f aca="false">$D$31*E329</f>
        <v>11.7730985571905</v>
      </c>
      <c r="G329" s="136" t="n">
        <v>16.906153211487</v>
      </c>
    </row>
    <row r="330" customFormat="false" ht="14.25" hidden="false" customHeight="false" outlineLevel="0" collapsed="false">
      <c r="E330" s="137" t="n">
        <v>80</v>
      </c>
      <c r="F330" s="138" t="n">
        <f aca="false">$D$31*E330</f>
        <v>13.4549697796462</v>
      </c>
      <c r="G330" s="136" t="n">
        <v>17.9739270862227</v>
      </c>
    </row>
    <row r="331" customFormat="false" ht="14.25" hidden="false" customHeight="false" outlineLevel="0" collapsed="false">
      <c r="E331" s="137" t="n">
        <v>90</v>
      </c>
      <c r="F331" s="138" t="n">
        <f aca="false">$D$31*E331</f>
        <v>15.136841002102</v>
      </c>
      <c r="G331" s="136" t="n">
        <v>19.0417009609583</v>
      </c>
    </row>
    <row r="332" customFormat="false" ht="14.25" hidden="false" customHeight="false" outlineLevel="0" collapsed="false">
      <c r="E332" s="137" t="n">
        <v>100</v>
      </c>
      <c r="F332" s="138" t="n">
        <f aca="false">$D$31*E332</f>
        <v>16.8187122245578</v>
      </c>
      <c r="G332" s="136" t="n">
        <v>20.109474835694</v>
      </c>
    </row>
    <row r="333" customFormat="false" ht="14.25" hidden="false" customHeight="false" outlineLevel="0" collapsed="false">
      <c r="E333" s="137" t="n">
        <v>110</v>
      </c>
      <c r="F333" s="138" t="n">
        <f aca="false">$D$31*E333</f>
        <v>18.5005834470136</v>
      </c>
      <c r="G333" s="139" t="n">
        <v>21.1772487104296</v>
      </c>
    </row>
    <row r="334" customFormat="false" ht="14.25" hidden="false" customHeight="false" outlineLevel="0" collapsed="false">
      <c r="E334" s="137" t="n">
        <v>120</v>
      </c>
      <c r="F334" s="138" t="n">
        <f aca="false">$D$31*E334</f>
        <v>20.1824546694694</v>
      </c>
      <c r="G334" s="139" t="n">
        <v>22.2450225851653</v>
      </c>
    </row>
    <row r="335" customFormat="false" ht="14.25" hidden="false" customHeight="false" outlineLevel="0" collapsed="false">
      <c r="E335" s="137" t="n">
        <v>130</v>
      </c>
      <c r="F335" s="138" t="n">
        <f aca="false">$D$31*E335</f>
        <v>21.8643258919251</v>
      </c>
      <c r="G335" s="139" t="n">
        <v>23.3127964599009</v>
      </c>
    </row>
    <row r="336" customFormat="false" ht="14.25" hidden="false" customHeight="false" outlineLevel="0" collapsed="false">
      <c r="E336" s="140" t="n">
        <v>140</v>
      </c>
      <c r="F336" s="141" t="n">
        <f aca="false">$D$31*E336</f>
        <v>23.5461971143809</v>
      </c>
      <c r="G336" s="142" t="n">
        <v>24.3805703346366</v>
      </c>
    </row>
    <row r="337" customFormat="false" ht="14.25" hidden="false" customHeight="false" outlineLevel="0" collapsed="false">
      <c r="E337" s="137" t="n">
        <v>150</v>
      </c>
      <c r="F337" s="138" t="n">
        <f aca="false">$D$31*E337</f>
        <v>25.2280683368367</v>
      </c>
      <c r="G337" s="139" t="n">
        <v>25.4483442093722</v>
      </c>
    </row>
    <row r="338" customFormat="false" ht="15" hidden="false" customHeight="false" outlineLevel="0" collapsed="false">
      <c r="E338" s="143" t="n">
        <v>160</v>
      </c>
      <c r="F338" s="144" t="n">
        <f aca="false">$D$31*E338</f>
        <v>26.9099395592925</v>
      </c>
      <c r="G338" s="145" t="n">
        <v>26.5161180841079</v>
      </c>
    </row>
    <row r="339" customFormat="false" ht="14.25" hidden="false" customHeight="false" outlineLevel="0" collapsed="false">
      <c r="E339" s="137" t="n">
        <v>170</v>
      </c>
      <c r="F339" s="138" t="n">
        <f aca="false">$D$31*E339</f>
        <v>28.5918107817483</v>
      </c>
      <c r="G339" s="139" t="n">
        <v>27.5838919588435</v>
      </c>
    </row>
    <row r="340" customFormat="false" ht="14.25" hidden="false" customHeight="false" outlineLevel="0" collapsed="false">
      <c r="E340" s="137" t="n">
        <v>180</v>
      </c>
      <c r="F340" s="138" t="n">
        <f aca="false">$D$31*E340</f>
        <v>30.273682004204</v>
      </c>
      <c r="G340" s="139" t="n">
        <v>28.6516658335792</v>
      </c>
    </row>
    <row r="341" customFormat="false" ht="14.25" hidden="false" customHeight="false" outlineLevel="0" collapsed="false">
      <c r="E341" s="137" t="n">
        <v>190</v>
      </c>
      <c r="F341" s="138" t="n">
        <f aca="false">$D$31*E341</f>
        <v>31.9555532266598</v>
      </c>
      <c r="G341" s="139" t="n">
        <v>29.7194397083148</v>
      </c>
    </row>
  </sheetData>
  <mergeCells count="2">
    <mergeCell ref="B138:B141"/>
    <mergeCell ref="B281:B284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3:I25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M8" activeCellId="0" sqref="M8"/>
    </sheetView>
  </sheetViews>
  <sheetFormatPr defaultColWidth="11.42578125" defaultRowHeight="14.25" zeroHeight="false" outlineLevelRow="0" outlineLevelCol="0"/>
  <cols>
    <col collapsed="false" customWidth="false" hidden="false" outlineLevel="0" max="16384" min="1" style="55" width="11.43"/>
  </cols>
  <sheetData>
    <row r="3" customFormat="false" ht="60" hidden="false" customHeight="false" outlineLevel="0" collapsed="false">
      <c r="B3" s="153" t="s">
        <v>229</v>
      </c>
      <c r="C3" s="153" t="s">
        <v>230</v>
      </c>
      <c r="D3" s="153" t="s">
        <v>231</v>
      </c>
      <c r="E3" s="153" t="s">
        <v>232</v>
      </c>
      <c r="F3" s="153" t="s">
        <v>233</v>
      </c>
      <c r="G3" s="153" t="s">
        <v>234</v>
      </c>
      <c r="H3" s="153"/>
    </row>
    <row r="4" customFormat="false" ht="14.25" hidden="false" customHeight="false" outlineLevel="0" collapsed="false">
      <c r="B4" s="154" t="n">
        <v>1</v>
      </c>
      <c r="C4" s="55" t="s">
        <v>235</v>
      </c>
      <c r="D4" s="55" t="n">
        <v>10</v>
      </c>
      <c r="E4" s="55" t="n">
        <v>15</v>
      </c>
      <c r="I4" s="55" t="s">
        <v>236</v>
      </c>
    </row>
    <row r="5" customFormat="false" ht="14.25" hidden="false" customHeight="false" outlineLevel="0" collapsed="false">
      <c r="B5" s="154" t="n">
        <v>2</v>
      </c>
      <c r="C5" s="55" t="s">
        <v>237</v>
      </c>
      <c r="D5" s="55" t="n">
        <v>200</v>
      </c>
      <c r="E5" s="55" t="n">
        <v>216</v>
      </c>
    </row>
    <row r="6" customFormat="false" ht="14.25" hidden="false" customHeight="false" outlineLevel="0" collapsed="false">
      <c r="B6" s="154" t="n">
        <v>3</v>
      </c>
      <c r="C6" s="55" t="s">
        <v>238</v>
      </c>
      <c r="D6" s="55" t="n">
        <v>220</v>
      </c>
      <c r="E6" s="55" t="n">
        <v>269</v>
      </c>
    </row>
    <row r="7" customFormat="false" ht="14.25" hidden="false" customHeight="false" outlineLevel="0" collapsed="false">
      <c r="B7" s="154" t="n">
        <v>4</v>
      </c>
    </row>
    <row r="8" customFormat="false" ht="14.25" hidden="false" customHeight="false" outlineLevel="0" collapsed="false">
      <c r="B8" s="154" t="n">
        <v>5</v>
      </c>
    </row>
    <row r="9" customFormat="false" ht="14.25" hidden="false" customHeight="false" outlineLevel="0" collapsed="false">
      <c r="B9" s="154" t="n">
        <v>6</v>
      </c>
    </row>
    <row r="10" customFormat="false" ht="14.25" hidden="false" customHeight="false" outlineLevel="0" collapsed="false">
      <c r="B10" s="154" t="n">
        <v>7</v>
      </c>
    </row>
    <row r="11" customFormat="false" ht="14.25" hidden="false" customHeight="false" outlineLevel="0" collapsed="false">
      <c r="B11" s="154" t="n">
        <v>8</v>
      </c>
    </row>
    <row r="12" customFormat="false" ht="14.25" hidden="false" customHeight="false" outlineLevel="0" collapsed="false">
      <c r="B12" s="154" t="n">
        <v>9</v>
      </c>
    </row>
    <row r="13" customFormat="false" ht="14.25" hidden="false" customHeight="false" outlineLevel="0" collapsed="false">
      <c r="B13" s="154" t="n">
        <v>10</v>
      </c>
    </row>
    <row r="14" customFormat="false" ht="14.25" hidden="false" customHeight="false" outlineLevel="0" collapsed="false">
      <c r="B14" s="154" t="n">
        <v>11</v>
      </c>
    </row>
    <row r="15" customFormat="false" ht="14.25" hidden="false" customHeight="false" outlineLevel="0" collapsed="false">
      <c r="B15" s="154" t="n">
        <v>12</v>
      </c>
    </row>
    <row r="16" customFormat="false" ht="14.25" hidden="false" customHeight="false" outlineLevel="0" collapsed="false">
      <c r="B16" s="154" t="n">
        <v>13</v>
      </c>
    </row>
    <row r="17" customFormat="false" ht="14.25" hidden="false" customHeight="false" outlineLevel="0" collapsed="false">
      <c r="B17" s="154" t="n">
        <v>14</v>
      </c>
    </row>
    <row r="18" customFormat="false" ht="14.25" hidden="false" customHeight="false" outlineLevel="0" collapsed="false">
      <c r="B18" s="154" t="n">
        <v>15</v>
      </c>
    </row>
    <row r="19" customFormat="false" ht="14.25" hidden="false" customHeight="false" outlineLevel="0" collapsed="false">
      <c r="B19" s="154" t="n">
        <v>16</v>
      </c>
    </row>
    <row r="20" customFormat="false" ht="14.25" hidden="false" customHeight="false" outlineLevel="0" collapsed="false">
      <c r="B20" s="154" t="n">
        <v>17</v>
      </c>
    </row>
    <row r="21" customFormat="false" ht="14.25" hidden="false" customHeight="false" outlineLevel="0" collapsed="false">
      <c r="B21" s="154" t="n">
        <v>18</v>
      </c>
    </row>
    <row r="22" customFormat="false" ht="14.25" hidden="false" customHeight="false" outlineLevel="0" collapsed="false">
      <c r="B22" s="154" t="n">
        <v>19</v>
      </c>
    </row>
    <row r="23" customFormat="false" ht="14.25" hidden="false" customHeight="false" outlineLevel="0" collapsed="false">
      <c r="B23" s="154" t="n">
        <v>20</v>
      </c>
    </row>
    <row r="25" customFormat="false" ht="15" hidden="false" customHeight="false" outlineLevel="0" collapsed="false">
      <c r="A25" s="75" t="s">
        <v>239</v>
      </c>
      <c r="B25" s="75"/>
      <c r="C25" s="75"/>
      <c r="D25" s="75" t="n">
        <f aca="false">SUM(D4:D23)</f>
        <v>430</v>
      </c>
      <c r="E25" s="75" t="n">
        <f aca="false">SUM(E4:E23)</f>
        <v>500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LibreOffice/7.5.1.2$Windows_X86_64 LibreOffice_project/fcbaee479e84c6cd81291587d2ee68cba099e129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>PC</dc:creator>
  <dc:description/>
  <dc:language>es-AR</dc:language>
  <cp:lastModifiedBy/>
  <dcterms:modified xsi:type="dcterms:W3CDTF">2024-01-15T20:22:33Z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