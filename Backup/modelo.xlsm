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"/>
    </mc:Choice>
  </mc:AlternateContent>
  <xr:revisionPtr revIDLastSave="0" documentId="13_ncr:1_{69884222-9EC0-4A51-8305-FAFD313F3C37}" xr6:coauthVersionLast="47" xr6:coauthVersionMax="47" xr10:uidLastSave="{00000000-0000-0000-0000-000000000000}"/>
  <bookViews>
    <workbookView xWindow="-120" yWindow="-120" windowWidth="20730" windowHeight="11160" tabRatio="754" activeTab="5" xr2:uid="{00000000-000D-0000-FFFF-FFFF00000000}"/>
  </bookViews>
  <sheets>
    <sheet name="INPUTS_Generales" sheetId="5" r:id="rId1"/>
    <sheet name="Gen-Cap" sheetId="23" state="hidden" r:id="rId2"/>
    <sheet name="Datos_Loc_ETs" sheetId="20" state="hidden" r:id="rId3"/>
    <sheet name="Datos_ETs_CAs" sheetId="22" state="hidden" r:id="rId4"/>
    <sheet name="Datos_Loc_CAs" sheetId="21" state="hidden" r:id="rId5"/>
    <sheet name="Analisis Inputs Grales" sheetId="24" r:id="rId6"/>
    <sheet name="Analisis 20Años" sheetId="25" r:id="rId7"/>
    <sheet name="Análisis Generación" sheetId="26" r:id="rId8"/>
  </sheets>
  <externalReferences>
    <externalReference r:id="rId9"/>
  </externalReferences>
  <definedNames>
    <definedName name="MIN">INPUTS_Generales!#REF!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0" i="24" l="1"/>
  <c r="G38" i="5"/>
  <c r="K26" i="5"/>
  <c r="K22" i="5"/>
  <c r="G17" i="5"/>
  <c r="F17" i="5"/>
  <c r="G15" i="5"/>
  <c r="F15" i="5"/>
  <c r="G13" i="5"/>
  <c r="F13" i="5"/>
  <c r="G10" i="5"/>
  <c r="F10" i="5"/>
  <c r="G9" i="5"/>
  <c r="F9" i="5"/>
  <c r="F6" i="5"/>
  <c r="F5" i="5"/>
  <c r="G6" i="5"/>
  <c r="G5" i="5"/>
  <c r="G8" i="5"/>
  <c r="G7" i="5"/>
  <c r="F8" i="5"/>
  <c r="F7" i="5"/>
  <c r="G4" i="5"/>
  <c r="F4" i="5"/>
  <c r="D290" i="25" l="1"/>
  <c r="D98" i="24" l="1"/>
  <c r="D289" i="25" s="1"/>
  <c r="D109" i="24"/>
  <c r="D86" i="24"/>
  <c r="D291" i="25" l="1"/>
  <c r="D88" i="24"/>
  <c r="D91" i="24"/>
  <c r="G23" i="5" s="1"/>
  <c r="D114" i="24"/>
  <c r="G27" i="5" s="1"/>
  <c r="D293" i="25" l="1"/>
  <c r="D111" i="24" l="1"/>
  <c r="D112" i="24" s="1"/>
  <c r="D110" i="24"/>
  <c r="D87" i="24"/>
  <c r="D89" i="24"/>
  <c r="D90" i="24" l="1"/>
  <c r="G22" i="5" s="1"/>
  <c r="D113" i="24"/>
  <c r="G26" i="5" s="1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V276" i="25"/>
  <c r="W276" i="25"/>
  <c r="D276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D242" i="25"/>
  <c r="E208" i="25"/>
  <c r="F208" i="25"/>
  <c r="G208" i="25"/>
  <c r="H208" i="25"/>
  <c r="I208" i="25"/>
  <c r="J208" i="25"/>
  <c r="K208" i="25"/>
  <c r="L208" i="25"/>
  <c r="M208" i="25"/>
  <c r="D208" i="25"/>
  <c r="E174" i="25"/>
  <c r="F174" i="25"/>
  <c r="G174" i="25"/>
  <c r="H174" i="25"/>
  <c r="D17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D134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D101" i="25"/>
  <c r="M68" i="25"/>
  <c r="E35" i="25"/>
  <c r="F35" i="25"/>
  <c r="G35" i="25"/>
  <c r="H35" i="25"/>
  <c r="D35" i="25"/>
  <c r="E68" i="25"/>
  <c r="F68" i="25"/>
  <c r="G68" i="25"/>
  <c r="H68" i="25"/>
  <c r="I68" i="25"/>
  <c r="J68" i="25"/>
  <c r="K68" i="25"/>
  <c r="L68" i="25"/>
  <c r="D68" i="25"/>
  <c r="D27" i="24"/>
  <c r="D64" i="24"/>
  <c r="D68" i="24"/>
  <c r="D67" i="24"/>
  <c r="D58" i="24"/>
  <c r="D31" i="24"/>
  <c r="D30" i="24"/>
  <c r="D21" i="24"/>
  <c r="E25" i="26"/>
  <c r="D25" i="26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G14" i="5"/>
  <c r="F14" i="5"/>
  <c r="D13" i="24" l="1"/>
  <c r="L118" i="25"/>
  <c r="L120" i="25" s="1"/>
  <c r="W259" i="25"/>
  <c r="G52" i="25"/>
  <c r="G54" i="25" s="1"/>
  <c r="G56" i="25" s="1"/>
  <c r="G58" i="25" s="1"/>
  <c r="H85" i="25"/>
  <c r="H87" i="25" s="1"/>
  <c r="H89" i="25" s="1"/>
  <c r="J85" i="25"/>
  <c r="F118" i="25"/>
  <c r="Q118" i="25"/>
  <c r="I118" i="25"/>
  <c r="H191" i="25"/>
  <c r="H193" i="25" s="1"/>
  <c r="J118" i="25"/>
  <c r="E19" i="25"/>
  <c r="E21" i="25" s="1"/>
  <c r="E23" i="25" s="1"/>
  <c r="H52" i="25"/>
  <c r="L52" i="25"/>
  <c r="Q85" i="25"/>
  <c r="I85" i="25"/>
  <c r="I87" i="25" s="1"/>
  <c r="G118" i="25"/>
  <c r="G120" i="25" s="1"/>
  <c r="G122" i="25" s="1"/>
  <c r="P118" i="25"/>
  <c r="H118" i="25"/>
  <c r="D22" i="24"/>
  <c r="E259" i="25"/>
  <c r="I259" i="25"/>
  <c r="M259" i="25"/>
  <c r="Q259" i="25"/>
  <c r="U259" i="25"/>
  <c r="G225" i="25"/>
  <c r="K225" i="25"/>
  <c r="O225" i="25"/>
  <c r="F259" i="25"/>
  <c r="J259" i="25"/>
  <c r="N259" i="25"/>
  <c r="R259" i="25"/>
  <c r="V259" i="25"/>
  <c r="H225" i="25"/>
  <c r="L225" i="25"/>
  <c r="P225" i="25"/>
  <c r="G259" i="25"/>
  <c r="H259" i="25"/>
  <c r="H261" i="25" s="1"/>
  <c r="P259" i="25"/>
  <c r="P261" i="25" s="1"/>
  <c r="E225" i="25"/>
  <c r="M225" i="25"/>
  <c r="K259" i="25"/>
  <c r="S259" i="25"/>
  <c r="D259" i="25"/>
  <c r="F225" i="25"/>
  <c r="N225" i="25"/>
  <c r="L259" i="25"/>
  <c r="L261" i="25" s="1"/>
  <c r="T259" i="25"/>
  <c r="I225" i="25"/>
  <c r="Q225" i="25"/>
  <c r="R225" i="25"/>
  <c r="F191" i="25"/>
  <c r="J191" i="25"/>
  <c r="D191" i="25"/>
  <c r="D193" i="25" s="1"/>
  <c r="G191" i="25"/>
  <c r="K191" i="25"/>
  <c r="D225" i="25"/>
  <c r="D227" i="25" s="1"/>
  <c r="I191" i="25"/>
  <c r="G157" i="25"/>
  <c r="G159" i="25" s="1"/>
  <c r="E191" i="25"/>
  <c r="E157" i="25"/>
  <c r="E159" i="25" s="1"/>
  <c r="J225" i="25"/>
  <c r="L191" i="25"/>
  <c r="L193" i="25" s="1"/>
  <c r="H157" i="25"/>
  <c r="O259" i="25"/>
  <c r="M191" i="25"/>
  <c r="D157" i="25"/>
  <c r="D159" i="25" s="1"/>
  <c r="F19" i="25"/>
  <c r="F21" i="25" s="1"/>
  <c r="M52" i="25"/>
  <c r="R85" i="25"/>
  <c r="I52" i="25"/>
  <c r="D85" i="25"/>
  <c r="D87" i="25" s="1"/>
  <c r="D89" i="25" s="1"/>
  <c r="N85" i="25"/>
  <c r="U118" i="25"/>
  <c r="M118" i="25"/>
  <c r="F157" i="25"/>
  <c r="D59" i="24"/>
  <c r="D19" i="25"/>
  <c r="D21" i="25" s="1"/>
  <c r="D23" i="25" s="1"/>
  <c r="D52" i="25"/>
  <c r="D54" i="25" s="1"/>
  <c r="E85" i="25"/>
  <c r="E87" i="25" s="1"/>
  <c r="E89" i="25" s="1"/>
  <c r="M85" i="25"/>
  <c r="M87" i="25" s="1"/>
  <c r="T118" i="25"/>
  <c r="H19" i="25"/>
  <c r="H21" i="25" s="1"/>
  <c r="E52" i="25"/>
  <c r="E54" i="25" s="1"/>
  <c r="E56" i="25" s="1"/>
  <c r="K52" i="25"/>
  <c r="F85" i="25"/>
  <c r="P85" i="25"/>
  <c r="L85" i="25"/>
  <c r="L87" i="25" s="1"/>
  <c r="D118" i="25"/>
  <c r="D120" i="25" s="1"/>
  <c r="D122" i="25" s="1"/>
  <c r="W118" i="25"/>
  <c r="S118" i="25"/>
  <c r="O118" i="25"/>
  <c r="K118" i="25"/>
  <c r="G19" i="25"/>
  <c r="F52" i="25"/>
  <c r="F54" i="25" s="1"/>
  <c r="F56" i="25" s="1"/>
  <c r="F58" i="25" s="1"/>
  <c r="J52" i="25"/>
  <c r="J54" i="25" s="1"/>
  <c r="G85" i="25"/>
  <c r="G87" i="25" s="1"/>
  <c r="O85" i="25"/>
  <c r="K85" i="25"/>
  <c r="E118" i="25"/>
  <c r="E120" i="25" s="1"/>
  <c r="E122" i="25" s="1"/>
  <c r="V118" i="25"/>
  <c r="R118" i="25"/>
  <c r="N118" i="25"/>
  <c r="D65" i="24"/>
  <c r="D50" i="24"/>
  <c r="D28" i="24"/>
  <c r="R79" i="25" l="1"/>
  <c r="D9" i="25"/>
  <c r="G161" i="25"/>
  <c r="G163" i="25" s="1"/>
  <c r="H263" i="25"/>
  <c r="H265" i="25" s="1"/>
  <c r="F13" i="25"/>
  <c r="F14" i="25" s="1"/>
  <c r="N112" i="25"/>
  <c r="N113" i="25" s="1"/>
  <c r="W261" i="25"/>
  <c r="W263" i="25" s="1"/>
  <c r="P263" i="25"/>
  <c r="P264" i="25" s="1"/>
  <c r="P110" i="25"/>
  <c r="P111" i="25" s="1"/>
  <c r="E121" i="25"/>
  <c r="G249" i="25"/>
  <c r="G250" i="25" s="1"/>
  <c r="K249" i="25"/>
  <c r="K250" i="25" s="1"/>
  <c r="O249" i="25"/>
  <c r="O250" i="25" s="1"/>
  <c r="S249" i="25"/>
  <c r="S250" i="25" s="1"/>
  <c r="W249" i="25"/>
  <c r="W250" i="25" s="1"/>
  <c r="E251" i="25"/>
  <c r="E252" i="25" s="1"/>
  <c r="I251" i="25"/>
  <c r="I252" i="25" s="1"/>
  <c r="M251" i="25"/>
  <c r="M252" i="25" s="1"/>
  <c r="Q251" i="25"/>
  <c r="Q252" i="25" s="1"/>
  <c r="U251" i="25"/>
  <c r="U252" i="25" s="1"/>
  <c r="D249" i="25"/>
  <c r="D250" i="25" s="1"/>
  <c r="H249" i="25"/>
  <c r="H250" i="25" s="1"/>
  <c r="L249" i="25"/>
  <c r="L250" i="25" s="1"/>
  <c r="P249" i="25"/>
  <c r="P250" i="25" s="1"/>
  <c r="T249" i="25"/>
  <c r="T250" i="25" s="1"/>
  <c r="F251" i="25"/>
  <c r="F252" i="25" s="1"/>
  <c r="J251" i="25"/>
  <c r="J252" i="25" s="1"/>
  <c r="N251" i="25"/>
  <c r="N252" i="25" s="1"/>
  <c r="R251" i="25"/>
  <c r="R252" i="25" s="1"/>
  <c r="V251" i="25"/>
  <c r="V252" i="25" s="1"/>
  <c r="E249" i="25"/>
  <c r="E250" i="25" s="1"/>
  <c r="I249" i="25"/>
  <c r="I250" i="25" s="1"/>
  <c r="M249" i="25"/>
  <c r="M250" i="25" s="1"/>
  <c r="Q249" i="25"/>
  <c r="Q250" i="25" s="1"/>
  <c r="U249" i="25"/>
  <c r="U250" i="25" s="1"/>
  <c r="G251" i="25"/>
  <c r="G252" i="25" s="1"/>
  <c r="K251" i="25"/>
  <c r="K252" i="25" s="1"/>
  <c r="O251" i="25"/>
  <c r="O252" i="25" s="1"/>
  <c r="S251" i="25"/>
  <c r="S252" i="25" s="1"/>
  <c r="W251" i="25"/>
  <c r="W252" i="25" s="1"/>
  <c r="F249" i="25"/>
  <c r="F250" i="25" s="1"/>
  <c r="V249" i="25"/>
  <c r="V250" i="25" s="1"/>
  <c r="T251" i="25"/>
  <c r="T252" i="25" s="1"/>
  <c r="J249" i="25"/>
  <c r="J250" i="25" s="1"/>
  <c r="H251" i="25"/>
  <c r="H252" i="25" s="1"/>
  <c r="F215" i="25"/>
  <c r="F216" i="25" s="1"/>
  <c r="J215" i="25"/>
  <c r="J216" i="25" s="1"/>
  <c r="N215" i="25"/>
  <c r="N216" i="25" s="1"/>
  <c r="R215" i="25"/>
  <c r="R216" i="25" s="1"/>
  <c r="E217" i="25"/>
  <c r="E218" i="25" s="1"/>
  <c r="N249" i="25"/>
  <c r="N250" i="25" s="1"/>
  <c r="L251" i="25"/>
  <c r="L252" i="25" s="1"/>
  <c r="D251" i="25"/>
  <c r="D252" i="25" s="1"/>
  <c r="G215" i="25"/>
  <c r="G216" i="25" s="1"/>
  <c r="K215" i="25"/>
  <c r="K216" i="25" s="1"/>
  <c r="O215" i="25"/>
  <c r="O216" i="25" s="1"/>
  <c r="P251" i="25"/>
  <c r="P252" i="25" s="1"/>
  <c r="L215" i="25"/>
  <c r="L216" i="25" s="1"/>
  <c r="H217" i="25"/>
  <c r="H218" i="25" s="1"/>
  <c r="L217" i="25"/>
  <c r="L218" i="25" s="1"/>
  <c r="P217" i="25"/>
  <c r="P218" i="25" s="1"/>
  <c r="D217" i="25"/>
  <c r="D218" i="25" s="1"/>
  <c r="G181" i="25"/>
  <c r="G182" i="25" s="1"/>
  <c r="K181" i="25"/>
  <c r="K182" i="25" s="1"/>
  <c r="E183" i="25"/>
  <c r="E184" i="25" s="1"/>
  <c r="I183" i="25"/>
  <c r="I184" i="25" s="1"/>
  <c r="M183" i="25"/>
  <c r="M184" i="25" s="1"/>
  <c r="D183" i="25"/>
  <c r="D184" i="25" s="1"/>
  <c r="E215" i="25"/>
  <c r="E216" i="25" s="1"/>
  <c r="M215" i="25"/>
  <c r="M216" i="25" s="1"/>
  <c r="I217" i="25"/>
  <c r="I218" i="25" s="1"/>
  <c r="M217" i="25"/>
  <c r="M218" i="25" s="1"/>
  <c r="Q217" i="25"/>
  <c r="Q218" i="25" s="1"/>
  <c r="H181" i="25"/>
  <c r="H182" i="25" s="1"/>
  <c r="L181" i="25"/>
  <c r="L182" i="25" s="1"/>
  <c r="F183" i="25"/>
  <c r="F184" i="25" s="1"/>
  <c r="J183" i="25"/>
  <c r="J184" i="25" s="1"/>
  <c r="D181" i="25"/>
  <c r="D182" i="25" s="1"/>
  <c r="P215" i="25"/>
  <c r="P216" i="25" s="1"/>
  <c r="F217" i="25"/>
  <c r="F218" i="25" s="1"/>
  <c r="N217" i="25"/>
  <c r="N218" i="25" s="1"/>
  <c r="J181" i="25"/>
  <c r="J182" i="25" s="1"/>
  <c r="L183" i="25"/>
  <c r="L184" i="25" s="1"/>
  <c r="F149" i="25"/>
  <c r="F150" i="25" s="1"/>
  <c r="E147" i="25"/>
  <c r="E148" i="25" s="1"/>
  <c r="D147" i="25"/>
  <c r="D148" i="25" s="1"/>
  <c r="R249" i="25"/>
  <c r="R250" i="25" s="1"/>
  <c r="H215" i="25"/>
  <c r="H216" i="25" s="1"/>
  <c r="J217" i="25"/>
  <c r="J218" i="25" s="1"/>
  <c r="H183" i="25"/>
  <c r="H184" i="25" s="1"/>
  <c r="Q215" i="25"/>
  <c r="Q216" i="25" s="1"/>
  <c r="G217" i="25"/>
  <c r="G218" i="25" s="1"/>
  <c r="O217" i="25"/>
  <c r="O218" i="25" s="1"/>
  <c r="E181" i="25"/>
  <c r="E182" i="25" s="1"/>
  <c r="M181" i="25"/>
  <c r="M182" i="25" s="1"/>
  <c r="G183" i="25"/>
  <c r="G184" i="25" s="1"/>
  <c r="G149" i="25"/>
  <c r="F147" i="25"/>
  <c r="F148" i="25" s="1"/>
  <c r="R217" i="25"/>
  <c r="R218" i="25" s="1"/>
  <c r="D215" i="25"/>
  <c r="D216" i="25" s="1"/>
  <c r="F181" i="25"/>
  <c r="F182" i="25" s="1"/>
  <c r="E149" i="25"/>
  <c r="E150" i="25" s="1"/>
  <c r="K217" i="25"/>
  <c r="K218" i="25" s="1"/>
  <c r="I181" i="25"/>
  <c r="I182" i="25" s="1"/>
  <c r="H149" i="25"/>
  <c r="H150" i="25" s="1"/>
  <c r="G147" i="25"/>
  <c r="G148" i="25" s="1"/>
  <c r="D149" i="25"/>
  <c r="D150" i="25" s="1"/>
  <c r="H147" i="25"/>
  <c r="H148" i="25" s="1"/>
  <c r="I215" i="25"/>
  <c r="I216" i="25" s="1"/>
  <c r="K183" i="25"/>
  <c r="K184" i="25" s="1"/>
  <c r="F151" i="25"/>
  <c r="T253" i="25"/>
  <c r="Q253" i="25"/>
  <c r="J253" i="25"/>
  <c r="S253" i="25"/>
  <c r="G219" i="25"/>
  <c r="K185" i="25"/>
  <c r="D219" i="25"/>
  <c r="E219" i="25"/>
  <c r="Q219" i="25"/>
  <c r="I185" i="25"/>
  <c r="D151" i="25"/>
  <c r="J219" i="25"/>
  <c r="H260" i="25"/>
  <c r="W260" i="25"/>
  <c r="D185" i="25"/>
  <c r="L253" i="25"/>
  <c r="D253" i="25"/>
  <c r="W253" i="25"/>
  <c r="L219" i="25"/>
  <c r="F185" i="25"/>
  <c r="E185" i="25"/>
  <c r="H262" i="25"/>
  <c r="H253" i="25"/>
  <c r="E253" i="25"/>
  <c r="U253" i="25"/>
  <c r="N253" i="25"/>
  <c r="G253" i="25"/>
  <c r="K219" i="25"/>
  <c r="H219" i="25"/>
  <c r="H185" i="25"/>
  <c r="M219" i="25"/>
  <c r="E151" i="25"/>
  <c r="H151" i="25"/>
  <c r="I253" i="25"/>
  <c r="R253" i="25"/>
  <c r="O219" i="25"/>
  <c r="L185" i="25"/>
  <c r="F219" i="25"/>
  <c r="I219" i="25"/>
  <c r="P262" i="25"/>
  <c r="P260" i="25"/>
  <c r="V253" i="25"/>
  <c r="H53" i="25"/>
  <c r="H54" i="25"/>
  <c r="H55" i="25" s="1"/>
  <c r="I108" i="25"/>
  <c r="I109" i="25" s="1"/>
  <c r="M108" i="25"/>
  <c r="M109" i="25" s="1"/>
  <c r="Q108" i="25"/>
  <c r="Q109" i="25" s="1"/>
  <c r="U108" i="25"/>
  <c r="U109" i="25" s="1"/>
  <c r="E108" i="25"/>
  <c r="E109" i="25" s="1"/>
  <c r="J75" i="25"/>
  <c r="J76" i="25" s="1"/>
  <c r="N75" i="25"/>
  <c r="N76" i="25" s="1"/>
  <c r="R75" i="25"/>
  <c r="R76" i="25" s="1"/>
  <c r="F75" i="25"/>
  <c r="F76" i="25" s="1"/>
  <c r="L42" i="25"/>
  <c r="L43" i="25" s="1"/>
  <c r="E42" i="25"/>
  <c r="E43" i="25" s="1"/>
  <c r="E9" i="25"/>
  <c r="E10" i="25" s="1"/>
  <c r="D10" i="25"/>
  <c r="J108" i="25"/>
  <c r="J109" i="25" s="1"/>
  <c r="N108" i="25"/>
  <c r="N109" i="25" s="1"/>
  <c r="R108" i="25"/>
  <c r="R109" i="25" s="1"/>
  <c r="V108" i="25"/>
  <c r="V109" i="25" s="1"/>
  <c r="D108" i="25"/>
  <c r="D109" i="25" s="1"/>
  <c r="K75" i="25"/>
  <c r="K76" i="25" s="1"/>
  <c r="O75" i="25"/>
  <c r="O76" i="25" s="1"/>
  <c r="E75" i="25"/>
  <c r="E76" i="25" s="1"/>
  <c r="I42" i="25"/>
  <c r="I43" i="25" s="1"/>
  <c r="M42" i="25"/>
  <c r="M43" i="25" s="1"/>
  <c r="H42" i="25"/>
  <c r="H43" i="25" s="1"/>
  <c r="D42" i="25"/>
  <c r="D43" i="25" s="1"/>
  <c r="F9" i="25"/>
  <c r="F10" i="25" s="1"/>
  <c r="O108" i="25"/>
  <c r="O109" i="25" s="1"/>
  <c r="W108" i="25"/>
  <c r="W109" i="25" s="1"/>
  <c r="J110" i="25"/>
  <c r="J111" i="25" s="1"/>
  <c r="R110" i="25"/>
  <c r="R111" i="25" s="1"/>
  <c r="G108" i="25"/>
  <c r="G109" i="25" s="1"/>
  <c r="L75" i="25"/>
  <c r="L76" i="25" s="1"/>
  <c r="O77" i="25"/>
  <c r="O78" i="25" s="1"/>
  <c r="G77" i="25"/>
  <c r="G78" i="25" s="1"/>
  <c r="D75" i="25"/>
  <c r="D76" i="25" s="1"/>
  <c r="G11" i="25"/>
  <c r="G12" i="25" s="1"/>
  <c r="G42" i="25"/>
  <c r="G43" i="25" s="1"/>
  <c r="G9" i="25"/>
  <c r="G10" i="25" s="1"/>
  <c r="H9" i="25"/>
  <c r="H10" i="25" s="1"/>
  <c r="L77" i="25"/>
  <c r="L78" i="25" s="1"/>
  <c r="K44" i="25"/>
  <c r="K45" i="25" s="1"/>
  <c r="H108" i="25"/>
  <c r="H109" i="25" s="1"/>
  <c r="P108" i="25"/>
  <c r="P109" i="25" s="1"/>
  <c r="K110" i="25"/>
  <c r="S110" i="25"/>
  <c r="S111" i="25" s="1"/>
  <c r="F108" i="25"/>
  <c r="F109" i="25" s="1"/>
  <c r="M75" i="25"/>
  <c r="M76" i="25" s="1"/>
  <c r="P77" i="25"/>
  <c r="P78" i="25" s="1"/>
  <c r="F77" i="25"/>
  <c r="F78" i="25" s="1"/>
  <c r="H11" i="25"/>
  <c r="H12" i="25" s="1"/>
  <c r="F42" i="25"/>
  <c r="F43" i="25" s="1"/>
  <c r="F110" i="25"/>
  <c r="F111" i="25" s="1"/>
  <c r="Q75" i="25"/>
  <c r="Q76" i="25" s="1"/>
  <c r="E44" i="25"/>
  <c r="E45" i="25" s="1"/>
  <c r="K108" i="25"/>
  <c r="K109" i="25" s="1"/>
  <c r="S108" i="25"/>
  <c r="S109" i="25" s="1"/>
  <c r="N110" i="25"/>
  <c r="N111" i="25" s="1"/>
  <c r="V110" i="25"/>
  <c r="V111" i="25" s="1"/>
  <c r="G110" i="25"/>
  <c r="G111" i="25" s="1"/>
  <c r="P75" i="25"/>
  <c r="P76" i="25" s="1"/>
  <c r="K77" i="25"/>
  <c r="K78" i="25" s="1"/>
  <c r="H75" i="25"/>
  <c r="H76" i="25" s="1"/>
  <c r="J42" i="25"/>
  <c r="J43" i="25" s="1"/>
  <c r="J44" i="25"/>
  <c r="J45" i="25" s="1"/>
  <c r="F44" i="25"/>
  <c r="F45" i="25" s="1"/>
  <c r="L108" i="25"/>
  <c r="L109" i="25" s="1"/>
  <c r="T108" i="25"/>
  <c r="T109" i="25" s="1"/>
  <c r="O110" i="25"/>
  <c r="W110" i="25"/>
  <c r="W111" i="25" s="1"/>
  <c r="I75" i="25"/>
  <c r="I76" i="25" s="1"/>
  <c r="G75" i="25"/>
  <c r="G76" i="25" s="1"/>
  <c r="K42" i="25"/>
  <c r="K43" i="25" s="1"/>
  <c r="M112" i="25"/>
  <c r="H13" i="25"/>
  <c r="K46" i="25"/>
  <c r="O112" i="25"/>
  <c r="O113" i="25" s="1"/>
  <c r="L79" i="25"/>
  <c r="I46" i="25"/>
  <c r="H112" i="25"/>
  <c r="D112" i="25"/>
  <c r="G79" i="25"/>
  <c r="L46" i="25"/>
  <c r="F112" i="25"/>
  <c r="J112" i="25"/>
  <c r="J79" i="25"/>
  <c r="Q112" i="25"/>
  <c r="F11" i="25"/>
  <c r="F12" i="25" s="1"/>
  <c r="R77" i="25"/>
  <c r="R78" i="25" s="1"/>
  <c r="Q110" i="25"/>
  <c r="Q111" i="25" s="1"/>
  <c r="L44" i="25"/>
  <c r="L45" i="25" s="1"/>
  <c r="Q77" i="25"/>
  <c r="Q78" i="25" s="1"/>
  <c r="L110" i="25"/>
  <c r="L111" i="25" s="1"/>
  <c r="I86" i="25"/>
  <c r="H88" i="25"/>
  <c r="H86" i="25"/>
  <c r="G53" i="25"/>
  <c r="D20" i="25"/>
  <c r="V112" i="25"/>
  <c r="H110" i="25"/>
  <c r="H111" i="25" s="1"/>
  <c r="F79" i="25"/>
  <c r="W112" i="25"/>
  <c r="G46" i="25"/>
  <c r="M79" i="25"/>
  <c r="E79" i="25"/>
  <c r="K79" i="25"/>
  <c r="G112" i="25"/>
  <c r="D44" i="25"/>
  <c r="D45" i="25" s="1"/>
  <c r="I77" i="25"/>
  <c r="I78" i="25" s="1"/>
  <c r="T110" i="25"/>
  <c r="T111" i="25" s="1"/>
  <c r="D121" i="25"/>
  <c r="G119" i="25"/>
  <c r="D88" i="25"/>
  <c r="E86" i="25"/>
  <c r="G57" i="25"/>
  <c r="L119" i="25"/>
  <c r="U112" i="25"/>
  <c r="U113" i="25" s="1"/>
  <c r="S112" i="25"/>
  <c r="P79" i="25"/>
  <c r="M46" i="25"/>
  <c r="L112" i="25"/>
  <c r="I79" i="25"/>
  <c r="J46" i="25"/>
  <c r="D13" i="25"/>
  <c r="I112" i="25"/>
  <c r="G44" i="25"/>
  <c r="G45" i="25" s="1"/>
  <c r="D77" i="25"/>
  <c r="D78" i="25" s="1"/>
  <c r="N77" i="25"/>
  <c r="N78" i="25" s="1"/>
  <c r="D110" i="25"/>
  <c r="D111" i="25" s="1"/>
  <c r="M110" i="25"/>
  <c r="M111" i="25" s="1"/>
  <c r="E11" i="25"/>
  <c r="E12" i="25" s="1"/>
  <c r="M77" i="25"/>
  <c r="M78" i="25" s="1"/>
  <c r="E110" i="25"/>
  <c r="E111" i="25" s="1"/>
  <c r="E20" i="25"/>
  <c r="E46" i="25"/>
  <c r="H79" i="25"/>
  <c r="P112" i="25"/>
  <c r="F46" i="25"/>
  <c r="E13" i="25"/>
  <c r="M44" i="25"/>
  <c r="M45" i="25" s="1"/>
  <c r="H77" i="25"/>
  <c r="H78" i="25" s="1"/>
  <c r="J77" i="25"/>
  <c r="J78" i="25" s="1"/>
  <c r="I110" i="25"/>
  <c r="I111" i="25" s="1"/>
  <c r="E77" i="25"/>
  <c r="E78" i="25" s="1"/>
  <c r="M86" i="25"/>
  <c r="E119" i="25"/>
  <c r="E22" i="25"/>
  <c r="D22" i="25"/>
  <c r="D160" i="25"/>
  <c r="I44" i="25"/>
  <c r="I45" i="25" s="1"/>
  <c r="E88" i="25"/>
  <c r="P219" i="25"/>
  <c r="M185" i="25"/>
  <c r="H46" i="25"/>
  <c r="H158" i="25"/>
  <c r="H159" i="25"/>
  <c r="H160" i="25" s="1"/>
  <c r="F192" i="25"/>
  <c r="F193" i="25"/>
  <c r="F194" i="25" s="1"/>
  <c r="D261" i="25"/>
  <c r="D262" i="25" s="1"/>
  <c r="D260" i="25"/>
  <c r="R260" i="25"/>
  <c r="R261" i="25"/>
  <c r="Q261" i="25"/>
  <c r="Q262" i="25" s="1"/>
  <c r="Q260" i="25"/>
  <c r="D79" i="25"/>
  <c r="L86" i="25"/>
  <c r="L260" i="25"/>
  <c r="O86" i="25"/>
  <c r="O87" i="25"/>
  <c r="P87" i="25"/>
  <c r="P88" i="25" s="1"/>
  <c r="P86" i="25"/>
  <c r="D11" i="25"/>
  <c r="D12" i="25" s="1"/>
  <c r="T119" i="25"/>
  <c r="T120" i="25"/>
  <c r="N219" i="25"/>
  <c r="G185" i="25"/>
  <c r="M253" i="25"/>
  <c r="N86" i="25"/>
  <c r="N87" i="25"/>
  <c r="L262" i="25"/>
  <c r="Q79" i="25"/>
  <c r="E112" i="25"/>
  <c r="P119" i="25"/>
  <c r="P120" i="25"/>
  <c r="N79" i="25"/>
  <c r="J119" i="25"/>
  <c r="J120" i="25"/>
  <c r="R219" i="25"/>
  <c r="R80" i="25"/>
  <c r="O253" i="25"/>
  <c r="G55" i="25"/>
  <c r="H44" i="25"/>
  <c r="H45" i="25" s="1"/>
  <c r="J185" i="25"/>
  <c r="F253" i="25"/>
  <c r="F20" i="25"/>
  <c r="E192" i="25"/>
  <c r="E193" i="25"/>
  <c r="E194" i="25" s="1"/>
  <c r="K192" i="25"/>
  <c r="K193" i="25"/>
  <c r="K194" i="25" s="1"/>
  <c r="T261" i="25"/>
  <c r="T262" i="25" s="1"/>
  <c r="T260" i="25"/>
  <c r="E226" i="25"/>
  <c r="E227" i="25"/>
  <c r="E228" i="25" s="1"/>
  <c r="P226" i="25"/>
  <c r="P227" i="25"/>
  <c r="P228" i="25" s="1"/>
  <c r="O227" i="25"/>
  <c r="O228" i="25" s="1"/>
  <c r="O226" i="25"/>
  <c r="G13" i="25"/>
  <c r="E55" i="25"/>
  <c r="D86" i="25"/>
  <c r="G86" i="25"/>
  <c r="D161" i="25"/>
  <c r="D163" i="25" s="1"/>
  <c r="D164" i="25" s="1"/>
  <c r="V119" i="25"/>
  <c r="V120" i="25"/>
  <c r="G89" i="25"/>
  <c r="G91" i="25" s="1"/>
  <c r="G88" i="25"/>
  <c r="G20" i="25"/>
  <c r="G21" i="25"/>
  <c r="G23" i="25" s="1"/>
  <c r="G24" i="25" s="1"/>
  <c r="U110" i="25"/>
  <c r="W119" i="25"/>
  <c r="W120" i="25"/>
  <c r="F86" i="25"/>
  <c r="F87" i="25"/>
  <c r="F89" i="25" s="1"/>
  <c r="G151" i="25"/>
  <c r="G152" i="25" s="1"/>
  <c r="K253" i="25"/>
  <c r="P253" i="25"/>
  <c r="R112" i="25"/>
  <c r="O79" i="25"/>
  <c r="T112" i="25"/>
  <c r="K112" i="25"/>
  <c r="K113" i="25" s="1"/>
  <c r="G121" i="25"/>
  <c r="F120" i="25"/>
  <c r="F119" i="25"/>
  <c r="D46" i="25"/>
  <c r="H22" i="25"/>
  <c r="M119" i="25"/>
  <c r="M120" i="25"/>
  <c r="D158" i="25"/>
  <c r="L192" i="25"/>
  <c r="G192" i="25"/>
  <c r="G193" i="25"/>
  <c r="G194" i="25" s="1"/>
  <c r="N260" i="25"/>
  <c r="N261" i="25"/>
  <c r="K227" i="25"/>
  <c r="K228" i="25" s="1"/>
  <c r="K226" i="25"/>
  <c r="J86" i="25"/>
  <c r="J87" i="25"/>
  <c r="L121" i="25"/>
  <c r="L122" i="25"/>
  <c r="G158" i="25"/>
  <c r="L263" i="25"/>
  <c r="L264" i="25" s="1"/>
  <c r="N119" i="25"/>
  <c r="N120" i="25"/>
  <c r="J53" i="25"/>
  <c r="O119" i="25"/>
  <c r="O120" i="25"/>
  <c r="H20" i="25"/>
  <c r="D53" i="25"/>
  <c r="F158" i="25"/>
  <c r="F159" i="25"/>
  <c r="F160" i="25" s="1"/>
  <c r="U119" i="25"/>
  <c r="U120" i="25"/>
  <c r="M54" i="25"/>
  <c r="M53" i="25"/>
  <c r="M192" i="25"/>
  <c r="M193" i="25"/>
  <c r="M194" i="25" s="1"/>
  <c r="J226" i="25"/>
  <c r="J227" i="25"/>
  <c r="J228" i="25" s="1"/>
  <c r="I193" i="25"/>
  <c r="I194" i="25" s="1"/>
  <c r="I192" i="25"/>
  <c r="D192" i="25"/>
  <c r="Q226" i="25"/>
  <c r="Q227" i="25"/>
  <c r="Q228" i="25" s="1"/>
  <c r="N226" i="25"/>
  <c r="N227" i="25"/>
  <c r="N228" i="25" s="1"/>
  <c r="K261" i="25"/>
  <c r="K262" i="25" s="1"/>
  <c r="K260" i="25"/>
  <c r="H226" i="25"/>
  <c r="H227" i="25"/>
  <c r="H228" i="25" s="1"/>
  <c r="J260" i="25"/>
  <c r="J261" i="25"/>
  <c r="G227" i="25"/>
  <c r="G228" i="25" s="1"/>
  <c r="G226" i="25"/>
  <c r="I261" i="25"/>
  <c r="I262" i="25" s="1"/>
  <c r="I260" i="25"/>
  <c r="L54" i="25"/>
  <c r="L53" i="25"/>
  <c r="H192" i="25"/>
  <c r="I119" i="25"/>
  <c r="I120" i="25"/>
  <c r="K119" i="25"/>
  <c r="K120" i="25"/>
  <c r="G160" i="25"/>
  <c r="R227" i="25"/>
  <c r="R228" i="25" s="1"/>
  <c r="R226" i="25"/>
  <c r="S261" i="25"/>
  <c r="S262" i="25" s="1"/>
  <c r="S260" i="25"/>
  <c r="L227" i="25"/>
  <c r="L228" i="25" s="1"/>
  <c r="L226" i="25"/>
  <c r="M260" i="25"/>
  <c r="M261" i="25"/>
  <c r="M262" i="25" s="1"/>
  <c r="E53" i="25"/>
  <c r="D119" i="25"/>
  <c r="E160" i="25"/>
  <c r="D194" i="25"/>
  <c r="D228" i="25"/>
  <c r="R119" i="25"/>
  <c r="R120" i="25"/>
  <c r="K87" i="25"/>
  <c r="K86" i="25"/>
  <c r="F53" i="25"/>
  <c r="S119" i="25"/>
  <c r="S120" i="25"/>
  <c r="K54" i="25"/>
  <c r="K53" i="25"/>
  <c r="I54" i="25"/>
  <c r="I53" i="25"/>
  <c r="R86" i="25"/>
  <c r="R87" i="25"/>
  <c r="O260" i="25"/>
  <c r="O261" i="25"/>
  <c r="O262" i="25" s="1"/>
  <c r="E158" i="25"/>
  <c r="D226" i="25"/>
  <c r="J192" i="25"/>
  <c r="J193" i="25"/>
  <c r="I226" i="25"/>
  <c r="I227" i="25"/>
  <c r="I228" i="25" s="1"/>
  <c r="F226" i="25"/>
  <c r="F227" i="25"/>
  <c r="F228" i="25" s="1"/>
  <c r="M226" i="25"/>
  <c r="M227" i="25"/>
  <c r="M228" i="25" s="1"/>
  <c r="G261" i="25"/>
  <c r="G262" i="25" s="1"/>
  <c r="G260" i="25"/>
  <c r="V260" i="25"/>
  <c r="V261" i="25"/>
  <c r="F260" i="25"/>
  <c r="F261" i="25"/>
  <c r="U260" i="25"/>
  <c r="U261" i="25"/>
  <c r="U262" i="25" s="1"/>
  <c r="E260" i="25"/>
  <c r="E261" i="25"/>
  <c r="E262" i="25" s="1"/>
  <c r="H119" i="25"/>
  <c r="H120" i="25"/>
  <c r="Q87" i="25"/>
  <c r="Q86" i="25"/>
  <c r="Q120" i="25"/>
  <c r="Q119" i="25"/>
  <c r="D229" i="25"/>
  <c r="L194" i="25"/>
  <c r="L195" i="25"/>
  <c r="H194" i="25"/>
  <c r="H195" i="25"/>
  <c r="D195" i="25"/>
  <c r="G162" i="25"/>
  <c r="E161" i="25"/>
  <c r="M89" i="25"/>
  <c r="M88" i="25"/>
  <c r="L88" i="25"/>
  <c r="L89" i="25"/>
  <c r="I88" i="25"/>
  <c r="I89" i="25"/>
  <c r="G124" i="25"/>
  <c r="G123" i="25"/>
  <c r="D124" i="25"/>
  <c r="D123" i="25"/>
  <c r="E124" i="25"/>
  <c r="E123" i="25"/>
  <c r="E91" i="25"/>
  <c r="E90" i="25"/>
  <c r="D91" i="25"/>
  <c r="D90" i="25"/>
  <c r="H91" i="25"/>
  <c r="H90" i="25"/>
  <c r="J56" i="25"/>
  <c r="J55" i="25"/>
  <c r="F57" i="25"/>
  <c r="F55" i="25"/>
  <c r="D55" i="25"/>
  <c r="D56" i="25"/>
  <c r="E58" i="25"/>
  <c r="E57" i="25"/>
  <c r="H23" i="25"/>
  <c r="H24" i="25" s="1"/>
  <c r="E25" i="25"/>
  <c r="E24" i="25"/>
  <c r="D25" i="25"/>
  <c r="D24" i="25"/>
  <c r="F23" i="25"/>
  <c r="F22" i="25"/>
  <c r="G25" i="25" l="1"/>
  <c r="H264" i="25"/>
  <c r="K195" i="25"/>
  <c r="K196" i="25" s="1"/>
  <c r="Q229" i="25"/>
  <c r="Q231" i="25" s="1"/>
  <c r="Q232" i="25" s="1"/>
  <c r="F16" i="25"/>
  <c r="T263" i="25"/>
  <c r="T265" i="25" s="1"/>
  <c r="T266" i="25" s="1"/>
  <c r="P265" i="25"/>
  <c r="P266" i="25" s="1"/>
  <c r="E92" i="25"/>
  <c r="N115" i="25"/>
  <c r="G22" i="25"/>
  <c r="G26" i="25" s="1"/>
  <c r="W262" i="25"/>
  <c r="W265" i="25"/>
  <c r="W266" i="25" s="1"/>
  <c r="W264" i="25"/>
  <c r="H92" i="25"/>
  <c r="F161" i="25"/>
  <c r="F162" i="25" s="1"/>
  <c r="R82" i="25"/>
  <c r="F195" i="25"/>
  <c r="F196" i="25" s="1"/>
  <c r="D263" i="25"/>
  <c r="D265" i="25" s="1"/>
  <c r="D266" i="25" s="1"/>
  <c r="E263" i="25"/>
  <c r="E264" i="25" s="1"/>
  <c r="H229" i="25"/>
  <c r="H231" i="25" s="1"/>
  <c r="H232" i="25" s="1"/>
  <c r="G90" i="25"/>
  <c r="G92" i="25" s="1"/>
  <c r="L265" i="25"/>
  <c r="L266" i="25" s="1"/>
  <c r="E26" i="25"/>
  <c r="F88" i="25"/>
  <c r="D92" i="25"/>
  <c r="E125" i="25"/>
  <c r="G125" i="25"/>
  <c r="D162" i="25"/>
  <c r="S263" i="25"/>
  <c r="S264" i="25" s="1"/>
  <c r="R229" i="25"/>
  <c r="R230" i="25" s="1"/>
  <c r="G195" i="25"/>
  <c r="G196" i="25" s="1"/>
  <c r="U263" i="25"/>
  <c r="U264" i="25" s="1"/>
  <c r="H56" i="25"/>
  <c r="H57" i="25" s="1"/>
  <c r="H59" i="25" s="1"/>
  <c r="G59" i="25"/>
  <c r="H26" i="25"/>
  <c r="F229" i="25"/>
  <c r="F230" i="25" s="1"/>
  <c r="I229" i="25"/>
  <c r="I231" i="25" s="1"/>
  <c r="I232" i="25" s="1"/>
  <c r="L229" i="25"/>
  <c r="L230" i="25" s="1"/>
  <c r="I263" i="25"/>
  <c r="I264" i="25" s="1"/>
  <c r="N229" i="25"/>
  <c r="N230" i="25" s="1"/>
  <c r="E195" i="25"/>
  <c r="E196" i="25" s="1"/>
  <c r="H161" i="25"/>
  <c r="P229" i="25"/>
  <c r="P230" i="25" s="1"/>
  <c r="R81" i="25"/>
  <c r="N114" i="25"/>
  <c r="D14" i="25"/>
  <c r="D16" i="25" s="1"/>
  <c r="D15" i="25"/>
  <c r="D28" i="25" s="1"/>
  <c r="D31" i="25" s="1"/>
  <c r="D33" i="25" s="1"/>
  <c r="M80" i="25"/>
  <c r="M82" i="25" s="1"/>
  <c r="M81" i="25"/>
  <c r="F114" i="25"/>
  <c r="F113" i="25"/>
  <c r="F115" i="25" s="1"/>
  <c r="K48" i="25"/>
  <c r="K47" i="25"/>
  <c r="K49" i="25" s="1"/>
  <c r="R255" i="25"/>
  <c r="R254" i="25"/>
  <c r="G255" i="25"/>
  <c r="G254" i="25"/>
  <c r="L220" i="25"/>
  <c r="L221" i="25"/>
  <c r="D153" i="25"/>
  <c r="D166" i="25" s="1"/>
  <c r="D152" i="25"/>
  <c r="J254" i="25"/>
  <c r="J255" i="25"/>
  <c r="P89" i="25"/>
  <c r="P90" i="25" s="1"/>
  <c r="P92" i="25" s="1"/>
  <c r="H121" i="25"/>
  <c r="H122" i="25"/>
  <c r="F263" i="25"/>
  <c r="F262" i="25"/>
  <c r="M229" i="25"/>
  <c r="J194" i="25"/>
  <c r="J195" i="25"/>
  <c r="J229" i="25"/>
  <c r="F122" i="25"/>
  <c r="F121" i="25"/>
  <c r="O80" i="25"/>
  <c r="O82" i="25" s="1"/>
  <c r="O81" i="25"/>
  <c r="F255" i="25"/>
  <c r="F254" i="25"/>
  <c r="N80" i="25"/>
  <c r="N82" i="25" s="1"/>
  <c r="N81" i="25"/>
  <c r="J47" i="25"/>
  <c r="J49" i="25" s="1"/>
  <c r="J48" i="25"/>
  <c r="G114" i="25"/>
  <c r="G127" i="25" s="1"/>
  <c r="G113" i="25"/>
  <c r="G115" i="25" s="1"/>
  <c r="V113" i="25"/>
  <c r="V115" i="25" s="1"/>
  <c r="V114" i="25"/>
  <c r="Q113" i="25"/>
  <c r="Q115" i="25" s="1"/>
  <c r="Q114" i="25"/>
  <c r="I48" i="25"/>
  <c r="I47" i="25"/>
  <c r="I49" i="25" s="1"/>
  <c r="H14" i="25"/>
  <c r="H16" i="25" s="1"/>
  <c r="H15" i="25"/>
  <c r="V255" i="25"/>
  <c r="V254" i="25"/>
  <c r="F221" i="25"/>
  <c r="F220" i="25"/>
  <c r="I255" i="25"/>
  <c r="I254" i="25"/>
  <c r="H186" i="25"/>
  <c r="H187" i="25"/>
  <c r="N255" i="25"/>
  <c r="N254" i="25"/>
  <c r="W255" i="25"/>
  <c r="W254" i="25"/>
  <c r="K187" i="25"/>
  <c r="K186" i="25"/>
  <c r="Q255" i="25"/>
  <c r="Q254" i="25"/>
  <c r="G153" i="25"/>
  <c r="G166" i="25" s="1"/>
  <c r="G150" i="25"/>
  <c r="V263" i="25"/>
  <c r="V262" i="25"/>
  <c r="Q88" i="25"/>
  <c r="Q89" i="25"/>
  <c r="R89" i="25"/>
  <c r="R88" i="25"/>
  <c r="U121" i="25"/>
  <c r="U122" i="25"/>
  <c r="J89" i="25"/>
  <c r="J88" i="25"/>
  <c r="M121" i="25"/>
  <c r="M122" i="25"/>
  <c r="T113" i="25"/>
  <c r="T115" i="25" s="1"/>
  <c r="T114" i="25"/>
  <c r="K255" i="25"/>
  <c r="K254" i="25"/>
  <c r="W121" i="25"/>
  <c r="W122" i="25"/>
  <c r="E113" i="25"/>
  <c r="E115" i="25" s="1"/>
  <c r="E114" i="25"/>
  <c r="E127" i="25" s="1"/>
  <c r="T121" i="25"/>
  <c r="T122" i="25"/>
  <c r="P220" i="25"/>
  <c r="P221" i="25"/>
  <c r="H81" i="25"/>
  <c r="H94" i="25" s="1"/>
  <c r="H97" i="25" s="1"/>
  <c r="H80" i="25"/>
  <c r="H82" i="25" s="1"/>
  <c r="M48" i="25"/>
  <c r="M47" i="25"/>
  <c r="M49" i="25" s="1"/>
  <c r="H113" i="25"/>
  <c r="H115" i="25" s="1"/>
  <c r="H114" i="25"/>
  <c r="I220" i="25"/>
  <c r="I221" i="25"/>
  <c r="M221" i="25"/>
  <c r="M220" i="25"/>
  <c r="H255" i="25"/>
  <c r="H268" i="25" s="1"/>
  <c r="H254" i="25"/>
  <c r="D186" i="25"/>
  <c r="D187" i="25"/>
  <c r="D220" i="25"/>
  <c r="D221" i="25"/>
  <c r="D26" i="25"/>
  <c r="E59" i="25"/>
  <c r="D125" i="25"/>
  <c r="K56" i="25"/>
  <c r="K55" i="25"/>
  <c r="N263" i="25"/>
  <c r="N262" i="25"/>
  <c r="G14" i="25"/>
  <c r="G16" i="25" s="1"/>
  <c r="G15" i="25"/>
  <c r="E229" i="25"/>
  <c r="Q81" i="25"/>
  <c r="Q80" i="25"/>
  <c r="Q82" i="25" s="1"/>
  <c r="M255" i="25"/>
  <c r="M254" i="25"/>
  <c r="O88" i="25"/>
  <c r="O89" i="25"/>
  <c r="E15" i="25"/>
  <c r="E28" i="25" s="1"/>
  <c r="E14" i="25"/>
  <c r="E16" i="25" s="1"/>
  <c r="E48" i="25"/>
  <c r="E61" i="25" s="1"/>
  <c r="E47" i="25"/>
  <c r="E49" i="25" s="1"/>
  <c r="P80" i="25"/>
  <c r="P82" i="25" s="1"/>
  <c r="P81" i="25"/>
  <c r="G47" i="25"/>
  <c r="G49" i="25" s="1"/>
  <c r="G48" i="25"/>
  <c r="G61" i="25" s="1"/>
  <c r="L47" i="25"/>
  <c r="L49" i="25" s="1"/>
  <c r="L48" i="25"/>
  <c r="I186" i="25"/>
  <c r="I187" i="25"/>
  <c r="Q121" i="25"/>
  <c r="Q122" i="25"/>
  <c r="G263" i="25"/>
  <c r="S121" i="25"/>
  <c r="S122" i="25"/>
  <c r="K88" i="25"/>
  <c r="K89" i="25"/>
  <c r="M263" i="25"/>
  <c r="J263" i="25"/>
  <c r="J262" i="25"/>
  <c r="I195" i="25"/>
  <c r="N121" i="25"/>
  <c r="N122" i="25"/>
  <c r="L123" i="25"/>
  <c r="L125" i="25" s="1"/>
  <c r="L124" i="25"/>
  <c r="K229" i="25"/>
  <c r="R113" i="25"/>
  <c r="R115" i="25" s="1"/>
  <c r="R114" i="25"/>
  <c r="U114" i="25"/>
  <c r="U111" i="25"/>
  <c r="U115" i="25" s="1"/>
  <c r="O229" i="25"/>
  <c r="J186" i="25"/>
  <c r="J187" i="25"/>
  <c r="R221" i="25"/>
  <c r="R220" i="25"/>
  <c r="P121" i="25"/>
  <c r="P122" i="25"/>
  <c r="G186" i="25"/>
  <c r="G187" i="25"/>
  <c r="F15" i="25"/>
  <c r="Q263" i="25"/>
  <c r="H48" i="25"/>
  <c r="H47" i="25"/>
  <c r="H49" i="25" s="1"/>
  <c r="F47" i="25"/>
  <c r="F49" i="25" s="1"/>
  <c r="F48" i="25"/>
  <c r="F61" i="25" s="1"/>
  <c r="F62" i="25" s="1"/>
  <c r="I81" i="25"/>
  <c r="I80" i="25"/>
  <c r="I82" i="25" s="1"/>
  <c r="S113" i="25"/>
  <c r="S115" i="25" s="1"/>
  <c r="S114" i="25"/>
  <c r="K80" i="25"/>
  <c r="K82" i="25" s="1"/>
  <c r="K81" i="25"/>
  <c r="W113" i="25"/>
  <c r="W115" i="25" s="1"/>
  <c r="W114" i="25"/>
  <c r="J80" i="25"/>
  <c r="J82" i="25" s="1"/>
  <c r="J81" i="25"/>
  <c r="G81" i="25"/>
  <c r="G94" i="25" s="1"/>
  <c r="G80" i="25"/>
  <c r="G82" i="25" s="1"/>
  <c r="L80" i="25"/>
  <c r="L82" i="25" s="1"/>
  <c r="L81" i="25"/>
  <c r="M113" i="25"/>
  <c r="M115" i="25" s="1"/>
  <c r="M114" i="25"/>
  <c r="L186" i="25"/>
  <c r="L187" i="25"/>
  <c r="H153" i="25"/>
  <c r="H152" i="25"/>
  <c r="H220" i="25"/>
  <c r="H221" i="25"/>
  <c r="U254" i="25"/>
  <c r="U255" i="25"/>
  <c r="E187" i="25"/>
  <c r="E186" i="25"/>
  <c r="D254" i="25"/>
  <c r="D255" i="25"/>
  <c r="Q220" i="25"/>
  <c r="Q221" i="25"/>
  <c r="G221" i="25"/>
  <c r="G220" i="25"/>
  <c r="T255" i="25"/>
  <c r="T254" i="25"/>
  <c r="O263" i="25"/>
  <c r="I56" i="25"/>
  <c r="I55" i="25"/>
  <c r="R121" i="25"/>
  <c r="R122" i="25"/>
  <c r="K121" i="25"/>
  <c r="K122" i="25"/>
  <c r="I121" i="25"/>
  <c r="I122" i="25"/>
  <c r="L55" i="25"/>
  <c r="L56" i="25"/>
  <c r="G229" i="25"/>
  <c r="K263" i="25"/>
  <c r="M195" i="25"/>
  <c r="M55" i="25"/>
  <c r="M56" i="25"/>
  <c r="O121" i="25"/>
  <c r="O122" i="25"/>
  <c r="D47" i="25"/>
  <c r="D49" i="25" s="1"/>
  <c r="D48" i="25"/>
  <c r="P255" i="25"/>
  <c r="P254" i="25"/>
  <c r="V121" i="25"/>
  <c r="V122" i="25"/>
  <c r="O254" i="25"/>
  <c r="O255" i="25"/>
  <c r="J121" i="25"/>
  <c r="J122" i="25"/>
  <c r="N89" i="25"/>
  <c r="N88" i="25"/>
  <c r="N221" i="25"/>
  <c r="N220" i="25"/>
  <c r="D81" i="25"/>
  <c r="D94" i="25" s="1"/>
  <c r="D80" i="25"/>
  <c r="D82" i="25" s="1"/>
  <c r="R263" i="25"/>
  <c r="R262" i="25"/>
  <c r="M186" i="25"/>
  <c r="M187" i="25"/>
  <c r="P114" i="25"/>
  <c r="P113" i="25"/>
  <c r="P115" i="25" s="1"/>
  <c r="I113" i="25"/>
  <c r="I115" i="25" s="1"/>
  <c r="I114" i="25"/>
  <c r="L113" i="25"/>
  <c r="L115" i="25" s="1"/>
  <c r="L114" i="25"/>
  <c r="E80" i="25"/>
  <c r="E82" i="25" s="1"/>
  <c r="E81" i="25"/>
  <c r="E94" i="25" s="1"/>
  <c r="F80" i="25"/>
  <c r="F82" i="25" s="1"/>
  <c r="F81" i="25"/>
  <c r="J113" i="25"/>
  <c r="J115" i="25" s="1"/>
  <c r="J114" i="25"/>
  <c r="D114" i="25"/>
  <c r="D127" i="25" s="1"/>
  <c r="D130" i="25" s="1"/>
  <c r="D113" i="25"/>
  <c r="D115" i="25" s="1"/>
  <c r="O114" i="25"/>
  <c r="O111" i="25"/>
  <c r="O115" i="25" s="1"/>
  <c r="K114" i="25"/>
  <c r="K111" i="25"/>
  <c r="K115" i="25" s="1"/>
  <c r="O220" i="25"/>
  <c r="O221" i="25"/>
  <c r="E153" i="25"/>
  <c r="E152" i="25"/>
  <c r="K220" i="25"/>
  <c r="K221" i="25"/>
  <c r="E254" i="25"/>
  <c r="E255" i="25"/>
  <c r="F186" i="25"/>
  <c r="F187" i="25"/>
  <c r="L255" i="25"/>
  <c r="L254" i="25"/>
  <c r="J220" i="25"/>
  <c r="J221" i="25"/>
  <c r="E220" i="25"/>
  <c r="E221" i="25"/>
  <c r="S255" i="25"/>
  <c r="S254" i="25"/>
  <c r="F152" i="25"/>
  <c r="F153" i="25"/>
  <c r="H266" i="25"/>
  <c r="D230" i="25"/>
  <c r="D231" i="25"/>
  <c r="H196" i="25"/>
  <c r="H197" i="25"/>
  <c r="H198" i="25" s="1"/>
  <c r="L196" i="25"/>
  <c r="L197" i="25"/>
  <c r="L198" i="25" s="1"/>
  <c r="D197" i="25"/>
  <c r="D196" i="25"/>
  <c r="E163" i="25"/>
  <c r="E162" i="25"/>
  <c r="G164" i="25"/>
  <c r="M90" i="25"/>
  <c r="M92" i="25" s="1"/>
  <c r="M91" i="25"/>
  <c r="I90" i="25"/>
  <c r="I92" i="25" s="1"/>
  <c r="I91" i="25"/>
  <c r="H25" i="25"/>
  <c r="L90" i="25"/>
  <c r="L92" i="25" s="1"/>
  <c r="L91" i="25"/>
  <c r="F90" i="25"/>
  <c r="F91" i="25"/>
  <c r="J57" i="25"/>
  <c r="J59" i="25" s="1"/>
  <c r="J58" i="25"/>
  <c r="F59" i="25"/>
  <c r="D58" i="25"/>
  <c r="D57" i="25"/>
  <c r="D59" i="25" s="1"/>
  <c r="F25" i="25"/>
  <c r="F24" i="25"/>
  <c r="F26" i="25" s="1"/>
  <c r="G28" i="25" l="1"/>
  <c r="I265" i="25"/>
  <c r="I266" i="25" s="1"/>
  <c r="K197" i="25"/>
  <c r="K198" i="25" s="1"/>
  <c r="G197" i="25"/>
  <c r="G198" i="25" s="1"/>
  <c r="Q230" i="25"/>
  <c r="H230" i="25"/>
  <c r="P231" i="25"/>
  <c r="P232" i="25" s="1"/>
  <c r="U265" i="25"/>
  <c r="U266" i="25" s="1"/>
  <c r="T264" i="25"/>
  <c r="T268" i="25"/>
  <c r="T271" i="25" s="1"/>
  <c r="P268" i="25"/>
  <c r="P271" i="25" s="1"/>
  <c r="F94" i="25"/>
  <c r="F95" i="25" s="1"/>
  <c r="F92" i="25"/>
  <c r="F64" i="25"/>
  <c r="F66" i="25" s="1"/>
  <c r="F69" i="25" s="1"/>
  <c r="F28" i="25"/>
  <c r="F29" i="25" s="1"/>
  <c r="L94" i="25"/>
  <c r="L95" i="25" s="1"/>
  <c r="M94" i="25"/>
  <c r="M95" i="25" s="1"/>
  <c r="F197" i="25"/>
  <c r="F198" i="25" s="1"/>
  <c r="F231" i="25"/>
  <c r="F232" i="25" s="1"/>
  <c r="F163" i="25"/>
  <c r="F164" i="25" s="1"/>
  <c r="H58" i="25"/>
  <c r="H61" i="25" s="1"/>
  <c r="H64" i="25" s="1"/>
  <c r="E265" i="25"/>
  <c r="E266" i="25" s="1"/>
  <c r="L127" i="25"/>
  <c r="L128" i="25" s="1"/>
  <c r="D264" i="25"/>
  <c r="R231" i="25"/>
  <c r="R232" i="25" s="1"/>
  <c r="N231" i="25"/>
  <c r="N232" i="25" s="1"/>
  <c r="S265" i="25"/>
  <c r="S266" i="25" s="1"/>
  <c r="E62" i="25"/>
  <c r="E64" i="25"/>
  <c r="E65" i="25" s="1"/>
  <c r="H28" i="25"/>
  <c r="H29" i="25" s="1"/>
  <c r="L268" i="25"/>
  <c r="L271" i="25" s="1"/>
  <c r="E197" i="25"/>
  <c r="E198" i="25" s="1"/>
  <c r="E29" i="25"/>
  <c r="E31" i="25"/>
  <c r="E32" i="25" s="1"/>
  <c r="D29" i="25"/>
  <c r="H163" i="25"/>
  <c r="H164" i="25" s="1"/>
  <c r="H162" i="25"/>
  <c r="P91" i="25"/>
  <c r="P94" i="25" s="1"/>
  <c r="P97" i="25" s="1"/>
  <c r="I230" i="25"/>
  <c r="L231" i="25"/>
  <c r="L232" i="25" s="1"/>
  <c r="J61" i="25"/>
  <c r="J64" i="25" s="1"/>
  <c r="I94" i="25"/>
  <c r="I95" i="25" s="1"/>
  <c r="E97" i="25"/>
  <c r="E99" i="25" s="1"/>
  <c r="E102" i="25" s="1"/>
  <c r="E95" i="25"/>
  <c r="G130" i="25"/>
  <c r="G131" i="25" s="1"/>
  <c r="G128" i="25"/>
  <c r="G95" i="25"/>
  <c r="G97" i="25"/>
  <c r="G99" i="25" s="1"/>
  <c r="G102" i="25" s="1"/>
  <c r="E130" i="25"/>
  <c r="E132" i="25" s="1"/>
  <c r="E135" i="25" s="1"/>
  <c r="E128" i="25"/>
  <c r="D97" i="25"/>
  <c r="D98" i="25" s="1"/>
  <c r="D95" i="25"/>
  <c r="G31" i="25"/>
  <c r="G33" i="25" s="1"/>
  <c r="G36" i="25" s="1"/>
  <c r="G29" i="25"/>
  <c r="K123" i="25"/>
  <c r="K125" i="25" s="1"/>
  <c r="K124" i="25"/>
  <c r="K127" i="25" s="1"/>
  <c r="F171" i="25"/>
  <c r="F154" i="25"/>
  <c r="N222" i="25"/>
  <c r="N239" i="25"/>
  <c r="M58" i="25"/>
  <c r="M61" i="25" s="1"/>
  <c r="M57" i="25"/>
  <c r="M59" i="25" s="1"/>
  <c r="I58" i="25"/>
  <c r="I61" i="25" s="1"/>
  <c r="I57" i="25"/>
  <c r="I59" i="25" s="1"/>
  <c r="Q234" i="25"/>
  <c r="Q222" i="25"/>
  <c r="Q239" i="25"/>
  <c r="H222" i="25"/>
  <c r="H234" i="25"/>
  <c r="H239" i="25"/>
  <c r="R222" i="25"/>
  <c r="R239" i="25"/>
  <c r="K230" i="25"/>
  <c r="K231" i="25"/>
  <c r="K232" i="25" s="1"/>
  <c r="M264" i="25"/>
  <c r="M265" i="25"/>
  <c r="M266" i="25" s="1"/>
  <c r="D188" i="25"/>
  <c r="D205" i="25"/>
  <c r="T123" i="25"/>
  <c r="T125" i="25" s="1"/>
  <c r="T124" i="25"/>
  <c r="T127" i="25" s="1"/>
  <c r="J231" i="25"/>
  <c r="J232" i="25" s="1"/>
  <c r="J230" i="25"/>
  <c r="D171" i="25"/>
  <c r="D154" i="25"/>
  <c r="G256" i="25"/>
  <c r="G273" i="25"/>
  <c r="D61" i="25"/>
  <c r="D64" i="25" s="1"/>
  <c r="H95" i="25"/>
  <c r="D128" i="25"/>
  <c r="L256" i="25"/>
  <c r="L273" i="25"/>
  <c r="E154" i="25"/>
  <c r="E171" i="25"/>
  <c r="O256" i="25"/>
  <c r="O273" i="25"/>
  <c r="K264" i="25"/>
  <c r="K265" i="25"/>
  <c r="K266" i="25" s="1"/>
  <c r="I123" i="25"/>
  <c r="I125" i="25" s="1"/>
  <c r="I124" i="25"/>
  <c r="I127" i="25" s="1"/>
  <c r="R123" i="25"/>
  <c r="R125" i="25" s="1"/>
  <c r="R124" i="25"/>
  <c r="R127" i="25" s="1"/>
  <c r="O265" i="25"/>
  <c r="O266" i="25" s="1"/>
  <c r="O264" i="25"/>
  <c r="T256" i="25"/>
  <c r="T273" i="25"/>
  <c r="E188" i="25"/>
  <c r="E205" i="25"/>
  <c r="Q265" i="25"/>
  <c r="Q266" i="25" s="1"/>
  <c r="Q264" i="25"/>
  <c r="P123" i="25"/>
  <c r="P125" i="25" s="1"/>
  <c r="P124" i="25"/>
  <c r="P127" i="25" s="1"/>
  <c r="J188" i="25"/>
  <c r="J205" i="25"/>
  <c r="I196" i="25"/>
  <c r="I197" i="25"/>
  <c r="I198" i="25" s="1"/>
  <c r="K90" i="25"/>
  <c r="K92" i="25" s="1"/>
  <c r="K91" i="25"/>
  <c r="K94" i="25" s="1"/>
  <c r="G265" i="25"/>
  <c r="G266" i="25" s="1"/>
  <c r="G264" i="25"/>
  <c r="G62" i="25"/>
  <c r="G64" i="25"/>
  <c r="M256" i="25"/>
  <c r="M273" i="25"/>
  <c r="M222" i="25"/>
  <c r="M239" i="25"/>
  <c r="M123" i="25"/>
  <c r="M125" i="25" s="1"/>
  <c r="M124" i="25"/>
  <c r="M127" i="25" s="1"/>
  <c r="U123" i="25"/>
  <c r="U125" i="25" s="1"/>
  <c r="U124" i="25"/>
  <c r="U127" i="25" s="1"/>
  <c r="G154" i="25"/>
  <c r="G171" i="25"/>
  <c r="K200" i="25"/>
  <c r="K188" i="25"/>
  <c r="K205" i="25"/>
  <c r="N273" i="25"/>
  <c r="N256" i="25"/>
  <c r="I256" i="25"/>
  <c r="I268" i="25"/>
  <c r="I273" i="25"/>
  <c r="V273" i="25"/>
  <c r="V256" i="25"/>
  <c r="F256" i="25"/>
  <c r="F273" i="25"/>
  <c r="J196" i="25"/>
  <c r="J197" i="25"/>
  <c r="J198" i="25" s="1"/>
  <c r="F264" i="25"/>
  <c r="F265" i="25"/>
  <c r="F266" i="25" s="1"/>
  <c r="J256" i="25"/>
  <c r="J273" i="25"/>
  <c r="L222" i="25"/>
  <c r="L239" i="25"/>
  <c r="V123" i="25"/>
  <c r="V125" i="25" s="1"/>
  <c r="V124" i="25"/>
  <c r="V127" i="25" s="1"/>
  <c r="E222" i="25"/>
  <c r="E239" i="25"/>
  <c r="E256" i="25"/>
  <c r="E273" i="25"/>
  <c r="R264" i="25"/>
  <c r="R265" i="25"/>
  <c r="R266" i="25" s="1"/>
  <c r="L188" i="25"/>
  <c r="L200" i="25"/>
  <c r="L205" i="25"/>
  <c r="J222" i="25"/>
  <c r="J239" i="25"/>
  <c r="F188" i="25"/>
  <c r="F205" i="25"/>
  <c r="K222" i="25"/>
  <c r="K239" i="25"/>
  <c r="O222" i="25"/>
  <c r="O239" i="25"/>
  <c r="N90" i="25"/>
  <c r="N92" i="25" s="1"/>
  <c r="N91" i="25"/>
  <c r="N94" i="25" s="1"/>
  <c r="P256" i="25"/>
  <c r="P273" i="25"/>
  <c r="O123" i="25"/>
  <c r="O125" i="25" s="1"/>
  <c r="O124" i="25"/>
  <c r="O127" i="25" s="1"/>
  <c r="M197" i="25"/>
  <c r="M198" i="25" s="1"/>
  <c r="M196" i="25"/>
  <c r="G230" i="25"/>
  <c r="G231" i="25"/>
  <c r="G232" i="25" s="1"/>
  <c r="D268" i="25"/>
  <c r="D256" i="25"/>
  <c r="D273" i="25"/>
  <c r="U256" i="25"/>
  <c r="U273" i="25"/>
  <c r="Q123" i="25"/>
  <c r="Q125" i="25" s="1"/>
  <c r="Q124" i="25"/>
  <c r="Q127" i="25" s="1"/>
  <c r="I188" i="25"/>
  <c r="I205" i="25"/>
  <c r="O90" i="25"/>
  <c r="O92" i="25" s="1"/>
  <c r="O91" i="25"/>
  <c r="O94" i="25" s="1"/>
  <c r="E231" i="25"/>
  <c r="E232" i="25" s="1"/>
  <c r="E230" i="25"/>
  <c r="N265" i="25"/>
  <c r="N266" i="25" s="1"/>
  <c r="N264" i="25"/>
  <c r="K58" i="25"/>
  <c r="K61" i="25" s="1"/>
  <c r="K57" i="25"/>
  <c r="K59" i="25" s="1"/>
  <c r="D222" i="25"/>
  <c r="D239" i="25"/>
  <c r="I234" i="25"/>
  <c r="I222" i="25"/>
  <c r="I239" i="25"/>
  <c r="P222" i="25"/>
  <c r="P239" i="25"/>
  <c r="K256" i="25"/>
  <c r="K273" i="25"/>
  <c r="J90" i="25"/>
  <c r="J92" i="25" s="1"/>
  <c r="J91" i="25"/>
  <c r="J94" i="25" s="1"/>
  <c r="R90" i="25"/>
  <c r="R92" i="25" s="1"/>
  <c r="R91" i="25"/>
  <c r="R94" i="25" s="1"/>
  <c r="H188" i="25"/>
  <c r="H200" i="25"/>
  <c r="H205" i="25"/>
  <c r="H123" i="25"/>
  <c r="H125" i="25" s="1"/>
  <c r="H124" i="25"/>
  <c r="H127" i="25" s="1"/>
  <c r="R256" i="25"/>
  <c r="R273" i="25"/>
  <c r="S256" i="25"/>
  <c r="S273" i="25"/>
  <c r="M188" i="25"/>
  <c r="M205" i="25"/>
  <c r="J123" i="25"/>
  <c r="J125" i="25" s="1"/>
  <c r="J124" i="25"/>
  <c r="J127" i="25" s="1"/>
  <c r="L58" i="25"/>
  <c r="L61" i="25" s="1"/>
  <c r="L57" i="25"/>
  <c r="L59" i="25" s="1"/>
  <c r="G222" i="25"/>
  <c r="G239" i="25"/>
  <c r="H154" i="25"/>
  <c r="H171" i="25"/>
  <c r="G188" i="25"/>
  <c r="G205" i="25"/>
  <c r="O230" i="25"/>
  <c r="O231" i="25"/>
  <c r="O232" i="25" s="1"/>
  <c r="N123" i="25"/>
  <c r="N125" i="25" s="1"/>
  <c r="N124" i="25"/>
  <c r="N127" i="25" s="1"/>
  <c r="J264" i="25"/>
  <c r="J265" i="25"/>
  <c r="J266" i="25" s="1"/>
  <c r="S123" i="25"/>
  <c r="S125" i="25" s="1"/>
  <c r="S124" i="25"/>
  <c r="S127" i="25" s="1"/>
  <c r="H256" i="25"/>
  <c r="H273" i="25"/>
  <c r="W123" i="25"/>
  <c r="W125" i="25" s="1"/>
  <c r="W124" i="25"/>
  <c r="W127" i="25" s="1"/>
  <c r="Q91" i="25"/>
  <c r="Q94" i="25" s="1"/>
  <c r="Q90" i="25"/>
  <c r="Q92" i="25" s="1"/>
  <c r="V264" i="25"/>
  <c r="V265" i="25"/>
  <c r="V266" i="25" s="1"/>
  <c r="Q256" i="25"/>
  <c r="Q273" i="25"/>
  <c r="W268" i="25"/>
  <c r="W256" i="25"/>
  <c r="W273" i="25"/>
  <c r="F222" i="25"/>
  <c r="F239" i="25"/>
  <c r="F124" i="25"/>
  <c r="F127" i="25" s="1"/>
  <c r="F123" i="25"/>
  <c r="F125" i="25" s="1"/>
  <c r="M231" i="25"/>
  <c r="M232" i="25" s="1"/>
  <c r="M230" i="25"/>
  <c r="H271" i="25"/>
  <c r="H269" i="25"/>
  <c r="D232" i="25"/>
  <c r="D234" i="25"/>
  <c r="D198" i="25"/>
  <c r="D200" i="25"/>
  <c r="D169" i="25"/>
  <c r="D167" i="25"/>
  <c r="G169" i="25"/>
  <c r="G167" i="25"/>
  <c r="E164" i="25"/>
  <c r="E166" i="25"/>
  <c r="D132" i="25"/>
  <c r="D131" i="25"/>
  <c r="H98" i="25"/>
  <c r="H99" i="25"/>
  <c r="H102" i="25" s="1"/>
  <c r="P269" i="25" l="1"/>
  <c r="T269" i="25"/>
  <c r="G200" i="25"/>
  <c r="G201" i="25" s="1"/>
  <c r="G299" i="25"/>
  <c r="G338" i="25"/>
  <c r="G334" i="25"/>
  <c r="G330" i="25"/>
  <c r="G326" i="25"/>
  <c r="G322" i="25"/>
  <c r="G333" i="25"/>
  <c r="G325" i="25"/>
  <c r="G321" i="25"/>
  <c r="G320" i="25"/>
  <c r="G331" i="25"/>
  <c r="G323" i="25"/>
  <c r="G337" i="25"/>
  <c r="G329" i="25"/>
  <c r="G327" i="25"/>
  <c r="G336" i="25"/>
  <c r="G332" i="25"/>
  <c r="G328" i="25"/>
  <c r="G324" i="25"/>
  <c r="G335" i="25"/>
  <c r="G312" i="25"/>
  <c r="G307" i="25"/>
  <c r="G302" i="25"/>
  <c r="G304" i="25"/>
  <c r="G309" i="25"/>
  <c r="G306" i="25"/>
  <c r="G308" i="25"/>
  <c r="G303" i="25"/>
  <c r="G311" i="25"/>
  <c r="G310" i="25"/>
  <c r="G305" i="25"/>
  <c r="G301" i="25"/>
  <c r="G300" i="25"/>
  <c r="F31" i="25"/>
  <c r="F32" i="25" s="1"/>
  <c r="D138" i="25"/>
  <c r="F16" i="5" s="1"/>
  <c r="F310" i="25"/>
  <c r="F306" i="25"/>
  <c r="F302" i="25"/>
  <c r="F324" i="25"/>
  <c r="F309" i="25"/>
  <c r="F301" i="25"/>
  <c r="F308" i="25"/>
  <c r="F300" i="25"/>
  <c r="F335" i="25"/>
  <c r="F331" i="25"/>
  <c r="F329" i="25"/>
  <c r="F325" i="25"/>
  <c r="F323" i="25"/>
  <c r="F311" i="25"/>
  <c r="F303" i="25"/>
  <c r="F338" i="25"/>
  <c r="F336" i="25"/>
  <c r="F334" i="25"/>
  <c r="F332" i="25"/>
  <c r="F330" i="25"/>
  <c r="F328" i="25"/>
  <c r="F326" i="25"/>
  <c r="F322" i="25"/>
  <c r="F320" i="25"/>
  <c r="F305" i="25"/>
  <c r="F304" i="25"/>
  <c r="F337" i="25"/>
  <c r="F333" i="25"/>
  <c r="F327" i="25"/>
  <c r="F321" i="25"/>
  <c r="F307" i="25"/>
  <c r="F299" i="25"/>
  <c r="F312" i="25"/>
  <c r="L97" i="25"/>
  <c r="L98" i="25" s="1"/>
  <c r="F97" i="25"/>
  <c r="F99" i="25" s="1"/>
  <c r="F102" i="25" s="1"/>
  <c r="M97" i="25"/>
  <c r="M99" i="25" s="1"/>
  <c r="M102" i="25" s="1"/>
  <c r="E66" i="25"/>
  <c r="E69" i="25" s="1"/>
  <c r="P234" i="25"/>
  <c r="P237" i="25" s="1"/>
  <c r="U268" i="25"/>
  <c r="U269" i="25" s="1"/>
  <c r="E98" i="25"/>
  <c r="F166" i="25"/>
  <c r="F167" i="25" s="1"/>
  <c r="F65" i="25"/>
  <c r="I200" i="25"/>
  <c r="I201" i="25" s="1"/>
  <c r="F200" i="25"/>
  <c r="F201" i="25" s="1"/>
  <c r="D32" i="25"/>
  <c r="L269" i="25"/>
  <c r="G132" i="25"/>
  <c r="G135" i="25" s="1"/>
  <c r="F234" i="25"/>
  <c r="F237" i="25" s="1"/>
  <c r="S268" i="25"/>
  <c r="S271" i="25" s="1"/>
  <c r="L130" i="25"/>
  <c r="L132" i="25" s="1"/>
  <c r="L135" i="25" s="1"/>
  <c r="E200" i="25"/>
  <c r="E203" i="25" s="1"/>
  <c r="G234" i="25"/>
  <c r="G235" i="25" s="1"/>
  <c r="K268" i="25"/>
  <c r="K271" i="25" s="1"/>
  <c r="E33" i="25"/>
  <c r="E36" i="25" s="1"/>
  <c r="D62" i="25"/>
  <c r="E268" i="25"/>
  <c r="E269" i="25" s="1"/>
  <c r="J234" i="25"/>
  <c r="J237" i="25" s="1"/>
  <c r="D99" i="25"/>
  <c r="D102" i="25" s="1"/>
  <c r="P95" i="25"/>
  <c r="M200" i="25"/>
  <c r="M203" i="25" s="1"/>
  <c r="N234" i="25"/>
  <c r="N235" i="25" s="1"/>
  <c r="H31" i="25"/>
  <c r="I97" i="25"/>
  <c r="I99" i="25" s="1"/>
  <c r="I102" i="25" s="1"/>
  <c r="G32" i="25"/>
  <c r="H62" i="25"/>
  <c r="M268" i="25"/>
  <c r="M271" i="25" s="1"/>
  <c r="R234" i="25"/>
  <c r="R237" i="25" s="1"/>
  <c r="E131" i="25"/>
  <c r="H166" i="25"/>
  <c r="E234" i="25"/>
  <c r="E237" i="25" s="1"/>
  <c r="L234" i="25"/>
  <c r="L237" i="25" s="1"/>
  <c r="G98" i="25"/>
  <c r="J62" i="25"/>
  <c r="H128" i="25"/>
  <c r="H130" i="25"/>
  <c r="O130" i="25"/>
  <c r="O128" i="25"/>
  <c r="M128" i="25"/>
  <c r="M130" i="25"/>
  <c r="I128" i="25"/>
  <c r="I130" i="25"/>
  <c r="J128" i="25"/>
  <c r="J130" i="25"/>
  <c r="P128" i="25"/>
  <c r="P130" i="25"/>
  <c r="W128" i="25"/>
  <c r="W130" i="25"/>
  <c r="Q130" i="25"/>
  <c r="Q128" i="25"/>
  <c r="D135" i="25"/>
  <c r="D141" i="25"/>
  <c r="D170" i="25"/>
  <c r="D173" i="25"/>
  <c r="W271" i="25"/>
  <c r="W269" i="25"/>
  <c r="T130" i="25"/>
  <c r="T128" i="25"/>
  <c r="J95" i="25"/>
  <c r="J97" i="25"/>
  <c r="K130" i="25"/>
  <c r="K128" i="25"/>
  <c r="V128" i="25"/>
  <c r="V130" i="25"/>
  <c r="N95" i="25"/>
  <c r="N97" i="25"/>
  <c r="F268" i="25"/>
  <c r="M234" i="25"/>
  <c r="K95" i="25"/>
  <c r="K97" i="25"/>
  <c r="I62" i="25"/>
  <c r="I64" i="25"/>
  <c r="G170" i="25"/>
  <c r="G173" i="25"/>
  <c r="G175" i="25" s="1"/>
  <c r="F128" i="25"/>
  <c r="F130" i="25"/>
  <c r="Q268" i="25"/>
  <c r="N128" i="25"/>
  <c r="N130" i="25"/>
  <c r="R268" i="25"/>
  <c r="R95" i="25"/>
  <c r="R97" i="25"/>
  <c r="I237" i="25"/>
  <c r="I235" i="25"/>
  <c r="K62" i="25"/>
  <c r="K64" i="25"/>
  <c r="R128" i="25"/>
  <c r="R130" i="25"/>
  <c r="K234" i="25"/>
  <c r="N268" i="25"/>
  <c r="O268" i="25"/>
  <c r="H201" i="25"/>
  <c r="H203" i="25"/>
  <c r="D269" i="25"/>
  <c r="D271" i="25"/>
  <c r="D275" i="25" s="1"/>
  <c r="D277" i="25" s="1"/>
  <c r="J268" i="25"/>
  <c r="V268" i="25"/>
  <c r="I271" i="25"/>
  <c r="I269" i="25"/>
  <c r="Q97" i="25"/>
  <c r="Q95" i="25"/>
  <c r="G65" i="25"/>
  <c r="G66" i="25"/>
  <c r="G69" i="25" s="1"/>
  <c r="U130" i="25"/>
  <c r="U128" i="25"/>
  <c r="S130" i="25"/>
  <c r="S128" i="25"/>
  <c r="D36" i="25"/>
  <c r="L64" i="25"/>
  <c r="L62" i="25"/>
  <c r="O97" i="25"/>
  <c r="O95" i="25"/>
  <c r="O234" i="25"/>
  <c r="L201" i="25"/>
  <c r="L203" i="25"/>
  <c r="K201" i="25"/>
  <c r="K203" i="25"/>
  <c r="J200" i="25"/>
  <c r="G268" i="25"/>
  <c r="H235" i="25"/>
  <c r="H237" i="25"/>
  <c r="Q237" i="25"/>
  <c r="Q235" i="25"/>
  <c r="M62" i="25"/>
  <c r="M64" i="25"/>
  <c r="P272" i="25"/>
  <c r="P275" i="25"/>
  <c r="P277" i="25" s="1"/>
  <c r="T272" i="25"/>
  <c r="T275" i="25"/>
  <c r="T277" i="25" s="1"/>
  <c r="H272" i="25"/>
  <c r="H275" i="25"/>
  <c r="H277" i="25" s="1"/>
  <c r="L272" i="25"/>
  <c r="L275" i="25"/>
  <c r="L277" i="25" s="1"/>
  <c r="D237" i="25"/>
  <c r="D235" i="25"/>
  <c r="D201" i="25"/>
  <c r="D203" i="25"/>
  <c r="E169" i="25"/>
  <c r="E167" i="25"/>
  <c r="P98" i="25"/>
  <c r="P99" i="25"/>
  <c r="P102" i="25" s="1"/>
  <c r="J65" i="25"/>
  <c r="J66" i="25"/>
  <c r="J69" i="25" s="1"/>
  <c r="D65" i="25"/>
  <c r="D66" i="25"/>
  <c r="H65" i="25"/>
  <c r="H66" i="25"/>
  <c r="H69" i="25" s="1"/>
  <c r="G203" i="25" l="1"/>
  <c r="F33" i="25"/>
  <c r="F36" i="25" s="1"/>
  <c r="U271" i="25"/>
  <c r="U275" i="25" s="1"/>
  <c r="U277" i="25" s="1"/>
  <c r="M98" i="25"/>
  <c r="L99" i="25"/>
  <c r="L102" i="25" s="1"/>
  <c r="F98" i="25"/>
  <c r="L131" i="25"/>
  <c r="S269" i="25"/>
  <c r="F169" i="25"/>
  <c r="F170" i="25" s="1"/>
  <c r="P235" i="25"/>
  <c r="K269" i="25"/>
  <c r="N237" i="25"/>
  <c r="N241" i="25" s="1"/>
  <c r="N243" i="25" s="1"/>
  <c r="I203" i="25"/>
  <c r="I207" i="25" s="1"/>
  <c r="I209" i="25" s="1"/>
  <c r="F235" i="25"/>
  <c r="F203" i="25"/>
  <c r="F207" i="25" s="1"/>
  <c r="F209" i="25" s="1"/>
  <c r="E201" i="25"/>
  <c r="G237" i="25"/>
  <c r="G238" i="25" s="1"/>
  <c r="I98" i="25"/>
  <c r="M201" i="25"/>
  <c r="L235" i="25"/>
  <c r="R235" i="25"/>
  <c r="J235" i="25"/>
  <c r="E271" i="25"/>
  <c r="E272" i="25" s="1"/>
  <c r="H33" i="25"/>
  <c r="H36" i="25" s="1"/>
  <c r="H32" i="25"/>
  <c r="D140" i="25"/>
  <c r="M269" i="25"/>
  <c r="E235" i="25"/>
  <c r="H169" i="25"/>
  <c r="H167" i="25"/>
  <c r="J203" i="25"/>
  <c r="J201" i="25"/>
  <c r="V271" i="25"/>
  <c r="V269" i="25"/>
  <c r="D272" i="25"/>
  <c r="F269" i="25"/>
  <c r="F271" i="25"/>
  <c r="D69" i="25"/>
  <c r="D139" i="25"/>
  <c r="E170" i="25"/>
  <c r="E173" i="25"/>
  <c r="E175" i="25" s="1"/>
  <c r="G271" i="25"/>
  <c r="G269" i="25"/>
  <c r="K207" i="25"/>
  <c r="K209" i="25" s="1"/>
  <c r="K204" i="25"/>
  <c r="O235" i="25"/>
  <c r="O237" i="25"/>
  <c r="O98" i="25"/>
  <c r="O99" i="25"/>
  <c r="O102" i="25" s="1"/>
  <c r="U132" i="25"/>
  <c r="U135" i="25" s="1"/>
  <c r="U131" i="25"/>
  <c r="Q98" i="25"/>
  <c r="Q99" i="25"/>
  <c r="Q102" i="25" s="1"/>
  <c r="I275" i="25"/>
  <c r="I277" i="25" s="1"/>
  <c r="I272" i="25"/>
  <c r="J241" i="25"/>
  <c r="J243" i="25" s="1"/>
  <c r="J238" i="25"/>
  <c r="N271" i="25"/>
  <c r="N269" i="25"/>
  <c r="K65" i="25"/>
  <c r="K66" i="25"/>
  <c r="K69" i="25" s="1"/>
  <c r="P238" i="25"/>
  <c r="P241" i="25"/>
  <c r="P243" i="25" s="1"/>
  <c r="R269" i="25"/>
  <c r="R271" i="25"/>
  <c r="F132" i="25"/>
  <c r="F135" i="25" s="1"/>
  <c r="F131" i="25"/>
  <c r="M237" i="25"/>
  <c r="M235" i="25"/>
  <c r="D281" i="25"/>
  <c r="G16" i="5" s="1"/>
  <c r="D175" i="25"/>
  <c r="P131" i="25"/>
  <c r="P132" i="25"/>
  <c r="P135" i="25" s="1"/>
  <c r="I131" i="25"/>
  <c r="I132" i="25"/>
  <c r="I135" i="25" s="1"/>
  <c r="Q238" i="25"/>
  <c r="Q241" i="25"/>
  <c r="Q243" i="25" s="1"/>
  <c r="K272" i="25"/>
  <c r="K275" i="25"/>
  <c r="K277" i="25" s="1"/>
  <c r="H204" i="25"/>
  <c r="H207" i="25"/>
  <c r="H209" i="25" s="1"/>
  <c r="K235" i="25"/>
  <c r="K237" i="25"/>
  <c r="N132" i="25"/>
  <c r="N135" i="25" s="1"/>
  <c r="N131" i="25"/>
  <c r="E204" i="25"/>
  <c r="E207" i="25"/>
  <c r="E209" i="25" s="1"/>
  <c r="R238" i="25"/>
  <c r="R241" i="25"/>
  <c r="R243" i="25" s="1"/>
  <c r="E238" i="25"/>
  <c r="E241" i="25"/>
  <c r="E243" i="25" s="1"/>
  <c r="K131" i="25"/>
  <c r="K132" i="25"/>
  <c r="K135" i="25" s="1"/>
  <c r="T131" i="25"/>
  <c r="T132" i="25"/>
  <c r="T135" i="25" s="1"/>
  <c r="Q132" i="25"/>
  <c r="Q135" i="25" s="1"/>
  <c r="Q131" i="25"/>
  <c r="O131" i="25"/>
  <c r="O132" i="25"/>
  <c r="O135" i="25" s="1"/>
  <c r="M66" i="25"/>
  <c r="M69" i="25" s="1"/>
  <c r="M65" i="25"/>
  <c r="H238" i="25"/>
  <c r="H241" i="25"/>
  <c r="H243" i="25" s="1"/>
  <c r="M272" i="25"/>
  <c r="M275" i="25"/>
  <c r="M277" i="25" s="1"/>
  <c r="L204" i="25"/>
  <c r="L207" i="25"/>
  <c r="L209" i="25" s="1"/>
  <c r="L66" i="25"/>
  <c r="L69" i="25" s="1"/>
  <c r="L65" i="25"/>
  <c r="S132" i="25"/>
  <c r="S135" i="25" s="1"/>
  <c r="S131" i="25"/>
  <c r="F241" i="25"/>
  <c r="F243" i="25" s="1"/>
  <c r="F238" i="25"/>
  <c r="J271" i="25"/>
  <c r="J269" i="25"/>
  <c r="R131" i="25"/>
  <c r="R132" i="25"/>
  <c r="R135" i="25" s="1"/>
  <c r="R99" i="25"/>
  <c r="R102" i="25" s="1"/>
  <c r="R98" i="25"/>
  <c r="I65" i="25"/>
  <c r="I66" i="25"/>
  <c r="I69" i="25" s="1"/>
  <c r="K99" i="25"/>
  <c r="K102" i="25" s="1"/>
  <c r="K98" i="25"/>
  <c r="N98" i="25"/>
  <c r="N99" i="25"/>
  <c r="N102" i="25" s="1"/>
  <c r="V131" i="25"/>
  <c r="V132" i="25"/>
  <c r="V135" i="25" s="1"/>
  <c r="J99" i="25"/>
  <c r="J102" i="25" s="1"/>
  <c r="J98" i="25"/>
  <c r="W131" i="25"/>
  <c r="W132" i="25"/>
  <c r="W135" i="25" s="1"/>
  <c r="J131" i="25"/>
  <c r="J132" i="25"/>
  <c r="J135" i="25" s="1"/>
  <c r="M132" i="25"/>
  <c r="M135" i="25" s="1"/>
  <c r="M131" i="25"/>
  <c r="H132" i="25"/>
  <c r="H135" i="25" s="1"/>
  <c r="H131" i="25"/>
  <c r="S272" i="25"/>
  <c r="S275" i="25"/>
  <c r="S277" i="25" s="1"/>
  <c r="G204" i="25"/>
  <c r="G207" i="25"/>
  <c r="G209" i="25" s="1"/>
  <c r="L238" i="25"/>
  <c r="L241" i="25"/>
  <c r="L243" i="25" s="1"/>
  <c r="U272" i="25"/>
  <c r="M204" i="25"/>
  <c r="M207" i="25"/>
  <c r="M209" i="25" s="1"/>
  <c r="O271" i="25"/>
  <c r="O269" i="25"/>
  <c r="I238" i="25"/>
  <c r="I241" i="25"/>
  <c r="I243" i="25" s="1"/>
  <c r="Q271" i="25"/>
  <c r="Q269" i="25"/>
  <c r="W272" i="25"/>
  <c r="W275" i="25"/>
  <c r="W277" i="25" s="1"/>
  <c r="D238" i="25"/>
  <c r="D241" i="25"/>
  <c r="D204" i="25"/>
  <c r="D207" i="25"/>
  <c r="D37" i="25" l="1"/>
  <c r="F173" i="25"/>
  <c r="F175" i="25" s="1"/>
  <c r="F204" i="25"/>
  <c r="N238" i="25"/>
  <c r="I204" i="25"/>
  <c r="G241" i="25"/>
  <c r="G243" i="25" s="1"/>
  <c r="E275" i="25"/>
  <c r="E277" i="25" s="1"/>
  <c r="H170" i="25"/>
  <c r="H173" i="25"/>
  <c r="H175" i="25" s="1"/>
  <c r="D103" i="25"/>
  <c r="K238" i="25"/>
  <c r="K241" i="25"/>
  <c r="K243" i="25" s="1"/>
  <c r="Q272" i="25"/>
  <c r="Q275" i="25"/>
  <c r="Q277" i="25" s="1"/>
  <c r="O275" i="25"/>
  <c r="O277" i="25" s="1"/>
  <c r="O272" i="25"/>
  <c r="V275" i="25"/>
  <c r="V277" i="25" s="1"/>
  <c r="V272" i="25"/>
  <c r="D243" i="25"/>
  <c r="D283" i="25"/>
  <c r="R272" i="25"/>
  <c r="R275" i="25"/>
  <c r="R277" i="25" s="1"/>
  <c r="F272" i="25"/>
  <c r="F275" i="25"/>
  <c r="F277" i="25" s="1"/>
  <c r="D209" i="25"/>
  <c r="D282" i="25"/>
  <c r="O238" i="25"/>
  <c r="O241" i="25"/>
  <c r="O243" i="25" s="1"/>
  <c r="J275" i="25"/>
  <c r="J277" i="25" s="1"/>
  <c r="J272" i="25"/>
  <c r="M238" i="25"/>
  <c r="M241" i="25"/>
  <c r="M243" i="25" s="1"/>
  <c r="D136" i="25"/>
  <c r="N272" i="25"/>
  <c r="N275" i="25"/>
  <c r="N277" i="25" s="1"/>
  <c r="G272" i="25"/>
  <c r="G275" i="25"/>
  <c r="G277" i="25" s="1"/>
  <c r="D70" i="25"/>
  <c r="D284" i="25"/>
  <c r="J204" i="25"/>
  <c r="J207" i="25"/>
  <c r="J209" i="25" s="1"/>
  <c r="D176" i="25" l="1"/>
  <c r="D278" i="25"/>
  <c r="D210" i="25"/>
  <c r="D244" i="25"/>
</calcChain>
</file>

<file path=xl/sharedStrings.xml><?xml version="1.0" encoding="utf-8"?>
<sst xmlns="http://schemas.openxmlformats.org/spreadsheetml/2006/main" count="746" uniqueCount="201">
  <si>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</si>
  <si>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</si>
  <si>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</si>
  <si>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</si>
  <si>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</si>
  <si>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</si>
  <si>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</si>
  <si>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</si>
  <si>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</si>
  <si>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</si>
  <si>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</si>
  <si>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</si>
  <si>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</si>
  <si>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</si>
  <si>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</si>
  <si>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</si>
  <si>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</si>
  <si>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</si>
  <si>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</si>
  <si>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</si>
  <si>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</si>
  <si>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</si>
  <si>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</si>
  <si>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</si>
  <si>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</si>
  <si>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</si>
  <si>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</si>
  <si>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Tasa de material recuperado</t>
  </si>
  <si>
    <t>Costo de venta de material recuperado</t>
  </si>
  <si>
    <t>Costo de inversión de Centro Ambiental</t>
  </si>
  <si>
    <t>Costo operativo de Centro Ambiental</t>
  </si>
  <si>
    <t>Unidad</t>
  </si>
  <si>
    <t>Costos de Inversión y de Operación de CA y ET</t>
  </si>
  <si>
    <t>Costo de Inversión ET</t>
  </si>
  <si>
    <t>Costo Operativo ET</t>
  </si>
  <si>
    <t>K1</t>
  </si>
  <si>
    <t>K2</t>
  </si>
  <si>
    <t>J1</t>
  </si>
  <si>
    <t>J2</t>
  </si>
  <si>
    <t>J3</t>
  </si>
  <si>
    <t>DATOS GENERALES</t>
  </si>
  <si>
    <t>I1</t>
  </si>
  <si>
    <t>I2</t>
  </si>
  <si>
    <t>I3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</si>
  <si>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</si>
  <si>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</si>
  <si>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</si>
  <si>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</si>
  <si>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</si>
  <si>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</si>
  <si>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</si>
  <si>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</si>
  <si>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</si>
  <si>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</si>
  <si>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</si>
  <si>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</si>
  <si>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</si>
  <si>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J4</t>
  </si>
  <si>
    <t>I4</t>
  </si>
  <si>
    <t>Recolectores</t>
  </si>
  <si>
    <t>De Transferencia</t>
  </si>
  <si>
    <t>Vehículos recolectores</t>
  </si>
  <si>
    <t>m3</t>
  </si>
  <si>
    <t>Compactación</t>
  </si>
  <si>
    <t>t/m3</t>
  </si>
  <si>
    <t>t</t>
  </si>
  <si>
    <t>Cantidad de vehículos</t>
  </si>
  <si>
    <t>Nro.</t>
  </si>
  <si>
    <t>$/año</t>
  </si>
  <si>
    <t>Cantidad de cuadrillas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</si>
  <si>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</si>
  <si>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</si>
  <si>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</si>
  <si>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</si>
  <si>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</si>
  <si>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</si>
  <si>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</si>
  <si>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</si>
  <si>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$/unidad</t>
  </si>
  <si>
    <t>Costo total flota</t>
  </si>
  <si>
    <t>$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</si>
  <si>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</si>
  <si>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</si>
  <si>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</si>
  <si>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</si>
  <si>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</si>
  <si>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</si>
  <si>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</si>
  <si>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</si>
  <si>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$/L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</si>
  <si>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</si>
  <si>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</si>
  <si>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</si>
  <si>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</si>
  <si>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</si>
  <si>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</si>
  <si>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</si>
  <si>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</si>
  <si>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Costo de operación</t>
  </si>
  <si>
    <t>$/mes</t>
  </si>
  <si>
    <t>Criterios generales</t>
  </si>
  <si>
    <t>Tasa de interés anual</t>
  </si>
  <si>
    <t>Concepto</t>
  </si>
  <si>
    <t>Vehículo recolector</t>
  </si>
  <si>
    <t>Costos fijos por minuto/año</t>
  </si>
  <si>
    <t>Costo del capital</t>
  </si>
  <si>
    <t>$/min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</si>
  <si>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</si>
  <si>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</si>
  <si>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</si>
  <si>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</si>
  <si>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</si>
  <si>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</si>
  <si>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</si>
  <si>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</si>
  <si>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</si>
  <si>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</si>
  <si>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$/(t-min)</t>
  </si>
  <si>
    <t>Costo por tonelada-año</t>
  </si>
  <si>
    <t>$/(t-año)</t>
  </si>
  <si>
    <t>Costo del Tiempo improductivo por tonelada</t>
  </si>
  <si>
    <t>$/t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</si>
  <si>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</si>
  <si>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</si>
  <si>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</si>
  <si>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</si>
  <si>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</si>
  <si>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</si>
  <si>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</si>
  <si>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</si>
  <si>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</si>
  <si>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</si>
  <si>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</si>
  <si>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</si>
  <si>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</si>
  <si>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Sueldo mensual Chofer</t>
  </si>
  <si>
    <t>Sueldo mensual ayudante</t>
  </si>
  <si>
    <t>Número de ayudantes</t>
  </si>
  <si>
    <t>Sueldo Total Mensual</t>
  </si>
  <si>
    <t>Sueldo Total Anual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</si>
  <si>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</si>
  <si>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</si>
  <si>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</si>
  <si>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</si>
  <si>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</si>
  <si>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</si>
  <si>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</si>
  <si>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$/(t-km)</t>
  </si>
  <si>
    <t>Coeficiente de descuento</t>
  </si>
  <si>
    <t>Flujo descontado</t>
  </si>
  <si>
    <t>VA - 5 años</t>
  </si>
  <si>
    <t>VA - 20 años</t>
  </si>
  <si>
    <t>VA - 15 años</t>
  </si>
  <si>
    <t>Valor Actual Neto a:</t>
  </si>
  <si>
    <t>Vehículo de Transferencia</t>
  </si>
  <si>
    <t>VA - 10 años</t>
  </si>
  <si>
    <t>t/d</t>
  </si>
  <si>
    <t>USD</t>
  </si>
  <si>
    <t>Generación total anual</t>
  </si>
  <si>
    <t>t/año</t>
  </si>
  <si>
    <t>USD/t</t>
  </si>
  <si>
    <t>Años</t>
  </si>
  <si>
    <t>Costo de inversión para vida útil</t>
  </si>
  <si>
    <t>Costo de inversión para un año</t>
  </si>
  <si>
    <t>Costo de inversión en t/d para un año</t>
  </si>
  <si>
    <t>Federico</t>
  </si>
  <si>
    <t>Vida util ET:</t>
  </si>
  <si>
    <t>Centros Ambientales</t>
  </si>
  <si>
    <t>Vida util CA:</t>
  </si>
  <si>
    <t>Parámetros específicos del modelo</t>
  </si>
  <si>
    <t>Generación total / n° de localidades</t>
  </si>
  <si>
    <t>N° de iteraciones máximas a realizar</t>
  </si>
  <si>
    <t>% de generación como límite de iteración - ET</t>
  </si>
  <si>
    <t>% de generación como límite de iteración - CA</t>
  </si>
  <si>
    <t>Punto de quiebre entre ET1 piso y 2 pisos</t>
  </si>
  <si>
    <t>Punto de quiebre entre ET de 1 Piso y de 2 Pisos</t>
  </si>
  <si>
    <t>Generación total / n° de CAs</t>
  </si>
  <si>
    <t xml:space="preserve">Capacidad </t>
  </si>
  <si>
    <t>t/turno</t>
  </si>
  <si>
    <t>Semanas trabajadas por año</t>
  </si>
  <si>
    <t>semanas/año</t>
  </si>
  <si>
    <t>Valor residual</t>
  </si>
  <si>
    <t xml:space="preserve">Vida útil </t>
  </si>
  <si>
    <t>Costo de inversión</t>
  </si>
  <si>
    <t>$/dia</t>
  </si>
  <si>
    <t>Costo de Amortización</t>
  </si>
  <si>
    <t>Costo de transferencia</t>
  </si>
  <si>
    <t>Tiempo de viaje (min) o  Distancia (Km)</t>
  </si>
  <si>
    <t>Costo de Vehiculo Recolector</t>
  </si>
  <si>
    <t xml:space="preserve">Costo Vehiculo de Transferencia </t>
  </si>
  <si>
    <t>En función de la cantidad de turnos</t>
  </si>
  <si>
    <t>Costos sin coef de pase</t>
  </si>
  <si>
    <t>Cargar este valor en Datos - Macroruteo y vincular todas las solapas de costos por tamaño de caja</t>
  </si>
  <si>
    <t>Cargar todas las curvas y colocar para seleccionar el componente a considerar</t>
  </si>
  <si>
    <t>Tiempo para carga del camión recolector</t>
  </si>
  <si>
    <t>Tiempo para descarga del camión recolector</t>
  </si>
  <si>
    <t>Tiempo para preparación</t>
  </si>
  <si>
    <t>Tiempo para limpieza</t>
  </si>
  <si>
    <t>Tasa de interes mensual</t>
  </si>
  <si>
    <t>Titulo de archivo Macroruteo a leer</t>
  </si>
  <si>
    <t>R25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</si>
</sst>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#,##0.0"/>
    <numFmt numFmtId="166" formatCode="0.000"/>
    <numFmt numFmtId="167" formatCode="0\ &quot;Años&quot;"/>
    <numFmt numFmtId="168" formatCode="#,##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2" fillId="0" borderId="6" xfId="0" applyFont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0" fontId="6" fillId="0" borderId="0" xfId="3" applyFont="1"/>
    <xf numFmtId="0" fontId="5" fillId="0" borderId="0" xfId="3"/>
    <xf numFmtId="0" fontId="5" fillId="0" borderId="0" xfId="3" applyAlignment="1">
      <alignment wrapText="1"/>
    </xf>
    <xf numFmtId="0" fontId="7" fillId="0" borderId="0" xfId="3" applyFont="1" applyAlignment="1">
      <alignment wrapText="1"/>
    </xf>
    <xf numFmtId="0" fontId="5" fillId="0" borderId="0" xfId="3" applyAlignment="1">
      <alignment horizontal="center" vertical="center"/>
    </xf>
    <xf numFmtId="0" fontId="8" fillId="0" borderId="0" xfId="3" applyFont="1"/>
    <xf numFmtId="0" fontId="8" fillId="0" borderId="0" xfId="3" applyFont="1" applyAlignment="1">
      <alignment horizontal="left" indent="1"/>
    </xf>
    <xf numFmtId="0" fontId="9" fillId="0" borderId="0" xfId="3" applyFont="1" applyAlignment="1">
      <alignment horizontal="left" indent="2"/>
    </xf>
    <xf numFmtId="0" fontId="9" fillId="0" borderId="0" xfId="3" applyFont="1" applyAlignment="1">
      <alignment horizontal="center"/>
    </xf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0" fontId="10" fillId="0" borderId="0" xfId="3" applyFont="1" applyAlignment="1">
      <alignment horizontal="left" indent="2"/>
    </xf>
    <xf numFmtId="0" fontId="10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9" fillId="0" borderId="0" xfId="3" applyFont="1" applyAlignment="1">
      <alignment horizontal="left" wrapText="1" indent="1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left" wrapText="1" indent="1"/>
    </xf>
    <xf numFmtId="0" fontId="10" fillId="0" borderId="0" xfId="3" applyFont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0" fillId="0" borderId="0" xfId="3" applyFont="1"/>
    <xf numFmtId="0" fontId="9" fillId="0" borderId="0" xfId="3" applyFont="1" applyAlignment="1">
      <alignment horizontal="left" vertical="center" wrapText="1" indent="1"/>
    </xf>
    <xf numFmtId="0" fontId="8" fillId="0" borderId="0" xfId="3" applyFont="1" applyAlignment="1">
      <alignment horizontal="center" vertical="center" wrapText="1"/>
    </xf>
    <xf numFmtId="0" fontId="5" fillId="7" borderId="0" xfId="3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8" fillId="0" borderId="31" xfId="3" applyFont="1" applyBorder="1" applyAlignment="1">
      <alignment horizontal="center" vertical="center"/>
    </xf>
    <xf numFmtId="167" fontId="8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8" fillId="0" borderId="0" xfId="3" applyFont="1" applyFill="1"/>
    <xf numFmtId="0" fontId="5" fillId="0" borderId="0" xfId="3" applyFill="1" applyAlignment="1">
      <alignment horizontal="right"/>
    </xf>
    <xf numFmtId="4" fontId="5" fillId="6" borderId="0" xfId="3" applyNumberFormat="1" applyFont="1" applyFill="1" applyAlignment="1">
      <alignment horizontal="center" vertical="center"/>
    </xf>
    <xf numFmtId="0" fontId="5" fillId="0" borderId="0" xfId="3" applyFill="1" applyAlignment="1">
      <alignment horizontal="center" vertical="center"/>
    </xf>
    <xf numFmtId="0" fontId="12" fillId="0" borderId="0" xfId="3" applyFont="1" applyAlignment="1">
      <alignment horizontal="left" indent="1"/>
    </xf>
    <xf numFmtId="0" fontId="13" fillId="0" borderId="0" xfId="3" applyFont="1"/>
    <xf numFmtId="167" fontId="12" fillId="0" borderId="32" xfId="3" applyNumberFormat="1" applyFont="1" applyFill="1" applyBorder="1" applyAlignment="1">
      <alignment horizontal="center" vertical="center"/>
    </xf>
    <xf numFmtId="0" fontId="12" fillId="0" borderId="28" xfId="3" applyFont="1" applyBorder="1" applyAlignment="1">
      <alignment horizontal="right" indent="1"/>
    </xf>
    <xf numFmtId="0" fontId="5" fillId="9" borderId="0" xfId="3" applyFill="1" applyAlignment="1">
      <alignment horizontal="left" indent="1"/>
    </xf>
    <xf numFmtId="0" fontId="5" fillId="9" borderId="0" xfId="3" applyFill="1" applyAlignment="1">
      <alignment horizontal="center"/>
    </xf>
    <xf numFmtId="0" fontId="8" fillId="9" borderId="0" xfId="3" applyFont="1" applyFill="1" applyAlignment="1">
      <alignment horizontal="left" indent="1"/>
    </xf>
    <xf numFmtId="167" fontId="14" fillId="0" borderId="1" xfId="3" applyNumberFormat="1" applyFont="1" applyFill="1" applyBorder="1" applyAlignment="1">
      <alignment horizontal="center" vertical="center"/>
    </xf>
    <xf numFmtId="167" fontId="14" fillId="0" borderId="3" xfId="3" applyNumberFormat="1" applyFont="1" applyFill="1" applyBorder="1" applyAlignment="1">
      <alignment horizontal="center" vertical="center"/>
    </xf>
    <xf numFmtId="167" fontId="14" fillId="0" borderId="8" xfId="3" applyNumberFormat="1" applyFont="1" applyFill="1" applyBorder="1" applyAlignment="1">
      <alignment horizontal="center" vertical="center"/>
    </xf>
    <xf numFmtId="168" fontId="5" fillId="0" borderId="4" xfId="3" applyNumberFormat="1" applyBorder="1" applyAlignment="1">
      <alignment horizontal="center" vertical="center"/>
    </xf>
    <xf numFmtId="168" fontId="5" fillId="0" borderId="6" xfId="3" applyNumberFormat="1" applyBorder="1" applyAlignment="1">
      <alignment horizontal="center" vertical="center"/>
    </xf>
    <xf numFmtId="168" fontId="5" fillId="0" borderId="9" xfId="3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5" fillId="0" borderId="0" xfId="3" applyNumberFormat="1" applyAlignment="1">
      <alignment horizontal="center" vertical="center"/>
    </xf>
    <xf numFmtId="0" fontId="8" fillId="7" borderId="0" xfId="3" applyFont="1" applyFill="1" applyAlignment="1">
      <alignment horizontal="center" vertical="center"/>
    </xf>
    <xf numFmtId="168" fontId="5" fillId="0" borderId="0" xfId="3" applyNumberFormat="1" applyAlignment="1">
      <alignment horizontal="center" vertical="center"/>
    </xf>
    <xf numFmtId="165" fontId="5" fillId="0" borderId="0" xfId="3" applyNumberFormat="1" applyFill="1"/>
    <xf numFmtId="4" fontId="5" fillId="0" borderId="0" xfId="3" applyNumberFormat="1" applyFill="1" applyAlignment="1">
      <alignment horizontal="center" vertical="center"/>
    </xf>
    <xf numFmtId="4" fontId="0" fillId="8" borderId="1" xfId="0" applyNumberFormat="1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11" fillId="6" borderId="1" xfId="6" applyFill="1" applyBorder="1" applyAlignment="1">
      <alignment horizontal="center" vertical="center"/>
    </xf>
    <xf numFmtId="0" fontId="16" fillId="0" borderId="0" xfId="3" applyFont="1" applyFill="1"/>
    <xf numFmtId="4" fontId="0" fillId="8" borderId="8" xfId="0" applyNumberFormat="1" applyFill="1" applyBorder="1" applyAlignment="1">
      <alignment horizontal="center" vertical="center"/>
    </xf>
    <xf numFmtId="0" fontId="17" fillId="5" borderId="0" xfId="0" applyFont="1" applyFill="1"/>
    <xf numFmtId="0" fontId="16" fillId="0" borderId="0" xfId="3" applyFont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5" fillId="0" borderId="0" xfId="3" applyFont="1"/>
    <xf numFmtId="0" fontId="2" fillId="3" borderId="3" xfId="0" applyFont="1" applyFill="1" applyBorder="1" applyAlignment="1">
      <alignment horizontal="center" vertical="center"/>
    </xf>
    <xf numFmtId="4" fontId="5" fillId="0" borderId="0" xfId="3" applyNumberFormat="1" applyAlignment="1">
      <alignment horizontal="center" vertical="center"/>
    </xf>
    <xf numFmtId="0" fontId="13" fillId="10" borderId="0" xfId="3" applyFont="1" applyFill="1"/>
    <xf numFmtId="0" fontId="12" fillId="0" borderId="0" xfId="3" applyFont="1" applyAlignment="1">
      <alignment horizontal="right" indent="1"/>
    </xf>
    <xf numFmtId="167" fontId="12" fillId="0" borderId="0" xfId="3" applyNumberFormat="1" applyFont="1" applyAlignment="1">
      <alignment horizontal="center" vertical="center"/>
    </xf>
    <xf numFmtId="164" fontId="5" fillId="0" borderId="0" xfId="3" applyNumberFormat="1" applyAlignment="1">
      <alignment horizontal="center" vertical="center"/>
    </xf>
    <xf numFmtId="0" fontId="5" fillId="10" borderId="0" xfId="3" applyFill="1"/>
    <xf numFmtId="0" fontId="5" fillId="10" borderId="0" xfId="3" applyFill="1" applyAlignment="1">
      <alignment horizontal="center"/>
    </xf>
    <xf numFmtId="2" fontId="5" fillId="10" borderId="0" xfId="3" applyNumberFormat="1" applyFill="1" applyAlignment="1">
      <alignment horizontal="center" vertical="center"/>
    </xf>
    <xf numFmtId="0" fontId="5" fillId="0" borderId="35" xfId="3" applyBorder="1" applyAlignment="1">
      <alignment horizontal="center" vertical="center" wrapText="1"/>
    </xf>
    <xf numFmtId="0" fontId="5" fillId="0" borderId="36" xfId="3" applyBorder="1" applyAlignment="1">
      <alignment horizontal="center" vertical="center" wrapText="1"/>
    </xf>
    <xf numFmtId="0" fontId="5" fillId="0" borderId="37" xfId="3" applyBorder="1" applyAlignment="1">
      <alignment horizontal="center" vertical="center" wrapText="1"/>
    </xf>
    <xf numFmtId="0" fontId="5" fillId="0" borderId="38" xfId="3" applyBorder="1" applyAlignment="1">
      <alignment horizontal="center" vertical="center"/>
    </xf>
    <xf numFmtId="164" fontId="5" fillId="0" borderId="39" xfId="3" applyNumberFormat="1" applyBorder="1" applyAlignment="1">
      <alignment horizontal="center" vertical="center"/>
    </xf>
    <xf numFmtId="164" fontId="5" fillId="0" borderId="40" xfId="3" applyNumberFormat="1" applyBorder="1" applyAlignment="1">
      <alignment horizontal="center" vertical="center"/>
    </xf>
    <xf numFmtId="0" fontId="5" fillId="0" borderId="5" xfId="3" applyBorder="1" applyAlignment="1">
      <alignment horizontal="center" vertical="center"/>
    </xf>
    <xf numFmtId="164" fontId="5" fillId="0" borderId="1" xfId="3" applyNumberFormat="1" applyBorder="1" applyAlignment="1">
      <alignment horizontal="center" vertical="center"/>
    </xf>
    <xf numFmtId="164" fontId="5" fillId="0" borderId="6" xfId="3" applyNumberFormat="1" applyBorder="1" applyAlignment="1">
      <alignment horizontal="center" vertical="center"/>
    </xf>
    <xf numFmtId="0" fontId="5" fillId="6" borderId="5" xfId="3" applyFill="1" applyBorder="1" applyAlignment="1">
      <alignment horizontal="center" vertical="center"/>
    </xf>
    <xf numFmtId="164" fontId="5" fillId="6" borderId="1" xfId="3" applyNumberFormat="1" applyFill="1" applyBorder="1" applyAlignment="1">
      <alignment horizontal="center" vertical="center"/>
    </xf>
    <xf numFmtId="164" fontId="5" fillId="6" borderId="6" xfId="3" applyNumberFormat="1" applyFill="1" applyBorder="1" applyAlignment="1">
      <alignment horizontal="center" vertical="center"/>
    </xf>
    <xf numFmtId="0" fontId="5" fillId="0" borderId="7" xfId="3" applyBorder="1" applyAlignment="1">
      <alignment horizontal="center" vertical="center"/>
    </xf>
    <xf numFmtId="164" fontId="5" fillId="0" borderId="8" xfId="3" applyNumberFormat="1" applyBorder="1" applyAlignment="1">
      <alignment horizontal="center" vertical="center"/>
    </xf>
    <xf numFmtId="164" fontId="5" fillId="0" borderId="9" xfId="3" applyNumberFormat="1" applyBorder="1" applyAlignment="1">
      <alignment horizontal="center" vertical="center"/>
    </xf>
    <xf numFmtId="0" fontId="5" fillId="0" borderId="41" xfId="3" applyBorder="1" applyAlignment="1">
      <alignment horizontal="center" vertical="center" wrapText="1"/>
    </xf>
    <xf numFmtId="0" fontId="5" fillId="0" borderId="2" xfId="3" applyBorder="1" applyAlignment="1">
      <alignment horizontal="center" vertical="center"/>
    </xf>
    <xf numFmtId="164" fontId="5" fillId="0" borderId="4" xfId="3" applyNumberFormat="1" applyBorder="1" applyAlignment="1">
      <alignment horizontal="center" vertical="center"/>
    </xf>
    <xf numFmtId="0" fontId="5" fillId="0" borderId="42" xfId="3" applyBorder="1" applyAlignment="1">
      <alignment horizontal="center" vertical="center" wrapText="1"/>
    </xf>
    <xf numFmtId="0" fontId="5" fillId="0" borderId="43" xfId="3" applyBorder="1" applyAlignment="1">
      <alignment horizontal="center" vertical="center" wrapText="1"/>
    </xf>
    <xf numFmtId="164" fontId="5" fillId="0" borderId="3" xfId="3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8" fillId="0" borderId="2" xfId="3" applyFont="1" applyBorder="1" applyAlignment="1">
      <alignment horizontal="center" vertical="center"/>
    </xf>
    <xf numFmtId="0" fontId="8" fillId="0" borderId="5" xfId="3" applyFont="1" applyBorder="1" applyAlignment="1">
      <alignment horizontal="center" vertical="center"/>
    </xf>
    <xf numFmtId="0" fontId="8" fillId="0" borderId="7" xfId="3" applyFont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167" fontId="15" fillId="5" borderId="34" xfId="3" applyNumberFormat="1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0" fontId="5" fillId="0" borderId="0" xfId="3" applyNumberFormat="1" applyFill="1" applyAlignment="1">
      <alignment horizontal="center" vertical="center"/>
    </xf>
    <xf numFmtId="10" fontId="5" fillId="6" borderId="0" xfId="4" applyNumberFormat="1" applyFont="1" applyFill="1" applyAlignment="1">
      <alignment horizontal="center" vertical="center"/>
    </xf>
    <xf numFmtId="4" fontId="5" fillId="6" borderId="0" xfId="3" applyNumberFormat="1" applyFill="1" applyAlignment="1">
      <alignment horizontal="center" vertical="center"/>
    </xf>
    <xf numFmtId="4" fontId="5" fillId="0" borderId="0" xfId="3" applyNumberFormat="1" applyAlignment="1">
      <alignment horizontal="center"/>
    </xf>
    <xf numFmtId="0" fontId="5" fillId="0" borderId="0" xfId="3" applyFill="1" applyAlignment="1">
      <alignment horizontal="left" vertical="center"/>
    </xf>
  </cellXfs>
  <cellStyles count="7">
    <cellStyle name="Adjustable" xfId="1" xr:uid="{D9BC8439-F949-4E6F-A760-F34F428791D5}"/>
    <cellStyle name="Best" xfId="2" xr:uid="{9A23DE85-5C9C-4015-8DB2-195CA8F22489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Porcentaje 2" xfId="4" xr:uid="{57A8C8F0-9C18-411D-B7BA-20EC5B6D3098}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Vehiculo Recolector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0.0</c:formatCode>
                <c:ptCount val="14"/>
                <c:pt idx="0">
                  <c:v>0</c:v>
                </c:pt>
                <c:pt idx="1">
                  <c:v>0.7128600823045268</c:v>
                </c:pt>
                <c:pt idx="2">
                  <c:v>1.0692901234567902</c:v>
                </c:pt>
                <c:pt idx="3">
                  <c:v>1.4257201646090536</c:v>
                </c:pt>
                <c:pt idx="4">
                  <c:v>2.1385802469135804</c:v>
                </c:pt>
                <c:pt idx="5">
                  <c:v>2.8514403292181072</c:v>
                </c:pt>
                <c:pt idx="6">
                  <c:v>3.2078703703703706</c:v>
                </c:pt>
                <c:pt idx="7">
                  <c:v>3.564300411522634</c:v>
                </c:pt>
                <c:pt idx="8">
                  <c:v>4.2771604938271608</c:v>
                </c:pt>
                <c:pt idx="9">
                  <c:v>4.9900205761316876</c:v>
                </c:pt>
                <c:pt idx="10">
                  <c:v>5.7028806584362144</c:v>
                </c:pt>
                <c:pt idx="11">
                  <c:v>6.4157407407407412</c:v>
                </c:pt>
                <c:pt idx="12">
                  <c:v>7.128600823045268</c:v>
                </c:pt>
                <c:pt idx="13">
                  <c:v>7.8414609053497948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B-43AE-834C-62556AD0E415}"/>
            </c:ext>
          </c:extLst>
        </c:ser>
        <c:ser>
          <c:idx val="1"/>
          <c:order val="1"/>
          <c:tx>
            <c:v>Vehiculo de Transferencia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0.0</c:formatCode>
                <c:ptCount val="14"/>
                <c:pt idx="0">
                  <c:v>2.3108009852801521</c:v>
                </c:pt>
                <c:pt idx="1">
                  <c:v>2.5173300657675659</c:v>
                </c:pt>
                <c:pt idx="2">
                  <c:v>2.6205946060112728</c:v>
                </c:pt>
                <c:pt idx="3">
                  <c:v>2.7238591462549797</c:v>
                </c:pt>
                <c:pt idx="4">
                  <c:v>2.9303882267423935</c:v>
                </c:pt>
                <c:pt idx="5">
                  <c:v>3.1369173072298073</c:v>
                </c:pt>
                <c:pt idx="6">
                  <c:v>3.2401818474735142</c:v>
                </c:pt>
                <c:pt idx="7">
                  <c:v>3.3434463877172211</c:v>
                </c:pt>
                <c:pt idx="8">
                  <c:v>3.5499754682046349</c:v>
                </c:pt>
                <c:pt idx="9">
                  <c:v>3.7565045486920488</c:v>
                </c:pt>
                <c:pt idx="10">
                  <c:v>3.9630336291794626</c:v>
                </c:pt>
                <c:pt idx="11">
                  <c:v>4.1695627096668764</c:v>
                </c:pt>
                <c:pt idx="12">
                  <c:v>4.3760917901542902</c:v>
                </c:pt>
                <c:pt idx="13">
                  <c:v>4.582620870641704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B-43AE-834C-62556AD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Costo vehiculo Recolector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20Años'!$E$320:$E$338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</c:numCache>
            </c:numRef>
          </c:xVal>
          <c:yVal>
            <c:numRef>
              <c:f>'Analisis 20Años'!$F$320:$F$338</c:f>
              <c:numCache>
                <c:formatCode>0.0</c:formatCode>
                <c:ptCount val="19"/>
                <c:pt idx="0">
                  <c:v>0</c:v>
                </c:pt>
                <c:pt idx="1">
                  <c:v>0.7128600823045268</c:v>
                </c:pt>
                <c:pt idx="2">
                  <c:v>1.0692901234567902</c:v>
                </c:pt>
                <c:pt idx="3">
                  <c:v>1.4257201646090536</c:v>
                </c:pt>
                <c:pt idx="4">
                  <c:v>2.1385802469135804</c:v>
                </c:pt>
                <c:pt idx="5">
                  <c:v>2.8514403292181072</c:v>
                </c:pt>
                <c:pt idx="6">
                  <c:v>3.2078703703703706</c:v>
                </c:pt>
                <c:pt idx="7">
                  <c:v>3.564300411522634</c:v>
                </c:pt>
                <c:pt idx="8">
                  <c:v>4.2771604938271608</c:v>
                </c:pt>
                <c:pt idx="9">
                  <c:v>4.9900205761316876</c:v>
                </c:pt>
                <c:pt idx="10">
                  <c:v>5.7028806584362144</c:v>
                </c:pt>
                <c:pt idx="11">
                  <c:v>6.4157407407407412</c:v>
                </c:pt>
                <c:pt idx="12">
                  <c:v>7.128600823045268</c:v>
                </c:pt>
                <c:pt idx="13">
                  <c:v>7.8414609053497948</c:v>
                </c:pt>
                <c:pt idx="14">
                  <c:v>8.5543209876543216</c:v>
                </c:pt>
                <c:pt idx="15">
                  <c:v>9.2671810699588484</c:v>
                </c:pt>
                <c:pt idx="16">
                  <c:v>9.9800411522633752</c:v>
                </c:pt>
                <c:pt idx="17">
                  <c:v>10.692901234567902</c:v>
                </c:pt>
                <c:pt idx="18">
                  <c:v>11.405761316872429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B4-4278-94FF-ED2651C461C6}"/>
            </c:ext>
          </c:extLst>
        </c:ser>
        <c:ser>
          <c:idx val="1"/>
          <c:order val="1"/>
          <c:tx>
            <c:v>Costo vehiculo de transferencia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20Años'!$E$320:$E$338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</c:numCache>
            </c:numRef>
          </c:xVal>
          <c:yVal>
            <c:numRef>
              <c:f>'Analisis 20Años'!$G$320:$G$338</c:f>
              <c:numCache>
                <c:formatCode>0.0</c:formatCode>
                <c:ptCount val="19"/>
                <c:pt idx="0">
                  <c:v>7.0871897714872008</c:v>
                </c:pt>
                <c:pt idx="1">
                  <c:v>7.2937188519746146</c:v>
                </c:pt>
                <c:pt idx="2">
                  <c:v>7.3969833922183215</c:v>
                </c:pt>
                <c:pt idx="3">
                  <c:v>7.5002479324620284</c:v>
                </c:pt>
                <c:pt idx="4">
                  <c:v>7.7067770129494422</c:v>
                </c:pt>
                <c:pt idx="5">
                  <c:v>7.913306093436856</c:v>
                </c:pt>
                <c:pt idx="6">
                  <c:v>8.016570633680562</c:v>
                </c:pt>
                <c:pt idx="7">
                  <c:v>8.1198351739242689</c:v>
                </c:pt>
                <c:pt idx="8">
                  <c:v>8.3263642544116827</c:v>
                </c:pt>
                <c:pt idx="9">
                  <c:v>8.5328933348990965</c:v>
                </c:pt>
                <c:pt idx="10">
                  <c:v>8.7394224153865103</c:v>
                </c:pt>
                <c:pt idx="11">
                  <c:v>8.9459514958739241</c:v>
                </c:pt>
                <c:pt idx="12">
                  <c:v>9.1524805763613379</c:v>
                </c:pt>
                <c:pt idx="13">
                  <c:v>9.3590096568487517</c:v>
                </c:pt>
                <c:pt idx="14">
                  <c:v>9.5655387373361656</c:v>
                </c:pt>
                <c:pt idx="15">
                  <c:v>9.7720678178235794</c:v>
                </c:pt>
                <c:pt idx="16">
                  <c:v>9.9785968983109932</c:v>
                </c:pt>
                <c:pt idx="17">
                  <c:v>10.185125978798407</c:v>
                </c:pt>
                <c:pt idx="18">
                  <c:v>10.391655059285821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B4-4278-94FF-ED2651C4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Tiempo de viaje (min) o 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99350</xdr:colOff>
      <xdr:row>4</xdr:row>
      <xdr:rowOff>169063</xdr:rowOff>
    </xdr:from>
    <xdr:to>
      <xdr:col>1</xdr:col>
      <xdr:colOff>707011</xdr:colOff>
      <xdr:row>14</xdr:row>
      <xdr:rowOff>52751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99350" y="944670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68036</xdr:colOff>
      <xdr:row>15</xdr:row>
      <xdr:rowOff>108857</xdr:rowOff>
    </xdr:from>
    <xdr:to>
      <xdr:col>8</xdr:col>
      <xdr:colOff>775607</xdr:colOff>
      <xdr:row>15</xdr:row>
      <xdr:rowOff>108857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F7E28513-71E2-4C20-923D-A573011B7C71}"/>
            </a:ext>
          </a:extLst>
        </xdr:cNvPr>
        <xdr:cNvCxnSpPr/>
      </xdr:nvCxnSpPr>
      <xdr:spPr>
        <a:xfrm>
          <a:off x="8749393" y="3156857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40821</xdr:colOff>
      <xdr:row>21</xdr:row>
      <xdr:rowOff>95250</xdr:rowOff>
    </xdr:from>
    <xdr:to>
      <xdr:col>8</xdr:col>
      <xdr:colOff>748392</xdr:colOff>
      <xdr:row>21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F2227FC1-3C4D-4936-8D04-CCA4E6BD181F}"/>
            </a:ext>
          </a:extLst>
        </xdr:cNvPr>
        <xdr:cNvCxnSpPr/>
      </xdr:nvCxnSpPr>
      <xdr:spPr>
        <a:xfrm>
          <a:off x="8722178" y="4286250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54429</xdr:colOff>
      <xdr:row>25</xdr:row>
      <xdr:rowOff>81643</xdr:rowOff>
    </xdr:from>
    <xdr:to>
      <xdr:col>8</xdr:col>
      <xdr:colOff>762000</xdr:colOff>
      <xdr:row>25</xdr:row>
      <xdr:rowOff>81643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24D2C4F2-4DEC-47E9-92B5-42CBA1D4DCDA}"/>
            </a:ext>
          </a:extLst>
        </xdr:cNvPr>
        <xdr:cNvCxnSpPr/>
      </xdr:nvCxnSpPr>
      <xdr:spPr>
        <a:xfrm>
          <a:off x="8735786" y="5034643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22413</xdr:colOff>
      <xdr:row>292</xdr:row>
      <xdr:rowOff>67235</xdr:rowOff>
    </xdr:from>
    <xdr:to>
      <xdr:col>16</xdr:col>
      <xdr:colOff>506507</xdr:colOff>
      <xdr:row>316</xdr:row>
      <xdr:rowOff>23308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8515C7-78ED-4C9D-A801-1409EF00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526676</xdr:colOff>
      <xdr:row>318</xdr:row>
      <xdr:rowOff>672353</xdr:rowOff>
    </xdr:from>
    <xdr:to>
      <xdr:col>17</xdr:col>
      <xdr:colOff>248770</xdr:colOff>
      <xdr:row>346</xdr:row>
      <xdr:rowOff>157780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0B3D2F-F3B2-4C5D-B78C-985452C3E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ownloads/Copia%20de%20modelo%20con%20curv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_Generales"/>
      <sheetName val="Gen-Cap"/>
      <sheetName val="Datos_Loc_ETs"/>
      <sheetName val="Datos_ETs_CAs"/>
      <sheetName val="Datos_Loc_CAs"/>
      <sheetName val="Analisis Inputs Grales"/>
      <sheetName val="Analisis 20Años"/>
      <sheetName val="Análisis Generación"/>
    </sheetNames>
    <sheetDataSet>
      <sheetData sheetId="0"/>
      <sheetData sheetId="1"/>
      <sheetData sheetId="2"/>
      <sheetData sheetId="3"/>
      <sheetData sheetId="4"/>
      <sheetData sheetId="5">
        <row r="78">
          <cell r="D78">
            <v>6.6845084443267071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T379"/>
  <sheetViews>
    <sheetView showGridLines="0" topLeftCell="A16" zoomScale="95" zoomScaleNormal="95" workbookViewId="0">
      <selection activeCell="J16" sqref="J16"/>
    </sheetView>
  </sheetViews>
  <sheetFormatPr baseColWidth="10" defaultRowHeight="15" x14ac:dyDescent="0.25"/>
  <cols>
    <col min="1" max="1" width="26.42578125" style="1" bestFit="1" customWidth="1"/>
    <col min="2" max="4" width="12.28515625" style="1" customWidth="1"/>
    <col min="5" max="5" width="13.85546875" style="1" customWidth="1"/>
    <col min="6" max="6" width="19.7109375" style="1" customWidth="1"/>
    <col min="7" max="7" width="21.42578125" bestFit="1" customWidth="1"/>
    <col min="8" max="8" width="14.85546875" bestFit="1" customWidth="1"/>
    <col min="9" max="12" width="12.28515625" customWidth="1"/>
    <col min="13" max="13" width="2" style="7" customWidth="1"/>
    <col min="14" max="14" width="11.85546875" style="7" customWidth="1"/>
    <col min="15" max="16" width="7.5703125" style="6" customWidth="1"/>
    <col min="17" max="18" width="11.42578125" style="6"/>
    <col min="19" max="46" width="11.42578125" style="7"/>
  </cols>
  <sheetData>
    <row r="1" spans="1:46" ht="15" customHeight="1" x14ac:dyDescent="0.25">
      <c r="A1" s="51" t="s">
        <v>134</v>
      </c>
      <c r="B1" s="9"/>
      <c r="C1" s="9"/>
      <c r="D1" s="135" t="s">
        <v>40</v>
      </c>
      <c r="E1" s="136"/>
      <c r="F1" s="136"/>
      <c r="G1" s="136"/>
      <c r="H1" s="137"/>
      <c r="I1" s="10"/>
      <c r="J1" s="7"/>
      <c r="K1" s="10"/>
      <c r="L1" s="10"/>
      <c r="M1" s="1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.75" customHeight="1" thickBot="1" x14ac:dyDescent="0.3">
      <c r="A2" s="52" t="s">
        <v>165</v>
      </c>
      <c r="B2" s="6"/>
      <c r="C2" s="6"/>
      <c r="D2" s="138"/>
      <c r="E2" s="139"/>
      <c r="F2" s="139"/>
      <c r="G2" s="139"/>
      <c r="H2" s="140"/>
      <c r="I2" s="7"/>
      <c r="J2" s="7"/>
      <c r="K2" s="7"/>
      <c r="L2" s="7"/>
      <c r="M2" s="13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</row>
    <row r="3" spans="1:46" x14ac:dyDescent="0.25">
      <c r="A3" s="12"/>
      <c r="B3" s="6"/>
      <c r="C3" s="6"/>
      <c r="D3" s="145"/>
      <c r="E3" s="146"/>
      <c r="F3" s="94" t="s">
        <v>59</v>
      </c>
      <c r="G3" s="94" t="s">
        <v>60</v>
      </c>
      <c r="H3" s="25"/>
      <c r="I3" s="7"/>
      <c r="J3" s="7"/>
      <c r="K3" s="7"/>
      <c r="L3" s="7"/>
      <c r="M3" s="1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x14ac:dyDescent="0.25">
      <c r="A4" s="12"/>
      <c r="B4" s="6"/>
      <c r="C4" s="6"/>
      <c r="D4" s="130" t="s">
        <v>1</v>
      </c>
      <c r="E4" s="131"/>
      <c r="F4" s="50">
        <f>'Analisis Inputs Grales'!D24</f>
        <v>8</v>
      </c>
      <c r="G4" s="50">
        <f>'Analisis Inputs Grales'!D61</f>
        <v>8</v>
      </c>
      <c r="H4" s="2" t="s">
        <v>18</v>
      </c>
      <c r="I4" s="7"/>
      <c r="J4" s="7"/>
      <c r="K4" s="7"/>
      <c r="L4" s="7"/>
      <c r="M4" s="13"/>
    </row>
    <row r="5" spans="1:46" x14ac:dyDescent="0.25">
      <c r="A5" s="12"/>
      <c r="B5" s="6"/>
      <c r="C5" s="6"/>
      <c r="D5" s="130" t="s">
        <v>3</v>
      </c>
      <c r="E5" s="131"/>
      <c r="F5" s="50">
        <f>'Analisis Inputs Grales'!D42</f>
        <v>30</v>
      </c>
      <c r="G5" s="50">
        <f>'Analisis Inputs Grales'!D79</f>
        <v>30</v>
      </c>
      <c r="H5" s="2" t="s">
        <v>19</v>
      </c>
      <c r="I5" s="7"/>
      <c r="J5" s="7"/>
      <c r="K5" s="7"/>
      <c r="L5" s="7"/>
      <c r="M5" s="13"/>
    </row>
    <row r="6" spans="1:46" x14ac:dyDescent="0.25">
      <c r="A6" s="12"/>
      <c r="B6" s="6"/>
      <c r="C6" s="6"/>
      <c r="D6" s="130" t="s">
        <v>2</v>
      </c>
      <c r="E6" s="131"/>
      <c r="F6" s="50">
        <f>'Analisis Inputs Grales'!D43</f>
        <v>30</v>
      </c>
      <c r="G6" s="50">
        <f>'Analisis Inputs Grales'!D80</f>
        <v>30</v>
      </c>
      <c r="H6" s="2" t="s">
        <v>19</v>
      </c>
      <c r="I6" s="7"/>
      <c r="J6" s="7"/>
      <c r="K6" s="7"/>
      <c r="L6" s="7"/>
      <c r="M6" s="13"/>
    </row>
    <row r="7" spans="1:46" x14ac:dyDescent="0.25">
      <c r="A7" s="12"/>
      <c r="B7" s="6"/>
      <c r="C7" s="6"/>
      <c r="D7" s="130" t="s">
        <v>4</v>
      </c>
      <c r="E7" s="131"/>
      <c r="F7" s="50">
        <f>'Analisis Inputs Grales'!$D$40/60</f>
        <v>0.5</v>
      </c>
      <c r="G7" s="50">
        <f>'Analisis Inputs Grales'!$D$77/60</f>
        <v>0.5</v>
      </c>
      <c r="H7" s="2" t="s">
        <v>18</v>
      </c>
      <c r="I7" s="7"/>
      <c r="J7" s="7"/>
      <c r="K7" s="90"/>
      <c r="L7" s="7"/>
      <c r="M7" s="13"/>
    </row>
    <row r="8" spans="1:46" x14ac:dyDescent="0.25">
      <c r="A8" s="12"/>
      <c r="B8" s="6"/>
      <c r="C8" s="6"/>
      <c r="D8" s="130" t="s">
        <v>5</v>
      </c>
      <c r="E8" s="131"/>
      <c r="F8" s="50">
        <f>'Analisis Inputs Grales'!D41</f>
        <v>5</v>
      </c>
      <c r="G8" s="50">
        <f>'Analisis Inputs Grales'!D78</f>
        <v>5</v>
      </c>
      <c r="H8" s="2" t="s">
        <v>19</v>
      </c>
      <c r="I8" s="7"/>
      <c r="J8" s="7"/>
      <c r="K8" s="7"/>
      <c r="L8" s="7"/>
      <c r="M8" s="13"/>
    </row>
    <row r="9" spans="1:46" x14ac:dyDescent="0.25">
      <c r="A9" s="12"/>
      <c r="B9" s="6"/>
      <c r="C9" s="6"/>
      <c r="D9" s="130" t="s">
        <v>6</v>
      </c>
      <c r="E9" s="131"/>
      <c r="F9" s="50">
        <f>'Analisis Inputs Grales'!D34</f>
        <v>60</v>
      </c>
      <c r="G9" s="50">
        <f>'Analisis Inputs Grales'!D71</f>
        <v>60</v>
      </c>
      <c r="H9" s="2" t="s">
        <v>20</v>
      </c>
      <c r="I9" s="7"/>
      <c r="J9" s="7"/>
      <c r="K9" s="7"/>
      <c r="L9" s="7"/>
      <c r="M9" s="13"/>
    </row>
    <row r="10" spans="1:46" x14ac:dyDescent="0.25">
      <c r="A10" s="12"/>
      <c r="B10" s="6"/>
      <c r="C10" s="6"/>
      <c r="D10" s="130" t="s">
        <v>7</v>
      </c>
      <c r="E10" s="131"/>
      <c r="F10" s="50">
        <f>'Analisis Inputs Grales'!D11</f>
        <v>12</v>
      </c>
      <c r="G10" s="50">
        <f>'Analisis Inputs Grales'!D48</f>
        <v>56</v>
      </c>
      <c r="H10" s="2" t="s">
        <v>21</v>
      </c>
      <c r="I10" s="7"/>
      <c r="J10" s="7"/>
      <c r="K10" s="7"/>
      <c r="L10" s="7"/>
      <c r="M10" s="13"/>
    </row>
    <row r="11" spans="1:46" x14ac:dyDescent="0.25">
      <c r="A11" s="12"/>
      <c r="B11" s="6"/>
      <c r="C11" s="6"/>
      <c r="D11" s="130" t="s">
        <v>8</v>
      </c>
      <c r="E11" s="131"/>
      <c r="F11" s="50">
        <v>0.8</v>
      </c>
      <c r="G11" s="50">
        <v>0.8</v>
      </c>
      <c r="H11" s="2" t="s">
        <v>23</v>
      </c>
      <c r="I11" s="7"/>
      <c r="J11" s="7"/>
      <c r="K11" s="7"/>
      <c r="L11" s="7"/>
      <c r="M11" s="13"/>
    </row>
    <row r="12" spans="1:46" ht="15" customHeight="1" x14ac:dyDescent="0.25">
      <c r="A12" s="12"/>
      <c r="B12" s="6"/>
      <c r="C12" s="6"/>
      <c r="D12" s="130" t="s">
        <v>9</v>
      </c>
      <c r="E12" s="131"/>
      <c r="F12" s="24">
        <v>0.2</v>
      </c>
      <c r="G12" s="24">
        <v>0.2</v>
      </c>
      <c r="H12" s="2" t="s">
        <v>22</v>
      </c>
      <c r="I12" s="7"/>
      <c r="J12" s="7"/>
      <c r="K12" s="7"/>
      <c r="L12" s="7"/>
      <c r="M12" s="13"/>
    </row>
    <row r="13" spans="1:46" x14ac:dyDescent="0.25">
      <c r="A13" s="12"/>
      <c r="B13" s="6"/>
      <c r="C13" s="6"/>
      <c r="D13" s="130" t="s">
        <v>10</v>
      </c>
      <c r="E13" s="131"/>
      <c r="F13" s="50">
        <f>'Analisis Inputs Grales'!D12</f>
        <v>0.5</v>
      </c>
      <c r="G13" s="50">
        <f>'Analisis Inputs Grales'!D49</f>
        <v>0.5</v>
      </c>
      <c r="H13" s="2" t="s">
        <v>23</v>
      </c>
      <c r="I13" s="7"/>
      <c r="J13" s="7"/>
      <c r="K13" s="7"/>
      <c r="L13" s="7"/>
      <c r="M13" s="13"/>
    </row>
    <row r="14" spans="1:46" ht="29.25" customHeight="1" x14ac:dyDescent="0.25">
      <c r="A14" s="12"/>
      <c r="B14" s="6"/>
      <c r="C14" s="6"/>
      <c r="D14" s="143" t="s">
        <v>11</v>
      </c>
      <c r="E14" s="144"/>
      <c r="F14" s="50">
        <f>F13*F12</f>
        <v>0.1</v>
      </c>
      <c r="G14" s="50">
        <f>G13*G12</f>
        <v>0.1</v>
      </c>
      <c r="H14" s="2" t="s">
        <v>22</v>
      </c>
      <c r="I14" s="7"/>
      <c r="J14" s="7"/>
      <c r="K14" s="7"/>
      <c r="L14" s="7"/>
      <c r="M14" s="13"/>
    </row>
    <row r="15" spans="1:46" x14ac:dyDescent="0.25">
      <c r="A15" s="12"/>
      <c r="B15" s="6"/>
      <c r="C15" s="6"/>
      <c r="D15" s="130" t="s">
        <v>12</v>
      </c>
      <c r="E15" s="131"/>
      <c r="F15" s="50">
        <f>'Analisis Inputs Grales'!D15</f>
        <v>0.1</v>
      </c>
      <c r="G15" s="50">
        <f>'Analisis Inputs Grales'!D52</f>
        <v>0.1</v>
      </c>
      <c r="H15" s="2" t="s">
        <v>23</v>
      </c>
      <c r="I15" s="7"/>
      <c r="J15" s="7"/>
      <c r="K15" s="7"/>
      <c r="L15" s="7"/>
      <c r="M15" s="13"/>
    </row>
    <row r="16" spans="1:46" x14ac:dyDescent="0.25">
      <c r="A16" s="12"/>
      <c r="B16" s="6"/>
      <c r="C16" s="6"/>
      <c r="D16" s="130" t="s">
        <v>13</v>
      </c>
      <c r="E16" s="131"/>
      <c r="F16" s="79">
        <f>VLOOKUP('Analisis Inputs Grales'!$C$2,'Analisis 20Años'!$C$138:$D$141,2,FALSE)</f>
        <v>7.1286008230452683E-2</v>
      </c>
      <c r="G16" s="50">
        <f>VLOOKUP('Analisis Inputs Grales'!$C$3,'Analisis 20Años'!$C$281:$D$284,2,FALSE)</f>
        <v>0.42333423520923519</v>
      </c>
      <c r="H16" s="2" t="s">
        <v>45</v>
      </c>
      <c r="I16" s="7"/>
      <c r="J16" s="87" t="s">
        <v>133</v>
      </c>
      <c r="K16" s="7"/>
      <c r="L16" s="7"/>
      <c r="M16" s="13"/>
    </row>
    <row r="17" spans="1:18" x14ac:dyDescent="0.25">
      <c r="A17" s="12"/>
      <c r="B17" s="6"/>
      <c r="C17" s="6"/>
      <c r="D17" s="130" t="s">
        <v>14</v>
      </c>
      <c r="E17" s="131"/>
      <c r="F17" s="150">
        <f>'Analisis Inputs Grales'!D33</f>
        <v>2.8</v>
      </c>
      <c r="G17" s="50">
        <f>'Analisis Inputs Grales'!D70</f>
        <v>2.2000000000000002</v>
      </c>
      <c r="H17" s="2" t="s">
        <v>24</v>
      </c>
      <c r="I17" s="7"/>
      <c r="J17" s="7"/>
      <c r="K17" s="7"/>
      <c r="L17" s="7"/>
      <c r="M17" s="13"/>
      <c r="R17" s="92"/>
    </row>
    <row r="18" spans="1:18" x14ac:dyDescent="0.25">
      <c r="A18" s="12"/>
      <c r="B18" s="6"/>
      <c r="C18" s="6"/>
      <c r="D18" s="130" t="s">
        <v>15</v>
      </c>
      <c r="E18" s="131"/>
      <c r="F18" s="50" t="s">
        <v>17</v>
      </c>
      <c r="G18" s="50" t="s">
        <v>17</v>
      </c>
      <c r="H18" s="2" t="s">
        <v>23</v>
      </c>
      <c r="I18" s="7"/>
      <c r="J18" s="7"/>
      <c r="K18" s="7"/>
      <c r="L18" s="7"/>
      <c r="M18" s="13"/>
    </row>
    <row r="19" spans="1:18" x14ac:dyDescent="0.25">
      <c r="A19" s="12"/>
      <c r="B19" s="6"/>
      <c r="C19" s="6"/>
      <c r="D19" s="130" t="s">
        <v>16</v>
      </c>
      <c r="E19" s="131"/>
      <c r="F19" s="24">
        <v>2.35</v>
      </c>
      <c r="G19" s="24">
        <v>2.35</v>
      </c>
      <c r="H19" s="2" t="s">
        <v>25</v>
      </c>
      <c r="I19" s="7"/>
      <c r="J19" s="7"/>
      <c r="K19" s="7"/>
      <c r="L19" s="7"/>
      <c r="M19" s="13"/>
    </row>
    <row r="20" spans="1:18" x14ac:dyDescent="0.25">
      <c r="A20" s="12"/>
      <c r="B20" s="6"/>
      <c r="C20" s="6"/>
      <c r="D20" s="132" t="s">
        <v>32</v>
      </c>
      <c r="E20" s="133"/>
      <c r="F20" s="133"/>
      <c r="G20" s="133"/>
      <c r="H20" s="134"/>
      <c r="I20" s="7"/>
      <c r="J20" s="7"/>
      <c r="K20" s="7"/>
      <c r="L20" s="7"/>
      <c r="M20" s="13"/>
    </row>
    <row r="21" spans="1:18" x14ac:dyDescent="0.25">
      <c r="A21" s="12"/>
      <c r="B21" s="6"/>
      <c r="C21" s="6"/>
      <c r="D21" s="141" t="s">
        <v>0</v>
      </c>
      <c r="E21" s="142"/>
      <c r="F21" s="142"/>
      <c r="G21" s="5" t="s">
        <v>26</v>
      </c>
      <c r="H21" s="8" t="s">
        <v>31</v>
      </c>
      <c r="I21" s="7"/>
      <c r="J21" s="7"/>
      <c r="K21" s="7"/>
      <c r="L21" s="7"/>
      <c r="M21" s="13"/>
    </row>
    <row r="22" spans="1:18" x14ac:dyDescent="0.25">
      <c r="A22" s="12"/>
      <c r="B22" s="6"/>
      <c r="C22" s="6"/>
      <c r="D22" s="126" t="s">
        <v>33</v>
      </c>
      <c r="E22" s="127"/>
      <c r="F22" s="127"/>
      <c r="G22" s="85">
        <f>'Analisis Inputs Grales'!D90</f>
        <v>4.0207655869927024</v>
      </c>
      <c r="H22" s="3" t="s">
        <v>46</v>
      </c>
      <c r="I22" s="7"/>
      <c r="J22" s="86" t="s">
        <v>166</v>
      </c>
      <c r="K22" s="151">
        <f>'Analisis Inputs Grales'!D84</f>
        <v>20</v>
      </c>
      <c r="L22" s="7"/>
      <c r="M22" s="13"/>
    </row>
    <row r="23" spans="1:18" x14ac:dyDescent="0.25">
      <c r="A23" s="12"/>
      <c r="B23" s="6"/>
      <c r="C23" s="6"/>
      <c r="D23" s="126" t="s">
        <v>34</v>
      </c>
      <c r="E23" s="127"/>
      <c r="F23" s="127"/>
      <c r="G23" s="85">
        <f>'Analisis Inputs Grales'!D91</f>
        <v>11.882952815871858</v>
      </c>
      <c r="H23" s="3" t="s">
        <v>46</v>
      </c>
      <c r="I23" s="7"/>
      <c r="J23" s="7"/>
      <c r="K23" s="7"/>
      <c r="L23" s="7"/>
      <c r="M23" s="13"/>
    </row>
    <row r="24" spans="1:18" x14ac:dyDescent="0.25">
      <c r="A24" s="12"/>
      <c r="B24" s="6"/>
      <c r="C24" s="6"/>
      <c r="D24" s="126" t="s">
        <v>27</v>
      </c>
      <c r="E24" s="127"/>
      <c r="F24" s="127"/>
      <c r="G24" s="49">
        <v>0</v>
      </c>
      <c r="H24" s="3" t="s">
        <v>46</v>
      </c>
      <c r="I24" s="7"/>
      <c r="J24" s="7"/>
      <c r="K24" s="7"/>
      <c r="L24" s="7"/>
      <c r="M24" s="13"/>
    </row>
    <row r="25" spans="1:18" x14ac:dyDescent="0.25">
      <c r="A25" s="12"/>
      <c r="B25" s="6"/>
      <c r="C25" s="6"/>
      <c r="D25" s="126" t="s">
        <v>28</v>
      </c>
      <c r="E25" s="127"/>
      <c r="F25" s="127"/>
      <c r="G25" s="49">
        <v>0</v>
      </c>
      <c r="H25" s="3" t="s">
        <v>46</v>
      </c>
      <c r="I25" s="7"/>
      <c r="J25" s="7"/>
      <c r="K25" s="7"/>
      <c r="L25" s="7"/>
      <c r="M25" s="13"/>
    </row>
    <row r="26" spans="1:18" x14ac:dyDescent="0.25">
      <c r="A26" s="18"/>
      <c r="B26" s="6"/>
      <c r="C26" s="6"/>
      <c r="D26" s="126" t="s">
        <v>29</v>
      </c>
      <c r="E26" s="127"/>
      <c r="F26" s="127"/>
      <c r="G26" s="85">
        <f>'Analisis Inputs Grales'!D113</f>
        <v>9.3410766867238504</v>
      </c>
      <c r="H26" s="3" t="s">
        <v>46</v>
      </c>
      <c r="I26" s="7"/>
      <c r="J26" s="86" t="s">
        <v>168</v>
      </c>
      <c r="K26" s="151">
        <f>'Analisis Inputs Grales'!D108</f>
        <v>20</v>
      </c>
      <c r="L26" s="7"/>
      <c r="M26" s="13"/>
    </row>
    <row r="27" spans="1:18" ht="15.75" thickBot="1" x14ac:dyDescent="0.3">
      <c r="A27" s="19"/>
      <c r="B27" s="6"/>
      <c r="C27" s="6"/>
      <c r="D27" s="128" t="s">
        <v>30</v>
      </c>
      <c r="E27" s="129"/>
      <c r="F27" s="129"/>
      <c r="G27" s="89">
        <f>'Analisis Inputs Grales'!D114</f>
        <v>15.998498814375136</v>
      </c>
      <c r="H27" s="4" t="s">
        <v>46</v>
      </c>
      <c r="I27" s="7"/>
      <c r="J27" s="7"/>
      <c r="K27" s="7"/>
      <c r="L27" s="7"/>
      <c r="M27" s="13"/>
    </row>
    <row r="28" spans="1:18" ht="15.75" thickBot="1" x14ac:dyDescent="0.3">
      <c r="A28" s="19"/>
      <c r="B28" s="6"/>
      <c r="C28" s="6"/>
      <c r="D28" s="6"/>
      <c r="E28" s="6"/>
      <c r="F28" s="6"/>
      <c r="G28" s="6"/>
      <c r="H28" s="6"/>
      <c r="I28" s="7"/>
      <c r="J28" s="7"/>
      <c r="K28" s="7"/>
      <c r="L28" s="7"/>
      <c r="M28" s="13"/>
    </row>
    <row r="29" spans="1:18" x14ac:dyDescent="0.25">
      <c r="A29" s="19"/>
      <c r="B29" s="6"/>
      <c r="C29" s="6"/>
      <c r="D29" s="124" t="s">
        <v>47</v>
      </c>
      <c r="E29" s="125"/>
      <c r="F29" s="125"/>
      <c r="G29" s="21">
        <v>4</v>
      </c>
      <c r="H29" s="20" t="s">
        <v>44</v>
      </c>
      <c r="I29" s="7"/>
      <c r="J29" s="7"/>
      <c r="K29" s="7"/>
      <c r="L29" s="7"/>
      <c r="M29" s="13"/>
    </row>
    <row r="30" spans="1:18" x14ac:dyDescent="0.25">
      <c r="A30" s="19"/>
      <c r="B30" s="6"/>
      <c r="C30" s="6"/>
      <c r="D30" s="126" t="s">
        <v>48</v>
      </c>
      <c r="E30" s="127"/>
      <c r="F30" s="127"/>
      <c r="G30" s="22">
        <v>4</v>
      </c>
      <c r="H30" s="3" t="s">
        <v>44</v>
      </c>
      <c r="I30" s="7"/>
      <c r="J30" s="7"/>
      <c r="K30" s="7"/>
      <c r="L30" s="7"/>
      <c r="M30" s="13"/>
    </row>
    <row r="31" spans="1:18" ht="15.75" thickBot="1" x14ac:dyDescent="0.3">
      <c r="A31" s="19"/>
      <c r="B31" s="6"/>
      <c r="C31" s="6"/>
      <c r="D31" s="128" t="s">
        <v>49</v>
      </c>
      <c r="E31" s="129"/>
      <c r="F31" s="129"/>
      <c r="G31" s="23">
        <v>2</v>
      </c>
      <c r="H31" s="4" t="s">
        <v>44</v>
      </c>
      <c r="I31" s="7"/>
      <c r="J31" s="7"/>
      <c r="K31" s="7"/>
      <c r="L31" s="7"/>
      <c r="M31" s="13"/>
    </row>
    <row r="32" spans="1:18" x14ac:dyDescent="0.25">
      <c r="A32" s="19"/>
      <c r="B32" s="6"/>
      <c r="C32" s="6"/>
      <c r="D32" s="6"/>
      <c r="E32" s="6"/>
      <c r="F32" s="6"/>
      <c r="G32" s="6"/>
      <c r="H32" s="6"/>
      <c r="I32" s="7"/>
      <c r="J32" s="7"/>
      <c r="K32" s="7"/>
      <c r="L32" s="7"/>
      <c r="M32" s="13"/>
    </row>
    <row r="33" spans="1:18" x14ac:dyDescent="0.25">
      <c r="A33" s="19"/>
      <c r="B33" s="6"/>
      <c r="C33" s="6"/>
      <c r="D33" s="132" t="s">
        <v>169</v>
      </c>
      <c r="E33" s="133"/>
      <c r="F33" s="133"/>
      <c r="G33" s="133"/>
      <c r="H33" s="134"/>
      <c r="I33" s="7"/>
      <c r="J33" s="7"/>
      <c r="K33" s="7"/>
      <c r="L33" s="7"/>
      <c r="M33" s="13"/>
    </row>
    <row r="34" spans="1:18" ht="15.75" thickBot="1" x14ac:dyDescent="0.3">
      <c r="A34" s="19"/>
      <c r="B34" s="6"/>
      <c r="C34" s="6"/>
      <c r="D34" s="6"/>
      <c r="E34" s="6"/>
      <c r="F34" s="6"/>
      <c r="G34" s="6"/>
      <c r="H34" s="6"/>
      <c r="I34" s="7"/>
      <c r="J34" s="7"/>
      <c r="K34" s="7"/>
      <c r="L34" s="7"/>
      <c r="M34" s="13"/>
    </row>
    <row r="35" spans="1:18" x14ac:dyDescent="0.25">
      <c r="A35" s="19"/>
      <c r="B35" s="6"/>
      <c r="C35" s="6"/>
      <c r="D35" s="124" t="s">
        <v>171</v>
      </c>
      <c r="E35" s="125"/>
      <c r="F35" s="125"/>
      <c r="G35" s="21">
        <v>4</v>
      </c>
      <c r="H35" s="20" t="s">
        <v>23</v>
      </c>
      <c r="I35" s="7"/>
      <c r="J35" s="7"/>
      <c r="K35" s="7"/>
      <c r="L35" s="7"/>
      <c r="M35" s="13"/>
    </row>
    <row r="36" spans="1:18" x14ac:dyDescent="0.25">
      <c r="A36" s="19"/>
      <c r="B36" s="6"/>
      <c r="C36" s="6"/>
      <c r="D36" s="126" t="s">
        <v>172</v>
      </c>
      <c r="E36" s="127"/>
      <c r="F36" s="127"/>
      <c r="G36" s="22">
        <v>25</v>
      </c>
      <c r="H36" s="3" t="s">
        <v>84</v>
      </c>
      <c r="I36" s="7"/>
      <c r="J36" s="7"/>
      <c r="K36" s="7"/>
      <c r="L36" s="7"/>
      <c r="M36" s="13"/>
    </row>
    <row r="37" spans="1:18" x14ac:dyDescent="0.25">
      <c r="A37" s="19"/>
      <c r="B37" s="6"/>
      <c r="C37" s="6"/>
      <c r="D37" s="126" t="s">
        <v>173</v>
      </c>
      <c r="E37" s="127"/>
      <c r="F37" s="127"/>
      <c r="G37" s="22">
        <v>25</v>
      </c>
      <c r="H37" s="3" t="s">
        <v>84</v>
      </c>
      <c r="I37" s="7"/>
      <c r="J37" s="7"/>
      <c r="K37" s="7"/>
      <c r="L37" s="7"/>
      <c r="M37" s="13"/>
    </row>
    <row r="38" spans="1:18" ht="15.75" thickBot="1" x14ac:dyDescent="0.3">
      <c r="A38" s="19"/>
      <c r="B38" s="6"/>
      <c r="C38" s="6"/>
      <c r="D38" s="128" t="s">
        <v>175</v>
      </c>
      <c r="E38" s="129"/>
      <c r="F38" s="129"/>
      <c r="G38" s="152">
        <f>'Analisis Inputs Grales'!D85</f>
        <v>100</v>
      </c>
      <c r="H38" s="4" t="s">
        <v>156</v>
      </c>
      <c r="I38" s="7"/>
      <c r="J38" s="7"/>
      <c r="K38" s="7"/>
      <c r="L38" s="7"/>
      <c r="M38" s="13"/>
    </row>
    <row r="39" spans="1:18" x14ac:dyDescent="0.25">
      <c r="A39" s="19"/>
      <c r="B39" s="6"/>
      <c r="C39" s="6"/>
      <c r="D39" s="6"/>
      <c r="E39" s="6"/>
      <c r="F39" s="6"/>
      <c r="G39" s="6"/>
      <c r="H39" s="6"/>
      <c r="I39" s="7"/>
      <c r="J39" s="7"/>
      <c r="K39" s="7"/>
      <c r="L39" s="7"/>
      <c r="M39" s="13"/>
    </row>
    <row r="40" spans="1:18" ht="15" customHeight="1" thickBot="1" x14ac:dyDescent="0.3">
      <c r="A40" s="14"/>
      <c r="B40" s="15"/>
      <c r="C40" s="15"/>
      <c r="D40" s="15"/>
      <c r="E40" s="15"/>
      <c r="F40" s="15"/>
      <c r="G40" s="16"/>
      <c r="H40" s="16"/>
      <c r="I40" s="16"/>
      <c r="J40" s="16"/>
      <c r="K40" s="16"/>
      <c r="L40" s="16"/>
      <c r="M40" s="17"/>
    </row>
    <row r="41" spans="1:18" s="7" customFormat="1" x14ac:dyDescent="0.25">
      <c r="A41" s="6"/>
      <c r="B41" s="6"/>
      <c r="C41" s="6"/>
      <c r="D41" s="6"/>
      <c r="E41" s="6"/>
      <c r="F41" s="6"/>
      <c r="O41" s="6"/>
      <c r="P41" s="6"/>
      <c r="Q41" s="6"/>
      <c r="R41" s="6"/>
    </row>
    <row r="42" spans="1:18" s="7" customFormat="1" x14ac:dyDescent="0.25">
      <c r="A42" s="6"/>
      <c r="B42" s="6"/>
      <c r="C42" s="6"/>
      <c r="D42" s="6"/>
      <c r="E42" s="6"/>
      <c r="F42" s="6"/>
      <c r="O42" s="6"/>
      <c r="P42" s="6"/>
      <c r="Q42" s="6"/>
      <c r="R42" s="6"/>
    </row>
    <row r="43" spans="1:18" s="7" customFormat="1" x14ac:dyDescent="0.25">
      <c r="A43" s="6"/>
      <c r="B43" s="6"/>
      <c r="C43" s="6"/>
      <c r="D43" s="6"/>
      <c r="E43" s="6"/>
      <c r="F43" s="6"/>
      <c r="O43" s="6"/>
      <c r="P43" s="6"/>
      <c r="Q43" s="6"/>
      <c r="R43" s="6"/>
    </row>
    <row r="44" spans="1:18" s="7" customFormat="1" x14ac:dyDescent="0.25">
      <c r="A44" s="6"/>
      <c r="B44" s="6"/>
      <c r="C44" s="6"/>
      <c r="D44" s="6"/>
      <c r="E44" s="6"/>
      <c r="F44" s="6"/>
      <c r="O44" s="6"/>
      <c r="P44" s="6"/>
      <c r="Q44" s="6"/>
      <c r="R44" s="6"/>
    </row>
    <row r="45" spans="1:18" s="7" customFormat="1" x14ac:dyDescent="0.25">
      <c r="A45" s="6"/>
      <c r="B45" s="6"/>
      <c r="C45" s="6"/>
      <c r="D45" s="6"/>
      <c r="E45" s="6"/>
      <c r="F45" s="6"/>
      <c r="O45" s="6"/>
      <c r="P45" s="6"/>
      <c r="Q45" s="6"/>
      <c r="R45" s="6"/>
    </row>
    <row r="46" spans="1:18" s="7" customFormat="1" x14ac:dyDescent="0.25">
      <c r="A46" s="6"/>
      <c r="B46" s="6"/>
      <c r="C46" s="6"/>
      <c r="D46" s="6"/>
      <c r="E46" s="6"/>
      <c r="F46" s="6"/>
      <c r="O46" s="6"/>
      <c r="P46" s="6"/>
      <c r="Q46" s="6"/>
      <c r="R46" s="6"/>
    </row>
    <row r="47" spans="1:18" s="7" customFormat="1" x14ac:dyDescent="0.25">
      <c r="A47" s="6"/>
      <c r="B47" s="6"/>
      <c r="C47" s="6"/>
      <c r="D47" s="6"/>
      <c r="E47" s="6"/>
      <c r="F47" s="6"/>
      <c r="O47" s="6"/>
      <c r="P47" s="6"/>
      <c r="Q47" s="6"/>
      <c r="R47" s="6"/>
    </row>
    <row r="48" spans="1:18" s="7" customFormat="1" x14ac:dyDescent="0.25">
      <c r="A48" s="6"/>
      <c r="B48" s="6"/>
      <c r="C48" s="6"/>
      <c r="D48" s="6"/>
      <c r="E48" s="6"/>
      <c r="F48" s="6"/>
      <c r="O48" s="6"/>
      <c r="P48" s="6"/>
      <c r="Q48" s="6"/>
      <c r="R48" s="6"/>
    </row>
    <row r="49" spans="1:18" s="7" customFormat="1" x14ac:dyDescent="0.25">
      <c r="A49" s="6"/>
      <c r="B49" s="6"/>
      <c r="C49" s="6"/>
      <c r="D49" s="6"/>
      <c r="E49" s="6"/>
      <c r="F49" s="6"/>
      <c r="O49" s="6"/>
      <c r="P49" s="6"/>
      <c r="Q49" s="6"/>
      <c r="R49" s="6"/>
    </row>
    <row r="50" spans="1:18" s="7" customFormat="1" x14ac:dyDescent="0.25">
      <c r="A50" s="6"/>
      <c r="B50" s="6"/>
      <c r="C50" s="6"/>
      <c r="D50" s="6"/>
      <c r="E50" s="6"/>
      <c r="F50" s="6"/>
      <c r="O50" s="6"/>
      <c r="P50" s="6"/>
      <c r="Q50" s="6"/>
      <c r="R50" s="6"/>
    </row>
    <row r="51" spans="1:18" s="7" customFormat="1" x14ac:dyDescent="0.25">
      <c r="A51" s="6"/>
      <c r="B51" s="6"/>
      <c r="C51" s="6"/>
      <c r="D51" s="6"/>
      <c r="E51" s="6"/>
      <c r="F51" s="6"/>
      <c r="O51" s="6"/>
      <c r="P51" s="6"/>
      <c r="Q51" s="6"/>
      <c r="R51" s="6"/>
    </row>
    <row r="52" spans="1:18" s="7" customFormat="1" x14ac:dyDescent="0.25">
      <c r="A52" s="6"/>
      <c r="B52" s="6"/>
      <c r="C52" s="6"/>
      <c r="D52" s="6"/>
      <c r="E52" s="6"/>
      <c r="F52" s="6"/>
      <c r="O52" s="6"/>
      <c r="P52" s="6"/>
      <c r="Q52" s="6"/>
      <c r="R52" s="6"/>
    </row>
    <row r="53" spans="1:18" s="7" customFormat="1" x14ac:dyDescent="0.25">
      <c r="A53" s="6"/>
      <c r="B53" s="6"/>
      <c r="C53" s="6"/>
      <c r="D53" s="6"/>
      <c r="E53" s="6"/>
      <c r="F53" s="6"/>
      <c r="O53" s="6"/>
      <c r="P53" s="6"/>
      <c r="Q53" s="6"/>
      <c r="R53" s="6"/>
    </row>
    <row r="54" spans="1:18" s="7" customFormat="1" x14ac:dyDescent="0.25">
      <c r="A54" s="6"/>
      <c r="B54" s="6"/>
      <c r="C54" s="6"/>
      <c r="D54" s="6"/>
      <c r="E54" s="6"/>
      <c r="F54" s="6"/>
      <c r="O54" s="6"/>
      <c r="P54" s="6"/>
      <c r="Q54" s="6"/>
      <c r="R54" s="6"/>
    </row>
    <row r="55" spans="1:18" s="7" customFormat="1" x14ac:dyDescent="0.25">
      <c r="A55" s="6"/>
      <c r="B55" s="6"/>
      <c r="C55" s="6"/>
      <c r="D55" s="6"/>
      <c r="E55" s="6"/>
      <c r="F55" s="6"/>
      <c r="O55" s="6"/>
      <c r="P55" s="6"/>
      <c r="Q55" s="6"/>
      <c r="R55" s="6"/>
    </row>
    <row r="56" spans="1:18" s="7" customFormat="1" x14ac:dyDescent="0.25">
      <c r="A56" s="6"/>
      <c r="B56" s="6"/>
      <c r="C56" s="6"/>
      <c r="D56" s="6"/>
      <c r="E56" s="6"/>
      <c r="F56" s="6"/>
      <c r="O56" s="6"/>
      <c r="P56" s="6"/>
      <c r="Q56" s="6"/>
      <c r="R56" s="6"/>
    </row>
    <row r="57" spans="1:18" s="7" customFormat="1" x14ac:dyDescent="0.25">
      <c r="A57" s="6"/>
      <c r="B57" s="6"/>
      <c r="C57" s="6"/>
      <c r="D57" s="6"/>
      <c r="E57" s="6"/>
      <c r="F57" s="6"/>
      <c r="O57" s="6"/>
      <c r="P57" s="6"/>
      <c r="Q57" s="6"/>
      <c r="R57" s="6"/>
    </row>
    <row r="58" spans="1:18" s="7" customFormat="1" x14ac:dyDescent="0.25">
      <c r="A58" s="6"/>
      <c r="B58" s="6"/>
      <c r="C58" s="6"/>
      <c r="D58" s="6"/>
      <c r="E58" s="6"/>
      <c r="F58" s="6"/>
      <c r="O58" s="6"/>
      <c r="P58" s="6"/>
      <c r="Q58" s="6"/>
      <c r="R58" s="6"/>
    </row>
    <row r="59" spans="1:18" s="7" customFormat="1" x14ac:dyDescent="0.25">
      <c r="A59" s="6"/>
      <c r="B59" s="6"/>
      <c r="C59" s="6"/>
      <c r="D59" s="6"/>
      <c r="E59" s="6"/>
      <c r="F59" s="6"/>
      <c r="O59" s="6"/>
      <c r="P59" s="6"/>
      <c r="Q59" s="6"/>
      <c r="R59" s="6"/>
    </row>
    <row r="60" spans="1:18" s="7" customFormat="1" x14ac:dyDescent="0.25">
      <c r="A60" s="6"/>
      <c r="B60" s="6"/>
      <c r="C60" s="6"/>
      <c r="D60" s="6"/>
      <c r="E60" s="6"/>
      <c r="F60" s="6"/>
      <c r="O60" s="6"/>
      <c r="P60" s="6"/>
      <c r="Q60" s="6"/>
      <c r="R60" s="6"/>
    </row>
    <row r="61" spans="1:18" s="7" customFormat="1" x14ac:dyDescent="0.25">
      <c r="A61" s="6"/>
      <c r="B61" s="6"/>
      <c r="C61" s="6"/>
      <c r="D61" s="6"/>
      <c r="E61" s="6"/>
      <c r="F61" s="6"/>
      <c r="O61" s="6"/>
      <c r="P61" s="6"/>
      <c r="Q61" s="6"/>
      <c r="R61" s="6"/>
    </row>
    <row r="62" spans="1:18" s="7" customFormat="1" x14ac:dyDescent="0.25">
      <c r="A62" s="6"/>
      <c r="B62" s="6"/>
      <c r="C62" s="6"/>
      <c r="D62" s="6"/>
      <c r="E62" s="6"/>
      <c r="F62" s="6"/>
      <c r="O62" s="6"/>
      <c r="P62" s="6"/>
      <c r="Q62" s="6"/>
      <c r="R62" s="6"/>
    </row>
    <row r="63" spans="1:18" s="7" customFormat="1" x14ac:dyDescent="0.25">
      <c r="A63" s="6"/>
      <c r="B63" s="6"/>
      <c r="C63" s="6"/>
      <c r="D63" s="6"/>
      <c r="E63" s="6"/>
      <c r="F63" s="6"/>
      <c r="O63" s="6"/>
      <c r="P63" s="6"/>
      <c r="Q63" s="6"/>
      <c r="R63" s="6"/>
    </row>
    <row r="64" spans="1:18" s="7" customFormat="1" x14ac:dyDescent="0.25">
      <c r="A64" s="6"/>
      <c r="B64" s="6"/>
      <c r="C64" s="6"/>
      <c r="D64" s="6"/>
      <c r="E64" s="6"/>
      <c r="F64" s="6"/>
      <c r="O64" s="6"/>
      <c r="P64" s="6"/>
      <c r="Q64" s="6"/>
      <c r="R64" s="6"/>
    </row>
    <row r="65" spans="1:18" s="7" customFormat="1" x14ac:dyDescent="0.25">
      <c r="A65" s="6"/>
      <c r="B65" s="6"/>
      <c r="C65" s="6"/>
      <c r="D65" s="6"/>
      <c r="E65" s="6"/>
      <c r="F65" s="6"/>
      <c r="O65" s="6"/>
      <c r="P65" s="6"/>
      <c r="Q65" s="6"/>
      <c r="R65" s="6"/>
    </row>
    <row r="66" spans="1:18" s="7" customFormat="1" x14ac:dyDescent="0.25">
      <c r="A66" s="6"/>
      <c r="B66" s="6"/>
      <c r="C66" s="6"/>
      <c r="D66" s="6"/>
      <c r="E66" s="6"/>
      <c r="F66" s="6"/>
      <c r="O66" s="6"/>
      <c r="P66" s="6"/>
      <c r="Q66" s="6"/>
      <c r="R66" s="6"/>
    </row>
    <row r="67" spans="1:18" s="7" customFormat="1" x14ac:dyDescent="0.25">
      <c r="A67" s="6"/>
      <c r="B67" s="6"/>
      <c r="C67" s="6"/>
      <c r="D67" s="6"/>
      <c r="E67" s="6"/>
      <c r="F67" s="6"/>
      <c r="O67" s="6"/>
      <c r="P67" s="6"/>
      <c r="Q67" s="6"/>
      <c r="R67" s="6"/>
    </row>
    <row r="68" spans="1:18" s="7" customFormat="1" x14ac:dyDescent="0.25">
      <c r="A68" s="6"/>
      <c r="B68" s="6"/>
      <c r="C68" s="6"/>
      <c r="D68" s="6"/>
      <c r="E68" s="6"/>
      <c r="F68" s="6"/>
      <c r="O68" s="6"/>
      <c r="P68" s="6"/>
      <c r="Q68" s="6"/>
      <c r="R68" s="6"/>
    </row>
    <row r="69" spans="1:18" s="7" customFormat="1" x14ac:dyDescent="0.25">
      <c r="A69" s="6"/>
      <c r="B69" s="6"/>
      <c r="C69" s="6"/>
      <c r="D69" s="6"/>
      <c r="E69" s="6"/>
      <c r="F69" s="6"/>
      <c r="O69" s="6"/>
      <c r="P69" s="6"/>
      <c r="Q69" s="6"/>
      <c r="R69" s="6"/>
    </row>
    <row r="70" spans="1:18" s="7" customFormat="1" x14ac:dyDescent="0.25">
      <c r="A70" s="6"/>
      <c r="B70" s="6"/>
      <c r="C70" s="6"/>
      <c r="D70" s="6"/>
      <c r="E70" s="6"/>
      <c r="F70" s="6"/>
      <c r="O70" s="6"/>
      <c r="P70" s="6"/>
      <c r="Q70" s="6"/>
      <c r="R70" s="6"/>
    </row>
    <row r="71" spans="1:18" s="7" customFormat="1" x14ac:dyDescent="0.25">
      <c r="A71" s="6"/>
      <c r="B71" s="6"/>
      <c r="C71" s="6"/>
      <c r="D71" s="6"/>
      <c r="E71" s="6"/>
      <c r="F71" s="6"/>
      <c r="O71" s="6"/>
      <c r="P71" s="6"/>
      <c r="Q71" s="6"/>
      <c r="R71" s="6"/>
    </row>
    <row r="72" spans="1:18" s="7" customFormat="1" x14ac:dyDescent="0.25">
      <c r="A72" s="6"/>
      <c r="B72" s="6"/>
      <c r="C72" s="6"/>
      <c r="D72" s="6"/>
      <c r="E72" s="6"/>
      <c r="F72" s="6"/>
      <c r="O72" s="6"/>
      <c r="P72" s="6"/>
      <c r="Q72" s="6"/>
      <c r="R72" s="6"/>
    </row>
    <row r="73" spans="1:18" s="7" customFormat="1" x14ac:dyDescent="0.25">
      <c r="A73" s="6"/>
      <c r="B73" s="6"/>
      <c r="C73" s="6"/>
      <c r="D73" s="6"/>
      <c r="E73" s="6"/>
      <c r="F73" s="6"/>
      <c r="O73" s="6"/>
      <c r="P73" s="6"/>
      <c r="Q73" s="6"/>
      <c r="R73" s="6"/>
    </row>
    <row r="74" spans="1:18" s="7" customFormat="1" x14ac:dyDescent="0.25">
      <c r="A74" s="6"/>
      <c r="B74" s="6"/>
      <c r="C74" s="6"/>
      <c r="D74" s="6"/>
      <c r="E74" s="6"/>
      <c r="F74" s="6"/>
      <c r="O74" s="6"/>
      <c r="P74" s="6"/>
      <c r="Q74" s="6"/>
      <c r="R74" s="6"/>
    </row>
    <row r="75" spans="1:18" s="7" customFormat="1" x14ac:dyDescent="0.25">
      <c r="A75" s="6"/>
      <c r="B75" s="6"/>
      <c r="C75" s="6"/>
      <c r="D75" s="6"/>
      <c r="E75" s="6"/>
      <c r="F75" s="6"/>
      <c r="O75" s="6"/>
      <c r="P75" s="6"/>
      <c r="Q75" s="6"/>
      <c r="R75" s="6"/>
    </row>
    <row r="76" spans="1:18" s="7" customFormat="1" x14ac:dyDescent="0.25">
      <c r="A76" s="6"/>
      <c r="B76" s="6"/>
      <c r="C76" s="6"/>
      <c r="D76" s="6"/>
      <c r="E76" s="6"/>
      <c r="F76" s="6"/>
      <c r="O76" s="6"/>
      <c r="P76" s="6"/>
      <c r="Q76" s="6"/>
      <c r="R76" s="6"/>
    </row>
    <row r="77" spans="1:18" s="7" customFormat="1" x14ac:dyDescent="0.25">
      <c r="A77" s="6"/>
      <c r="B77" s="6"/>
      <c r="C77" s="6"/>
      <c r="D77" s="6"/>
      <c r="E77" s="6"/>
      <c r="F77" s="6"/>
      <c r="O77" s="6"/>
      <c r="P77" s="6"/>
      <c r="Q77" s="6"/>
      <c r="R77" s="6"/>
    </row>
    <row r="78" spans="1:18" s="7" customFormat="1" x14ac:dyDescent="0.25">
      <c r="A78" s="6"/>
      <c r="B78" s="6"/>
      <c r="C78" s="6"/>
      <c r="D78" s="6"/>
      <c r="E78" s="6"/>
      <c r="F78" s="6"/>
      <c r="O78" s="6"/>
      <c r="P78" s="6"/>
      <c r="Q78" s="6"/>
      <c r="R78" s="6"/>
    </row>
    <row r="79" spans="1:18" s="7" customFormat="1" x14ac:dyDescent="0.25">
      <c r="A79" s="6"/>
      <c r="B79" s="6"/>
      <c r="C79" s="6"/>
      <c r="D79" s="6"/>
      <c r="E79" s="6"/>
      <c r="F79" s="6"/>
      <c r="O79" s="6"/>
      <c r="P79" s="6"/>
      <c r="Q79" s="6"/>
      <c r="R79" s="6"/>
    </row>
    <row r="80" spans="1:18" s="7" customFormat="1" x14ac:dyDescent="0.25">
      <c r="A80" s="6"/>
      <c r="B80" s="6"/>
      <c r="C80" s="6"/>
      <c r="D80" s="6"/>
      <c r="E80" s="6"/>
      <c r="F80" s="6"/>
      <c r="O80" s="6"/>
      <c r="P80" s="6"/>
      <c r="Q80" s="6"/>
      <c r="R80" s="6"/>
    </row>
    <row r="81" spans="1:18" s="7" customFormat="1" x14ac:dyDescent="0.25">
      <c r="A81" s="6"/>
      <c r="B81" s="6"/>
      <c r="C81" s="6"/>
      <c r="D81" s="6"/>
      <c r="E81" s="6"/>
      <c r="F81" s="6"/>
      <c r="O81" s="6"/>
      <c r="P81" s="6"/>
      <c r="Q81" s="6"/>
      <c r="R81" s="6"/>
    </row>
    <row r="82" spans="1:18" s="7" customFormat="1" x14ac:dyDescent="0.25">
      <c r="A82" s="6"/>
      <c r="B82" s="6"/>
      <c r="C82" s="6"/>
      <c r="D82" s="6"/>
      <c r="E82" s="6"/>
      <c r="F82" s="6"/>
      <c r="O82" s="6"/>
      <c r="P82" s="6"/>
      <c r="Q82" s="6"/>
      <c r="R82" s="6"/>
    </row>
    <row r="83" spans="1:18" s="7" customFormat="1" x14ac:dyDescent="0.25">
      <c r="A83" s="6"/>
      <c r="B83" s="6"/>
      <c r="C83" s="6"/>
      <c r="D83" s="6"/>
      <c r="E83" s="6"/>
      <c r="F83" s="6"/>
      <c r="O83" s="6"/>
      <c r="P83" s="6"/>
      <c r="Q83" s="6"/>
      <c r="R83" s="6"/>
    </row>
    <row r="84" spans="1:18" s="7" customFormat="1" x14ac:dyDescent="0.25">
      <c r="A84" s="6"/>
      <c r="B84" s="6"/>
      <c r="C84" s="6"/>
      <c r="D84" s="6"/>
      <c r="E84" s="6"/>
      <c r="F84" s="6"/>
      <c r="O84" s="6"/>
      <c r="P84" s="6"/>
      <c r="Q84" s="6"/>
      <c r="R84" s="6"/>
    </row>
    <row r="85" spans="1:18" s="7" customFormat="1" x14ac:dyDescent="0.25">
      <c r="A85" s="6"/>
      <c r="B85" s="6"/>
      <c r="C85" s="6"/>
      <c r="D85" s="6"/>
      <c r="E85" s="6"/>
      <c r="F85" s="6"/>
      <c r="O85" s="6"/>
      <c r="P85" s="6"/>
      <c r="Q85" s="6"/>
      <c r="R85" s="6"/>
    </row>
    <row r="86" spans="1:18" s="7" customFormat="1" x14ac:dyDescent="0.25">
      <c r="A86" s="6"/>
      <c r="B86" s="6"/>
      <c r="C86" s="6"/>
      <c r="D86" s="6"/>
      <c r="E86" s="6"/>
      <c r="F86" s="6"/>
      <c r="O86" s="6"/>
      <c r="P86" s="6"/>
      <c r="Q86" s="6"/>
      <c r="R86" s="6"/>
    </row>
    <row r="87" spans="1:18" s="7" customFormat="1" x14ac:dyDescent="0.25">
      <c r="A87" s="6"/>
      <c r="B87" s="6"/>
      <c r="C87" s="6"/>
      <c r="D87" s="6"/>
      <c r="E87" s="6"/>
      <c r="F87" s="6"/>
      <c r="O87" s="6"/>
      <c r="P87" s="6"/>
      <c r="Q87" s="6"/>
      <c r="R87" s="6"/>
    </row>
    <row r="88" spans="1:18" s="7" customFormat="1" x14ac:dyDescent="0.25">
      <c r="A88" s="6"/>
      <c r="B88" s="6"/>
      <c r="C88" s="6"/>
      <c r="D88" s="6"/>
      <c r="E88" s="6"/>
      <c r="F88" s="6"/>
      <c r="O88" s="6"/>
      <c r="P88" s="6"/>
      <c r="Q88" s="6"/>
      <c r="R88" s="6"/>
    </row>
    <row r="89" spans="1:18" s="7" customFormat="1" x14ac:dyDescent="0.25">
      <c r="A89" s="6"/>
      <c r="B89" s="6"/>
      <c r="C89" s="6"/>
      <c r="D89" s="6"/>
      <c r="E89" s="6"/>
      <c r="F89" s="6"/>
      <c r="O89" s="6"/>
      <c r="P89" s="6"/>
      <c r="Q89" s="6"/>
      <c r="R89" s="6"/>
    </row>
    <row r="90" spans="1:18" s="7" customFormat="1" x14ac:dyDescent="0.25">
      <c r="A90" s="6"/>
      <c r="B90" s="6"/>
      <c r="C90" s="6"/>
      <c r="D90" s="6"/>
      <c r="E90" s="6"/>
      <c r="F90" s="6"/>
      <c r="O90" s="6"/>
      <c r="P90" s="6"/>
      <c r="Q90" s="6"/>
      <c r="R90" s="6"/>
    </row>
    <row r="91" spans="1:18" s="7" customFormat="1" x14ac:dyDescent="0.25">
      <c r="A91" s="6"/>
      <c r="B91" s="6"/>
      <c r="C91" s="6"/>
      <c r="D91" s="6"/>
      <c r="E91" s="6"/>
      <c r="F91" s="6"/>
      <c r="O91" s="6"/>
      <c r="P91" s="6"/>
      <c r="Q91" s="6"/>
      <c r="R91" s="6"/>
    </row>
    <row r="92" spans="1:18" s="7" customFormat="1" x14ac:dyDescent="0.25">
      <c r="A92" s="6"/>
      <c r="B92" s="6"/>
      <c r="C92" s="6"/>
      <c r="D92" s="6"/>
      <c r="E92" s="6"/>
      <c r="F92" s="6"/>
      <c r="O92" s="6"/>
      <c r="P92" s="6"/>
      <c r="Q92" s="6"/>
      <c r="R92" s="6"/>
    </row>
    <row r="93" spans="1:18" s="7" customFormat="1" x14ac:dyDescent="0.25">
      <c r="A93" s="6"/>
      <c r="B93" s="6"/>
      <c r="C93" s="6"/>
      <c r="D93" s="6"/>
      <c r="E93" s="6"/>
      <c r="F93" s="6"/>
      <c r="O93" s="6"/>
      <c r="P93" s="6"/>
      <c r="Q93" s="6"/>
      <c r="R93" s="6"/>
    </row>
    <row r="94" spans="1:18" s="7" customFormat="1" x14ac:dyDescent="0.25">
      <c r="A94" s="6"/>
      <c r="B94" s="6"/>
      <c r="C94" s="6"/>
      <c r="D94" s="6"/>
      <c r="E94" s="6"/>
      <c r="F94" s="6"/>
      <c r="O94" s="6"/>
      <c r="P94" s="6"/>
      <c r="Q94" s="6"/>
      <c r="R94" s="6"/>
    </row>
    <row r="95" spans="1:18" s="7" customFormat="1" x14ac:dyDescent="0.25">
      <c r="A95" s="6"/>
      <c r="B95" s="6"/>
      <c r="C95" s="6"/>
      <c r="D95" s="6"/>
      <c r="E95" s="6"/>
      <c r="F95" s="6"/>
      <c r="O95" s="6"/>
      <c r="P95" s="6"/>
      <c r="Q95" s="6"/>
      <c r="R95" s="6"/>
    </row>
    <row r="96" spans="1:18" s="7" customFormat="1" x14ac:dyDescent="0.25">
      <c r="A96" s="6"/>
      <c r="B96" s="6"/>
      <c r="C96" s="6"/>
      <c r="D96" s="6"/>
      <c r="E96" s="6"/>
      <c r="F96" s="6"/>
      <c r="O96" s="6"/>
      <c r="P96" s="6"/>
      <c r="Q96" s="6"/>
      <c r="R96" s="6"/>
    </row>
    <row r="97" spans="1:18" s="7" customFormat="1" x14ac:dyDescent="0.25">
      <c r="A97" s="6"/>
      <c r="B97" s="6"/>
      <c r="C97" s="6"/>
      <c r="D97" s="6"/>
      <c r="E97" s="6"/>
      <c r="F97" s="6"/>
      <c r="O97" s="6"/>
      <c r="P97" s="6"/>
      <c r="Q97" s="6"/>
      <c r="R97" s="6"/>
    </row>
    <row r="98" spans="1:18" s="7" customFormat="1" x14ac:dyDescent="0.25">
      <c r="A98" s="6"/>
      <c r="B98" s="6"/>
      <c r="C98" s="6"/>
      <c r="D98" s="6"/>
      <c r="E98" s="6"/>
      <c r="F98" s="6"/>
      <c r="O98" s="6"/>
      <c r="P98" s="6"/>
      <c r="Q98" s="6"/>
      <c r="R98" s="6"/>
    </row>
    <row r="99" spans="1:18" s="7" customFormat="1" x14ac:dyDescent="0.25">
      <c r="A99" s="6"/>
      <c r="B99" s="6"/>
      <c r="C99" s="6"/>
      <c r="D99" s="6"/>
      <c r="E99" s="6"/>
      <c r="F99" s="6"/>
      <c r="O99" s="6"/>
      <c r="P99" s="6"/>
      <c r="Q99" s="6"/>
      <c r="R99" s="6"/>
    </row>
    <row r="100" spans="1:18" s="7" customFormat="1" x14ac:dyDescent="0.25">
      <c r="A100" s="6"/>
      <c r="B100" s="6"/>
      <c r="C100" s="6"/>
      <c r="D100" s="6"/>
      <c r="E100" s="6"/>
      <c r="F100" s="6"/>
      <c r="O100" s="6"/>
      <c r="P100" s="6"/>
      <c r="Q100" s="6"/>
      <c r="R100" s="6"/>
    </row>
    <row r="101" spans="1:18" s="7" customFormat="1" x14ac:dyDescent="0.25">
      <c r="A101" s="6"/>
      <c r="B101" s="6"/>
      <c r="C101" s="6"/>
      <c r="D101" s="6"/>
      <c r="E101" s="6"/>
      <c r="F101" s="6"/>
      <c r="O101" s="6"/>
      <c r="P101" s="6"/>
      <c r="Q101" s="6"/>
      <c r="R101" s="6"/>
    </row>
    <row r="102" spans="1:18" s="7" customFormat="1" x14ac:dyDescent="0.25">
      <c r="A102" s="6"/>
      <c r="B102" s="6"/>
      <c r="C102" s="6"/>
      <c r="D102" s="6"/>
      <c r="E102" s="6"/>
      <c r="F102" s="6"/>
      <c r="O102" s="6"/>
      <c r="P102" s="6"/>
      <c r="Q102" s="6"/>
      <c r="R102" s="6"/>
    </row>
    <row r="103" spans="1:18" s="7" customFormat="1" x14ac:dyDescent="0.25">
      <c r="A103" s="6"/>
      <c r="B103" s="6"/>
      <c r="C103" s="6"/>
      <c r="D103" s="6"/>
      <c r="E103" s="6"/>
      <c r="F103" s="6"/>
      <c r="O103" s="6"/>
      <c r="P103" s="6"/>
      <c r="Q103" s="6"/>
      <c r="R103" s="6"/>
    </row>
    <row r="104" spans="1:18" s="7" customFormat="1" x14ac:dyDescent="0.25">
      <c r="A104" s="6"/>
      <c r="B104" s="6"/>
      <c r="C104" s="6"/>
      <c r="D104" s="6"/>
      <c r="E104" s="6"/>
      <c r="F104" s="6"/>
      <c r="O104" s="6"/>
      <c r="P104" s="6"/>
      <c r="Q104" s="6"/>
      <c r="R104" s="6"/>
    </row>
    <row r="105" spans="1:18" s="7" customFormat="1" x14ac:dyDescent="0.25">
      <c r="A105" s="6"/>
      <c r="B105" s="6"/>
      <c r="C105" s="6"/>
      <c r="D105" s="6"/>
      <c r="E105" s="6"/>
      <c r="F105" s="6"/>
      <c r="O105" s="6"/>
      <c r="P105" s="6"/>
      <c r="Q105" s="6"/>
      <c r="R105" s="6"/>
    </row>
    <row r="106" spans="1:18" s="7" customFormat="1" x14ac:dyDescent="0.25">
      <c r="A106" s="6"/>
      <c r="B106" s="6"/>
      <c r="C106" s="6"/>
      <c r="D106" s="6"/>
      <c r="E106" s="6"/>
      <c r="F106" s="6"/>
      <c r="O106" s="6"/>
      <c r="P106" s="6"/>
      <c r="Q106" s="6"/>
      <c r="R106" s="6"/>
    </row>
    <row r="107" spans="1:18" s="7" customFormat="1" x14ac:dyDescent="0.25">
      <c r="A107" s="6"/>
      <c r="B107" s="6"/>
      <c r="C107" s="6"/>
      <c r="D107" s="6"/>
      <c r="E107" s="6"/>
      <c r="F107" s="6"/>
      <c r="O107" s="6"/>
      <c r="P107" s="6"/>
      <c r="Q107" s="6"/>
      <c r="R107" s="6"/>
    </row>
    <row r="108" spans="1:18" s="7" customFormat="1" x14ac:dyDescent="0.25">
      <c r="A108" s="6"/>
      <c r="B108" s="6"/>
      <c r="C108" s="6"/>
      <c r="D108" s="6"/>
      <c r="E108" s="6"/>
      <c r="F108" s="6"/>
      <c r="O108" s="6"/>
      <c r="P108" s="6"/>
      <c r="Q108" s="6"/>
      <c r="R108" s="6"/>
    </row>
    <row r="109" spans="1:18" s="7" customFormat="1" x14ac:dyDescent="0.25">
      <c r="A109" s="6"/>
      <c r="B109" s="6"/>
      <c r="C109" s="6"/>
      <c r="D109" s="6"/>
      <c r="E109" s="6"/>
      <c r="F109" s="6"/>
      <c r="O109" s="6"/>
      <c r="P109" s="6"/>
      <c r="Q109" s="6"/>
      <c r="R109" s="6"/>
    </row>
    <row r="110" spans="1:18" s="7" customFormat="1" x14ac:dyDescent="0.25">
      <c r="A110" s="6"/>
      <c r="B110" s="6"/>
      <c r="C110" s="6"/>
      <c r="D110" s="6"/>
      <c r="E110" s="6"/>
      <c r="F110" s="6"/>
      <c r="O110" s="6"/>
      <c r="P110" s="6"/>
      <c r="Q110" s="6"/>
      <c r="R110" s="6"/>
    </row>
    <row r="111" spans="1:18" s="7" customFormat="1" x14ac:dyDescent="0.25">
      <c r="A111" s="6"/>
      <c r="B111" s="6"/>
      <c r="C111" s="6"/>
      <c r="D111" s="6"/>
      <c r="E111" s="6"/>
      <c r="F111" s="6"/>
      <c r="O111" s="6"/>
      <c r="P111" s="6"/>
      <c r="Q111" s="6"/>
      <c r="R111" s="6"/>
    </row>
    <row r="112" spans="1:18" s="7" customFormat="1" x14ac:dyDescent="0.25">
      <c r="A112" s="6"/>
      <c r="B112" s="6"/>
      <c r="C112" s="6"/>
      <c r="D112" s="6"/>
      <c r="E112" s="6"/>
      <c r="F112" s="6"/>
      <c r="O112" s="6"/>
      <c r="P112" s="6"/>
      <c r="Q112" s="6"/>
      <c r="R112" s="6"/>
    </row>
    <row r="113" spans="1:18" s="7" customFormat="1" x14ac:dyDescent="0.25">
      <c r="A113" s="6"/>
      <c r="B113" s="6"/>
      <c r="C113" s="6"/>
      <c r="D113" s="6"/>
      <c r="E113" s="6"/>
      <c r="F113" s="6"/>
      <c r="O113" s="6"/>
      <c r="P113" s="6"/>
      <c r="Q113" s="6"/>
      <c r="R113" s="6"/>
    </row>
    <row r="114" spans="1:18" s="7" customFormat="1" x14ac:dyDescent="0.25">
      <c r="A114" s="6"/>
      <c r="B114" s="6"/>
      <c r="C114" s="6"/>
      <c r="D114" s="6"/>
      <c r="E114" s="6"/>
      <c r="F114" s="6"/>
      <c r="O114" s="6"/>
      <c r="P114" s="6"/>
      <c r="Q114" s="6"/>
      <c r="R114" s="6"/>
    </row>
    <row r="115" spans="1:18" s="7" customFormat="1" x14ac:dyDescent="0.25">
      <c r="A115" s="6"/>
      <c r="B115" s="6"/>
      <c r="C115" s="6"/>
      <c r="D115" s="6"/>
      <c r="E115" s="6"/>
      <c r="F115" s="6"/>
      <c r="O115" s="6"/>
      <c r="P115" s="6"/>
      <c r="Q115" s="6"/>
      <c r="R115" s="6"/>
    </row>
    <row r="116" spans="1:18" s="7" customFormat="1" x14ac:dyDescent="0.25">
      <c r="A116" s="6"/>
      <c r="B116" s="6"/>
      <c r="C116" s="6"/>
      <c r="D116" s="6"/>
      <c r="E116" s="6"/>
      <c r="F116" s="6"/>
      <c r="O116" s="6"/>
      <c r="P116" s="6"/>
      <c r="Q116" s="6"/>
      <c r="R116" s="6"/>
    </row>
    <row r="117" spans="1:18" s="7" customFormat="1" x14ac:dyDescent="0.25">
      <c r="A117" s="6"/>
      <c r="B117" s="6"/>
      <c r="C117" s="6"/>
      <c r="D117" s="6"/>
      <c r="E117" s="6"/>
      <c r="F117" s="6"/>
      <c r="O117" s="6"/>
      <c r="P117" s="6"/>
      <c r="Q117" s="6"/>
      <c r="R117" s="6"/>
    </row>
    <row r="118" spans="1:18" s="7" customFormat="1" x14ac:dyDescent="0.25">
      <c r="A118" s="6"/>
      <c r="B118" s="6"/>
      <c r="C118" s="6"/>
      <c r="D118" s="6"/>
      <c r="E118" s="6"/>
      <c r="F118" s="6"/>
      <c r="O118" s="6"/>
      <c r="P118" s="6"/>
      <c r="Q118" s="6"/>
      <c r="R118" s="6"/>
    </row>
    <row r="119" spans="1:18" s="7" customFormat="1" x14ac:dyDescent="0.25">
      <c r="A119" s="6"/>
      <c r="B119" s="6"/>
      <c r="C119" s="6"/>
      <c r="D119" s="6"/>
      <c r="E119" s="6"/>
      <c r="F119" s="6"/>
      <c r="O119" s="6"/>
      <c r="P119" s="6"/>
      <c r="Q119" s="6"/>
      <c r="R119" s="6"/>
    </row>
    <row r="120" spans="1:18" s="7" customFormat="1" x14ac:dyDescent="0.25">
      <c r="A120" s="6"/>
      <c r="B120" s="6"/>
      <c r="C120" s="6"/>
      <c r="D120" s="6"/>
      <c r="E120" s="6"/>
      <c r="F120" s="6"/>
      <c r="O120" s="6"/>
      <c r="P120" s="6"/>
      <c r="Q120" s="6"/>
      <c r="R120" s="6"/>
    </row>
    <row r="121" spans="1:18" s="7" customFormat="1" x14ac:dyDescent="0.25">
      <c r="A121" s="6"/>
      <c r="B121" s="6"/>
      <c r="C121" s="6"/>
      <c r="D121" s="6"/>
      <c r="E121" s="6"/>
      <c r="F121" s="6"/>
      <c r="O121" s="6"/>
      <c r="P121" s="6"/>
      <c r="Q121" s="6"/>
      <c r="R121" s="6"/>
    </row>
    <row r="122" spans="1:18" s="7" customFormat="1" x14ac:dyDescent="0.25">
      <c r="A122" s="6"/>
      <c r="B122" s="6"/>
      <c r="C122" s="6"/>
      <c r="D122" s="6"/>
      <c r="E122" s="6"/>
      <c r="F122" s="6"/>
      <c r="O122" s="6"/>
      <c r="P122" s="6"/>
      <c r="Q122" s="6"/>
      <c r="R122" s="6"/>
    </row>
    <row r="123" spans="1:18" s="7" customFormat="1" x14ac:dyDescent="0.25">
      <c r="A123" s="6"/>
      <c r="B123" s="6"/>
      <c r="C123" s="6"/>
      <c r="D123" s="6"/>
      <c r="E123" s="6"/>
      <c r="F123" s="6"/>
      <c r="O123" s="6"/>
      <c r="P123" s="6"/>
      <c r="Q123" s="6"/>
      <c r="R123" s="6"/>
    </row>
    <row r="124" spans="1:18" s="7" customFormat="1" x14ac:dyDescent="0.25">
      <c r="A124" s="6"/>
      <c r="B124" s="6"/>
      <c r="C124" s="6"/>
      <c r="D124" s="6"/>
      <c r="E124" s="6"/>
      <c r="F124" s="6"/>
      <c r="O124" s="6"/>
      <c r="P124" s="6"/>
      <c r="Q124" s="6"/>
      <c r="R124" s="6"/>
    </row>
    <row r="125" spans="1:18" s="7" customFormat="1" x14ac:dyDescent="0.25">
      <c r="A125" s="6"/>
      <c r="B125" s="6"/>
      <c r="C125" s="6"/>
      <c r="D125" s="6"/>
      <c r="E125" s="6"/>
      <c r="F125" s="6"/>
      <c r="O125" s="6"/>
      <c r="P125" s="6"/>
      <c r="Q125" s="6"/>
      <c r="R125" s="6"/>
    </row>
    <row r="126" spans="1:18" s="7" customFormat="1" x14ac:dyDescent="0.25">
      <c r="A126" s="6"/>
      <c r="B126" s="6"/>
      <c r="C126" s="6"/>
      <c r="D126" s="6"/>
      <c r="E126" s="6"/>
      <c r="F126" s="6"/>
      <c r="O126" s="6"/>
      <c r="P126" s="6"/>
      <c r="Q126" s="6"/>
      <c r="R126" s="6"/>
    </row>
    <row r="127" spans="1:18" s="7" customFormat="1" x14ac:dyDescent="0.25">
      <c r="A127" s="6"/>
      <c r="B127" s="6"/>
      <c r="C127" s="6"/>
      <c r="D127" s="6"/>
      <c r="E127" s="6"/>
      <c r="F127" s="6"/>
      <c r="O127" s="6"/>
      <c r="P127" s="6"/>
      <c r="Q127" s="6"/>
      <c r="R127" s="6"/>
    </row>
    <row r="128" spans="1:18" s="7" customFormat="1" x14ac:dyDescent="0.25">
      <c r="A128" s="6"/>
      <c r="B128" s="6"/>
      <c r="C128" s="6"/>
      <c r="D128" s="6"/>
      <c r="E128" s="6"/>
      <c r="F128" s="6"/>
      <c r="O128" s="6"/>
      <c r="P128" s="6"/>
      <c r="Q128" s="6"/>
      <c r="R128" s="6"/>
    </row>
    <row r="129" spans="1:18" s="7" customFormat="1" x14ac:dyDescent="0.25">
      <c r="A129" s="6"/>
      <c r="B129" s="6"/>
      <c r="C129" s="6"/>
      <c r="D129" s="6"/>
      <c r="E129" s="6"/>
      <c r="F129" s="6"/>
      <c r="O129" s="6"/>
      <c r="P129" s="6"/>
      <c r="Q129" s="6"/>
      <c r="R129" s="6"/>
    </row>
    <row r="130" spans="1:18" s="7" customFormat="1" x14ac:dyDescent="0.25">
      <c r="A130" s="6"/>
      <c r="B130" s="6"/>
      <c r="C130" s="6"/>
      <c r="D130" s="6"/>
      <c r="E130" s="6"/>
      <c r="F130" s="6"/>
      <c r="O130" s="6"/>
      <c r="P130" s="6"/>
      <c r="Q130" s="6"/>
      <c r="R130" s="6"/>
    </row>
    <row r="131" spans="1:18" s="7" customFormat="1" x14ac:dyDescent="0.25">
      <c r="A131" s="6"/>
      <c r="B131" s="6"/>
      <c r="C131" s="6"/>
      <c r="D131" s="6"/>
      <c r="E131" s="6"/>
      <c r="F131" s="6"/>
      <c r="O131" s="6"/>
      <c r="P131" s="6"/>
      <c r="Q131" s="6"/>
      <c r="R131" s="6"/>
    </row>
    <row r="132" spans="1:18" s="7" customFormat="1" x14ac:dyDescent="0.25">
      <c r="A132" s="6"/>
      <c r="B132" s="6"/>
      <c r="C132" s="6"/>
      <c r="D132" s="6"/>
      <c r="E132" s="6"/>
      <c r="F132" s="6"/>
      <c r="O132" s="6"/>
      <c r="P132" s="6"/>
      <c r="Q132" s="6"/>
      <c r="R132" s="6"/>
    </row>
    <row r="133" spans="1:18" s="7" customFormat="1" x14ac:dyDescent="0.25">
      <c r="A133" s="6"/>
      <c r="B133" s="6"/>
      <c r="C133" s="6"/>
      <c r="D133" s="6"/>
      <c r="E133" s="6"/>
      <c r="F133" s="6"/>
      <c r="O133" s="6"/>
      <c r="P133" s="6"/>
      <c r="Q133" s="6"/>
      <c r="R133" s="6"/>
    </row>
    <row r="134" spans="1:18" s="7" customFormat="1" x14ac:dyDescent="0.25">
      <c r="A134" s="6"/>
      <c r="B134" s="6"/>
      <c r="C134" s="6"/>
      <c r="D134" s="6"/>
      <c r="E134" s="6"/>
      <c r="F134" s="6"/>
      <c r="O134" s="6"/>
      <c r="P134" s="6"/>
      <c r="Q134" s="6"/>
      <c r="R134" s="6"/>
    </row>
    <row r="135" spans="1:18" s="7" customFormat="1" x14ac:dyDescent="0.25">
      <c r="A135" s="6"/>
      <c r="B135" s="6"/>
      <c r="C135" s="6"/>
      <c r="D135" s="6"/>
      <c r="E135" s="6"/>
      <c r="F135" s="6"/>
      <c r="O135" s="6"/>
      <c r="P135" s="6"/>
      <c r="Q135" s="6"/>
      <c r="R135" s="6"/>
    </row>
    <row r="136" spans="1:18" s="7" customFormat="1" x14ac:dyDescent="0.25">
      <c r="A136" s="6"/>
      <c r="B136" s="6"/>
      <c r="C136" s="6"/>
      <c r="D136" s="6"/>
      <c r="E136" s="6"/>
      <c r="F136" s="6"/>
      <c r="O136" s="6"/>
      <c r="P136" s="6"/>
      <c r="Q136" s="6"/>
      <c r="R136" s="6"/>
    </row>
    <row r="137" spans="1:18" s="7" customFormat="1" x14ac:dyDescent="0.25">
      <c r="A137" s="6"/>
      <c r="B137" s="6"/>
      <c r="C137" s="6"/>
      <c r="D137" s="6"/>
      <c r="E137" s="6"/>
      <c r="F137" s="6"/>
      <c r="O137" s="6"/>
      <c r="P137" s="6"/>
      <c r="Q137" s="6"/>
      <c r="R137" s="6"/>
    </row>
    <row r="138" spans="1:18" s="7" customFormat="1" x14ac:dyDescent="0.25">
      <c r="A138" s="6"/>
      <c r="B138" s="6"/>
      <c r="C138" s="6"/>
      <c r="D138" s="6"/>
      <c r="E138" s="6"/>
      <c r="F138" s="6"/>
      <c r="O138" s="6"/>
      <c r="P138" s="6"/>
      <c r="Q138" s="6"/>
      <c r="R138" s="6"/>
    </row>
    <row r="139" spans="1:18" s="7" customFormat="1" x14ac:dyDescent="0.25">
      <c r="A139" s="6"/>
      <c r="B139" s="6"/>
      <c r="C139" s="6"/>
      <c r="D139" s="6"/>
      <c r="E139" s="6"/>
      <c r="F139" s="6"/>
      <c r="O139" s="6"/>
      <c r="P139" s="6"/>
      <c r="Q139" s="6"/>
      <c r="R139" s="6"/>
    </row>
    <row r="140" spans="1:18" s="7" customFormat="1" x14ac:dyDescent="0.25">
      <c r="A140" s="6"/>
      <c r="B140" s="6"/>
      <c r="C140" s="6"/>
      <c r="D140" s="6"/>
      <c r="E140" s="6"/>
      <c r="F140" s="6"/>
      <c r="O140" s="6"/>
      <c r="P140" s="6"/>
      <c r="Q140" s="6"/>
      <c r="R140" s="6"/>
    </row>
    <row r="141" spans="1:18" s="7" customFormat="1" x14ac:dyDescent="0.25">
      <c r="A141" s="6"/>
      <c r="B141" s="6"/>
      <c r="C141" s="6"/>
      <c r="D141" s="6"/>
      <c r="E141" s="6"/>
      <c r="F141" s="6"/>
      <c r="O141" s="6"/>
      <c r="P141" s="6"/>
      <c r="Q141" s="6"/>
      <c r="R141" s="6"/>
    </row>
    <row r="142" spans="1:18" s="7" customFormat="1" x14ac:dyDescent="0.25">
      <c r="A142" s="6"/>
      <c r="B142" s="6"/>
      <c r="C142" s="6"/>
      <c r="D142" s="6"/>
      <c r="E142" s="6"/>
      <c r="F142" s="6"/>
      <c r="O142" s="6"/>
      <c r="P142" s="6"/>
      <c r="Q142" s="6"/>
      <c r="R142" s="6"/>
    </row>
    <row r="143" spans="1:18" s="7" customFormat="1" x14ac:dyDescent="0.25">
      <c r="A143" s="6"/>
      <c r="B143" s="6"/>
      <c r="C143" s="6"/>
      <c r="D143" s="6"/>
      <c r="E143" s="6"/>
      <c r="F143" s="6"/>
      <c r="O143" s="6"/>
      <c r="P143" s="6"/>
      <c r="Q143" s="6"/>
      <c r="R143" s="6"/>
    </row>
    <row r="144" spans="1:18" s="7" customFormat="1" x14ac:dyDescent="0.25">
      <c r="A144" s="6"/>
      <c r="B144" s="6"/>
      <c r="C144" s="6"/>
      <c r="D144" s="6"/>
      <c r="E144" s="6"/>
      <c r="F144" s="6"/>
      <c r="O144" s="6"/>
      <c r="P144" s="6"/>
      <c r="Q144" s="6"/>
      <c r="R144" s="6"/>
    </row>
    <row r="145" spans="1:18" s="7" customFormat="1" x14ac:dyDescent="0.25">
      <c r="A145" s="6"/>
      <c r="B145" s="6"/>
      <c r="C145" s="6"/>
      <c r="D145" s="6"/>
      <c r="E145" s="6"/>
      <c r="F145" s="6"/>
      <c r="O145" s="6"/>
      <c r="P145" s="6"/>
      <c r="Q145" s="6"/>
      <c r="R145" s="6"/>
    </row>
    <row r="146" spans="1:18" s="7" customFormat="1" x14ac:dyDescent="0.25">
      <c r="A146" s="6"/>
      <c r="B146" s="6"/>
      <c r="C146" s="6"/>
      <c r="D146" s="6"/>
      <c r="E146" s="6"/>
      <c r="F146" s="6"/>
      <c r="O146" s="6"/>
      <c r="P146" s="6"/>
      <c r="Q146" s="6"/>
      <c r="R146" s="6"/>
    </row>
    <row r="147" spans="1:18" s="7" customFormat="1" x14ac:dyDescent="0.25">
      <c r="A147" s="6"/>
      <c r="B147" s="6"/>
      <c r="C147" s="6"/>
      <c r="D147" s="6"/>
      <c r="E147" s="6"/>
      <c r="F147" s="6"/>
      <c r="O147" s="6"/>
      <c r="P147" s="6"/>
      <c r="Q147" s="6"/>
      <c r="R147" s="6"/>
    </row>
    <row r="148" spans="1:18" s="7" customFormat="1" x14ac:dyDescent="0.25">
      <c r="A148" s="6"/>
      <c r="B148" s="6"/>
      <c r="C148" s="6"/>
      <c r="D148" s="6"/>
      <c r="E148" s="6"/>
      <c r="F148" s="6"/>
      <c r="O148" s="6"/>
      <c r="P148" s="6"/>
      <c r="Q148" s="6"/>
      <c r="R148" s="6"/>
    </row>
    <row r="149" spans="1:18" s="7" customFormat="1" x14ac:dyDescent="0.25">
      <c r="A149" s="6"/>
      <c r="B149" s="6"/>
      <c r="C149" s="6"/>
      <c r="D149" s="6"/>
      <c r="E149" s="6"/>
      <c r="F149" s="6"/>
      <c r="O149" s="6"/>
      <c r="P149" s="6"/>
      <c r="Q149" s="6"/>
      <c r="R149" s="6"/>
    </row>
    <row r="150" spans="1:18" s="7" customFormat="1" x14ac:dyDescent="0.25">
      <c r="A150" s="6"/>
      <c r="B150" s="6"/>
      <c r="C150" s="6"/>
      <c r="D150" s="6"/>
      <c r="E150" s="6"/>
      <c r="F150" s="6"/>
      <c r="O150" s="6"/>
      <c r="P150" s="6"/>
      <c r="Q150" s="6"/>
      <c r="R150" s="6"/>
    </row>
    <row r="151" spans="1:18" s="7" customFormat="1" x14ac:dyDescent="0.25">
      <c r="A151" s="6"/>
      <c r="B151" s="6"/>
      <c r="C151" s="6"/>
      <c r="D151" s="6"/>
      <c r="E151" s="6"/>
      <c r="F151" s="6"/>
      <c r="O151" s="6"/>
      <c r="P151" s="6"/>
      <c r="Q151" s="6"/>
      <c r="R151" s="6"/>
    </row>
    <row r="152" spans="1:18" s="7" customFormat="1" x14ac:dyDescent="0.25">
      <c r="A152" s="6"/>
      <c r="B152" s="6"/>
      <c r="C152" s="6"/>
      <c r="D152" s="6"/>
      <c r="E152" s="6"/>
      <c r="F152" s="6"/>
      <c r="O152" s="6"/>
      <c r="P152" s="6"/>
      <c r="Q152" s="6"/>
      <c r="R152" s="6"/>
    </row>
    <row r="153" spans="1:18" s="7" customFormat="1" x14ac:dyDescent="0.25">
      <c r="A153" s="6"/>
      <c r="B153" s="6"/>
      <c r="C153" s="6"/>
      <c r="D153" s="6"/>
      <c r="E153" s="6"/>
      <c r="F153" s="6"/>
      <c r="O153" s="6"/>
      <c r="P153" s="6"/>
      <c r="Q153" s="6"/>
      <c r="R153" s="6"/>
    </row>
    <row r="154" spans="1:18" s="7" customFormat="1" x14ac:dyDescent="0.25">
      <c r="A154" s="6"/>
      <c r="B154" s="6"/>
      <c r="C154" s="6"/>
      <c r="D154" s="6"/>
      <c r="E154" s="6"/>
      <c r="F154" s="6"/>
      <c r="O154" s="6"/>
      <c r="P154" s="6"/>
      <c r="Q154" s="6"/>
      <c r="R154" s="6"/>
    </row>
    <row r="155" spans="1:18" s="7" customFormat="1" x14ac:dyDescent="0.25">
      <c r="A155" s="6"/>
      <c r="B155" s="6"/>
      <c r="C155" s="6"/>
      <c r="D155" s="6"/>
      <c r="E155" s="6"/>
      <c r="F155" s="6"/>
      <c r="O155" s="6"/>
      <c r="P155" s="6"/>
      <c r="Q155" s="6"/>
      <c r="R155" s="6"/>
    </row>
    <row r="156" spans="1:18" s="7" customFormat="1" x14ac:dyDescent="0.25">
      <c r="A156" s="6"/>
      <c r="B156" s="6"/>
      <c r="C156" s="6"/>
      <c r="D156" s="6"/>
      <c r="E156" s="6"/>
      <c r="F156" s="6"/>
      <c r="O156" s="6"/>
      <c r="P156" s="6"/>
      <c r="Q156" s="6"/>
      <c r="R156" s="6"/>
    </row>
    <row r="157" spans="1:18" s="7" customFormat="1" x14ac:dyDescent="0.25">
      <c r="A157" s="6"/>
      <c r="B157" s="6"/>
      <c r="C157" s="6"/>
      <c r="D157" s="6"/>
      <c r="E157" s="6"/>
      <c r="F157" s="6"/>
      <c r="O157" s="6"/>
      <c r="P157" s="6"/>
      <c r="Q157" s="6"/>
      <c r="R157" s="6"/>
    </row>
    <row r="158" spans="1:18" s="7" customFormat="1" x14ac:dyDescent="0.25">
      <c r="A158" s="6"/>
      <c r="B158" s="6"/>
      <c r="C158" s="6"/>
      <c r="D158" s="6"/>
      <c r="E158" s="6"/>
      <c r="F158" s="6"/>
      <c r="O158" s="6"/>
      <c r="P158" s="6"/>
      <c r="Q158" s="6"/>
      <c r="R158" s="6"/>
    </row>
    <row r="159" spans="1:18" s="7" customFormat="1" x14ac:dyDescent="0.25">
      <c r="A159" s="6"/>
      <c r="B159" s="6"/>
      <c r="C159" s="6"/>
      <c r="D159" s="6"/>
      <c r="E159" s="6"/>
      <c r="F159" s="6"/>
      <c r="O159" s="6"/>
      <c r="P159" s="6"/>
      <c r="Q159" s="6"/>
      <c r="R159" s="6"/>
    </row>
    <row r="160" spans="1:18" s="7" customFormat="1" x14ac:dyDescent="0.25">
      <c r="A160" s="6"/>
      <c r="B160" s="6"/>
      <c r="C160" s="6"/>
      <c r="D160" s="6"/>
      <c r="E160" s="6"/>
      <c r="F160" s="6"/>
      <c r="O160" s="6"/>
      <c r="P160" s="6"/>
      <c r="Q160" s="6"/>
      <c r="R160" s="6"/>
    </row>
    <row r="161" spans="1:18" s="7" customFormat="1" x14ac:dyDescent="0.25">
      <c r="A161" s="6"/>
      <c r="B161" s="6"/>
      <c r="C161" s="6"/>
      <c r="D161" s="6"/>
      <c r="E161" s="6"/>
      <c r="F161" s="6"/>
      <c r="O161" s="6"/>
      <c r="P161" s="6"/>
      <c r="Q161" s="6"/>
      <c r="R161" s="6"/>
    </row>
    <row r="162" spans="1:18" s="7" customFormat="1" x14ac:dyDescent="0.25">
      <c r="A162" s="6"/>
      <c r="B162" s="6"/>
      <c r="C162" s="6"/>
      <c r="D162" s="6"/>
      <c r="E162" s="6"/>
      <c r="F162" s="6"/>
      <c r="O162" s="6"/>
      <c r="P162" s="6"/>
      <c r="Q162" s="6"/>
      <c r="R162" s="6"/>
    </row>
    <row r="163" spans="1:18" s="7" customFormat="1" x14ac:dyDescent="0.25">
      <c r="A163" s="6"/>
      <c r="B163" s="6"/>
      <c r="C163" s="6"/>
      <c r="D163" s="6"/>
      <c r="E163" s="6"/>
      <c r="F163" s="6"/>
      <c r="O163" s="6"/>
      <c r="P163" s="6"/>
      <c r="Q163" s="6"/>
      <c r="R163" s="6"/>
    </row>
    <row r="164" spans="1:18" s="7" customFormat="1" x14ac:dyDescent="0.25">
      <c r="A164" s="6"/>
      <c r="B164" s="6"/>
      <c r="C164" s="6"/>
      <c r="D164" s="6"/>
      <c r="E164" s="6"/>
      <c r="F164" s="6"/>
      <c r="O164" s="6"/>
      <c r="P164" s="6"/>
      <c r="Q164" s="6"/>
      <c r="R164" s="6"/>
    </row>
    <row r="165" spans="1:18" s="7" customFormat="1" x14ac:dyDescent="0.25">
      <c r="A165" s="6"/>
      <c r="B165" s="6"/>
      <c r="C165" s="6"/>
      <c r="D165" s="6"/>
      <c r="E165" s="6"/>
      <c r="F165" s="6"/>
      <c r="O165" s="6"/>
      <c r="P165" s="6"/>
      <c r="Q165" s="6"/>
      <c r="R165" s="6"/>
    </row>
    <row r="166" spans="1:18" s="7" customFormat="1" x14ac:dyDescent="0.25">
      <c r="A166" s="6"/>
      <c r="B166" s="6"/>
      <c r="C166" s="6"/>
      <c r="D166" s="6"/>
      <c r="E166" s="6"/>
      <c r="F166" s="6"/>
      <c r="O166" s="6"/>
      <c r="P166" s="6"/>
      <c r="Q166" s="6"/>
      <c r="R166" s="6"/>
    </row>
    <row r="167" spans="1:18" s="7" customFormat="1" x14ac:dyDescent="0.25">
      <c r="A167" s="6"/>
      <c r="B167" s="6"/>
      <c r="C167" s="6"/>
      <c r="D167" s="6"/>
      <c r="E167" s="6"/>
      <c r="F167" s="6"/>
      <c r="O167" s="6"/>
      <c r="P167" s="6"/>
      <c r="Q167" s="6"/>
      <c r="R167" s="6"/>
    </row>
    <row r="168" spans="1:18" s="7" customFormat="1" x14ac:dyDescent="0.25">
      <c r="A168" s="6"/>
      <c r="B168" s="6"/>
      <c r="C168" s="6"/>
      <c r="D168" s="6"/>
      <c r="E168" s="6"/>
      <c r="F168" s="6"/>
      <c r="O168" s="6"/>
      <c r="P168" s="6"/>
      <c r="Q168" s="6"/>
      <c r="R168" s="6"/>
    </row>
    <row r="169" spans="1:18" s="7" customFormat="1" x14ac:dyDescent="0.25">
      <c r="A169" s="6"/>
      <c r="B169" s="6"/>
      <c r="C169" s="6"/>
      <c r="D169" s="6"/>
      <c r="E169" s="6"/>
      <c r="F169" s="6"/>
      <c r="O169" s="6"/>
      <c r="P169" s="6"/>
      <c r="Q169" s="6"/>
      <c r="R169" s="6"/>
    </row>
    <row r="170" spans="1:18" s="7" customFormat="1" x14ac:dyDescent="0.25">
      <c r="A170" s="6"/>
      <c r="B170" s="6"/>
      <c r="C170" s="6"/>
      <c r="D170" s="6"/>
      <c r="E170" s="6"/>
      <c r="F170" s="6"/>
      <c r="O170" s="6"/>
      <c r="P170" s="6"/>
      <c r="Q170" s="6"/>
      <c r="R170" s="6"/>
    </row>
    <row r="171" spans="1:18" s="7" customFormat="1" x14ac:dyDescent="0.25">
      <c r="A171" s="6"/>
      <c r="B171" s="6"/>
      <c r="C171" s="6"/>
      <c r="D171" s="6"/>
      <c r="E171" s="6"/>
      <c r="F171" s="6"/>
      <c r="O171" s="6"/>
      <c r="P171" s="6"/>
      <c r="Q171" s="6"/>
      <c r="R171" s="6"/>
    </row>
    <row r="172" spans="1:18" s="7" customFormat="1" x14ac:dyDescent="0.25">
      <c r="A172" s="6"/>
      <c r="B172" s="6"/>
      <c r="C172" s="6"/>
      <c r="D172" s="6"/>
      <c r="E172" s="6"/>
      <c r="F172" s="6"/>
      <c r="O172" s="6"/>
      <c r="P172" s="6"/>
      <c r="Q172" s="6"/>
      <c r="R172" s="6"/>
    </row>
    <row r="173" spans="1:18" s="7" customFormat="1" x14ac:dyDescent="0.25">
      <c r="A173" s="6"/>
      <c r="B173" s="6"/>
      <c r="C173" s="6"/>
      <c r="D173" s="6"/>
      <c r="E173" s="6"/>
      <c r="F173" s="6"/>
      <c r="O173" s="6"/>
      <c r="P173" s="6"/>
      <c r="Q173" s="6"/>
      <c r="R173" s="6"/>
    </row>
    <row r="174" spans="1:18" s="7" customFormat="1" x14ac:dyDescent="0.25">
      <c r="A174" s="6"/>
      <c r="B174" s="6"/>
      <c r="C174" s="6"/>
      <c r="D174" s="6"/>
      <c r="E174" s="6"/>
      <c r="F174" s="6"/>
      <c r="O174" s="6"/>
      <c r="P174" s="6"/>
      <c r="Q174" s="6"/>
      <c r="R174" s="6"/>
    </row>
    <row r="175" spans="1:18" s="7" customFormat="1" x14ac:dyDescent="0.25">
      <c r="A175" s="6"/>
      <c r="B175" s="6"/>
      <c r="C175" s="6"/>
      <c r="D175" s="6"/>
      <c r="E175" s="6"/>
      <c r="F175" s="6"/>
      <c r="O175" s="6"/>
      <c r="P175" s="6"/>
      <c r="Q175" s="6"/>
      <c r="R175" s="6"/>
    </row>
    <row r="176" spans="1:18" s="7" customFormat="1" x14ac:dyDescent="0.25">
      <c r="A176" s="6"/>
      <c r="B176" s="6"/>
      <c r="C176" s="6"/>
      <c r="D176" s="6"/>
      <c r="E176" s="6"/>
      <c r="F176" s="6"/>
      <c r="O176" s="6"/>
      <c r="P176" s="6"/>
      <c r="Q176" s="6"/>
      <c r="R176" s="6"/>
    </row>
    <row r="177" spans="1:18" s="7" customFormat="1" x14ac:dyDescent="0.25">
      <c r="A177" s="6"/>
      <c r="B177" s="6"/>
      <c r="C177" s="6"/>
      <c r="D177" s="6"/>
      <c r="E177" s="6"/>
      <c r="F177" s="6"/>
      <c r="O177" s="6"/>
      <c r="P177" s="6"/>
      <c r="Q177" s="6"/>
      <c r="R177" s="6"/>
    </row>
    <row r="178" spans="1:18" s="7" customFormat="1" x14ac:dyDescent="0.25">
      <c r="A178" s="6"/>
      <c r="B178" s="6"/>
      <c r="C178" s="6"/>
      <c r="D178" s="6"/>
      <c r="E178" s="6"/>
      <c r="F178" s="6"/>
      <c r="O178" s="6"/>
      <c r="P178" s="6"/>
      <c r="Q178" s="6"/>
      <c r="R178" s="6"/>
    </row>
    <row r="179" spans="1:18" s="7" customFormat="1" x14ac:dyDescent="0.25">
      <c r="A179" s="6"/>
      <c r="B179" s="6"/>
      <c r="C179" s="6"/>
      <c r="D179" s="6"/>
      <c r="E179" s="6"/>
      <c r="F179" s="6"/>
      <c r="O179" s="6"/>
      <c r="P179" s="6"/>
      <c r="Q179" s="6"/>
      <c r="R179" s="6"/>
    </row>
    <row r="180" spans="1:18" s="7" customFormat="1" x14ac:dyDescent="0.25">
      <c r="A180" s="6"/>
      <c r="B180" s="6"/>
      <c r="C180" s="6"/>
      <c r="D180" s="6"/>
      <c r="E180" s="6"/>
      <c r="F180" s="6"/>
      <c r="O180" s="6"/>
      <c r="P180" s="6"/>
      <c r="Q180" s="6"/>
      <c r="R180" s="6"/>
    </row>
    <row r="181" spans="1:18" s="7" customFormat="1" x14ac:dyDescent="0.25">
      <c r="A181" s="6"/>
      <c r="B181" s="6"/>
      <c r="C181" s="6"/>
      <c r="D181" s="6"/>
      <c r="E181" s="6"/>
      <c r="F181" s="6"/>
      <c r="O181" s="6"/>
      <c r="P181" s="6"/>
      <c r="Q181" s="6"/>
      <c r="R181" s="6"/>
    </row>
    <row r="182" spans="1:18" s="7" customFormat="1" x14ac:dyDescent="0.25">
      <c r="A182" s="6"/>
      <c r="B182" s="6"/>
      <c r="C182" s="6"/>
      <c r="D182" s="6"/>
      <c r="E182" s="6"/>
      <c r="F182" s="6"/>
      <c r="O182" s="6"/>
      <c r="P182" s="6"/>
      <c r="Q182" s="6"/>
      <c r="R182" s="6"/>
    </row>
    <row r="183" spans="1:18" s="7" customFormat="1" x14ac:dyDescent="0.25">
      <c r="A183" s="6"/>
      <c r="B183" s="6"/>
      <c r="C183" s="6"/>
      <c r="D183" s="6"/>
      <c r="E183" s="6"/>
      <c r="F183" s="6"/>
      <c r="O183" s="6"/>
      <c r="P183" s="6"/>
      <c r="Q183" s="6"/>
      <c r="R183" s="6"/>
    </row>
    <row r="184" spans="1:18" s="7" customFormat="1" x14ac:dyDescent="0.25">
      <c r="A184" s="6"/>
      <c r="B184" s="6"/>
      <c r="C184" s="6"/>
      <c r="D184" s="6"/>
      <c r="E184" s="6"/>
      <c r="F184" s="6"/>
      <c r="O184" s="6"/>
      <c r="P184" s="6"/>
      <c r="Q184" s="6"/>
      <c r="R184" s="6"/>
    </row>
    <row r="185" spans="1:18" s="7" customFormat="1" x14ac:dyDescent="0.25">
      <c r="A185" s="6"/>
      <c r="B185" s="6"/>
      <c r="C185" s="6"/>
      <c r="D185" s="6"/>
      <c r="E185" s="6"/>
      <c r="F185" s="6"/>
      <c r="O185" s="6"/>
      <c r="P185" s="6"/>
      <c r="Q185" s="6"/>
      <c r="R185" s="6"/>
    </row>
    <row r="186" spans="1:18" s="7" customFormat="1" x14ac:dyDescent="0.25">
      <c r="A186" s="6"/>
      <c r="B186" s="6"/>
      <c r="C186" s="6"/>
      <c r="D186" s="6"/>
      <c r="E186" s="6"/>
      <c r="F186" s="6"/>
      <c r="O186" s="6"/>
      <c r="P186" s="6"/>
      <c r="Q186" s="6"/>
      <c r="R186" s="6"/>
    </row>
    <row r="187" spans="1:18" s="7" customFormat="1" x14ac:dyDescent="0.25">
      <c r="A187" s="6"/>
      <c r="B187" s="6"/>
      <c r="C187" s="6"/>
      <c r="D187" s="6"/>
      <c r="E187" s="6"/>
      <c r="F187" s="6"/>
      <c r="O187" s="6"/>
      <c r="P187" s="6"/>
      <c r="Q187" s="6"/>
      <c r="R187" s="6"/>
    </row>
    <row r="188" spans="1:18" s="7" customFormat="1" x14ac:dyDescent="0.25">
      <c r="A188" s="6"/>
      <c r="B188" s="6"/>
      <c r="C188" s="6"/>
      <c r="D188" s="6"/>
      <c r="E188" s="6"/>
      <c r="F188" s="6"/>
      <c r="O188" s="6"/>
      <c r="P188" s="6"/>
      <c r="Q188" s="6"/>
      <c r="R188" s="6"/>
    </row>
    <row r="189" spans="1:18" s="7" customFormat="1" x14ac:dyDescent="0.25">
      <c r="A189" s="6"/>
      <c r="B189" s="6"/>
      <c r="C189" s="6"/>
      <c r="D189" s="6"/>
      <c r="E189" s="6"/>
      <c r="F189" s="6"/>
      <c r="O189" s="6"/>
      <c r="P189" s="6"/>
      <c r="Q189" s="6"/>
      <c r="R189" s="6"/>
    </row>
    <row r="190" spans="1:18" s="7" customFormat="1" x14ac:dyDescent="0.25">
      <c r="A190" s="6"/>
      <c r="B190" s="6"/>
      <c r="C190" s="6"/>
      <c r="D190" s="6"/>
      <c r="E190" s="6"/>
      <c r="F190" s="6"/>
      <c r="O190" s="6"/>
      <c r="P190" s="6"/>
      <c r="Q190" s="6"/>
      <c r="R190" s="6"/>
    </row>
    <row r="191" spans="1:18" s="7" customFormat="1" x14ac:dyDescent="0.25">
      <c r="A191" s="6"/>
      <c r="B191" s="6"/>
      <c r="C191" s="6"/>
      <c r="D191" s="6"/>
      <c r="E191" s="6"/>
      <c r="F191" s="6"/>
      <c r="O191" s="6"/>
      <c r="P191" s="6"/>
      <c r="Q191" s="6"/>
      <c r="R191" s="6"/>
    </row>
    <row r="192" spans="1:18" s="7" customFormat="1" x14ac:dyDescent="0.25">
      <c r="A192" s="6"/>
      <c r="B192" s="6"/>
      <c r="C192" s="6"/>
      <c r="D192" s="6"/>
      <c r="E192" s="6"/>
      <c r="F192" s="6"/>
      <c r="O192" s="6"/>
      <c r="P192" s="6"/>
      <c r="Q192" s="6"/>
      <c r="R192" s="6"/>
    </row>
    <row r="193" spans="1:18" s="7" customFormat="1" x14ac:dyDescent="0.25">
      <c r="A193" s="6"/>
      <c r="B193" s="6"/>
      <c r="C193" s="6"/>
      <c r="D193" s="6"/>
      <c r="E193" s="6"/>
      <c r="F193" s="6"/>
      <c r="O193" s="6"/>
      <c r="P193" s="6"/>
      <c r="Q193" s="6"/>
      <c r="R193" s="6"/>
    </row>
    <row r="194" spans="1:18" s="7" customFormat="1" x14ac:dyDescent="0.25">
      <c r="A194" s="6"/>
      <c r="B194" s="6"/>
      <c r="C194" s="6"/>
      <c r="D194" s="6"/>
      <c r="E194" s="6"/>
      <c r="F194" s="6"/>
      <c r="O194" s="6"/>
      <c r="P194" s="6"/>
      <c r="Q194" s="6"/>
      <c r="R194" s="6"/>
    </row>
    <row r="195" spans="1:18" s="7" customFormat="1" x14ac:dyDescent="0.25">
      <c r="A195" s="6"/>
      <c r="B195" s="6"/>
      <c r="C195" s="6"/>
      <c r="D195" s="6"/>
      <c r="E195" s="6"/>
      <c r="F195" s="6"/>
      <c r="O195" s="6"/>
      <c r="P195" s="6"/>
      <c r="Q195" s="6"/>
      <c r="R195" s="6"/>
    </row>
    <row r="196" spans="1:18" s="7" customFormat="1" x14ac:dyDescent="0.25">
      <c r="A196" s="6"/>
      <c r="B196" s="6"/>
      <c r="C196" s="6"/>
      <c r="D196" s="6"/>
      <c r="E196" s="6"/>
      <c r="F196" s="6"/>
      <c r="O196" s="6"/>
      <c r="P196" s="6"/>
      <c r="Q196" s="6"/>
      <c r="R196" s="6"/>
    </row>
    <row r="197" spans="1:18" s="7" customFormat="1" x14ac:dyDescent="0.25">
      <c r="A197" s="6"/>
      <c r="B197" s="6"/>
      <c r="C197" s="6"/>
      <c r="D197" s="6"/>
      <c r="E197" s="6"/>
      <c r="F197" s="6"/>
      <c r="O197" s="6"/>
      <c r="P197" s="6"/>
      <c r="Q197" s="6"/>
      <c r="R197" s="6"/>
    </row>
    <row r="198" spans="1:18" s="7" customFormat="1" x14ac:dyDescent="0.25">
      <c r="A198" s="6"/>
      <c r="B198" s="6"/>
      <c r="C198" s="6"/>
      <c r="D198" s="6"/>
      <c r="E198" s="6"/>
      <c r="F198" s="6"/>
      <c r="O198" s="6"/>
      <c r="P198" s="6"/>
      <c r="Q198" s="6"/>
      <c r="R198" s="6"/>
    </row>
    <row r="199" spans="1:18" s="7" customFormat="1" x14ac:dyDescent="0.25">
      <c r="A199" s="6"/>
      <c r="B199" s="6"/>
      <c r="C199" s="6"/>
      <c r="D199" s="6"/>
      <c r="E199" s="6"/>
      <c r="F199" s="6"/>
      <c r="O199" s="6"/>
      <c r="P199" s="6"/>
      <c r="Q199" s="6"/>
      <c r="R199" s="6"/>
    </row>
    <row r="200" spans="1:18" s="7" customFormat="1" x14ac:dyDescent="0.25">
      <c r="A200" s="6"/>
      <c r="B200" s="6"/>
      <c r="C200" s="6"/>
      <c r="D200" s="6"/>
      <c r="E200" s="6"/>
      <c r="F200" s="6"/>
      <c r="O200" s="6"/>
      <c r="P200" s="6"/>
      <c r="Q200" s="6"/>
      <c r="R200" s="6"/>
    </row>
    <row r="201" spans="1:18" s="7" customFormat="1" x14ac:dyDescent="0.25">
      <c r="A201" s="6"/>
      <c r="B201" s="6"/>
      <c r="C201" s="6"/>
      <c r="D201" s="6"/>
      <c r="E201" s="6"/>
      <c r="F201" s="6"/>
      <c r="O201" s="6"/>
      <c r="P201" s="6"/>
      <c r="Q201" s="6"/>
      <c r="R201" s="6"/>
    </row>
    <row r="202" spans="1:18" s="7" customFormat="1" x14ac:dyDescent="0.25">
      <c r="A202" s="6"/>
      <c r="B202" s="6"/>
      <c r="C202" s="6"/>
      <c r="D202" s="6"/>
      <c r="E202" s="6"/>
      <c r="F202" s="6"/>
      <c r="O202" s="6"/>
      <c r="P202" s="6"/>
      <c r="Q202" s="6"/>
      <c r="R202" s="6"/>
    </row>
    <row r="203" spans="1:18" s="7" customFormat="1" x14ac:dyDescent="0.25">
      <c r="A203" s="6"/>
      <c r="B203" s="6"/>
      <c r="C203" s="6"/>
      <c r="D203" s="6"/>
      <c r="E203" s="6"/>
      <c r="F203" s="6"/>
      <c r="O203" s="6"/>
      <c r="P203" s="6"/>
      <c r="Q203" s="6"/>
      <c r="R203" s="6"/>
    </row>
    <row r="204" spans="1:18" s="7" customFormat="1" x14ac:dyDescent="0.25">
      <c r="A204" s="6"/>
      <c r="B204" s="6"/>
      <c r="C204" s="6"/>
      <c r="D204" s="6"/>
      <c r="E204" s="6"/>
      <c r="F204" s="6"/>
      <c r="O204" s="6"/>
      <c r="P204" s="6"/>
      <c r="Q204" s="6"/>
      <c r="R204" s="6"/>
    </row>
    <row r="205" spans="1:18" s="7" customFormat="1" x14ac:dyDescent="0.25">
      <c r="A205" s="6"/>
      <c r="B205" s="6"/>
      <c r="C205" s="6"/>
      <c r="D205" s="6"/>
      <c r="E205" s="6"/>
      <c r="F205" s="6"/>
      <c r="O205" s="6"/>
      <c r="P205" s="6"/>
      <c r="Q205" s="6"/>
      <c r="R205" s="6"/>
    </row>
    <row r="206" spans="1:18" s="7" customFormat="1" x14ac:dyDescent="0.25">
      <c r="A206" s="6"/>
      <c r="B206" s="6"/>
      <c r="C206" s="6"/>
      <c r="D206" s="6"/>
      <c r="E206" s="6"/>
      <c r="F206" s="6"/>
      <c r="O206" s="6"/>
      <c r="P206" s="6"/>
      <c r="Q206" s="6"/>
      <c r="R206" s="6"/>
    </row>
    <row r="207" spans="1:18" s="7" customFormat="1" x14ac:dyDescent="0.25">
      <c r="A207" s="6"/>
      <c r="B207" s="6"/>
      <c r="C207" s="6"/>
      <c r="D207" s="6"/>
      <c r="E207" s="6"/>
      <c r="F207" s="6"/>
      <c r="O207" s="6"/>
      <c r="P207" s="6"/>
      <c r="Q207" s="6"/>
      <c r="R207" s="6"/>
    </row>
    <row r="208" spans="1:18" s="7" customFormat="1" x14ac:dyDescent="0.25">
      <c r="A208" s="6"/>
      <c r="B208" s="6"/>
      <c r="C208" s="6"/>
      <c r="D208" s="6"/>
      <c r="E208" s="6"/>
      <c r="F208" s="6"/>
      <c r="O208" s="6"/>
      <c r="P208" s="6"/>
      <c r="Q208" s="6"/>
      <c r="R208" s="6"/>
    </row>
    <row r="209" spans="1:18" s="7" customFormat="1" x14ac:dyDescent="0.25">
      <c r="A209" s="6"/>
      <c r="B209" s="6"/>
      <c r="C209" s="6"/>
      <c r="D209" s="6"/>
      <c r="E209" s="6"/>
      <c r="F209" s="6"/>
      <c r="O209" s="6"/>
      <c r="P209" s="6"/>
      <c r="Q209" s="6"/>
      <c r="R209" s="6"/>
    </row>
    <row r="210" spans="1:18" s="7" customFormat="1" x14ac:dyDescent="0.25">
      <c r="A210" s="6"/>
      <c r="B210" s="6"/>
      <c r="C210" s="6"/>
      <c r="D210" s="6"/>
      <c r="E210" s="6"/>
      <c r="F210" s="6"/>
      <c r="O210" s="6"/>
      <c r="P210" s="6"/>
      <c r="Q210" s="6"/>
      <c r="R210" s="6"/>
    </row>
    <row r="211" spans="1:18" s="7" customFormat="1" x14ac:dyDescent="0.25">
      <c r="A211" s="6"/>
      <c r="B211" s="6"/>
      <c r="C211" s="6"/>
      <c r="D211" s="6"/>
      <c r="E211" s="6"/>
      <c r="F211" s="6"/>
      <c r="O211" s="6"/>
      <c r="P211" s="6"/>
      <c r="Q211" s="6"/>
      <c r="R211" s="6"/>
    </row>
    <row r="212" spans="1:18" s="7" customFormat="1" x14ac:dyDescent="0.25">
      <c r="A212" s="6"/>
      <c r="B212" s="6"/>
      <c r="C212" s="6"/>
      <c r="D212" s="6"/>
      <c r="E212" s="6"/>
      <c r="F212" s="6"/>
      <c r="O212" s="6"/>
      <c r="P212" s="6"/>
      <c r="Q212" s="6"/>
      <c r="R212" s="6"/>
    </row>
    <row r="213" spans="1:18" s="7" customFormat="1" x14ac:dyDescent="0.25">
      <c r="A213" s="6"/>
      <c r="B213" s="6"/>
      <c r="C213" s="6"/>
      <c r="D213" s="6"/>
      <c r="E213" s="6"/>
      <c r="F213" s="6"/>
      <c r="O213" s="6"/>
      <c r="P213" s="6"/>
      <c r="Q213" s="6"/>
      <c r="R213" s="6"/>
    </row>
    <row r="214" spans="1:18" s="7" customFormat="1" x14ac:dyDescent="0.25">
      <c r="A214" s="6"/>
      <c r="B214" s="6"/>
      <c r="C214" s="6"/>
      <c r="D214" s="6"/>
      <c r="E214" s="6"/>
      <c r="F214" s="6"/>
      <c r="O214" s="6"/>
      <c r="P214" s="6"/>
      <c r="Q214" s="6"/>
      <c r="R214" s="6"/>
    </row>
    <row r="215" spans="1:18" s="7" customFormat="1" x14ac:dyDescent="0.25">
      <c r="A215" s="6"/>
      <c r="B215" s="6"/>
      <c r="C215" s="6"/>
      <c r="D215" s="6"/>
      <c r="E215" s="6"/>
      <c r="F215" s="6"/>
      <c r="O215" s="6"/>
      <c r="P215" s="6"/>
      <c r="Q215" s="6"/>
      <c r="R215" s="6"/>
    </row>
    <row r="216" spans="1:18" s="7" customFormat="1" x14ac:dyDescent="0.25">
      <c r="A216" s="6"/>
      <c r="B216" s="6"/>
      <c r="C216" s="6"/>
      <c r="D216" s="6"/>
      <c r="E216" s="6"/>
      <c r="F216" s="6"/>
      <c r="O216" s="6"/>
      <c r="P216" s="6"/>
      <c r="Q216" s="6"/>
      <c r="R216" s="6"/>
    </row>
    <row r="217" spans="1:18" s="7" customFormat="1" x14ac:dyDescent="0.25">
      <c r="A217" s="6"/>
      <c r="B217" s="6"/>
      <c r="C217" s="6"/>
      <c r="D217" s="6"/>
      <c r="E217" s="6"/>
      <c r="F217" s="6"/>
      <c r="O217" s="6"/>
      <c r="P217" s="6"/>
      <c r="Q217" s="6"/>
      <c r="R217" s="6"/>
    </row>
    <row r="218" spans="1:18" s="7" customFormat="1" x14ac:dyDescent="0.25">
      <c r="A218" s="6"/>
      <c r="B218" s="6"/>
      <c r="C218" s="6"/>
      <c r="D218" s="6"/>
      <c r="E218" s="6"/>
      <c r="F218" s="6"/>
      <c r="O218" s="6"/>
      <c r="P218" s="6"/>
      <c r="Q218" s="6"/>
      <c r="R218" s="6"/>
    </row>
    <row r="219" spans="1:18" s="7" customFormat="1" x14ac:dyDescent="0.25">
      <c r="A219" s="6"/>
      <c r="B219" s="6"/>
      <c r="C219" s="6"/>
      <c r="D219" s="6"/>
      <c r="E219" s="6"/>
      <c r="F219" s="6"/>
      <c r="O219" s="6"/>
      <c r="P219" s="6"/>
      <c r="Q219" s="6"/>
      <c r="R219" s="6"/>
    </row>
    <row r="220" spans="1:18" s="7" customFormat="1" x14ac:dyDescent="0.25">
      <c r="A220" s="6"/>
      <c r="B220" s="6"/>
      <c r="C220" s="6"/>
      <c r="D220" s="6"/>
      <c r="E220" s="6"/>
      <c r="F220" s="6"/>
      <c r="O220" s="6"/>
      <c r="P220" s="6"/>
      <c r="Q220" s="6"/>
      <c r="R220" s="6"/>
    </row>
    <row r="221" spans="1:18" s="7" customFormat="1" x14ac:dyDescent="0.25">
      <c r="A221" s="6"/>
      <c r="B221" s="6"/>
      <c r="C221" s="6"/>
      <c r="D221" s="6"/>
      <c r="E221" s="6"/>
      <c r="F221" s="6"/>
      <c r="O221" s="6"/>
      <c r="P221" s="6"/>
      <c r="Q221" s="6"/>
      <c r="R221" s="6"/>
    </row>
    <row r="222" spans="1:18" s="7" customFormat="1" x14ac:dyDescent="0.25">
      <c r="A222" s="6"/>
      <c r="B222" s="6"/>
      <c r="C222" s="6"/>
      <c r="D222" s="6"/>
      <c r="E222" s="6"/>
      <c r="F222" s="6"/>
      <c r="O222" s="6"/>
      <c r="P222" s="6"/>
      <c r="Q222" s="6"/>
      <c r="R222" s="6"/>
    </row>
    <row r="223" spans="1:18" s="7" customFormat="1" x14ac:dyDescent="0.25">
      <c r="A223" s="6"/>
      <c r="B223" s="6"/>
      <c r="C223" s="6"/>
      <c r="D223" s="6"/>
      <c r="E223" s="6"/>
      <c r="F223" s="6"/>
      <c r="O223" s="6"/>
      <c r="P223" s="6"/>
      <c r="Q223" s="6"/>
      <c r="R223" s="6"/>
    </row>
    <row r="224" spans="1:18" s="7" customFormat="1" x14ac:dyDescent="0.25">
      <c r="A224" s="6"/>
      <c r="B224" s="6"/>
      <c r="C224" s="6"/>
      <c r="D224" s="6"/>
      <c r="E224" s="6"/>
      <c r="F224" s="6"/>
      <c r="O224" s="6"/>
      <c r="P224" s="6"/>
      <c r="Q224" s="6"/>
      <c r="R224" s="6"/>
    </row>
    <row r="225" spans="1:18" s="7" customFormat="1" x14ac:dyDescent="0.25">
      <c r="A225" s="6"/>
      <c r="B225" s="6"/>
      <c r="C225" s="6"/>
      <c r="D225" s="6"/>
      <c r="E225" s="6"/>
      <c r="F225" s="6"/>
      <c r="O225" s="6"/>
      <c r="P225" s="6"/>
      <c r="Q225" s="6"/>
      <c r="R225" s="6"/>
    </row>
    <row r="226" spans="1:18" s="7" customFormat="1" x14ac:dyDescent="0.25">
      <c r="A226" s="6"/>
      <c r="B226" s="6"/>
      <c r="C226" s="6"/>
      <c r="D226" s="6"/>
      <c r="E226" s="6"/>
      <c r="F226" s="6"/>
      <c r="O226" s="6"/>
      <c r="P226" s="6"/>
      <c r="Q226" s="6"/>
      <c r="R226" s="6"/>
    </row>
    <row r="227" spans="1:18" s="7" customFormat="1" x14ac:dyDescent="0.25">
      <c r="A227" s="6"/>
      <c r="B227" s="6"/>
      <c r="C227" s="6"/>
      <c r="D227" s="6"/>
      <c r="E227" s="6"/>
      <c r="F227" s="6"/>
      <c r="O227" s="6"/>
      <c r="P227" s="6"/>
      <c r="Q227" s="6"/>
      <c r="R227" s="6"/>
    </row>
    <row r="228" spans="1:18" s="7" customFormat="1" x14ac:dyDescent="0.25">
      <c r="A228" s="6"/>
      <c r="B228" s="6"/>
      <c r="C228" s="6"/>
      <c r="D228" s="6"/>
      <c r="E228" s="6"/>
      <c r="F228" s="6"/>
      <c r="O228" s="6"/>
      <c r="P228" s="6"/>
      <c r="Q228" s="6"/>
      <c r="R228" s="6"/>
    </row>
    <row r="229" spans="1:18" s="7" customFormat="1" x14ac:dyDescent="0.25">
      <c r="A229" s="6"/>
      <c r="B229" s="6"/>
      <c r="C229" s="6"/>
      <c r="D229" s="6"/>
      <c r="E229" s="6"/>
      <c r="F229" s="6"/>
      <c r="O229" s="6"/>
      <c r="P229" s="6"/>
      <c r="Q229" s="6"/>
      <c r="R229" s="6"/>
    </row>
    <row r="230" spans="1:18" s="7" customFormat="1" x14ac:dyDescent="0.25">
      <c r="A230" s="6"/>
      <c r="B230" s="6"/>
      <c r="C230" s="6"/>
      <c r="D230" s="6"/>
      <c r="E230" s="6"/>
      <c r="F230" s="6"/>
      <c r="O230" s="6"/>
      <c r="P230" s="6"/>
      <c r="Q230" s="6"/>
      <c r="R230" s="6"/>
    </row>
    <row r="231" spans="1:18" s="7" customFormat="1" x14ac:dyDescent="0.25">
      <c r="A231" s="6"/>
      <c r="B231" s="6"/>
      <c r="C231" s="6"/>
      <c r="D231" s="6"/>
      <c r="E231" s="6"/>
      <c r="F231" s="6"/>
      <c r="O231" s="6"/>
      <c r="P231" s="6"/>
      <c r="Q231" s="6"/>
      <c r="R231" s="6"/>
    </row>
    <row r="232" spans="1:18" s="7" customFormat="1" x14ac:dyDescent="0.25">
      <c r="A232" s="6"/>
      <c r="B232" s="6"/>
      <c r="C232" s="6"/>
      <c r="D232" s="6"/>
      <c r="E232" s="6"/>
      <c r="F232" s="6"/>
      <c r="O232" s="6"/>
      <c r="P232" s="6"/>
      <c r="Q232" s="6"/>
      <c r="R232" s="6"/>
    </row>
    <row r="233" spans="1:18" s="7" customFormat="1" x14ac:dyDescent="0.25">
      <c r="A233" s="6"/>
      <c r="B233" s="6"/>
      <c r="C233" s="6"/>
      <c r="D233" s="6"/>
      <c r="E233" s="6"/>
      <c r="F233" s="6"/>
      <c r="O233" s="6"/>
      <c r="P233" s="6"/>
      <c r="Q233" s="6"/>
      <c r="R233" s="6"/>
    </row>
    <row r="234" spans="1:18" s="7" customFormat="1" x14ac:dyDescent="0.25">
      <c r="A234" s="6"/>
      <c r="B234" s="6"/>
      <c r="C234" s="6"/>
      <c r="D234" s="6"/>
      <c r="E234" s="6"/>
      <c r="F234" s="6"/>
      <c r="O234" s="6"/>
      <c r="P234" s="6"/>
      <c r="Q234" s="6"/>
      <c r="R234" s="6"/>
    </row>
    <row r="235" spans="1:18" s="7" customFormat="1" x14ac:dyDescent="0.25">
      <c r="A235" s="6"/>
      <c r="B235" s="6"/>
      <c r="C235" s="6"/>
      <c r="D235" s="6"/>
      <c r="E235" s="6"/>
      <c r="F235" s="6"/>
      <c r="O235" s="6"/>
      <c r="P235" s="6"/>
      <c r="Q235" s="6"/>
      <c r="R235" s="6"/>
    </row>
    <row r="236" spans="1:18" s="7" customFormat="1" x14ac:dyDescent="0.25">
      <c r="A236" s="6"/>
      <c r="B236" s="6"/>
      <c r="C236" s="6"/>
      <c r="D236" s="6"/>
      <c r="E236" s="6"/>
      <c r="F236" s="6"/>
      <c r="O236" s="6"/>
      <c r="P236" s="6"/>
      <c r="Q236" s="6"/>
      <c r="R236" s="6"/>
    </row>
    <row r="237" spans="1:18" s="7" customFormat="1" x14ac:dyDescent="0.25">
      <c r="A237" s="6"/>
      <c r="B237" s="6"/>
      <c r="C237" s="6"/>
      <c r="D237" s="6"/>
      <c r="E237" s="6"/>
      <c r="F237" s="6"/>
      <c r="O237" s="6"/>
      <c r="P237" s="6"/>
      <c r="Q237" s="6"/>
      <c r="R237" s="6"/>
    </row>
    <row r="238" spans="1:18" s="7" customFormat="1" x14ac:dyDescent="0.25">
      <c r="A238" s="6"/>
      <c r="B238" s="6"/>
      <c r="C238" s="6"/>
      <c r="D238" s="6"/>
      <c r="E238" s="6"/>
      <c r="F238" s="6"/>
      <c r="O238" s="6"/>
      <c r="P238" s="6"/>
      <c r="Q238" s="6"/>
      <c r="R238" s="6"/>
    </row>
    <row r="239" spans="1:18" s="7" customFormat="1" x14ac:dyDescent="0.25">
      <c r="A239" s="6"/>
      <c r="B239" s="6"/>
      <c r="C239" s="6"/>
      <c r="D239" s="6"/>
      <c r="E239" s="6"/>
      <c r="F239" s="6"/>
      <c r="O239" s="6"/>
      <c r="P239" s="6"/>
      <c r="Q239" s="6"/>
      <c r="R239" s="6"/>
    </row>
    <row r="240" spans="1:18" s="7" customFormat="1" x14ac:dyDescent="0.25">
      <c r="A240" s="6"/>
      <c r="B240" s="6"/>
      <c r="C240" s="6"/>
      <c r="D240" s="6"/>
      <c r="E240" s="6"/>
      <c r="F240" s="6"/>
      <c r="O240" s="6"/>
      <c r="P240" s="6"/>
      <c r="Q240" s="6"/>
      <c r="R240" s="6"/>
    </row>
    <row r="241" spans="1:18" s="7" customFormat="1" x14ac:dyDescent="0.25">
      <c r="A241" s="6"/>
      <c r="B241" s="6"/>
      <c r="C241" s="6"/>
      <c r="D241" s="6"/>
      <c r="E241" s="6"/>
      <c r="F241" s="6"/>
      <c r="O241" s="6"/>
      <c r="P241" s="6"/>
      <c r="Q241" s="6"/>
      <c r="R241" s="6"/>
    </row>
    <row r="242" spans="1:18" s="7" customFormat="1" x14ac:dyDescent="0.25">
      <c r="A242" s="6"/>
      <c r="B242" s="6"/>
      <c r="C242" s="6"/>
      <c r="D242" s="6"/>
      <c r="E242" s="6"/>
      <c r="F242" s="6"/>
      <c r="O242" s="6"/>
      <c r="P242" s="6"/>
      <c r="Q242" s="6"/>
      <c r="R242" s="6"/>
    </row>
    <row r="243" spans="1:18" s="7" customFormat="1" x14ac:dyDescent="0.25">
      <c r="A243" s="6"/>
      <c r="B243" s="6"/>
      <c r="C243" s="6"/>
      <c r="D243" s="6"/>
      <c r="E243" s="6"/>
      <c r="F243" s="6"/>
      <c r="O243" s="6"/>
      <c r="P243" s="6"/>
      <c r="Q243" s="6"/>
      <c r="R243" s="6"/>
    </row>
    <row r="244" spans="1:18" s="7" customFormat="1" x14ac:dyDescent="0.25">
      <c r="A244" s="6"/>
      <c r="B244" s="6"/>
      <c r="C244" s="6"/>
      <c r="D244" s="6"/>
      <c r="E244" s="6"/>
      <c r="F244" s="6"/>
      <c r="O244" s="6"/>
      <c r="P244" s="6"/>
      <c r="Q244" s="6"/>
      <c r="R244" s="6"/>
    </row>
    <row r="245" spans="1:18" s="7" customFormat="1" x14ac:dyDescent="0.25">
      <c r="A245" s="6"/>
      <c r="B245" s="6"/>
      <c r="C245" s="6"/>
      <c r="D245" s="6"/>
      <c r="E245" s="6"/>
      <c r="F245" s="6"/>
      <c r="O245" s="6"/>
      <c r="P245" s="6"/>
      <c r="Q245" s="6"/>
      <c r="R245" s="6"/>
    </row>
    <row r="246" spans="1:18" s="7" customFormat="1" x14ac:dyDescent="0.25">
      <c r="A246" s="6"/>
      <c r="B246" s="6"/>
      <c r="C246" s="6"/>
      <c r="D246" s="6"/>
      <c r="E246" s="6"/>
      <c r="F246" s="6"/>
      <c r="O246" s="6"/>
      <c r="P246" s="6"/>
      <c r="Q246" s="6"/>
      <c r="R246" s="6"/>
    </row>
    <row r="247" spans="1:18" s="7" customFormat="1" x14ac:dyDescent="0.25">
      <c r="A247" s="6"/>
      <c r="B247" s="6"/>
      <c r="C247" s="6"/>
      <c r="D247" s="6"/>
      <c r="E247" s="6"/>
      <c r="F247" s="6"/>
      <c r="O247" s="6"/>
      <c r="P247" s="6"/>
      <c r="Q247" s="6"/>
      <c r="R247" s="6"/>
    </row>
    <row r="248" spans="1:18" s="7" customFormat="1" x14ac:dyDescent="0.25">
      <c r="A248" s="6"/>
      <c r="B248" s="6"/>
      <c r="C248" s="6"/>
      <c r="D248" s="6"/>
      <c r="E248" s="6"/>
      <c r="F248" s="6"/>
      <c r="O248" s="6"/>
      <c r="P248" s="6"/>
      <c r="Q248" s="6"/>
      <c r="R248" s="6"/>
    </row>
    <row r="249" spans="1:18" s="7" customFormat="1" x14ac:dyDescent="0.25">
      <c r="A249" s="6"/>
      <c r="B249" s="6"/>
      <c r="C249" s="6"/>
      <c r="D249" s="6"/>
      <c r="E249" s="6"/>
      <c r="F249" s="6"/>
      <c r="O249" s="6"/>
      <c r="P249" s="6"/>
      <c r="Q249" s="6"/>
      <c r="R249" s="6"/>
    </row>
    <row r="250" spans="1:18" s="7" customFormat="1" x14ac:dyDescent="0.25">
      <c r="A250" s="6"/>
      <c r="B250" s="6"/>
      <c r="C250" s="6"/>
      <c r="D250" s="6"/>
      <c r="E250" s="6"/>
      <c r="F250" s="6"/>
      <c r="O250" s="6"/>
      <c r="P250" s="6"/>
      <c r="Q250" s="6"/>
      <c r="R250" s="6"/>
    </row>
    <row r="251" spans="1:18" s="7" customFormat="1" x14ac:dyDescent="0.25">
      <c r="A251" s="6"/>
      <c r="B251" s="6"/>
      <c r="C251" s="6"/>
      <c r="D251" s="6"/>
      <c r="E251" s="6"/>
      <c r="F251" s="6"/>
      <c r="O251" s="6"/>
      <c r="P251" s="6"/>
      <c r="Q251" s="6"/>
      <c r="R251" s="6"/>
    </row>
    <row r="252" spans="1:18" s="7" customFormat="1" x14ac:dyDescent="0.25">
      <c r="A252" s="6"/>
      <c r="B252" s="6"/>
      <c r="C252" s="6"/>
      <c r="D252" s="6"/>
      <c r="E252" s="6"/>
      <c r="F252" s="6"/>
      <c r="O252" s="6"/>
      <c r="P252" s="6"/>
      <c r="Q252" s="6"/>
      <c r="R252" s="6"/>
    </row>
    <row r="253" spans="1:18" s="7" customFormat="1" x14ac:dyDescent="0.25">
      <c r="A253" s="6"/>
      <c r="B253" s="6"/>
      <c r="C253" s="6"/>
      <c r="D253" s="6"/>
      <c r="E253" s="6"/>
      <c r="F253" s="6"/>
      <c r="O253" s="6"/>
      <c r="P253" s="6"/>
      <c r="Q253" s="6"/>
      <c r="R253" s="6"/>
    </row>
    <row r="254" spans="1:18" s="7" customFormat="1" x14ac:dyDescent="0.25">
      <c r="A254" s="6"/>
      <c r="B254" s="6"/>
      <c r="C254" s="6"/>
      <c r="D254" s="6"/>
      <c r="E254" s="6"/>
      <c r="F254" s="6"/>
      <c r="O254" s="6"/>
      <c r="P254" s="6"/>
      <c r="Q254" s="6"/>
      <c r="R254" s="6"/>
    </row>
    <row r="255" spans="1:18" s="7" customFormat="1" x14ac:dyDescent="0.25">
      <c r="A255" s="6"/>
      <c r="B255" s="6"/>
      <c r="C255" s="6"/>
      <c r="D255" s="6"/>
      <c r="E255" s="6"/>
      <c r="F255" s="6"/>
      <c r="O255" s="6"/>
      <c r="P255" s="6"/>
      <c r="Q255" s="6"/>
      <c r="R255" s="6"/>
    </row>
    <row r="256" spans="1:18" s="7" customFormat="1" x14ac:dyDescent="0.25">
      <c r="A256" s="6"/>
      <c r="B256" s="6"/>
      <c r="C256" s="6"/>
      <c r="D256" s="6"/>
      <c r="E256" s="6"/>
      <c r="F256" s="6"/>
      <c r="O256" s="6"/>
      <c r="P256" s="6"/>
      <c r="Q256" s="6"/>
      <c r="R256" s="6"/>
    </row>
    <row r="257" spans="1:18" s="7" customFormat="1" x14ac:dyDescent="0.25">
      <c r="A257" s="6"/>
      <c r="B257" s="6"/>
      <c r="C257" s="6"/>
      <c r="D257" s="6"/>
      <c r="E257" s="6"/>
      <c r="F257" s="6"/>
      <c r="O257" s="6"/>
      <c r="P257" s="6"/>
      <c r="Q257" s="6"/>
      <c r="R257" s="6"/>
    </row>
    <row r="258" spans="1:18" s="7" customFormat="1" x14ac:dyDescent="0.25">
      <c r="A258" s="6"/>
      <c r="B258" s="6"/>
      <c r="C258" s="6"/>
      <c r="D258" s="6"/>
      <c r="E258" s="6"/>
      <c r="F258" s="6"/>
      <c r="O258" s="6"/>
      <c r="P258" s="6"/>
      <c r="Q258" s="6"/>
      <c r="R258" s="6"/>
    </row>
    <row r="259" spans="1:18" s="7" customFormat="1" x14ac:dyDescent="0.25">
      <c r="A259" s="6"/>
      <c r="B259" s="6"/>
      <c r="C259" s="6"/>
      <c r="D259" s="6"/>
      <c r="E259" s="6"/>
      <c r="F259" s="6"/>
      <c r="O259" s="6"/>
      <c r="P259" s="6"/>
      <c r="Q259" s="6"/>
      <c r="R259" s="6"/>
    </row>
    <row r="260" spans="1:18" s="7" customFormat="1" x14ac:dyDescent="0.25">
      <c r="A260" s="6"/>
      <c r="B260" s="6"/>
      <c r="C260" s="6"/>
      <c r="D260" s="6"/>
      <c r="E260" s="6"/>
      <c r="F260" s="6"/>
      <c r="O260" s="6"/>
      <c r="P260" s="6"/>
      <c r="Q260" s="6"/>
      <c r="R260" s="6"/>
    </row>
    <row r="261" spans="1:18" s="7" customFormat="1" x14ac:dyDescent="0.25">
      <c r="A261" s="6"/>
      <c r="B261" s="6"/>
      <c r="C261" s="6"/>
      <c r="D261" s="6"/>
      <c r="E261" s="6"/>
      <c r="F261" s="6"/>
      <c r="O261" s="6"/>
      <c r="P261" s="6"/>
      <c r="Q261" s="6"/>
      <c r="R261" s="6"/>
    </row>
    <row r="262" spans="1:18" s="7" customFormat="1" x14ac:dyDescent="0.25">
      <c r="A262" s="6"/>
      <c r="B262" s="6"/>
      <c r="C262" s="6"/>
      <c r="D262" s="6"/>
      <c r="E262" s="6"/>
      <c r="F262" s="6"/>
      <c r="O262" s="6"/>
      <c r="P262" s="6"/>
      <c r="Q262" s="6"/>
      <c r="R262" s="6"/>
    </row>
    <row r="263" spans="1:18" s="7" customFormat="1" x14ac:dyDescent="0.25">
      <c r="A263" s="6"/>
      <c r="B263" s="6"/>
      <c r="C263" s="6"/>
      <c r="D263" s="6"/>
      <c r="E263" s="6"/>
      <c r="F263" s="6"/>
      <c r="O263" s="6"/>
      <c r="P263" s="6"/>
      <c r="Q263" s="6"/>
      <c r="R263" s="6"/>
    </row>
    <row r="264" spans="1:18" s="7" customFormat="1" x14ac:dyDescent="0.25">
      <c r="A264" s="6"/>
      <c r="B264" s="6"/>
      <c r="C264" s="6"/>
      <c r="D264" s="6"/>
      <c r="E264" s="6"/>
      <c r="F264" s="6"/>
      <c r="O264" s="6"/>
      <c r="P264" s="6"/>
      <c r="Q264" s="6"/>
      <c r="R264" s="6"/>
    </row>
    <row r="265" spans="1:18" s="7" customFormat="1" x14ac:dyDescent="0.25">
      <c r="A265" s="6"/>
      <c r="B265" s="6"/>
      <c r="C265" s="6"/>
      <c r="D265" s="6"/>
      <c r="E265" s="6"/>
      <c r="F265" s="6"/>
      <c r="O265" s="6"/>
      <c r="P265" s="6"/>
      <c r="Q265" s="6"/>
      <c r="R265" s="6"/>
    </row>
    <row r="266" spans="1:18" s="7" customFormat="1" x14ac:dyDescent="0.25">
      <c r="A266" s="6"/>
      <c r="B266" s="6"/>
      <c r="C266" s="6"/>
      <c r="D266" s="6"/>
      <c r="E266" s="6"/>
      <c r="F266" s="6"/>
      <c r="O266" s="6"/>
      <c r="P266" s="6"/>
      <c r="Q266" s="6"/>
      <c r="R266" s="6"/>
    </row>
    <row r="267" spans="1:18" s="7" customFormat="1" x14ac:dyDescent="0.25">
      <c r="A267" s="6"/>
      <c r="B267" s="6"/>
      <c r="C267" s="6"/>
      <c r="D267" s="6"/>
      <c r="E267" s="6"/>
      <c r="F267" s="6"/>
      <c r="O267" s="6"/>
      <c r="P267" s="6"/>
      <c r="Q267" s="6"/>
      <c r="R267" s="6"/>
    </row>
    <row r="268" spans="1:18" s="7" customFormat="1" x14ac:dyDescent="0.25">
      <c r="A268" s="6"/>
      <c r="B268" s="6"/>
      <c r="C268" s="6"/>
      <c r="D268" s="6"/>
      <c r="E268" s="6"/>
      <c r="F268" s="6"/>
      <c r="O268" s="6"/>
      <c r="P268" s="6"/>
      <c r="Q268" s="6"/>
      <c r="R268" s="6"/>
    </row>
    <row r="269" spans="1:18" s="7" customFormat="1" x14ac:dyDescent="0.25">
      <c r="A269" s="6"/>
      <c r="B269" s="6"/>
      <c r="C269" s="6"/>
      <c r="D269" s="6"/>
      <c r="E269" s="6"/>
      <c r="F269" s="6"/>
      <c r="O269" s="6"/>
      <c r="P269" s="6"/>
      <c r="Q269" s="6"/>
      <c r="R269" s="6"/>
    </row>
    <row r="270" spans="1:18" s="7" customFormat="1" x14ac:dyDescent="0.25">
      <c r="A270" s="6"/>
      <c r="B270" s="6"/>
      <c r="C270" s="6"/>
      <c r="D270" s="6"/>
      <c r="E270" s="6"/>
      <c r="F270" s="6"/>
      <c r="O270" s="6"/>
      <c r="P270" s="6"/>
      <c r="Q270" s="6"/>
      <c r="R270" s="6"/>
    </row>
    <row r="271" spans="1:18" s="7" customFormat="1" x14ac:dyDescent="0.25">
      <c r="A271" s="6"/>
      <c r="B271" s="6"/>
      <c r="C271" s="6"/>
      <c r="D271" s="6"/>
      <c r="E271" s="6"/>
      <c r="F271" s="6"/>
      <c r="O271" s="6"/>
      <c r="P271" s="6"/>
      <c r="Q271" s="6"/>
      <c r="R271" s="6"/>
    </row>
    <row r="272" spans="1:18" s="7" customFormat="1" x14ac:dyDescent="0.25">
      <c r="A272" s="6"/>
      <c r="B272" s="6"/>
      <c r="C272" s="6"/>
      <c r="D272" s="6"/>
      <c r="E272" s="6"/>
      <c r="F272" s="6"/>
      <c r="O272" s="6"/>
      <c r="P272" s="6"/>
      <c r="Q272" s="6"/>
      <c r="R272" s="6"/>
    </row>
    <row r="273" spans="1:18" s="7" customFormat="1" x14ac:dyDescent="0.25">
      <c r="A273" s="6"/>
      <c r="B273" s="6"/>
      <c r="C273" s="6"/>
      <c r="D273" s="6"/>
      <c r="E273" s="6"/>
      <c r="F273" s="6"/>
      <c r="O273" s="6"/>
      <c r="P273" s="6"/>
      <c r="Q273" s="6"/>
      <c r="R273" s="6"/>
    </row>
    <row r="274" spans="1:18" s="7" customFormat="1" x14ac:dyDescent="0.25">
      <c r="A274" s="6"/>
      <c r="B274" s="6"/>
      <c r="C274" s="6"/>
      <c r="D274" s="6"/>
      <c r="E274" s="6"/>
      <c r="F274" s="6"/>
      <c r="O274" s="6"/>
      <c r="P274" s="6"/>
      <c r="Q274" s="6"/>
      <c r="R274" s="6"/>
    </row>
    <row r="275" spans="1:18" s="7" customFormat="1" x14ac:dyDescent="0.25">
      <c r="A275" s="6"/>
      <c r="B275" s="6"/>
      <c r="C275" s="6"/>
      <c r="D275" s="6"/>
      <c r="E275" s="6"/>
      <c r="F275" s="6"/>
      <c r="O275" s="6"/>
      <c r="P275" s="6"/>
      <c r="Q275" s="6"/>
      <c r="R275" s="6"/>
    </row>
    <row r="276" spans="1:18" s="7" customFormat="1" x14ac:dyDescent="0.25">
      <c r="A276" s="6"/>
      <c r="B276" s="6"/>
      <c r="C276" s="6"/>
      <c r="D276" s="6"/>
      <c r="E276" s="6"/>
      <c r="F276" s="6"/>
      <c r="O276" s="6"/>
      <c r="P276" s="6"/>
      <c r="Q276" s="6"/>
      <c r="R276" s="6"/>
    </row>
    <row r="277" spans="1:18" s="7" customFormat="1" x14ac:dyDescent="0.25">
      <c r="A277" s="6"/>
      <c r="B277" s="6"/>
      <c r="C277" s="6"/>
      <c r="D277" s="6"/>
      <c r="E277" s="6"/>
      <c r="F277" s="6"/>
      <c r="O277" s="6"/>
      <c r="P277" s="6"/>
      <c r="Q277" s="6"/>
      <c r="R277" s="6"/>
    </row>
    <row r="278" spans="1:18" s="7" customFormat="1" x14ac:dyDescent="0.25">
      <c r="A278" s="6"/>
      <c r="B278" s="6"/>
      <c r="C278" s="6"/>
      <c r="D278" s="6"/>
      <c r="E278" s="6"/>
      <c r="F278" s="6"/>
      <c r="O278" s="6"/>
      <c r="P278" s="6"/>
      <c r="Q278" s="6"/>
      <c r="R278" s="6"/>
    </row>
    <row r="279" spans="1:18" s="7" customFormat="1" x14ac:dyDescent="0.25">
      <c r="A279" s="6"/>
      <c r="B279" s="6"/>
      <c r="C279" s="6"/>
      <c r="D279" s="6"/>
      <c r="E279" s="6"/>
      <c r="F279" s="6"/>
      <c r="O279" s="6"/>
      <c r="P279" s="6"/>
      <c r="Q279" s="6"/>
      <c r="R279" s="6"/>
    </row>
    <row r="280" spans="1:18" s="7" customFormat="1" x14ac:dyDescent="0.25">
      <c r="A280" s="6"/>
      <c r="B280" s="6"/>
      <c r="C280" s="6"/>
      <c r="D280" s="6"/>
      <c r="E280" s="6"/>
      <c r="F280" s="6"/>
      <c r="O280" s="6"/>
      <c r="P280" s="6"/>
      <c r="Q280" s="6"/>
      <c r="R280" s="6"/>
    </row>
    <row r="281" spans="1:18" s="7" customFormat="1" x14ac:dyDescent="0.25">
      <c r="A281" s="6"/>
      <c r="B281" s="6"/>
      <c r="C281" s="6"/>
      <c r="D281" s="6"/>
      <c r="E281" s="6"/>
      <c r="F281" s="6"/>
      <c r="O281" s="6"/>
      <c r="P281" s="6"/>
      <c r="Q281" s="6"/>
      <c r="R281" s="6"/>
    </row>
    <row r="282" spans="1:18" s="7" customFormat="1" x14ac:dyDescent="0.25">
      <c r="A282" s="6"/>
      <c r="B282" s="6"/>
      <c r="C282" s="6"/>
      <c r="D282" s="6"/>
      <c r="E282" s="6"/>
      <c r="F282" s="6"/>
      <c r="O282" s="6"/>
      <c r="P282" s="6"/>
      <c r="Q282" s="6"/>
      <c r="R282" s="6"/>
    </row>
    <row r="283" spans="1:18" s="7" customFormat="1" x14ac:dyDescent="0.25">
      <c r="A283" s="6"/>
      <c r="B283" s="6"/>
      <c r="C283" s="6"/>
      <c r="D283" s="6"/>
      <c r="E283" s="6"/>
      <c r="F283" s="6"/>
      <c r="O283" s="6"/>
      <c r="P283" s="6"/>
      <c r="Q283" s="6"/>
      <c r="R283" s="6"/>
    </row>
    <row r="284" spans="1:18" s="7" customFormat="1" x14ac:dyDescent="0.25">
      <c r="A284" s="6"/>
      <c r="B284" s="6"/>
      <c r="C284" s="6"/>
      <c r="D284" s="6"/>
      <c r="E284" s="6"/>
      <c r="F284" s="6"/>
      <c r="O284" s="6"/>
      <c r="P284" s="6"/>
      <c r="Q284" s="6"/>
      <c r="R284" s="6"/>
    </row>
    <row r="285" spans="1:18" s="7" customFormat="1" x14ac:dyDescent="0.25">
      <c r="A285" s="6"/>
      <c r="B285" s="6"/>
      <c r="C285" s="6"/>
      <c r="D285" s="6"/>
      <c r="E285" s="6"/>
      <c r="F285" s="6"/>
      <c r="O285" s="6"/>
      <c r="P285" s="6"/>
      <c r="Q285" s="6"/>
      <c r="R285" s="6"/>
    </row>
    <row r="286" spans="1:18" s="7" customFormat="1" x14ac:dyDescent="0.25">
      <c r="A286" s="6"/>
      <c r="B286" s="6"/>
      <c r="C286" s="6"/>
      <c r="D286" s="6"/>
      <c r="E286" s="6"/>
      <c r="F286" s="6"/>
      <c r="O286" s="6"/>
      <c r="P286" s="6"/>
      <c r="Q286" s="6"/>
      <c r="R286" s="6"/>
    </row>
    <row r="287" spans="1:18" s="7" customFormat="1" x14ac:dyDescent="0.25">
      <c r="A287" s="6"/>
      <c r="B287" s="6"/>
      <c r="C287" s="6"/>
      <c r="D287" s="6"/>
      <c r="E287" s="6"/>
      <c r="F287" s="6"/>
      <c r="O287" s="6"/>
      <c r="P287" s="6"/>
      <c r="Q287" s="6"/>
      <c r="R287" s="6"/>
    </row>
    <row r="288" spans="1:18" s="7" customFormat="1" x14ac:dyDescent="0.25">
      <c r="A288" s="6"/>
      <c r="B288" s="6"/>
      <c r="C288" s="6"/>
      <c r="D288" s="6"/>
      <c r="E288" s="6"/>
      <c r="F288" s="6"/>
      <c r="O288" s="6"/>
      <c r="P288" s="6"/>
      <c r="Q288" s="6"/>
      <c r="R288" s="6"/>
    </row>
    <row r="289" spans="1:18" s="7" customFormat="1" x14ac:dyDescent="0.25">
      <c r="A289" s="6"/>
      <c r="B289" s="6"/>
      <c r="C289" s="6"/>
      <c r="D289" s="6"/>
      <c r="E289" s="6"/>
      <c r="F289" s="6"/>
      <c r="O289" s="6"/>
      <c r="P289" s="6"/>
      <c r="Q289" s="6"/>
      <c r="R289" s="6"/>
    </row>
    <row r="290" spans="1:18" s="7" customFormat="1" x14ac:dyDescent="0.25">
      <c r="A290" s="6"/>
      <c r="B290" s="6"/>
      <c r="C290" s="6"/>
      <c r="D290" s="6"/>
      <c r="E290" s="6"/>
      <c r="F290" s="6"/>
      <c r="O290" s="6"/>
      <c r="P290" s="6"/>
      <c r="Q290" s="6"/>
      <c r="R290" s="6"/>
    </row>
    <row r="291" spans="1:18" s="7" customFormat="1" x14ac:dyDescent="0.25">
      <c r="A291" s="6"/>
      <c r="B291" s="6"/>
      <c r="C291" s="6"/>
      <c r="D291" s="6"/>
      <c r="E291" s="6"/>
      <c r="F291" s="6"/>
      <c r="O291" s="6"/>
      <c r="P291" s="6"/>
      <c r="Q291" s="6"/>
      <c r="R291" s="6"/>
    </row>
    <row r="292" spans="1:18" s="7" customFormat="1" x14ac:dyDescent="0.25">
      <c r="A292" s="6"/>
      <c r="B292" s="6"/>
      <c r="C292" s="6"/>
      <c r="D292" s="6"/>
      <c r="E292" s="6"/>
      <c r="F292" s="6"/>
      <c r="O292" s="6"/>
      <c r="P292" s="6"/>
      <c r="Q292" s="6"/>
      <c r="R292" s="6"/>
    </row>
    <row r="293" spans="1:18" s="7" customFormat="1" x14ac:dyDescent="0.25">
      <c r="A293" s="6"/>
      <c r="B293" s="6"/>
      <c r="C293" s="6"/>
      <c r="D293" s="6"/>
      <c r="E293" s="6"/>
      <c r="F293" s="6"/>
      <c r="O293" s="6"/>
      <c r="P293" s="6"/>
      <c r="Q293" s="6"/>
      <c r="R293" s="6"/>
    </row>
    <row r="294" spans="1:18" s="7" customFormat="1" x14ac:dyDescent="0.25">
      <c r="A294" s="6"/>
      <c r="B294" s="6"/>
      <c r="C294" s="6"/>
      <c r="D294" s="6"/>
      <c r="E294" s="6"/>
      <c r="F294" s="6"/>
      <c r="O294" s="6"/>
      <c r="P294" s="6"/>
      <c r="Q294" s="6"/>
      <c r="R294" s="6"/>
    </row>
    <row r="295" spans="1:18" s="7" customFormat="1" x14ac:dyDescent="0.25">
      <c r="A295" s="6"/>
      <c r="B295" s="6"/>
      <c r="C295" s="6"/>
      <c r="D295" s="6"/>
      <c r="E295" s="6"/>
      <c r="F295" s="6"/>
      <c r="O295" s="6"/>
      <c r="P295" s="6"/>
      <c r="Q295" s="6"/>
      <c r="R295" s="6"/>
    </row>
    <row r="296" spans="1:18" s="7" customFormat="1" x14ac:dyDescent="0.25">
      <c r="A296" s="6"/>
      <c r="B296" s="6"/>
      <c r="C296" s="6"/>
      <c r="D296" s="6"/>
      <c r="E296" s="6"/>
      <c r="F296" s="6"/>
      <c r="O296" s="6"/>
      <c r="P296" s="6"/>
      <c r="Q296" s="6"/>
      <c r="R296" s="6"/>
    </row>
    <row r="297" spans="1:18" s="7" customFormat="1" x14ac:dyDescent="0.25">
      <c r="A297" s="6"/>
      <c r="B297" s="6"/>
      <c r="C297" s="6"/>
      <c r="D297" s="6"/>
      <c r="E297" s="6"/>
      <c r="F297" s="6"/>
      <c r="O297" s="6"/>
      <c r="P297" s="6"/>
      <c r="Q297" s="6"/>
      <c r="R297" s="6"/>
    </row>
    <row r="298" spans="1:18" s="7" customFormat="1" x14ac:dyDescent="0.25">
      <c r="A298" s="6"/>
      <c r="B298" s="6"/>
      <c r="C298" s="6"/>
      <c r="D298" s="6"/>
      <c r="E298" s="6"/>
      <c r="F298" s="6"/>
      <c r="O298" s="6"/>
      <c r="P298" s="6"/>
      <c r="Q298" s="6"/>
      <c r="R298" s="6"/>
    </row>
    <row r="299" spans="1:18" s="7" customFormat="1" x14ac:dyDescent="0.25">
      <c r="A299" s="6"/>
      <c r="B299" s="6"/>
      <c r="C299" s="6"/>
      <c r="D299" s="6"/>
      <c r="E299" s="6"/>
      <c r="F299" s="6"/>
      <c r="O299" s="6"/>
      <c r="P299" s="6"/>
      <c r="Q299" s="6"/>
      <c r="R299" s="6"/>
    </row>
    <row r="300" spans="1:18" s="7" customFormat="1" x14ac:dyDescent="0.25">
      <c r="A300" s="6"/>
      <c r="B300" s="6"/>
      <c r="C300" s="6"/>
      <c r="D300" s="6"/>
      <c r="E300" s="6"/>
      <c r="F300" s="6"/>
      <c r="O300" s="6"/>
      <c r="P300" s="6"/>
      <c r="Q300" s="6"/>
      <c r="R300" s="6"/>
    </row>
    <row r="301" spans="1:18" s="7" customFormat="1" x14ac:dyDescent="0.25">
      <c r="A301" s="6"/>
      <c r="B301" s="6"/>
      <c r="C301" s="6"/>
      <c r="D301" s="6"/>
      <c r="E301" s="6"/>
      <c r="F301" s="6"/>
      <c r="O301" s="6"/>
      <c r="P301" s="6"/>
      <c r="Q301" s="6"/>
      <c r="R301" s="6"/>
    </row>
    <row r="302" spans="1:18" s="7" customFormat="1" x14ac:dyDescent="0.25">
      <c r="A302" s="6"/>
      <c r="B302" s="6"/>
      <c r="C302" s="6"/>
      <c r="D302" s="6"/>
      <c r="E302" s="6"/>
      <c r="F302" s="6"/>
      <c r="O302" s="6"/>
      <c r="P302" s="6"/>
      <c r="Q302" s="6"/>
      <c r="R302" s="6"/>
    </row>
    <row r="303" spans="1:18" s="7" customFormat="1" x14ac:dyDescent="0.25">
      <c r="A303" s="6"/>
      <c r="B303" s="6"/>
      <c r="C303" s="6"/>
      <c r="D303" s="6"/>
      <c r="E303" s="6"/>
      <c r="F303" s="6"/>
      <c r="O303" s="6"/>
      <c r="P303" s="6"/>
      <c r="Q303" s="6"/>
      <c r="R303" s="6"/>
    </row>
    <row r="304" spans="1:18" s="7" customFormat="1" x14ac:dyDescent="0.25">
      <c r="A304" s="6"/>
      <c r="B304" s="6"/>
      <c r="C304" s="6"/>
      <c r="D304" s="6"/>
      <c r="E304" s="6"/>
      <c r="F304" s="6"/>
      <c r="O304" s="6"/>
      <c r="P304" s="6"/>
      <c r="Q304" s="6"/>
      <c r="R304" s="6"/>
    </row>
    <row r="305" spans="1:18" s="7" customFormat="1" x14ac:dyDescent="0.25">
      <c r="A305" s="6"/>
      <c r="B305" s="6"/>
      <c r="C305" s="6"/>
      <c r="D305" s="6"/>
      <c r="E305" s="6"/>
      <c r="F305" s="6"/>
      <c r="O305" s="6"/>
      <c r="P305" s="6"/>
      <c r="Q305" s="6"/>
      <c r="R305" s="6"/>
    </row>
    <row r="306" spans="1:18" s="7" customFormat="1" x14ac:dyDescent="0.25">
      <c r="A306" s="6"/>
      <c r="B306" s="6"/>
      <c r="C306" s="6"/>
      <c r="D306" s="6"/>
      <c r="E306" s="6"/>
      <c r="F306" s="6"/>
      <c r="O306" s="6"/>
      <c r="P306" s="6"/>
      <c r="Q306" s="6"/>
      <c r="R306" s="6"/>
    </row>
    <row r="307" spans="1:18" s="7" customFormat="1" x14ac:dyDescent="0.25">
      <c r="A307" s="6"/>
      <c r="B307" s="6"/>
      <c r="C307" s="6"/>
      <c r="D307" s="6"/>
      <c r="E307" s="6"/>
      <c r="F307" s="6"/>
      <c r="O307" s="6"/>
      <c r="P307" s="6"/>
      <c r="Q307" s="6"/>
      <c r="R307" s="6"/>
    </row>
    <row r="308" spans="1:18" s="7" customFormat="1" x14ac:dyDescent="0.25">
      <c r="A308" s="6"/>
      <c r="B308" s="6"/>
      <c r="C308" s="6"/>
      <c r="D308" s="6"/>
      <c r="E308" s="6"/>
      <c r="F308" s="6"/>
      <c r="O308" s="6"/>
      <c r="P308" s="6"/>
      <c r="Q308" s="6"/>
      <c r="R308" s="6"/>
    </row>
    <row r="309" spans="1:18" s="7" customFormat="1" x14ac:dyDescent="0.25">
      <c r="A309" s="6"/>
      <c r="B309" s="6"/>
      <c r="C309" s="6"/>
      <c r="D309" s="6"/>
      <c r="E309" s="6"/>
      <c r="F309" s="6"/>
      <c r="O309" s="6"/>
      <c r="P309" s="6"/>
      <c r="Q309" s="6"/>
      <c r="R309" s="6"/>
    </row>
    <row r="310" spans="1:18" s="7" customFormat="1" x14ac:dyDescent="0.25">
      <c r="A310" s="6"/>
      <c r="B310" s="6"/>
      <c r="C310" s="6"/>
      <c r="D310" s="6"/>
      <c r="E310" s="6"/>
      <c r="F310" s="6"/>
      <c r="O310" s="6"/>
      <c r="P310" s="6"/>
      <c r="Q310" s="6"/>
      <c r="R310" s="6"/>
    </row>
    <row r="311" spans="1:18" s="7" customFormat="1" x14ac:dyDescent="0.25">
      <c r="A311" s="6"/>
      <c r="B311" s="6"/>
      <c r="C311" s="6"/>
      <c r="D311" s="6"/>
      <c r="E311" s="6"/>
      <c r="F311" s="6"/>
      <c r="O311" s="6"/>
      <c r="P311" s="6"/>
      <c r="Q311" s="6"/>
      <c r="R311" s="6"/>
    </row>
    <row r="312" spans="1:18" s="7" customFormat="1" x14ac:dyDescent="0.25">
      <c r="A312" s="6"/>
      <c r="B312" s="6"/>
      <c r="C312" s="6"/>
      <c r="D312" s="6"/>
      <c r="E312" s="6"/>
      <c r="F312" s="6"/>
      <c r="O312" s="6"/>
      <c r="P312" s="6"/>
      <c r="Q312" s="6"/>
      <c r="R312" s="6"/>
    </row>
    <row r="313" spans="1:18" s="7" customFormat="1" x14ac:dyDescent="0.25">
      <c r="A313" s="6"/>
      <c r="B313" s="6"/>
      <c r="C313" s="6"/>
      <c r="D313" s="6"/>
      <c r="E313" s="6"/>
      <c r="F313" s="6"/>
      <c r="O313" s="6"/>
      <c r="P313" s="6"/>
      <c r="Q313" s="6"/>
      <c r="R313" s="6"/>
    </row>
    <row r="314" spans="1:18" s="7" customFormat="1" x14ac:dyDescent="0.25">
      <c r="A314" s="6"/>
      <c r="B314" s="6"/>
      <c r="C314" s="6"/>
      <c r="D314" s="6"/>
      <c r="E314" s="6"/>
      <c r="F314" s="6"/>
      <c r="O314" s="6"/>
      <c r="P314" s="6"/>
      <c r="Q314" s="6"/>
      <c r="R314" s="6"/>
    </row>
    <row r="315" spans="1:18" s="7" customFormat="1" x14ac:dyDescent="0.25">
      <c r="A315" s="6"/>
      <c r="B315" s="6"/>
      <c r="C315" s="6"/>
      <c r="D315" s="6"/>
      <c r="E315" s="6"/>
      <c r="F315" s="6"/>
      <c r="O315" s="6"/>
      <c r="P315" s="6"/>
      <c r="Q315" s="6"/>
      <c r="R315" s="6"/>
    </row>
    <row r="316" spans="1:18" s="7" customFormat="1" x14ac:dyDescent="0.25">
      <c r="A316" s="6"/>
      <c r="B316" s="6"/>
      <c r="C316" s="6"/>
      <c r="D316" s="6"/>
      <c r="E316" s="6"/>
      <c r="F316" s="6"/>
      <c r="O316" s="6"/>
      <c r="P316" s="6"/>
      <c r="Q316" s="6"/>
      <c r="R316" s="6"/>
    </row>
    <row r="317" spans="1:18" s="7" customFormat="1" x14ac:dyDescent="0.25">
      <c r="A317" s="6"/>
      <c r="B317" s="6"/>
      <c r="C317" s="6"/>
      <c r="D317" s="6"/>
      <c r="E317" s="6"/>
      <c r="F317" s="6"/>
      <c r="O317" s="6"/>
      <c r="P317" s="6"/>
      <c r="Q317" s="6"/>
      <c r="R317" s="6"/>
    </row>
    <row r="318" spans="1:18" s="7" customFormat="1" x14ac:dyDescent="0.25">
      <c r="A318" s="6"/>
      <c r="B318" s="6"/>
      <c r="C318" s="6"/>
      <c r="D318" s="6"/>
      <c r="E318" s="6"/>
      <c r="F318" s="6"/>
      <c r="O318" s="6"/>
      <c r="P318" s="6"/>
      <c r="Q318" s="6"/>
      <c r="R318" s="6"/>
    </row>
    <row r="319" spans="1:18" s="7" customFormat="1" x14ac:dyDescent="0.25">
      <c r="A319" s="6"/>
      <c r="B319" s="6"/>
      <c r="C319" s="6"/>
      <c r="D319" s="6"/>
      <c r="E319" s="6"/>
      <c r="F319" s="6"/>
      <c r="O319" s="6"/>
      <c r="P319" s="6"/>
      <c r="Q319" s="6"/>
      <c r="R319" s="6"/>
    </row>
    <row r="320" spans="1:18" s="7" customFormat="1" x14ac:dyDescent="0.25">
      <c r="A320" s="6"/>
      <c r="B320" s="6"/>
      <c r="C320" s="6"/>
      <c r="D320" s="6"/>
      <c r="E320" s="6"/>
      <c r="F320" s="6"/>
      <c r="O320" s="6"/>
      <c r="P320" s="6"/>
      <c r="Q320" s="6"/>
      <c r="R320" s="6"/>
    </row>
    <row r="321" spans="1:18" s="7" customFormat="1" x14ac:dyDescent="0.25">
      <c r="A321" s="6"/>
      <c r="B321" s="6"/>
      <c r="C321" s="6"/>
      <c r="D321" s="6"/>
      <c r="E321" s="6"/>
      <c r="F321" s="6"/>
      <c r="O321" s="6"/>
      <c r="P321" s="6"/>
      <c r="Q321" s="6"/>
      <c r="R321" s="6"/>
    </row>
    <row r="322" spans="1:18" s="7" customFormat="1" x14ac:dyDescent="0.25">
      <c r="A322" s="6"/>
      <c r="B322" s="6"/>
      <c r="C322" s="6"/>
      <c r="D322" s="6"/>
      <c r="E322" s="6"/>
      <c r="F322" s="6"/>
      <c r="O322" s="6"/>
      <c r="P322" s="6"/>
      <c r="Q322" s="6"/>
      <c r="R322" s="6"/>
    </row>
    <row r="323" spans="1:18" s="7" customFormat="1" x14ac:dyDescent="0.25">
      <c r="A323" s="6"/>
      <c r="B323" s="6"/>
      <c r="C323" s="6"/>
      <c r="D323" s="6"/>
      <c r="E323" s="6"/>
      <c r="F323" s="6"/>
      <c r="O323" s="6"/>
      <c r="P323" s="6"/>
      <c r="Q323" s="6"/>
      <c r="R323" s="6"/>
    </row>
    <row r="324" spans="1:18" s="7" customFormat="1" x14ac:dyDescent="0.25">
      <c r="A324" s="6"/>
      <c r="B324" s="6"/>
      <c r="C324" s="6"/>
      <c r="D324" s="6"/>
      <c r="E324" s="6"/>
      <c r="F324" s="6"/>
      <c r="O324" s="6"/>
      <c r="P324" s="6"/>
      <c r="Q324" s="6"/>
      <c r="R324" s="6"/>
    </row>
    <row r="325" spans="1:18" s="7" customFormat="1" x14ac:dyDescent="0.25">
      <c r="A325" s="6"/>
      <c r="B325" s="6"/>
      <c r="C325" s="6"/>
      <c r="D325" s="6"/>
      <c r="E325" s="6"/>
      <c r="F325" s="6"/>
      <c r="O325" s="6"/>
      <c r="P325" s="6"/>
      <c r="Q325" s="6"/>
      <c r="R325" s="6"/>
    </row>
    <row r="326" spans="1:18" s="7" customFormat="1" x14ac:dyDescent="0.25">
      <c r="A326" s="6"/>
      <c r="B326" s="6"/>
      <c r="C326" s="6"/>
      <c r="D326" s="6"/>
      <c r="E326" s="6"/>
      <c r="F326" s="6"/>
      <c r="O326" s="6"/>
      <c r="P326" s="6"/>
      <c r="Q326" s="6"/>
      <c r="R326" s="6"/>
    </row>
    <row r="327" spans="1:18" s="7" customFormat="1" x14ac:dyDescent="0.25">
      <c r="A327" s="6"/>
      <c r="B327" s="6"/>
      <c r="C327" s="6"/>
      <c r="D327" s="6"/>
      <c r="E327" s="6"/>
      <c r="F327" s="6"/>
      <c r="O327" s="6"/>
      <c r="P327" s="6"/>
      <c r="Q327" s="6"/>
      <c r="R327" s="6"/>
    </row>
    <row r="328" spans="1:18" s="7" customFormat="1" x14ac:dyDescent="0.25">
      <c r="A328" s="6"/>
      <c r="B328" s="6"/>
      <c r="C328" s="6"/>
      <c r="D328" s="6"/>
      <c r="E328" s="6"/>
      <c r="F328" s="6"/>
      <c r="O328" s="6"/>
      <c r="P328" s="6"/>
      <c r="Q328" s="6"/>
      <c r="R328" s="6"/>
    </row>
    <row r="329" spans="1:18" s="7" customFormat="1" x14ac:dyDescent="0.25">
      <c r="A329" s="6"/>
      <c r="B329" s="6"/>
      <c r="C329" s="6"/>
      <c r="D329" s="6"/>
      <c r="E329" s="6"/>
      <c r="F329" s="6"/>
      <c r="O329" s="6"/>
      <c r="P329" s="6"/>
      <c r="Q329" s="6"/>
      <c r="R329" s="6"/>
    </row>
    <row r="330" spans="1:18" s="7" customFormat="1" x14ac:dyDescent="0.25">
      <c r="A330" s="6"/>
      <c r="B330" s="6"/>
      <c r="C330" s="6"/>
      <c r="D330" s="6"/>
      <c r="E330" s="6"/>
      <c r="F330" s="6"/>
      <c r="O330" s="6"/>
      <c r="P330" s="6"/>
      <c r="Q330" s="6"/>
      <c r="R330" s="6"/>
    </row>
    <row r="331" spans="1:18" s="7" customFormat="1" x14ac:dyDescent="0.25">
      <c r="A331" s="6"/>
      <c r="B331" s="6"/>
      <c r="C331" s="6"/>
      <c r="D331" s="6"/>
      <c r="E331" s="6"/>
      <c r="F331" s="6"/>
      <c r="O331" s="6"/>
      <c r="P331" s="6"/>
      <c r="Q331" s="6"/>
      <c r="R331" s="6"/>
    </row>
    <row r="332" spans="1:18" s="7" customFormat="1" x14ac:dyDescent="0.25">
      <c r="A332" s="6"/>
      <c r="B332" s="6"/>
      <c r="C332" s="6"/>
      <c r="D332" s="6"/>
      <c r="E332" s="6"/>
      <c r="F332" s="6"/>
      <c r="O332" s="6"/>
      <c r="P332" s="6"/>
      <c r="Q332" s="6"/>
      <c r="R332" s="6"/>
    </row>
    <row r="333" spans="1:18" s="7" customFormat="1" x14ac:dyDescent="0.25">
      <c r="A333" s="6"/>
      <c r="B333" s="6"/>
      <c r="C333" s="6"/>
      <c r="D333" s="6"/>
      <c r="E333" s="6"/>
      <c r="F333" s="6"/>
      <c r="O333" s="6"/>
      <c r="P333" s="6"/>
      <c r="Q333" s="6"/>
      <c r="R333" s="6"/>
    </row>
    <row r="334" spans="1:18" s="7" customFormat="1" x14ac:dyDescent="0.25">
      <c r="A334" s="6"/>
      <c r="B334" s="6"/>
      <c r="C334" s="6"/>
      <c r="D334" s="6"/>
      <c r="E334" s="6"/>
      <c r="F334" s="6"/>
      <c r="O334" s="6"/>
      <c r="P334" s="6"/>
      <c r="Q334" s="6"/>
      <c r="R334" s="6"/>
    </row>
    <row r="335" spans="1:18" s="7" customFormat="1" x14ac:dyDescent="0.25">
      <c r="A335" s="6"/>
      <c r="B335" s="6"/>
      <c r="C335" s="6"/>
      <c r="D335" s="6"/>
      <c r="E335" s="6"/>
      <c r="F335" s="6"/>
      <c r="O335" s="6"/>
      <c r="P335" s="6"/>
      <c r="Q335" s="6"/>
      <c r="R335" s="6"/>
    </row>
    <row r="336" spans="1:18" s="7" customFormat="1" x14ac:dyDescent="0.25">
      <c r="A336" s="6"/>
      <c r="B336" s="6"/>
      <c r="C336" s="6"/>
      <c r="D336" s="6"/>
      <c r="E336" s="6"/>
      <c r="F336" s="6"/>
      <c r="O336" s="6"/>
      <c r="P336" s="6"/>
      <c r="Q336" s="6"/>
      <c r="R336" s="6"/>
    </row>
    <row r="337" spans="1:18" s="7" customFormat="1" x14ac:dyDescent="0.25">
      <c r="A337" s="6"/>
      <c r="B337" s="6"/>
      <c r="C337" s="6"/>
      <c r="D337" s="6"/>
      <c r="E337" s="6"/>
      <c r="F337" s="6"/>
      <c r="O337" s="6"/>
      <c r="P337" s="6"/>
      <c r="Q337" s="6"/>
      <c r="R337" s="6"/>
    </row>
    <row r="338" spans="1:18" s="7" customFormat="1" x14ac:dyDescent="0.25">
      <c r="A338" s="6"/>
      <c r="B338" s="6"/>
      <c r="C338" s="6"/>
      <c r="D338" s="6"/>
      <c r="E338" s="6"/>
      <c r="F338" s="6"/>
      <c r="O338" s="6"/>
      <c r="P338" s="6"/>
      <c r="Q338" s="6"/>
      <c r="R338" s="6"/>
    </row>
    <row r="339" spans="1:18" s="7" customFormat="1" x14ac:dyDescent="0.25">
      <c r="A339" s="6"/>
      <c r="B339" s="6"/>
      <c r="C339" s="6"/>
      <c r="D339" s="6"/>
      <c r="E339" s="6"/>
      <c r="F339" s="6"/>
      <c r="O339" s="6"/>
      <c r="P339" s="6"/>
      <c r="Q339" s="6"/>
      <c r="R339" s="6"/>
    </row>
    <row r="340" spans="1:18" s="7" customFormat="1" x14ac:dyDescent="0.25">
      <c r="A340" s="6"/>
      <c r="B340" s="6"/>
      <c r="C340" s="6"/>
      <c r="D340" s="6"/>
      <c r="E340" s="6"/>
      <c r="F340" s="6"/>
      <c r="O340" s="6"/>
      <c r="P340" s="6"/>
      <c r="Q340" s="6"/>
      <c r="R340" s="6"/>
    </row>
    <row r="341" spans="1:18" s="7" customFormat="1" x14ac:dyDescent="0.25">
      <c r="A341" s="6"/>
      <c r="B341" s="6"/>
      <c r="C341" s="6"/>
      <c r="D341" s="6"/>
      <c r="E341" s="6"/>
      <c r="F341" s="6"/>
      <c r="O341" s="6"/>
      <c r="P341" s="6"/>
      <c r="Q341" s="6"/>
      <c r="R341" s="6"/>
    </row>
    <row r="342" spans="1:18" s="7" customFormat="1" x14ac:dyDescent="0.25">
      <c r="A342" s="6"/>
      <c r="B342" s="6"/>
      <c r="C342" s="6"/>
      <c r="D342" s="6"/>
      <c r="E342" s="6"/>
      <c r="F342" s="6"/>
      <c r="O342" s="6"/>
      <c r="P342" s="6"/>
      <c r="Q342" s="6"/>
      <c r="R342" s="6"/>
    </row>
    <row r="343" spans="1:18" s="7" customFormat="1" x14ac:dyDescent="0.25">
      <c r="A343" s="6"/>
      <c r="B343" s="6"/>
      <c r="C343" s="6"/>
      <c r="D343" s="6"/>
      <c r="E343" s="6"/>
      <c r="F343" s="6"/>
      <c r="O343" s="6"/>
      <c r="P343" s="6"/>
      <c r="Q343" s="6"/>
      <c r="R343" s="6"/>
    </row>
    <row r="344" spans="1:18" s="7" customFormat="1" x14ac:dyDescent="0.25">
      <c r="A344" s="6"/>
      <c r="B344" s="6"/>
      <c r="C344" s="6"/>
      <c r="D344" s="6"/>
      <c r="E344" s="6"/>
      <c r="F344" s="6"/>
      <c r="O344" s="6"/>
      <c r="P344" s="6"/>
      <c r="Q344" s="6"/>
      <c r="R344" s="6"/>
    </row>
    <row r="345" spans="1:18" s="7" customFormat="1" x14ac:dyDescent="0.25">
      <c r="A345" s="6"/>
      <c r="B345" s="6"/>
      <c r="C345" s="6"/>
      <c r="D345" s="6"/>
      <c r="E345" s="6"/>
      <c r="F345" s="6"/>
      <c r="O345" s="6"/>
      <c r="P345" s="6"/>
      <c r="Q345" s="6"/>
      <c r="R345" s="6"/>
    </row>
    <row r="346" spans="1:18" s="7" customFormat="1" x14ac:dyDescent="0.25">
      <c r="A346" s="6"/>
      <c r="B346" s="6"/>
      <c r="C346" s="6"/>
      <c r="D346" s="6"/>
      <c r="E346" s="6"/>
      <c r="F346" s="6"/>
      <c r="O346" s="6"/>
      <c r="P346" s="6"/>
      <c r="Q346" s="6"/>
      <c r="R346" s="6"/>
    </row>
    <row r="347" spans="1:18" s="7" customFormat="1" x14ac:dyDescent="0.25">
      <c r="A347" s="6"/>
      <c r="B347" s="6"/>
      <c r="C347" s="6"/>
      <c r="D347" s="6"/>
      <c r="E347" s="6"/>
      <c r="F347" s="6"/>
      <c r="O347" s="6"/>
      <c r="P347" s="6"/>
      <c r="Q347" s="6"/>
      <c r="R347" s="6"/>
    </row>
    <row r="348" spans="1:18" s="7" customFormat="1" x14ac:dyDescent="0.25">
      <c r="A348" s="6"/>
      <c r="B348" s="6"/>
      <c r="C348" s="6"/>
      <c r="D348" s="6"/>
      <c r="E348" s="6"/>
      <c r="F348" s="6"/>
      <c r="O348" s="6"/>
      <c r="P348" s="6"/>
      <c r="Q348" s="6"/>
      <c r="R348" s="6"/>
    </row>
    <row r="349" spans="1:18" s="7" customFormat="1" x14ac:dyDescent="0.25">
      <c r="A349" s="6"/>
      <c r="B349" s="6"/>
      <c r="C349" s="6"/>
      <c r="D349" s="6"/>
      <c r="E349" s="6"/>
      <c r="F349" s="6"/>
      <c r="O349" s="6"/>
      <c r="P349" s="6"/>
      <c r="Q349" s="6"/>
      <c r="R349" s="6"/>
    </row>
    <row r="350" spans="1:18" s="7" customFormat="1" x14ac:dyDescent="0.25">
      <c r="A350" s="6"/>
      <c r="B350" s="6"/>
      <c r="C350" s="6"/>
      <c r="D350" s="6"/>
      <c r="E350" s="6"/>
      <c r="F350" s="6"/>
      <c r="O350" s="6"/>
      <c r="P350" s="6"/>
      <c r="Q350" s="6"/>
      <c r="R350" s="6"/>
    </row>
    <row r="351" spans="1:18" s="7" customFormat="1" x14ac:dyDescent="0.25">
      <c r="A351" s="6"/>
      <c r="B351" s="6"/>
      <c r="C351" s="6"/>
      <c r="D351" s="6"/>
      <c r="E351" s="6"/>
      <c r="F351" s="6"/>
      <c r="O351" s="6"/>
      <c r="P351" s="6"/>
      <c r="Q351" s="6"/>
      <c r="R351" s="6"/>
    </row>
    <row r="352" spans="1:18" s="7" customFormat="1" x14ac:dyDescent="0.25">
      <c r="A352" s="6"/>
      <c r="B352" s="6"/>
      <c r="C352" s="6"/>
      <c r="D352" s="6"/>
      <c r="E352" s="6"/>
      <c r="F352" s="6"/>
      <c r="O352" s="6"/>
      <c r="P352" s="6"/>
      <c r="Q352" s="6"/>
      <c r="R352" s="6"/>
    </row>
    <row r="353" spans="1:18" s="7" customFormat="1" x14ac:dyDescent="0.25">
      <c r="A353" s="6"/>
      <c r="B353" s="6"/>
      <c r="C353" s="6"/>
      <c r="D353" s="6"/>
      <c r="E353" s="6"/>
      <c r="F353" s="6"/>
      <c r="O353" s="6"/>
      <c r="P353" s="6"/>
      <c r="Q353" s="6"/>
      <c r="R353" s="6"/>
    </row>
    <row r="354" spans="1:18" s="7" customFormat="1" x14ac:dyDescent="0.25">
      <c r="A354" s="6"/>
      <c r="B354" s="6"/>
      <c r="C354" s="6"/>
      <c r="D354" s="6"/>
      <c r="E354" s="6"/>
      <c r="F354" s="6"/>
      <c r="O354" s="6"/>
      <c r="P354" s="6"/>
      <c r="Q354" s="6"/>
      <c r="R354" s="6"/>
    </row>
    <row r="355" spans="1:18" s="7" customFormat="1" x14ac:dyDescent="0.25">
      <c r="A355" s="6"/>
      <c r="B355" s="6"/>
      <c r="C355" s="6"/>
      <c r="D355" s="6"/>
      <c r="E355" s="6"/>
      <c r="F355" s="6"/>
      <c r="O355" s="6"/>
      <c r="P355" s="6"/>
      <c r="Q355" s="6"/>
      <c r="R355" s="6"/>
    </row>
    <row r="356" spans="1:18" s="7" customFormat="1" x14ac:dyDescent="0.25">
      <c r="A356" s="6"/>
      <c r="B356" s="6"/>
      <c r="C356" s="6"/>
      <c r="D356" s="6"/>
      <c r="E356" s="6"/>
      <c r="F356" s="6"/>
      <c r="O356" s="6"/>
      <c r="P356" s="6"/>
      <c r="Q356" s="6"/>
      <c r="R356" s="6"/>
    </row>
    <row r="357" spans="1:18" s="7" customFormat="1" x14ac:dyDescent="0.25">
      <c r="A357" s="6"/>
      <c r="B357" s="6"/>
      <c r="C357" s="6"/>
      <c r="D357" s="6"/>
      <c r="E357" s="6"/>
      <c r="F357" s="6"/>
      <c r="O357" s="6"/>
      <c r="P357" s="6"/>
      <c r="Q357" s="6"/>
      <c r="R357" s="6"/>
    </row>
    <row r="358" spans="1:18" s="7" customFormat="1" x14ac:dyDescent="0.25">
      <c r="A358" s="6"/>
      <c r="B358" s="6"/>
      <c r="C358" s="6"/>
      <c r="D358" s="6"/>
      <c r="E358" s="6"/>
      <c r="F358" s="6"/>
      <c r="O358" s="6"/>
      <c r="P358" s="6"/>
      <c r="Q358" s="6"/>
      <c r="R358" s="6"/>
    </row>
    <row r="359" spans="1:18" s="7" customFormat="1" x14ac:dyDescent="0.25">
      <c r="A359" s="6"/>
      <c r="B359" s="6"/>
      <c r="C359" s="6"/>
      <c r="D359" s="6"/>
      <c r="E359" s="6"/>
      <c r="F359" s="6"/>
      <c r="O359" s="6"/>
      <c r="P359" s="6"/>
      <c r="Q359" s="6"/>
      <c r="R359" s="6"/>
    </row>
    <row r="360" spans="1:18" s="7" customFormat="1" x14ac:dyDescent="0.25">
      <c r="A360" s="6"/>
      <c r="B360" s="6"/>
      <c r="C360" s="6"/>
      <c r="D360" s="6"/>
      <c r="E360" s="6"/>
      <c r="F360" s="6"/>
      <c r="O360" s="6"/>
      <c r="P360" s="6"/>
      <c r="Q360" s="6"/>
      <c r="R360" s="6"/>
    </row>
    <row r="361" spans="1:18" s="7" customFormat="1" x14ac:dyDescent="0.25">
      <c r="A361" s="6"/>
      <c r="B361" s="6"/>
      <c r="C361" s="6"/>
      <c r="D361" s="6"/>
      <c r="E361" s="6"/>
      <c r="F361" s="6"/>
      <c r="O361" s="6"/>
      <c r="P361" s="6"/>
      <c r="Q361" s="6"/>
      <c r="R361" s="6"/>
    </row>
    <row r="362" spans="1:18" s="7" customFormat="1" x14ac:dyDescent="0.25">
      <c r="A362" s="6"/>
      <c r="B362" s="6"/>
      <c r="C362" s="6"/>
      <c r="D362" s="6"/>
      <c r="E362" s="6"/>
      <c r="F362" s="6"/>
      <c r="O362" s="6"/>
      <c r="P362" s="6"/>
      <c r="Q362" s="6"/>
      <c r="R362" s="6"/>
    </row>
    <row r="363" spans="1:18" s="7" customFormat="1" x14ac:dyDescent="0.25">
      <c r="A363" s="6"/>
      <c r="B363" s="6"/>
      <c r="C363" s="6"/>
      <c r="D363" s="6"/>
      <c r="E363" s="6"/>
      <c r="F363" s="6"/>
      <c r="O363" s="6"/>
      <c r="P363" s="6"/>
      <c r="Q363" s="6"/>
      <c r="R363" s="6"/>
    </row>
    <row r="364" spans="1:18" s="7" customFormat="1" x14ac:dyDescent="0.25">
      <c r="A364" s="6"/>
      <c r="B364" s="6"/>
      <c r="C364" s="6"/>
      <c r="D364" s="6"/>
      <c r="E364" s="6"/>
      <c r="F364" s="6"/>
      <c r="O364" s="6"/>
      <c r="P364" s="6"/>
      <c r="Q364" s="6"/>
      <c r="R364" s="6"/>
    </row>
    <row r="365" spans="1:18" s="7" customFormat="1" x14ac:dyDescent="0.25">
      <c r="A365" s="6"/>
      <c r="B365" s="6"/>
      <c r="C365" s="6"/>
      <c r="D365" s="6"/>
      <c r="E365" s="6"/>
      <c r="F365" s="6"/>
      <c r="O365" s="6"/>
      <c r="P365" s="6"/>
      <c r="Q365" s="6"/>
      <c r="R365" s="6"/>
    </row>
    <row r="366" spans="1:18" s="7" customFormat="1" x14ac:dyDescent="0.25">
      <c r="A366" s="6"/>
      <c r="B366" s="6"/>
      <c r="C366" s="6"/>
      <c r="D366" s="6"/>
      <c r="E366" s="6"/>
      <c r="F366" s="6"/>
      <c r="O366" s="6"/>
      <c r="P366" s="6"/>
      <c r="Q366" s="6"/>
      <c r="R366" s="6"/>
    </row>
    <row r="367" spans="1:18" s="7" customFormat="1" x14ac:dyDescent="0.25">
      <c r="A367" s="6"/>
      <c r="B367" s="6"/>
      <c r="C367" s="6"/>
      <c r="D367" s="6"/>
      <c r="E367" s="6"/>
      <c r="F367" s="6"/>
      <c r="O367" s="6"/>
      <c r="P367" s="6"/>
      <c r="Q367" s="6"/>
      <c r="R367" s="6"/>
    </row>
    <row r="368" spans="1:18" s="7" customFormat="1" x14ac:dyDescent="0.25">
      <c r="A368" s="6"/>
      <c r="B368" s="6"/>
      <c r="C368" s="6"/>
      <c r="D368" s="6"/>
      <c r="E368" s="6"/>
      <c r="F368" s="6"/>
      <c r="O368" s="6"/>
      <c r="P368" s="6"/>
      <c r="Q368" s="6"/>
      <c r="R368" s="6"/>
    </row>
    <row r="369" spans="1:18" s="7" customFormat="1" x14ac:dyDescent="0.25">
      <c r="A369" s="6"/>
      <c r="B369" s="6"/>
      <c r="C369" s="6"/>
      <c r="D369" s="6"/>
      <c r="E369" s="6"/>
      <c r="F369" s="6"/>
      <c r="O369" s="6"/>
      <c r="P369" s="6"/>
      <c r="Q369" s="6"/>
      <c r="R369" s="6"/>
    </row>
    <row r="370" spans="1:18" s="7" customFormat="1" x14ac:dyDescent="0.25">
      <c r="A370" s="6"/>
      <c r="B370" s="6"/>
      <c r="C370" s="6"/>
      <c r="D370" s="6"/>
      <c r="E370" s="6"/>
      <c r="F370" s="6"/>
      <c r="O370" s="6"/>
      <c r="P370" s="6"/>
      <c r="Q370" s="6"/>
      <c r="R370" s="6"/>
    </row>
    <row r="371" spans="1:18" s="7" customFormat="1" x14ac:dyDescent="0.25">
      <c r="A371" s="6"/>
      <c r="B371" s="6"/>
      <c r="C371" s="6"/>
      <c r="D371" s="6"/>
      <c r="E371" s="6"/>
      <c r="F371" s="6"/>
      <c r="O371" s="6"/>
      <c r="P371" s="6"/>
      <c r="Q371" s="6"/>
      <c r="R371" s="6"/>
    </row>
    <row r="372" spans="1:18" s="7" customFormat="1" x14ac:dyDescent="0.25">
      <c r="A372" s="6"/>
      <c r="B372" s="6"/>
      <c r="C372" s="6"/>
      <c r="D372" s="6"/>
      <c r="E372" s="6"/>
      <c r="F372" s="6"/>
      <c r="O372" s="6"/>
      <c r="P372" s="6"/>
      <c r="Q372" s="6"/>
      <c r="R372" s="6"/>
    </row>
    <row r="373" spans="1:18" s="7" customFormat="1" x14ac:dyDescent="0.25">
      <c r="A373" s="6"/>
      <c r="B373" s="6"/>
      <c r="C373" s="6"/>
      <c r="D373" s="6"/>
      <c r="E373" s="6"/>
      <c r="F373" s="6"/>
      <c r="O373" s="6"/>
      <c r="P373" s="6"/>
      <c r="Q373" s="6"/>
      <c r="R373" s="6"/>
    </row>
    <row r="374" spans="1:18" s="7" customFormat="1" x14ac:dyDescent="0.25">
      <c r="A374" s="6"/>
      <c r="B374" s="6"/>
      <c r="C374" s="6"/>
      <c r="D374" s="6"/>
      <c r="E374" s="6"/>
      <c r="F374" s="6"/>
      <c r="O374" s="6"/>
      <c r="P374" s="6"/>
      <c r="Q374" s="6"/>
      <c r="R374" s="6"/>
    </row>
    <row r="375" spans="1:18" s="7" customFormat="1" x14ac:dyDescent="0.25">
      <c r="A375" s="6"/>
      <c r="B375" s="6"/>
      <c r="C375" s="6"/>
      <c r="D375" s="6"/>
      <c r="E375" s="6"/>
      <c r="F375" s="6"/>
      <c r="O375" s="6"/>
      <c r="P375" s="6"/>
      <c r="Q375" s="6"/>
      <c r="R375" s="6"/>
    </row>
    <row r="376" spans="1:18" s="7" customFormat="1" x14ac:dyDescent="0.25">
      <c r="A376" s="6"/>
      <c r="B376" s="6"/>
      <c r="C376" s="6"/>
      <c r="D376" s="6"/>
      <c r="E376" s="6"/>
      <c r="F376" s="6"/>
      <c r="O376" s="6"/>
      <c r="P376" s="6"/>
      <c r="Q376" s="6"/>
      <c r="R376" s="6"/>
    </row>
    <row r="377" spans="1:18" s="7" customFormat="1" x14ac:dyDescent="0.25">
      <c r="A377" s="6"/>
      <c r="B377" s="6"/>
      <c r="C377" s="6"/>
      <c r="D377" s="6"/>
      <c r="E377" s="6"/>
      <c r="F377" s="6"/>
      <c r="O377" s="6"/>
      <c r="P377" s="6"/>
      <c r="Q377" s="6"/>
      <c r="R377" s="6"/>
    </row>
    <row r="378" spans="1:18" s="7" customFormat="1" x14ac:dyDescent="0.25">
      <c r="A378" s="6"/>
      <c r="B378" s="6"/>
      <c r="C378" s="6"/>
      <c r="D378" s="6"/>
      <c r="E378" s="6"/>
      <c r="F378" s="6"/>
      <c r="O378" s="6"/>
      <c r="P378" s="6"/>
      <c r="Q378" s="6"/>
      <c r="R378" s="6"/>
    </row>
    <row r="379" spans="1:18" s="7" customFormat="1" x14ac:dyDescent="0.25">
      <c r="A379" s="1"/>
      <c r="B379" s="1"/>
      <c r="C379" s="1"/>
      <c r="D379" s="1"/>
      <c r="E379" s="1"/>
      <c r="F379" s="1"/>
      <c r="G379"/>
      <c r="H379"/>
      <c r="I379"/>
      <c r="J379"/>
      <c r="K379"/>
      <c r="L379"/>
      <c r="O379" s="6"/>
      <c r="P379" s="6"/>
      <c r="Q379" s="6"/>
      <c r="R379" s="6"/>
    </row>
  </sheetData>
  <mergeCells count="34"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3:E3"/>
    <mergeCell ref="D26:F26"/>
    <mergeCell ref="D27:F27"/>
    <mergeCell ref="D29:F29"/>
    <mergeCell ref="D30:F30"/>
    <mergeCell ref="D33:H33"/>
    <mergeCell ref="D9:E9"/>
    <mergeCell ref="D23:F23"/>
    <mergeCell ref="D24:F24"/>
    <mergeCell ref="D25:F25"/>
    <mergeCell ref="D5:E5"/>
    <mergeCell ref="D6:E6"/>
    <mergeCell ref="D7:E7"/>
    <mergeCell ref="D8:E8"/>
    <mergeCell ref="D35:F35"/>
    <mergeCell ref="D36:F36"/>
    <mergeCell ref="D37:F37"/>
    <mergeCell ref="D38:F38"/>
    <mergeCell ref="D31:F31"/>
  </mergeCells>
  <phoneticPr fontId="3" type="noConversion"/>
  <hyperlinks>
    <hyperlink ref="J16" location="'Analisis Inputs Grales'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E8"/>
  <sheetViews>
    <sheetView workbookViewId="0">
      <selection activeCell="B8" sqref="B8:C8"/>
    </sheetView>
  </sheetViews>
  <sheetFormatPr baseColWidth="10" defaultRowHeight="15" x14ac:dyDescent="0.25"/>
  <cols>
    <col min="1" max="1" width="24.5703125" bestFit="1" customWidth="1"/>
  </cols>
  <sheetData>
    <row r="1" spans="1:5" x14ac:dyDescent="0.25">
      <c r="A1" t="s">
        <v>53</v>
      </c>
      <c r="B1" t="s">
        <v>41</v>
      </c>
      <c r="C1" t="s">
        <v>42</v>
      </c>
      <c r="D1" t="s">
        <v>43</v>
      </c>
      <c r="E1" t="s">
        <v>58</v>
      </c>
    </row>
    <row r="2" spans="1:5" x14ac:dyDescent="0.25">
      <c r="A2" t="s">
        <v>56</v>
      </c>
      <c r="B2">
        <v>120</v>
      </c>
      <c r="C2">
        <v>85</v>
      </c>
      <c r="D2">
        <v>160</v>
      </c>
      <c r="E2">
        <v>170</v>
      </c>
    </row>
    <row r="4" spans="1:5" x14ac:dyDescent="0.25">
      <c r="A4" t="s">
        <v>54</v>
      </c>
      <c r="B4" t="s">
        <v>37</v>
      </c>
      <c r="C4" t="s">
        <v>38</v>
      </c>
      <c r="D4" t="s">
        <v>39</v>
      </c>
      <c r="E4" t="s">
        <v>57</v>
      </c>
    </row>
    <row r="5" spans="1:5" x14ac:dyDescent="0.25">
      <c r="A5" t="s">
        <v>56</v>
      </c>
      <c r="B5">
        <v>0</v>
      </c>
      <c r="C5">
        <v>300</v>
      </c>
      <c r="D5">
        <v>0</v>
      </c>
      <c r="E5">
        <v>0</v>
      </c>
    </row>
    <row r="7" spans="1:5" x14ac:dyDescent="0.25">
      <c r="A7" t="s">
        <v>55</v>
      </c>
      <c r="B7" t="s">
        <v>35</v>
      </c>
      <c r="C7" t="s">
        <v>36</v>
      </c>
    </row>
    <row r="8" spans="1:5" x14ac:dyDescent="0.25">
      <c r="A8" t="s">
        <v>56</v>
      </c>
      <c r="B8">
        <v>1800</v>
      </c>
      <c r="C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5"/>
  <sheetViews>
    <sheetView workbookViewId="0">
      <selection activeCell="B8" sqref="B8:C8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5" x14ac:dyDescent="0.25">
      <c r="A1" s="1" t="s">
        <v>50</v>
      </c>
      <c r="B1" s="1" t="s">
        <v>37</v>
      </c>
      <c r="C1" s="1" t="s">
        <v>38</v>
      </c>
      <c r="D1" s="1" t="s">
        <v>39</v>
      </c>
      <c r="E1" s="1" t="s">
        <v>57</v>
      </c>
    </row>
    <row r="2" spans="1:5" x14ac:dyDescent="0.25">
      <c r="A2" s="1" t="s">
        <v>41</v>
      </c>
      <c r="B2" s="1">
        <v>3</v>
      </c>
      <c r="C2" s="1">
        <v>6</v>
      </c>
      <c r="D2" s="1">
        <v>7</v>
      </c>
      <c r="E2" s="1">
        <v>9</v>
      </c>
    </row>
    <row r="3" spans="1:5" x14ac:dyDescent="0.25">
      <c r="A3" s="1" t="s">
        <v>42</v>
      </c>
      <c r="B3" s="1">
        <v>3</v>
      </c>
      <c r="C3" s="1">
        <v>3</v>
      </c>
      <c r="D3" s="1">
        <v>4</v>
      </c>
      <c r="E3" s="1">
        <v>8</v>
      </c>
    </row>
    <row r="4" spans="1:5" x14ac:dyDescent="0.25">
      <c r="A4" s="1" t="s">
        <v>43</v>
      </c>
      <c r="B4" s="1">
        <v>4</v>
      </c>
      <c r="C4" s="1">
        <v>3</v>
      </c>
      <c r="D4" s="1">
        <v>3</v>
      </c>
      <c r="E4" s="1">
        <v>7</v>
      </c>
    </row>
    <row r="5" spans="1:5" x14ac:dyDescent="0.25">
      <c r="A5" s="1" t="s">
        <v>58</v>
      </c>
      <c r="B5" s="1">
        <v>8</v>
      </c>
      <c r="C5" s="1">
        <v>5</v>
      </c>
      <c r="D5" s="1">
        <v>3</v>
      </c>
      <c r="E5" s="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5"/>
  <sheetViews>
    <sheetView workbookViewId="0">
      <selection activeCell="B8" sqref="B8:C8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51</v>
      </c>
      <c r="B1" s="1" t="s">
        <v>35</v>
      </c>
      <c r="C1" s="1" t="s">
        <v>36</v>
      </c>
    </row>
    <row r="2" spans="1:3" x14ac:dyDescent="0.25">
      <c r="A2" s="1" t="s">
        <v>37</v>
      </c>
      <c r="B2" s="1">
        <v>30</v>
      </c>
      <c r="C2" s="1">
        <v>34</v>
      </c>
    </row>
    <row r="3" spans="1:3" x14ac:dyDescent="0.25">
      <c r="A3" s="1" t="s">
        <v>38</v>
      </c>
      <c r="B3" s="1">
        <v>31</v>
      </c>
      <c r="C3" s="1">
        <v>31</v>
      </c>
    </row>
    <row r="4" spans="1:3" x14ac:dyDescent="0.25">
      <c r="A4" s="1" t="s">
        <v>39</v>
      </c>
      <c r="B4" s="1">
        <v>40</v>
      </c>
      <c r="C4" s="1">
        <v>39</v>
      </c>
    </row>
    <row r="5" spans="1:3" x14ac:dyDescent="0.25">
      <c r="A5" s="1" t="s">
        <v>57</v>
      </c>
      <c r="B5" s="1">
        <v>42</v>
      </c>
      <c r="C5" s="1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5"/>
  <sheetViews>
    <sheetView workbookViewId="0">
      <selection activeCell="B8" sqref="B8:C8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52</v>
      </c>
      <c r="B1" s="1" t="s">
        <v>35</v>
      </c>
      <c r="C1" s="1" t="s">
        <v>36</v>
      </c>
    </row>
    <row r="2" spans="1:3" x14ac:dyDescent="0.25">
      <c r="A2" s="1" t="s">
        <v>41</v>
      </c>
      <c r="B2" s="1">
        <v>36</v>
      </c>
      <c r="C2" s="1">
        <v>34</v>
      </c>
    </row>
    <row r="3" spans="1:3" x14ac:dyDescent="0.25">
      <c r="A3" s="1" t="s">
        <v>42</v>
      </c>
      <c r="B3" s="1">
        <v>37</v>
      </c>
      <c r="C3" s="1">
        <v>37</v>
      </c>
    </row>
    <row r="4" spans="1:3" x14ac:dyDescent="0.25">
      <c r="A4" s="1" t="s">
        <v>43</v>
      </c>
      <c r="B4" s="1">
        <v>39</v>
      </c>
      <c r="C4" s="1">
        <v>40</v>
      </c>
    </row>
    <row r="5" spans="1:3" x14ac:dyDescent="0.25">
      <c r="A5" s="1" t="s">
        <v>58</v>
      </c>
      <c r="B5" s="1">
        <v>42</v>
      </c>
      <c r="C5" s="1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>
    <tabColor rgb="FFFF0000"/>
  </sheetPr>
  <dimension ref="B1:T117"/>
  <sheetViews>
    <sheetView tabSelected="1" zoomScaleNormal="100" workbookViewId="0">
      <selection activeCell="F9" sqref="F9"/>
    </sheetView>
  </sheetViews>
  <sheetFormatPr baseColWidth="10" defaultRowHeight="14.25" x14ac:dyDescent="0.2"/>
  <cols>
    <col min="1" max="1" width="11.42578125" style="27"/>
    <col min="2" max="2" width="53.42578125" style="27" bestFit="1" customWidth="1"/>
    <col min="3" max="3" width="15.5703125" style="36" customWidth="1"/>
    <col min="4" max="4" width="15.28515625" style="30" bestFit="1" customWidth="1"/>
    <col min="5" max="5" width="14.28515625" style="58" bestFit="1" customWidth="1"/>
    <col min="6" max="6" width="11.42578125" style="58"/>
    <col min="7" max="7" width="16.5703125" style="58" bestFit="1" customWidth="1"/>
    <col min="8" max="8" width="23.28515625" style="65" bestFit="1" customWidth="1"/>
    <col min="9" max="12" width="11.42578125" style="58"/>
    <col min="13" max="19" width="11.42578125" style="27"/>
    <col min="20" max="20" width="0" style="27" hidden="1" customWidth="1"/>
    <col min="21" max="16384" width="11.42578125" style="27"/>
  </cols>
  <sheetData>
    <row r="1" spans="2:20" ht="15" thickBot="1" x14ac:dyDescent="0.25"/>
    <row r="2" spans="2:20" ht="15.75" thickBot="1" x14ac:dyDescent="0.25">
      <c r="B2" s="53" t="s">
        <v>143</v>
      </c>
      <c r="C2" s="54">
        <v>5</v>
      </c>
      <c r="T2" s="27">
        <v>5</v>
      </c>
    </row>
    <row r="3" spans="2:20" ht="15.75" thickBot="1" x14ac:dyDescent="0.25">
      <c r="B3" s="53" t="s">
        <v>142</v>
      </c>
      <c r="C3" s="54">
        <v>5</v>
      </c>
      <c r="T3" s="27">
        <v>10</v>
      </c>
    </row>
    <row r="4" spans="2:20" ht="15.75" thickBot="1" x14ac:dyDescent="0.25">
      <c r="B4" s="53" t="s">
        <v>199</v>
      </c>
      <c r="E4" s="58" t="s">
        <v>200</v>
      </c>
      <c r="T4" s="27">
        <v>15</v>
      </c>
    </row>
    <row r="8" spans="2:20" ht="15" x14ac:dyDescent="0.25">
      <c r="B8" s="26" t="s">
        <v>61</v>
      </c>
      <c r="T8" s="27">
        <v>20</v>
      </c>
    </row>
    <row r="10" spans="2:20" ht="15" x14ac:dyDescent="0.25">
      <c r="B10" s="31" t="s">
        <v>141</v>
      </c>
    </row>
    <row r="11" spans="2:20" x14ac:dyDescent="0.2">
      <c r="B11" s="27" t="s">
        <v>7</v>
      </c>
      <c r="C11" s="36" t="s">
        <v>62</v>
      </c>
      <c r="D11" s="95">
        <v>12</v>
      </c>
    </row>
    <row r="12" spans="2:20" ht="13.5" customHeight="1" x14ac:dyDescent="0.2">
      <c r="B12" s="27" t="s">
        <v>63</v>
      </c>
      <c r="C12" s="36" t="s">
        <v>64</v>
      </c>
      <c r="D12" s="95">
        <v>0.5</v>
      </c>
    </row>
    <row r="13" spans="2:20" x14ac:dyDescent="0.2">
      <c r="B13" s="27" t="s">
        <v>7</v>
      </c>
      <c r="C13" s="36" t="s">
        <v>65</v>
      </c>
      <c r="D13" s="155">
        <f>D12*D11</f>
        <v>6</v>
      </c>
    </row>
    <row r="14" spans="2:20" x14ac:dyDescent="0.2">
      <c r="B14" s="27" t="s">
        <v>66</v>
      </c>
      <c r="C14" s="36" t="s">
        <v>67</v>
      </c>
      <c r="D14" s="95">
        <v>1</v>
      </c>
    </row>
    <row r="15" spans="2:20" x14ac:dyDescent="0.2">
      <c r="B15" s="27" t="s">
        <v>12</v>
      </c>
      <c r="C15" s="36" t="s">
        <v>23</v>
      </c>
      <c r="D15" s="155">
        <v>0.1</v>
      </c>
    </row>
    <row r="16" spans="2:20" x14ac:dyDescent="0.2">
      <c r="D16" s="95"/>
    </row>
    <row r="17" spans="2:11" ht="15" x14ac:dyDescent="0.25">
      <c r="B17" s="62" t="s">
        <v>140</v>
      </c>
      <c r="D17" s="84"/>
      <c r="J17" s="60"/>
      <c r="K17" s="60"/>
    </row>
    <row r="18" spans="2:11" s="58" customFormat="1" x14ac:dyDescent="0.2">
      <c r="B18" s="58" t="s">
        <v>135</v>
      </c>
      <c r="C18" s="61" t="s">
        <v>99</v>
      </c>
      <c r="D18" s="155">
        <v>500</v>
      </c>
      <c r="H18" s="65"/>
      <c r="J18" s="60"/>
      <c r="K18" s="60"/>
    </row>
    <row r="19" spans="2:11" s="58" customFormat="1" x14ac:dyDescent="0.2">
      <c r="B19" s="58" t="s">
        <v>136</v>
      </c>
      <c r="C19" s="61" t="s">
        <v>99</v>
      </c>
      <c r="D19" s="155">
        <v>390</v>
      </c>
      <c r="H19" s="65"/>
      <c r="J19" s="60"/>
      <c r="K19" s="60"/>
    </row>
    <row r="20" spans="2:11" s="58" customFormat="1" x14ac:dyDescent="0.2">
      <c r="B20" s="58" t="s">
        <v>137</v>
      </c>
      <c r="C20" s="61" t="s">
        <v>16</v>
      </c>
      <c r="D20" s="155">
        <v>4</v>
      </c>
      <c r="H20" s="65"/>
      <c r="J20" s="60"/>
      <c r="K20" s="60"/>
    </row>
    <row r="21" spans="2:11" s="58" customFormat="1" x14ac:dyDescent="0.2">
      <c r="B21" s="58" t="s">
        <v>138</v>
      </c>
      <c r="C21" s="61" t="s">
        <v>99</v>
      </c>
      <c r="D21" s="84">
        <f>D18+D20*D19</f>
        <v>2060</v>
      </c>
      <c r="H21" s="65"/>
      <c r="J21" s="60"/>
      <c r="K21" s="60"/>
    </row>
    <row r="22" spans="2:11" s="58" customFormat="1" x14ac:dyDescent="0.2">
      <c r="B22" s="63" t="s">
        <v>139</v>
      </c>
      <c r="C22" s="61" t="s">
        <v>68</v>
      </c>
      <c r="D22" s="84">
        <f>D21*12</f>
        <v>24720</v>
      </c>
      <c r="H22" s="65"/>
      <c r="J22" s="60"/>
      <c r="K22" s="60"/>
    </row>
    <row r="23" spans="2:11" x14ac:dyDescent="0.2">
      <c r="B23" s="27" t="s">
        <v>69</v>
      </c>
      <c r="D23" s="95">
        <v>1</v>
      </c>
    </row>
    <row r="24" spans="2:11" x14ac:dyDescent="0.2">
      <c r="B24" s="27" t="s">
        <v>70</v>
      </c>
      <c r="C24" s="36" t="s">
        <v>71</v>
      </c>
      <c r="D24" s="155">
        <v>8</v>
      </c>
      <c r="F24" s="58" t="s">
        <v>190</v>
      </c>
    </row>
    <row r="25" spans="2:11" x14ac:dyDescent="0.2">
      <c r="B25" s="27" t="s">
        <v>72</v>
      </c>
      <c r="C25" s="36" t="s">
        <v>73</v>
      </c>
      <c r="D25" s="155">
        <v>6</v>
      </c>
    </row>
    <row r="26" spans="2:11" x14ac:dyDescent="0.2">
      <c r="B26" s="27" t="s">
        <v>144</v>
      </c>
      <c r="C26" s="36" t="s">
        <v>145</v>
      </c>
      <c r="D26" s="155">
        <v>4.5</v>
      </c>
    </row>
    <row r="27" spans="2:11" x14ac:dyDescent="0.2">
      <c r="B27" s="27" t="s">
        <v>72</v>
      </c>
      <c r="C27" s="36" t="s">
        <v>74</v>
      </c>
      <c r="D27" s="84">
        <f>D26*D25</f>
        <v>27</v>
      </c>
    </row>
    <row r="28" spans="2:11" x14ac:dyDescent="0.2">
      <c r="B28" s="27" t="s">
        <v>75</v>
      </c>
      <c r="C28" s="36" t="s">
        <v>76</v>
      </c>
      <c r="D28" s="95">
        <f>60*D24*D27</f>
        <v>12960</v>
      </c>
    </row>
    <row r="29" spans="2:11" x14ac:dyDescent="0.2">
      <c r="B29" s="27" t="s">
        <v>77</v>
      </c>
      <c r="C29" s="36" t="s">
        <v>78</v>
      </c>
      <c r="D29" s="155">
        <v>35000</v>
      </c>
      <c r="F29" s="58" t="s">
        <v>191</v>
      </c>
      <c r="J29" s="60"/>
      <c r="K29" s="60"/>
    </row>
    <row r="30" spans="2:11" x14ac:dyDescent="0.2">
      <c r="B30" s="27" t="s">
        <v>79</v>
      </c>
      <c r="C30" s="36" t="s">
        <v>80</v>
      </c>
      <c r="D30" s="84">
        <f>D29*D14</f>
        <v>35000</v>
      </c>
      <c r="E30" s="60"/>
      <c r="F30" s="60"/>
    </row>
    <row r="31" spans="2:11" x14ac:dyDescent="0.2">
      <c r="B31" s="27" t="s">
        <v>81</v>
      </c>
      <c r="C31" s="36" t="s">
        <v>82</v>
      </c>
      <c r="D31" s="84">
        <f>C2</f>
        <v>5</v>
      </c>
    </row>
    <row r="32" spans="2:11" ht="28.5" x14ac:dyDescent="0.2">
      <c r="B32" s="28" t="s">
        <v>83</v>
      </c>
      <c r="C32" s="30" t="s">
        <v>84</v>
      </c>
      <c r="D32" s="154">
        <v>0.1</v>
      </c>
      <c r="F32" s="157" t="s">
        <v>192</v>
      </c>
    </row>
    <row r="33" spans="2:10" x14ac:dyDescent="0.2">
      <c r="B33" s="28" t="s">
        <v>85</v>
      </c>
      <c r="C33" s="36" t="s">
        <v>86</v>
      </c>
      <c r="D33" s="64">
        <v>2.8</v>
      </c>
    </row>
    <row r="34" spans="2:10" x14ac:dyDescent="0.2">
      <c r="B34" s="28" t="s">
        <v>87</v>
      </c>
      <c r="C34" s="36" t="s">
        <v>20</v>
      </c>
      <c r="D34" s="64">
        <v>60</v>
      </c>
    </row>
    <row r="35" spans="2:10" x14ac:dyDescent="0.2">
      <c r="B35" s="28" t="s">
        <v>88</v>
      </c>
      <c r="C35" s="36" t="s">
        <v>89</v>
      </c>
      <c r="D35" s="64">
        <v>0.35</v>
      </c>
      <c r="J35" s="83"/>
    </row>
    <row r="36" spans="2:10" x14ac:dyDescent="0.2">
      <c r="B36" s="28" t="s">
        <v>90</v>
      </c>
      <c r="C36" s="36" t="s">
        <v>84</v>
      </c>
      <c r="D36" s="154">
        <v>0.15</v>
      </c>
    </row>
    <row r="37" spans="2:10" x14ac:dyDescent="0.2">
      <c r="B37" s="28" t="s">
        <v>91</v>
      </c>
      <c r="C37" s="36" t="s">
        <v>84</v>
      </c>
      <c r="D37" s="154">
        <v>0.4</v>
      </c>
    </row>
    <row r="38" spans="2:10" x14ac:dyDescent="0.2">
      <c r="B38" s="28"/>
      <c r="D38" s="156"/>
    </row>
    <row r="39" spans="2:10" x14ac:dyDescent="0.2">
      <c r="B39" s="29" t="s">
        <v>94</v>
      </c>
      <c r="D39" s="95"/>
    </row>
    <row r="40" spans="2:10" x14ac:dyDescent="0.2">
      <c r="B40" s="28" t="s">
        <v>194</v>
      </c>
      <c r="C40" s="30" t="s">
        <v>19</v>
      </c>
      <c r="D40" s="155">
        <v>30</v>
      </c>
    </row>
    <row r="41" spans="2:10" x14ac:dyDescent="0.2">
      <c r="B41" s="28" t="s">
        <v>195</v>
      </c>
      <c r="C41" s="30" t="s">
        <v>19</v>
      </c>
      <c r="D41" s="155">
        <v>5</v>
      </c>
    </row>
    <row r="42" spans="2:10" x14ac:dyDescent="0.2">
      <c r="B42" s="28" t="s">
        <v>196</v>
      </c>
      <c r="C42" s="30" t="s">
        <v>19</v>
      </c>
      <c r="D42" s="155">
        <v>30</v>
      </c>
    </row>
    <row r="43" spans="2:10" x14ac:dyDescent="0.2">
      <c r="B43" s="28" t="s">
        <v>197</v>
      </c>
      <c r="C43" s="30" t="s">
        <v>19</v>
      </c>
      <c r="D43" s="155">
        <v>30</v>
      </c>
    </row>
    <row r="44" spans="2:10" x14ac:dyDescent="0.2">
      <c r="D44" s="95"/>
    </row>
    <row r="45" spans="2:10" ht="15" x14ac:dyDescent="0.25">
      <c r="B45" s="26" t="s">
        <v>92</v>
      </c>
      <c r="D45" s="95"/>
    </row>
    <row r="46" spans="2:10" x14ac:dyDescent="0.2">
      <c r="D46" s="95"/>
    </row>
    <row r="47" spans="2:10" ht="15" x14ac:dyDescent="0.25">
      <c r="B47" s="31" t="s">
        <v>141</v>
      </c>
      <c r="D47" s="95"/>
    </row>
    <row r="48" spans="2:10" x14ac:dyDescent="0.2">
      <c r="B48" s="27" t="s">
        <v>7</v>
      </c>
      <c r="C48" s="36" t="s">
        <v>62</v>
      </c>
      <c r="D48" s="95">
        <v>56</v>
      </c>
    </row>
    <row r="49" spans="2:4" x14ac:dyDescent="0.2">
      <c r="B49" s="27" t="s">
        <v>63</v>
      </c>
      <c r="C49" s="36" t="s">
        <v>64</v>
      </c>
      <c r="D49" s="95">
        <v>0.5</v>
      </c>
    </row>
    <row r="50" spans="2:4" x14ac:dyDescent="0.2">
      <c r="B50" s="27" t="s">
        <v>7</v>
      </c>
      <c r="C50" s="36" t="s">
        <v>65</v>
      </c>
      <c r="D50" s="95">
        <f>D49*D48</f>
        <v>28</v>
      </c>
    </row>
    <row r="51" spans="2:4" x14ac:dyDescent="0.2">
      <c r="B51" s="27" t="s">
        <v>66</v>
      </c>
      <c r="C51" s="36" t="s">
        <v>67</v>
      </c>
      <c r="D51" s="95">
        <v>1</v>
      </c>
    </row>
    <row r="52" spans="2:4" x14ac:dyDescent="0.2">
      <c r="B52" s="27" t="s">
        <v>12</v>
      </c>
      <c r="C52" s="36" t="s">
        <v>23</v>
      </c>
      <c r="D52" s="155">
        <v>0.1</v>
      </c>
    </row>
    <row r="53" spans="2:4" x14ac:dyDescent="0.2">
      <c r="D53" s="95"/>
    </row>
    <row r="54" spans="2:4" ht="15" x14ac:dyDescent="0.25">
      <c r="B54" s="62" t="s">
        <v>140</v>
      </c>
      <c r="D54" s="95"/>
    </row>
    <row r="55" spans="2:4" x14ac:dyDescent="0.2">
      <c r="B55" s="58" t="s">
        <v>135</v>
      </c>
      <c r="C55" s="61" t="s">
        <v>99</v>
      </c>
      <c r="D55" s="155">
        <v>500</v>
      </c>
    </row>
    <row r="56" spans="2:4" x14ac:dyDescent="0.2">
      <c r="B56" s="58" t="s">
        <v>136</v>
      </c>
      <c r="C56" s="61" t="s">
        <v>99</v>
      </c>
      <c r="D56" s="155">
        <v>390</v>
      </c>
    </row>
    <row r="57" spans="2:4" x14ac:dyDescent="0.2">
      <c r="B57" s="58" t="s">
        <v>137</v>
      </c>
      <c r="C57" s="61" t="s">
        <v>16</v>
      </c>
      <c r="D57" s="155">
        <v>0</v>
      </c>
    </row>
    <row r="58" spans="2:4" x14ac:dyDescent="0.2">
      <c r="B58" s="58" t="s">
        <v>138</v>
      </c>
      <c r="C58" s="61" t="s">
        <v>99</v>
      </c>
      <c r="D58" s="84">
        <f>D55+D57*D56</f>
        <v>500</v>
      </c>
    </row>
    <row r="59" spans="2:4" x14ac:dyDescent="0.2">
      <c r="B59" s="63" t="s">
        <v>139</v>
      </c>
      <c r="C59" s="61" t="s">
        <v>68</v>
      </c>
      <c r="D59" s="84">
        <f>D58*12</f>
        <v>6000</v>
      </c>
    </row>
    <row r="60" spans="2:4" x14ac:dyDescent="0.2">
      <c r="B60" s="27" t="s">
        <v>69</v>
      </c>
      <c r="D60" s="95">
        <v>1</v>
      </c>
    </row>
    <row r="61" spans="2:4" x14ac:dyDescent="0.2">
      <c r="B61" s="27" t="s">
        <v>70</v>
      </c>
      <c r="C61" s="36" t="s">
        <v>71</v>
      </c>
      <c r="D61" s="155">
        <v>8</v>
      </c>
    </row>
    <row r="62" spans="2:4" x14ac:dyDescent="0.2">
      <c r="B62" s="27" t="s">
        <v>72</v>
      </c>
      <c r="C62" s="36" t="s">
        <v>73</v>
      </c>
      <c r="D62" s="155">
        <v>6</v>
      </c>
    </row>
    <row r="63" spans="2:4" x14ac:dyDescent="0.2">
      <c r="B63" s="27" t="s">
        <v>144</v>
      </c>
      <c r="C63" s="36" t="s">
        <v>145</v>
      </c>
      <c r="D63" s="155">
        <v>4.5</v>
      </c>
    </row>
    <row r="64" spans="2:4" x14ac:dyDescent="0.2">
      <c r="B64" s="27" t="s">
        <v>72</v>
      </c>
      <c r="C64" s="36" t="s">
        <v>74</v>
      </c>
      <c r="D64" s="84">
        <f>D63*D62</f>
        <v>27</v>
      </c>
    </row>
    <row r="65" spans="2:6" x14ac:dyDescent="0.2">
      <c r="B65" s="27" t="s">
        <v>75</v>
      </c>
      <c r="C65" s="36" t="s">
        <v>76</v>
      </c>
      <c r="D65" s="95">
        <f>60*D61*D64</f>
        <v>12960</v>
      </c>
    </row>
    <row r="66" spans="2:6" x14ac:dyDescent="0.2">
      <c r="B66" s="27" t="s">
        <v>93</v>
      </c>
      <c r="C66" s="36" t="s">
        <v>78</v>
      </c>
      <c r="D66" s="155">
        <v>147000</v>
      </c>
    </row>
    <row r="67" spans="2:6" x14ac:dyDescent="0.2">
      <c r="B67" s="27" t="s">
        <v>79</v>
      </c>
      <c r="C67" s="36" t="s">
        <v>80</v>
      </c>
      <c r="D67" s="95">
        <f>D66*D51</f>
        <v>147000</v>
      </c>
      <c r="E67" s="60"/>
      <c r="F67" s="60"/>
    </row>
    <row r="68" spans="2:6" x14ac:dyDescent="0.2">
      <c r="B68" s="27" t="s">
        <v>81</v>
      </c>
      <c r="C68" s="36" t="s">
        <v>82</v>
      </c>
      <c r="D68" s="84">
        <f>C3</f>
        <v>5</v>
      </c>
    </row>
    <row r="69" spans="2:6" ht="28.5" x14ac:dyDescent="0.2">
      <c r="B69" s="28" t="s">
        <v>83</v>
      </c>
      <c r="C69" s="30" t="s">
        <v>84</v>
      </c>
      <c r="D69" s="154">
        <v>0.1</v>
      </c>
    </row>
    <row r="70" spans="2:6" x14ac:dyDescent="0.2">
      <c r="B70" s="28" t="s">
        <v>85</v>
      </c>
      <c r="C70" s="36" t="s">
        <v>86</v>
      </c>
      <c r="D70" s="64">
        <v>2.2000000000000002</v>
      </c>
    </row>
    <row r="71" spans="2:6" x14ac:dyDescent="0.2">
      <c r="B71" s="28" t="s">
        <v>87</v>
      </c>
      <c r="C71" s="36" t="s">
        <v>20</v>
      </c>
      <c r="D71" s="64">
        <v>60</v>
      </c>
    </row>
    <row r="72" spans="2:6" x14ac:dyDescent="0.2">
      <c r="B72" s="28" t="s">
        <v>88</v>
      </c>
      <c r="C72" s="36" t="s">
        <v>89</v>
      </c>
      <c r="D72" s="64">
        <v>0.35</v>
      </c>
    </row>
    <row r="73" spans="2:6" x14ac:dyDescent="0.2">
      <c r="B73" s="28" t="s">
        <v>90</v>
      </c>
      <c r="C73" s="36" t="s">
        <v>84</v>
      </c>
      <c r="D73" s="154">
        <v>0.15</v>
      </c>
    </row>
    <row r="74" spans="2:6" x14ac:dyDescent="0.2">
      <c r="B74" s="28" t="s">
        <v>91</v>
      </c>
      <c r="C74" s="36" t="s">
        <v>84</v>
      </c>
      <c r="D74" s="154">
        <v>0.4</v>
      </c>
    </row>
    <row r="75" spans="2:6" x14ac:dyDescent="0.2">
      <c r="D75" s="95"/>
    </row>
    <row r="76" spans="2:6" x14ac:dyDescent="0.2">
      <c r="B76" s="29" t="s">
        <v>94</v>
      </c>
      <c r="D76" s="95"/>
    </row>
    <row r="77" spans="2:6" x14ac:dyDescent="0.2">
      <c r="B77" s="28" t="s">
        <v>95</v>
      </c>
      <c r="C77" s="30" t="s">
        <v>19</v>
      </c>
      <c r="D77" s="155">
        <v>30</v>
      </c>
    </row>
    <row r="78" spans="2:6" x14ac:dyDescent="0.2">
      <c r="B78" s="28" t="s">
        <v>96</v>
      </c>
      <c r="C78" s="30" t="s">
        <v>19</v>
      </c>
      <c r="D78" s="155">
        <v>5</v>
      </c>
    </row>
    <row r="79" spans="2:6" x14ac:dyDescent="0.2">
      <c r="B79" s="28" t="s">
        <v>196</v>
      </c>
      <c r="C79" s="30" t="s">
        <v>19</v>
      </c>
      <c r="D79" s="155">
        <v>30</v>
      </c>
    </row>
    <row r="80" spans="2:6" x14ac:dyDescent="0.2">
      <c r="B80" s="28" t="s">
        <v>197</v>
      </c>
      <c r="C80" s="30" t="s">
        <v>19</v>
      </c>
      <c r="D80" s="155">
        <v>30</v>
      </c>
    </row>
    <row r="81" spans="2:7" x14ac:dyDescent="0.2">
      <c r="D81" s="95"/>
    </row>
    <row r="82" spans="2:7" x14ac:dyDescent="0.2">
      <c r="D82" s="95"/>
    </row>
    <row r="83" spans="2:7" ht="15" x14ac:dyDescent="0.25">
      <c r="B83" s="26" t="s">
        <v>97</v>
      </c>
      <c r="D83" s="95"/>
    </row>
    <row r="84" spans="2:7" ht="15" x14ac:dyDescent="0.25">
      <c r="B84" s="31" t="s">
        <v>81</v>
      </c>
      <c r="C84" s="36" t="s">
        <v>161</v>
      </c>
      <c r="D84" s="84">
        <v>20</v>
      </c>
    </row>
    <row r="85" spans="2:7" x14ac:dyDescent="0.2">
      <c r="B85" s="93" t="s">
        <v>174</v>
      </c>
      <c r="C85" s="36" t="s">
        <v>156</v>
      </c>
      <c r="D85" s="84">
        <v>100</v>
      </c>
    </row>
    <row r="86" spans="2:7" x14ac:dyDescent="0.2">
      <c r="B86" s="27" t="s">
        <v>170</v>
      </c>
      <c r="C86" s="36" t="s">
        <v>156</v>
      </c>
      <c r="D86" s="84">
        <f>SUM('Gen-Cap'!$B$2:$S$2)/INPUTS_Generales!$G$29</f>
        <v>133.75</v>
      </c>
    </row>
    <row r="87" spans="2:7" x14ac:dyDescent="0.2">
      <c r="B87" s="27" t="s">
        <v>158</v>
      </c>
      <c r="C87" s="36" t="s">
        <v>159</v>
      </c>
      <c r="D87" s="84">
        <f>$D$86*365</f>
        <v>48818.75</v>
      </c>
    </row>
    <row r="88" spans="2:7" x14ac:dyDescent="0.2">
      <c r="B88" s="27" t="s">
        <v>162</v>
      </c>
      <c r="C88" s="36" t="s">
        <v>157</v>
      </c>
      <c r="D88" s="84">
        <f>(IF($D$86&lt;$D$85,0.034*$D$86+5*(10^-8),0.0101*$D$86+2.5749))*1000000</f>
        <v>3925775</v>
      </c>
      <c r="G88" s="59"/>
    </row>
    <row r="89" spans="2:7" x14ac:dyDescent="0.2">
      <c r="B89" s="27" t="s">
        <v>163</v>
      </c>
      <c r="C89" s="36" t="s">
        <v>157</v>
      </c>
      <c r="D89" s="84">
        <f>$D$88/$D$84</f>
        <v>196288.75</v>
      </c>
      <c r="G89" s="59"/>
    </row>
    <row r="90" spans="2:7" x14ac:dyDescent="0.2">
      <c r="B90" s="27" t="s">
        <v>164</v>
      </c>
      <c r="C90" s="36" t="s">
        <v>160</v>
      </c>
      <c r="D90" s="84">
        <f>$D$89/$D$87</f>
        <v>4.0207655869927024</v>
      </c>
      <c r="G90" s="59"/>
    </row>
    <row r="91" spans="2:7" x14ac:dyDescent="0.2">
      <c r="B91" s="27" t="s">
        <v>98</v>
      </c>
      <c r="C91" s="36" t="s">
        <v>160</v>
      </c>
      <c r="D91" s="84">
        <f>691.43*($D$86^(-0.83))</f>
        <v>11.882952815871858</v>
      </c>
      <c r="G91" s="59"/>
    </row>
    <row r="92" spans="2:7" x14ac:dyDescent="0.2">
      <c r="D92" s="84"/>
      <c r="G92" s="59"/>
    </row>
    <row r="93" spans="2:7" x14ac:dyDescent="0.2">
      <c r="D93" s="84"/>
      <c r="G93" s="59"/>
    </row>
    <row r="94" spans="2:7" x14ac:dyDescent="0.2">
      <c r="B94" s="27" t="s">
        <v>177</v>
      </c>
      <c r="C94" s="36" t="s">
        <v>178</v>
      </c>
      <c r="D94" s="84">
        <v>500</v>
      </c>
      <c r="G94" s="59"/>
    </row>
    <row r="95" spans="2:7" x14ac:dyDescent="0.2">
      <c r="B95" s="27" t="s">
        <v>70</v>
      </c>
      <c r="C95" s="36" t="s">
        <v>71</v>
      </c>
      <c r="D95" s="84">
        <v>8</v>
      </c>
      <c r="G95" s="59"/>
    </row>
    <row r="96" spans="2:7" x14ac:dyDescent="0.2">
      <c r="B96" s="27" t="s">
        <v>72</v>
      </c>
      <c r="C96" s="36" t="s">
        <v>73</v>
      </c>
      <c r="D96" s="84">
        <v>6</v>
      </c>
      <c r="G96" s="59"/>
    </row>
    <row r="97" spans="2:7" x14ac:dyDescent="0.2">
      <c r="B97" s="27" t="s">
        <v>144</v>
      </c>
      <c r="C97" s="36" t="s">
        <v>145</v>
      </c>
      <c r="D97" s="84">
        <v>4.5</v>
      </c>
      <c r="G97" s="59"/>
    </row>
    <row r="98" spans="2:7" x14ac:dyDescent="0.2">
      <c r="B98" s="27" t="s">
        <v>72</v>
      </c>
      <c r="C98" s="36" t="s">
        <v>74</v>
      </c>
      <c r="D98" s="84">
        <f>D96*D97</f>
        <v>27</v>
      </c>
      <c r="G98" s="59"/>
    </row>
    <row r="99" spans="2:7" x14ac:dyDescent="0.2">
      <c r="B99" s="27" t="s">
        <v>179</v>
      </c>
      <c r="C99" s="27" t="s">
        <v>180</v>
      </c>
      <c r="D99" s="84">
        <v>52</v>
      </c>
      <c r="G99" s="59"/>
    </row>
    <row r="100" spans="2:7" x14ac:dyDescent="0.2">
      <c r="B100" s="27" t="s">
        <v>198</v>
      </c>
      <c r="C100" s="36" t="s">
        <v>84</v>
      </c>
      <c r="D100" s="153">
        <f>D117/12</f>
        <v>0.01</v>
      </c>
      <c r="G100" s="59"/>
    </row>
    <row r="101" spans="2:7" x14ac:dyDescent="0.2">
      <c r="B101" s="27" t="s">
        <v>181</v>
      </c>
      <c r="D101" s="84">
        <v>0</v>
      </c>
      <c r="G101" s="59"/>
    </row>
    <row r="102" spans="2:7" x14ac:dyDescent="0.2">
      <c r="B102" s="27" t="s">
        <v>182</v>
      </c>
      <c r="C102" s="36" t="s">
        <v>82</v>
      </c>
      <c r="D102" s="84">
        <v>20</v>
      </c>
      <c r="G102" s="59"/>
    </row>
    <row r="103" spans="2:7" x14ac:dyDescent="0.2">
      <c r="B103" s="27" t="s">
        <v>183</v>
      </c>
      <c r="C103" s="36" t="s">
        <v>80</v>
      </c>
      <c r="D103" s="84">
        <v>1100000</v>
      </c>
      <c r="G103" s="59"/>
    </row>
    <row r="104" spans="2:7" x14ac:dyDescent="0.2">
      <c r="B104" s="27" t="s">
        <v>98</v>
      </c>
      <c r="C104" s="36" t="s">
        <v>99</v>
      </c>
      <c r="D104" s="84">
        <v>10000</v>
      </c>
      <c r="G104" s="59"/>
    </row>
    <row r="105" spans="2:7" x14ac:dyDescent="0.2">
      <c r="D105" s="84"/>
      <c r="G105" s="59"/>
    </row>
    <row r="106" spans="2:7" x14ac:dyDescent="0.2">
      <c r="D106" s="84"/>
      <c r="G106" s="59"/>
    </row>
    <row r="107" spans="2:7" ht="15" x14ac:dyDescent="0.25">
      <c r="B107" s="26" t="s">
        <v>167</v>
      </c>
      <c r="D107" s="95"/>
    </row>
    <row r="108" spans="2:7" ht="15" x14ac:dyDescent="0.25">
      <c r="B108" s="31" t="s">
        <v>81</v>
      </c>
      <c r="C108" s="36" t="s">
        <v>161</v>
      </c>
      <c r="D108" s="95">
        <v>20</v>
      </c>
    </row>
    <row r="109" spans="2:7" x14ac:dyDescent="0.2">
      <c r="B109" s="27" t="s">
        <v>176</v>
      </c>
      <c r="C109" s="36" t="s">
        <v>156</v>
      </c>
      <c r="D109" s="84">
        <f>SUM('Gen-Cap'!$B$2:$S$2)/INPUTS_Generales!$G$31</f>
        <v>267.5</v>
      </c>
    </row>
    <row r="110" spans="2:7" x14ac:dyDescent="0.2">
      <c r="B110" s="27" t="s">
        <v>158</v>
      </c>
      <c r="C110" s="36" t="s">
        <v>159</v>
      </c>
      <c r="D110" s="84">
        <f>D109*365</f>
        <v>97637.5</v>
      </c>
    </row>
    <row r="111" spans="2:7" x14ac:dyDescent="0.2">
      <c r="B111" s="27" t="s">
        <v>162</v>
      </c>
      <c r="C111" s="36" t="s">
        <v>157</v>
      </c>
      <c r="D111" s="84">
        <f>34545*D109+9*(10^6)</f>
        <v>18240787.5</v>
      </c>
      <c r="E111" s="88"/>
      <c r="F111" s="58" t="s">
        <v>193</v>
      </c>
    </row>
    <row r="112" spans="2:7" x14ac:dyDescent="0.2">
      <c r="B112" s="27" t="s">
        <v>163</v>
      </c>
      <c r="C112" s="36" t="s">
        <v>157</v>
      </c>
      <c r="D112" s="84">
        <f>D111/D108</f>
        <v>912039.375</v>
      </c>
    </row>
    <row r="113" spans="2:4" x14ac:dyDescent="0.2">
      <c r="B113" s="27" t="s">
        <v>164</v>
      </c>
      <c r="C113" s="36" t="s">
        <v>160</v>
      </c>
      <c r="D113" s="84">
        <f>$D$112/$D$110</f>
        <v>9.3410766867238504</v>
      </c>
    </row>
    <row r="114" spans="2:4" x14ac:dyDescent="0.2">
      <c r="B114" s="27" t="s">
        <v>98</v>
      </c>
      <c r="C114" s="36" t="s">
        <v>160</v>
      </c>
      <c r="D114" s="84">
        <f>2012.4*(D109^(-0.865))</f>
        <v>15.998498814375136</v>
      </c>
    </row>
    <row r="115" spans="2:4" x14ac:dyDescent="0.2">
      <c r="D115" s="95"/>
    </row>
    <row r="116" spans="2:4" ht="15" x14ac:dyDescent="0.25">
      <c r="B116" s="26" t="s">
        <v>100</v>
      </c>
      <c r="D116" s="95"/>
    </row>
    <row r="117" spans="2:4" x14ac:dyDescent="0.2">
      <c r="B117" s="27" t="s">
        <v>101</v>
      </c>
      <c r="C117" s="36" t="s">
        <v>84</v>
      </c>
      <c r="D117" s="154">
        <v>0.12</v>
      </c>
    </row>
  </sheetData>
  <dataValidations count="1">
    <dataValidation type="list" allowBlank="1" showInputMessage="1" showErrorMessage="1" sqref="C2:C3" xr:uid="{8F22C197-4251-4400-9A39-1BADEC728F7B}">
      <formula1>$T$2:$T$8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>
    <tabColor rgb="FFFF0000"/>
  </sheetPr>
  <dimension ref="B3:X338"/>
  <sheetViews>
    <sheetView topLeftCell="A3" zoomScale="70" zoomScaleNormal="70" workbookViewId="0">
      <pane xSplit="3" ySplit="2" topLeftCell="D5" activePane="bottomRight" state="frozen"/>
      <selection activeCell="E18" sqref="E18"/>
      <selection pane="topRight" activeCell="E18" sqref="E18"/>
      <selection pane="bottomLeft" activeCell="E18" sqref="E18"/>
      <selection pane="bottomRight" activeCell="J157" sqref="J157"/>
    </sheetView>
  </sheetViews>
  <sheetFormatPr baseColWidth="10" defaultRowHeight="14.25" x14ac:dyDescent="0.2"/>
  <cols>
    <col min="1" max="1" width="6" style="27" customWidth="1"/>
    <col min="2" max="2" width="41.7109375" style="27" bestFit="1" customWidth="1"/>
    <col min="3" max="3" width="10.42578125" style="27" bestFit="1" customWidth="1"/>
    <col min="4" max="24" width="11.42578125" style="30"/>
    <col min="25" max="16384" width="11.42578125" style="27"/>
  </cols>
  <sheetData>
    <row r="3" spans="2:23" x14ac:dyDescent="0.2">
      <c r="D3" s="30">
        <v>0</v>
      </c>
      <c r="E3" s="30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</row>
    <row r="4" spans="2:23" ht="15" x14ac:dyDescent="0.2">
      <c r="D4" s="81">
        <v>2026</v>
      </c>
      <c r="E4" s="30">
        <f>+D4+1</f>
        <v>2027</v>
      </c>
      <c r="F4" s="30">
        <f t="shared" ref="F4:W4" si="0">+E4+1</f>
        <v>2028</v>
      </c>
      <c r="G4" s="30">
        <f t="shared" si="0"/>
        <v>2029</v>
      </c>
      <c r="H4" s="30">
        <f t="shared" si="0"/>
        <v>2030</v>
      </c>
      <c r="I4" s="30">
        <f t="shared" si="0"/>
        <v>2031</v>
      </c>
      <c r="J4" s="30">
        <f t="shared" si="0"/>
        <v>2032</v>
      </c>
      <c r="K4" s="30">
        <f t="shared" si="0"/>
        <v>2033</v>
      </c>
      <c r="L4" s="30">
        <f t="shared" si="0"/>
        <v>2034</v>
      </c>
      <c r="M4" s="30">
        <f t="shared" si="0"/>
        <v>2035</v>
      </c>
      <c r="N4" s="30">
        <f t="shared" si="0"/>
        <v>2036</v>
      </c>
      <c r="O4" s="30">
        <f t="shared" si="0"/>
        <v>2037</v>
      </c>
      <c r="P4" s="30">
        <f t="shared" si="0"/>
        <v>2038</v>
      </c>
      <c r="Q4" s="30">
        <f t="shared" si="0"/>
        <v>2039</v>
      </c>
      <c r="R4" s="30">
        <f t="shared" si="0"/>
        <v>2040</v>
      </c>
      <c r="S4" s="30">
        <f t="shared" si="0"/>
        <v>2041</v>
      </c>
      <c r="T4" s="30">
        <f t="shared" si="0"/>
        <v>2042</v>
      </c>
      <c r="U4" s="30">
        <f t="shared" si="0"/>
        <v>2043</v>
      </c>
      <c r="V4" s="30">
        <f t="shared" si="0"/>
        <v>2044</v>
      </c>
      <c r="W4" s="30">
        <f t="shared" si="0"/>
        <v>2045</v>
      </c>
    </row>
    <row r="5" spans="2:23" ht="15" x14ac:dyDescent="0.25">
      <c r="B5" s="31" t="s">
        <v>102</v>
      </c>
      <c r="C5" s="31" t="s">
        <v>31</v>
      </c>
    </row>
    <row r="6" spans="2:23" ht="18.75" thickBot="1" x14ac:dyDescent="0.3">
      <c r="B6" s="67" t="s">
        <v>103</v>
      </c>
    </row>
    <row r="7" spans="2:23" ht="16.5" thickBot="1" x14ac:dyDescent="0.3">
      <c r="B7" s="69" t="s">
        <v>81</v>
      </c>
      <c r="C7" s="68">
        <v>5</v>
      </c>
    </row>
    <row r="8" spans="2:23" ht="15.75" x14ac:dyDescent="0.25">
      <c r="B8" s="66" t="s">
        <v>104</v>
      </c>
    </row>
    <row r="9" spans="2:23" x14ac:dyDescent="0.2">
      <c r="B9" s="33" t="s">
        <v>105</v>
      </c>
      <c r="C9" s="34" t="s">
        <v>106</v>
      </c>
      <c r="D9" s="80">
        <f>'Analisis Inputs Grales'!$D$29*('Analisis Inputs Grales'!$D$117/12)/'Analisis Inputs Grales'!$D$28</f>
        <v>2.7006172839506171E-2</v>
      </c>
      <c r="E9" s="80">
        <f>'Analisis Inputs Grales'!$D$29*('Analisis Inputs Grales'!$D$117/12)/'Analisis Inputs Grales'!$D$28</f>
        <v>2.7006172839506171E-2</v>
      </c>
      <c r="F9" s="80">
        <f>'Analisis Inputs Grales'!$D$29*('Analisis Inputs Grales'!$D$117/12)/'Analisis Inputs Grales'!$D$28</f>
        <v>2.7006172839506171E-2</v>
      </c>
      <c r="G9" s="80">
        <f>'Analisis Inputs Grales'!$D$29*('Analisis Inputs Grales'!$D$117/12)/'Analisis Inputs Grales'!$D$28</f>
        <v>2.7006172839506171E-2</v>
      </c>
      <c r="H9" s="80">
        <f>'Analisis Inputs Grales'!$D$29*('Analisis Inputs Grales'!$D$117/12)/'Analisis Inputs Grales'!$D$28</f>
        <v>2.7006172839506171E-2</v>
      </c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</row>
    <row r="10" spans="2:23" x14ac:dyDescent="0.2">
      <c r="B10" s="35" t="s">
        <v>105</v>
      </c>
      <c r="C10" s="36" t="s">
        <v>68</v>
      </c>
      <c r="D10" s="57">
        <f>D9*'Analisis Inputs Grales'!$D$28*12</f>
        <v>4200</v>
      </c>
      <c r="E10" s="57">
        <f>E9*'Analisis Inputs Grales'!$D$28*12</f>
        <v>4200</v>
      </c>
      <c r="F10" s="57">
        <f>F9*'Analisis Inputs Grales'!$D$28*12</f>
        <v>4200</v>
      </c>
      <c r="G10" s="57">
        <f>G9*'Analisis Inputs Grales'!$D$28*12</f>
        <v>4200</v>
      </c>
      <c r="H10" s="57">
        <f>H9*'Analisis Inputs Grales'!$D$28*12</f>
        <v>4200</v>
      </c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2:23" x14ac:dyDescent="0.2">
      <c r="B11" s="33" t="s">
        <v>107</v>
      </c>
      <c r="C11" s="34" t="s">
        <v>106</v>
      </c>
      <c r="D11" s="80">
        <f>('Analisis Inputs Grales'!$D$30-'Analisis Inputs Grales'!$D$32*'Analisis Inputs Grales'!$D$30)/('Analisis Inputs Grales'!$D$28*$C7*12)</f>
        <v>4.0509259259259259E-2</v>
      </c>
      <c r="E11" s="80">
        <f>('Analisis Inputs Grales'!$D$30-'Analisis Inputs Grales'!$D$32*'Analisis Inputs Grales'!$D$30)/('Analisis Inputs Grales'!$D$28*$C7*12)</f>
        <v>4.0509259259259259E-2</v>
      </c>
      <c r="F11" s="80">
        <f>('Analisis Inputs Grales'!$D$30-'Analisis Inputs Grales'!$D$32*'Analisis Inputs Grales'!$D$30)/('Analisis Inputs Grales'!$D$28*$C7*12)</f>
        <v>4.0509259259259259E-2</v>
      </c>
      <c r="G11" s="80">
        <f>('Analisis Inputs Grales'!$D$30-'Analisis Inputs Grales'!$D$32*'Analisis Inputs Grales'!$D$30)/('Analisis Inputs Grales'!$D$28*$C7*12)</f>
        <v>4.0509259259259259E-2</v>
      </c>
      <c r="H11" s="80">
        <f>('Analisis Inputs Grales'!$D$30-'Analisis Inputs Grales'!$D$32*'Analisis Inputs Grales'!$D$30)/('Analisis Inputs Grales'!$D$28*$C7*12)</f>
        <v>4.0509259259259259E-2</v>
      </c>
      <c r="I11" s="55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</row>
    <row r="12" spans="2:23" x14ac:dyDescent="0.2">
      <c r="B12" s="35" t="s">
        <v>107</v>
      </c>
      <c r="C12" s="36" t="s">
        <v>68</v>
      </c>
      <c r="D12" s="57">
        <f>D11*'Analisis Inputs Grales'!$D$28*12</f>
        <v>6300</v>
      </c>
      <c r="E12" s="57">
        <f>E11*'Analisis Inputs Grales'!$D$28*12</f>
        <v>6300</v>
      </c>
      <c r="F12" s="57">
        <f>F11*'Analisis Inputs Grales'!$D$28*12</f>
        <v>6300</v>
      </c>
      <c r="G12" s="57">
        <f>G11*'Analisis Inputs Grales'!$D$28*12</f>
        <v>6300</v>
      </c>
      <c r="H12" s="57">
        <f>H11*'Analisis Inputs Grales'!$D$28*12</f>
        <v>6300</v>
      </c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</row>
    <row r="13" spans="2:23" x14ac:dyDescent="0.2">
      <c r="B13" s="33" t="s">
        <v>108</v>
      </c>
      <c r="C13" s="34" t="s">
        <v>106</v>
      </c>
      <c r="D13" s="80">
        <f>'Analisis Inputs Grales'!$D$21/'Analisis Inputs Grales'!$D$28</f>
        <v>0.15895061728395063</v>
      </c>
      <c r="E13" s="80">
        <f>'Analisis Inputs Grales'!$D$21/'Analisis Inputs Grales'!$D$28</f>
        <v>0.15895061728395063</v>
      </c>
      <c r="F13" s="80">
        <f>'Analisis Inputs Grales'!$D$21/'Analisis Inputs Grales'!$D$28</f>
        <v>0.15895061728395063</v>
      </c>
      <c r="G13" s="80">
        <f>'Analisis Inputs Grales'!$D$21/'Analisis Inputs Grales'!$D$28</f>
        <v>0.15895061728395063</v>
      </c>
      <c r="H13" s="80">
        <f>'Analisis Inputs Grales'!$D$21/'Analisis Inputs Grales'!$D$28</f>
        <v>0.15895061728395063</v>
      </c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</row>
    <row r="14" spans="2:23" x14ac:dyDescent="0.2">
      <c r="B14" s="37" t="s">
        <v>108</v>
      </c>
      <c r="C14" s="38" t="s">
        <v>68</v>
      </c>
      <c r="D14" s="57">
        <f>D13*'Analisis Inputs Grales'!$D$28*12</f>
        <v>24720</v>
      </c>
      <c r="E14" s="57">
        <f>E13*'Analisis Inputs Grales'!$D$28*12</f>
        <v>24720</v>
      </c>
      <c r="F14" s="57">
        <f>F13*'Analisis Inputs Grales'!$D$28*12</f>
        <v>24720</v>
      </c>
      <c r="G14" s="57">
        <f>G13*'Analisis Inputs Grales'!$D$28*12</f>
        <v>24720</v>
      </c>
      <c r="H14" s="57">
        <f>H13*'Analisis Inputs Grales'!$D$28*12</f>
        <v>24720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</row>
    <row r="15" spans="2:23" x14ac:dyDescent="0.2">
      <c r="B15" s="33" t="s">
        <v>109</v>
      </c>
      <c r="C15" s="34" t="s">
        <v>106</v>
      </c>
      <c r="D15" s="80">
        <f>D13+D11+D9</f>
        <v>0.22646604938271608</v>
      </c>
      <c r="E15" s="80">
        <f t="shared" ref="E15:H15" si="1">E13+E11+E9</f>
        <v>0.22646604938271608</v>
      </c>
      <c r="F15" s="80">
        <f t="shared" si="1"/>
        <v>0.22646604938271608</v>
      </c>
      <c r="G15" s="80">
        <f t="shared" si="1"/>
        <v>0.22646604938271608</v>
      </c>
      <c r="H15" s="80">
        <f t="shared" si="1"/>
        <v>0.22646604938271608</v>
      </c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</row>
    <row r="16" spans="2:23" x14ac:dyDescent="0.2">
      <c r="B16" s="35" t="s">
        <v>109</v>
      </c>
      <c r="C16" s="36" t="s">
        <v>68</v>
      </c>
      <c r="D16" s="57">
        <f>D14+D12+D10</f>
        <v>35220</v>
      </c>
      <c r="E16" s="57">
        <f t="shared" ref="E16:H16" si="2">E14+E12+E10</f>
        <v>35220</v>
      </c>
      <c r="F16" s="57">
        <f t="shared" si="2"/>
        <v>35220</v>
      </c>
      <c r="G16" s="57">
        <f t="shared" si="2"/>
        <v>35220</v>
      </c>
      <c r="H16" s="57">
        <f t="shared" si="2"/>
        <v>35220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</row>
    <row r="17" spans="2:23" x14ac:dyDescent="0.2">
      <c r="C17" s="36"/>
    </row>
    <row r="18" spans="2:23" ht="15.75" x14ac:dyDescent="0.25">
      <c r="B18" s="66" t="s">
        <v>110</v>
      </c>
      <c r="C18" s="36"/>
    </row>
    <row r="19" spans="2:23" x14ac:dyDescent="0.2">
      <c r="B19" s="33" t="s">
        <v>111</v>
      </c>
      <c r="C19" s="34" t="s">
        <v>106</v>
      </c>
      <c r="D19" s="30">
        <f>'Analisis Inputs Grales'!$D$35/('Analisis Inputs Grales'!$D$33/('Analisis Inputs Grales'!$D$34/60))</f>
        <v>0.125</v>
      </c>
      <c r="E19" s="30">
        <f>'Analisis Inputs Grales'!$D$35/('Analisis Inputs Grales'!$D$33/('Analisis Inputs Grales'!$D$34/60))</f>
        <v>0.125</v>
      </c>
      <c r="F19" s="30">
        <f>'Analisis Inputs Grales'!$D$35/('Analisis Inputs Grales'!$D$33/('Analisis Inputs Grales'!$D$34/60))</f>
        <v>0.125</v>
      </c>
      <c r="G19" s="30">
        <f>'Analisis Inputs Grales'!$D$35/('Analisis Inputs Grales'!$D$33/('Analisis Inputs Grales'!$D$34/60))</f>
        <v>0.125</v>
      </c>
      <c r="H19" s="30">
        <f>'Analisis Inputs Grales'!$D$35/('Analisis Inputs Grales'!$D$33/('Analisis Inputs Grales'!$D$34/60))</f>
        <v>0.125</v>
      </c>
    </row>
    <row r="20" spans="2:23" x14ac:dyDescent="0.2">
      <c r="B20" s="35" t="s">
        <v>111</v>
      </c>
      <c r="C20" s="36" t="s">
        <v>68</v>
      </c>
      <c r="D20" s="57">
        <f>D19*12*'Analisis Inputs Grales'!$D$28</f>
        <v>19440</v>
      </c>
      <c r="E20" s="57">
        <f>E19*12*'Analisis Inputs Grales'!$D$28</f>
        <v>19440</v>
      </c>
      <c r="F20" s="57">
        <f>F19*12*'Analisis Inputs Grales'!$D$28</f>
        <v>19440</v>
      </c>
      <c r="G20" s="57">
        <f>G19*12*'Analisis Inputs Grales'!$D$28</f>
        <v>19440</v>
      </c>
      <c r="H20" s="57">
        <f>H19*12*'Analisis Inputs Grales'!$D$28</f>
        <v>19440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</row>
    <row r="21" spans="2:23" x14ac:dyDescent="0.2">
      <c r="B21" s="33" t="s">
        <v>112</v>
      </c>
      <c r="C21" s="34" t="s">
        <v>106</v>
      </c>
      <c r="D21" s="80">
        <f>'Analisis Inputs Grales'!$D$36*'Analisis 20Años'!D19</f>
        <v>1.8749999999999999E-2</v>
      </c>
      <c r="E21" s="80">
        <f>'Analisis Inputs Grales'!$D$36*'Analisis 20Años'!E19</f>
        <v>1.8749999999999999E-2</v>
      </c>
      <c r="F21" s="80">
        <f>'Analisis Inputs Grales'!$D$36*'Analisis 20Años'!F19</f>
        <v>1.8749999999999999E-2</v>
      </c>
      <c r="G21" s="80">
        <f>'Analisis Inputs Grales'!$D$36*'Analisis 20Años'!G19</f>
        <v>1.8749999999999999E-2</v>
      </c>
      <c r="H21" s="80">
        <f>'Analisis Inputs Grales'!$D$36*'Analisis 20Años'!H19</f>
        <v>1.8749999999999999E-2</v>
      </c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</row>
    <row r="22" spans="2:23" x14ac:dyDescent="0.2">
      <c r="B22" s="35" t="s">
        <v>112</v>
      </c>
      <c r="C22" s="36" t="s">
        <v>68</v>
      </c>
      <c r="D22" s="57">
        <f>D21*12*'Analisis Inputs Grales'!$D$28</f>
        <v>2915.9999999999995</v>
      </c>
      <c r="E22" s="57">
        <f>E21*12*'Analisis Inputs Grales'!$D$28</f>
        <v>2915.9999999999995</v>
      </c>
      <c r="F22" s="57">
        <f>F21*12*'Analisis Inputs Grales'!$D$28</f>
        <v>2915.9999999999995</v>
      </c>
      <c r="G22" s="57">
        <f>G21*12*'Analisis Inputs Grales'!$D$28</f>
        <v>2915.9999999999995</v>
      </c>
      <c r="H22" s="57">
        <f>H21*12*'Analisis Inputs Grales'!$D$28</f>
        <v>2915.9999999999995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</row>
    <row r="23" spans="2:23" x14ac:dyDescent="0.2">
      <c r="B23" s="33" t="s">
        <v>113</v>
      </c>
      <c r="C23" s="34" t="s">
        <v>106</v>
      </c>
      <c r="D23" s="80">
        <f>'Analisis Inputs Grales'!$D$37*('Analisis 20Años'!D21+'Analisis 20Años'!D19)</f>
        <v>5.7499999999999996E-2</v>
      </c>
      <c r="E23" s="80">
        <f>'Analisis Inputs Grales'!$D$37*('Analisis 20Años'!E21+'Analisis 20Años'!E19)</f>
        <v>5.7499999999999996E-2</v>
      </c>
      <c r="F23" s="80">
        <f>'Analisis Inputs Grales'!$D$37*('Analisis 20Años'!F21+'Analisis 20Años'!F19)</f>
        <v>5.7499999999999996E-2</v>
      </c>
      <c r="G23" s="80">
        <f>'Analisis Inputs Grales'!$D$37*('Analisis 20Años'!G21+'Analisis 20Años'!G19)</f>
        <v>5.7499999999999996E-2</v>
      </c>
      <c r="H23" s="80">
        <f>'Analisis Inputs Grales'!$D$37*('Analisis 20Años'!H21+'Analisis 20Años'!H19)</f>
        <v>5.7499999999999996E-2</v>
      </c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</row>
    <row r="24" spans="2:23" x14ac:dyDescent="0.2">
      <c r="B24" s="35" t="s">
        <v>113</v>
      </c>
      <c r="C24" s="36" t="s">
        <v>68</v>
      </c>
      <c r="D24" s="57">
        <f>D23*12*'Analisis Inputs Grales'!$D$28</f>
        <v>8942.4</v>
      </c>
      <c r="E24" s="57">
        <f>E23*12*'Analisis Inputs Grales'!$D$28</f>
        <v>8942.4</v>
      </c>
      <c r="F24" s="57">
        <f>F23*12*'Analisis Inputs Grales'!$D$28</f>
        <v>8942.4</v>
      </c>
      <c r="G24" s="57">
        <f>G23*12*'Analisis Inputs Grales'!$D$28</f>
        <v>8942.4</v>
      </c>
      <c r="H24" s="57">
        <f>H23*12*'Analisis Inputs Grales'!$D$28</f>
        <v>8942.4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</row>
    <row r="25" spans="2:23" x14ac:dyDescent="0.2">
      <c r="B25" s="33" t="s">
        <v>114</v>
      </c>
      <c r="C25" s="34" t="s">
        <v>106</v>
      </c>
      <c r="D25" s="80">
        <f>D23+D21+D19</f>
        <v>0.20124999999999998</v>
      </c>
      <c r="E25" s="80">
        <f t="shared" ref="E25:H25" si="3">E23+E21+E19</f>
        <v>0.20124999999999998</v>
      </c>
      <c r="F25" s="80">
        <f t="shared" si="3"/>
        <v>0.20124999999999998</v>
      </c>
      <c r="G25" s="80">
        <f t="shared" si="3"/>
        <v>0.20124999999999998</v>
      </c>
      <c r="H25" s="80">
        <f t="shared" si="3"/>
        <v>0.20124999999999998</v>
      </c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</row>
    <row r="26" spans="2:23" x14ac:dyDescent="0.2">
      <c r="B26" s="37" t="s">
        <v>114</v>
      </c>
      <c r="C26" s="36" t="s">
        <v>68</v>
      </c>
      <c r="D26" s="57">
        <f>D24+D22+D20</f>
        <v>31298.400000000001</v>
      </c>
      <c r="E26" s="57">
        <f t="shared" ref="E26:H26" si="4">E24+E22+E20</f>
        <v>31298.400000000001</v>
      </c>
      <c r="F26" s="57">
        <f t="shared" si="4"/>
        <v>31298.400000000001</v>
      </c>
      <c r="G26" s="57">
        <f t="shared" si="4"/>
        <v>31298.400000000001</v>
      </c>
      <c r="H26" s="57">
        <f t="shared" si="4"/>
        <v>31298.400000000001</v>
      </c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</row>
    <row r="27" spans="2:23" ht="6.95" customHeight="1" x14ac:dyDescent="0.2">
      <c r="B27" s="39"/>
    </row>
    <row r="28" spans="2:23" x14ac:dyDescent="0.2">
      <c r="B28" s="40" t="s">
        <v>115</v>
      </c>
      <c r="C28" s="41" t="s">
        <v>106</v>
      </c>
      <c r="D28" s="80">
        <f>+D15+D25</f>
        <v>0.42771604938271607</v>
      </c>
      <c r="E28" s="80">
        <f t="shared" ref="E28:H28" si="5">+E15+E25</f>
        <v>0.42771604938271607</v>
      </c>
      <c r="F28" s="80">
        <f t="shared" si="5"/>
        <v>0.42771604938271607</v>
      </c>
      <c r="G28" s="80">
        <f t="shared" si="5"/>
        <v>0.42771604938271607</v>
      </c>
      <c r="H28" s="80">
        <f t="shared" si="5"/>
        <v>0.42771604938271607</v>
      </c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</row>
    <row r="29" spans="2:23" x14ac:dyDescent="0.2">
      <c r="B29" s="42" t="s">
        <v>115</v>
      </c>
      <c r="C29" s="43" t="s">
        <v>68</v>
      </c>
      <c r="D29" s="57">
        <f>D28*12*'Analisis Inputs Grales'!$D$28</f>
        <v>66518.399999999994</v>
      </c>
      <c r="E29" s="57">
        <f>E28*12*'Analisis Inputs Grales'!$D$28</f>
        <v>66518.399999999994</v>
      </c>
      <c r="F29" s="57">
        <f>F28*12*'Analisis Inputs Grales'!$D$28</f>
        <v>66518.399999999994</v>
      </c>
      <c r="G29" s="57">
        <f>G28*12*'Analisis Inputs Grales'!$D$28</f>
        <v>66518.399999999994</v>
      </c>
      <c r="H29" s="57">
        <f>H28*12*'Analisis Inputs Grales'!$D$28</f>
        <v>66518.399999999994</v>
      </c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</row>
    <row r="30" spans="2:23" ht="9" customHeight="1" x14ac:dyDescent="0.2">
      <c r="B30" s="44"/>
      <c r="C30" s="45"/>
    </row>
    <row r="31" spans="2:23" x14ac:dyDescent="0.2">
      <c r="B31" s="46" t="s">
        <v>116</v>
      </c>
      <c r="C31" s="41" t="s">
        <v>117</v>
      </c>
      <c r="D31" s="80">
        <f>D28/'Analisis Inputs Grales'!$D$13</f>
        <v>7.1286008230452683E-2</v>
      </c>
      <c r="E31" s="80">
        <f>E28/'Analisis Inputs Grales'!$D$13</f>
        <v>7.1286008230452683E-2</v>
      </c>
      <c r="F31" s="80">
        <f>F28/'Analisis Inputs Grales'!$D$13</f>
        <v>7.1286008230452683E-2</v>
      </c>
      <c r="G31" s="80">
        <f>G28/'Analisis Inputs Grales'!$D$13</f>
        <v>7.1286008230452683E-2</v>
      </c>
      <c r="H31" s="80">
        <f>H28/'Analisis Inputs Grales'!$D$13</f>
        <v>7.1286008230452683E-2</v>
      </c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2:23" x14ac:dyDescent="0.2">
      <c r="B32" s="39" t="s">
        <v>118</v>
      </c>
      <c r="C32" s="36" t="s">
        <v>119</v>
      </c>
      <c r="D32" s="57">
        <f>D31*12*'Analisis Inputs Grales'!$D$28</f>
        <v>11086.400000000001</v>
      </c>
      <c r="E32" s="57">
        <f>E31*12*'Analisis Inputs Grales'!$D$28</f>
        <v>11086.400000000001</v>
      </c>
      <c r="F32" s="57">
        <f>F31*12*'Analisis Inputs Grales'!$D$28</f>
        <v>11086.400000000001</v>
      </c>
      <c r="G32" s="57">
        <f>G31*12*'Analisis Inputs Grales'!$D$28</f>
        <v>11086.400000000001</v>
      </c>
      <c r="H32" s="57">
        <f>H31*12*'Analisis Inputs Grales'!$D$28</f>
        <v>11086.400000000001</v>
      </c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</row>
    <row r="33" spans="2:23" x14ac:dyDescent="0.2">
      <c r="B33" s="39" t="s">
        <v>146</v>
      </c>
      <c r="C33" s="36" t="s">
        <v>147</v>
      </c>
      <c r="D33" s="80">
        <f>'Analisis Inputs Grales'!$D$34*'Analisis 20Años'!D31/60</f>
        <v>7.1286008230452683E-2</v>
      </c>
      <c r="E33" s="80">
        <f>'Analisis Inputs Grales'!$D$34*'Analisis 20Años'!E31/60</f>
        <v>7.1286008230452683E-2</v>
      </c>
      <c r="F33" s="80">
        <f>'Analisis Inputs Grales'!$D$34*'Analisis 20Años'!F31/60</f>
        <v>7.1286008230452683E-2</v>
      </c>
      <c r="G33" s="80">
        <f>'Analisis Inputs Grales'!$D$34*'Analisis 20Años'!G31/60</f>
        <v>7.1286008230452683E-2</v>
      </c>
      <c r="H33" s="80">
        <f>'Analisis Inputs Grales'!$D$34*'Analisis 20Años'!H31/60</f>
        <v>7.1286008230452683E-2</v>
      </c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</row>
    <row r="34" spans="2:23" x14ac:dyDescent="0.2">
      <c r="B34" s="39"/>
      <c r="C34" s="36"/>
      <c r="D34" s="80"/>
      <c r="E34" s="80"/>
      <c r="F34" s="80"/>
      <c r="G34" s="80"/>
      <c r="H34" s="80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</row>
    <row r="35" spans="2:23" x14ac:dyDescent="0.2">
      <c r="B35" s="70" t="s">
        <v>148</v>
      </c>
      <c r="C35" s="71" t="s">
        <v>23</v>
      </c>
      <c r="D35" s="80">
        <f>(1+'Analisis Inputs Grales'!$D$117)^'Analisis 20Años'!D$3</f>
        <v>1</v>
      </c>
      <c r="E35" s="80">
        <f>(1+'Analisis Inputs Grales'!$D$117)^'Analisis 20Años'!E$3</f>
        <v>1.1200000000000001</v>
      </c>
      <c r="F35" s="80">
        <f>(1+'Analisis Inputs Grales'!$D$117)^'Analisis 20Años'!F$3</f>
        <v>1.2544000000000002</v>
      </c>
      <c r="G35" s="80">
        <f>(1+'Analisis Inputs Grales'!$D$117)^'Analisis 20Años'!G$3</f>
        <v>1.4049280000000004</v>
      </c>
      <c r="H35" s="80">
        <f>(1+'Analisis Inputs Grales'!$D$117)^'Analisis 20Años'!H$3</f>
        <v>1.5735193600000004</v>
      </c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</row>
    <row r="36" spans="2:23" x14ac:dyDescent="0.2">
      <c r="B36" s="70" t="s">
        <v>149</v>
      </c>
      <c r="C36" s="71" t="s">
        <v>147</v>
      </c>
      <c r="D36" s="80">
        <f>D33*D35</f>
        <v>7.1286008230452683E-2</v>
      </c>
      <c r="E36" s="80">
        <f t="shared" ref="E36:H36" si="6">E33*E35</f>
        <v>7.9840329218107006E-2</v>
      </c>
      <c r="F36" s="80">
        <f t="shared" si="6"/>
        <v>8.9421168724279854E-2</v>
      </c>
      <c r="G36" s="80">
        <f t="shared" si="6"/>
        <v>0.10015170897119345</v>
      </c>
      <c r="H36" s="80">
        <f t="shared" si="6"/>
        <v>0.11216991404773666</v>
      </c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</row>
    <row r="37" spans="2:23" ht="15" x14ac:dyDescent="0.25">
      <c r="B37" s="72" t="s">
        <v>150</v>
      </c>
      <c r="C37" s="71" t="s">
        <v>147</v>
      </c>
      <c r="D37" s="82">
        <f>SUM(D36:H36)</f>
        <v>0.45286912919176969</v>
      </c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</row>
    <row r="38" spans="2:23" x14ac:dyDescent="0.2">
      <c r="B38" s="39"/>
      <c r="C38" s="36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</row>
    <row r="39" spans="2:23" ht="15" thickBot="1" x14ac:dyDescent="0.25">
      <c r="B39" s="39"/>
      <c r="C39" s="36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</row>
    <row r="40" spans="2:23" ht="16.5" thickBot="1" x14ac:dyDescent="0.3">
      <c r="B40" s="69" t="s">
        <v>81</v>
      </c>
      <c r="C40" s="68">
        <v>10</v>
      </c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</row>
    <row r="41" spans="2:23" ht="15.75" x14ac:dyDescent="0.25">
      <c r="B41" s="66" t="s">
        <v>104</v>
      </c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</row>
    <row r="42" spans="2:23" x14ac:dyDescent="0.2">
      <c r="B42" s="33" t="s">
        <v>105</v>
      </c>
      <c r="C42" s="34" t="s">
        <v>106</v>
      </c>
      <c r="D42" s="80">
        <f>'Analisis Inputs Grales'!$D$29*('Analisis Inputs Grales'!$D$117/12)/'Analisis Inputs Grales'!$D$28</f>
        <v>2.7006172839506171E-2</v>
      </c>
      <c r="E42" s="80">
        <f>'Analisis Inputs Grales'!$D$29*('Analisis Inputs Grales'!$D$117/12)/'Analisis Inputs Grales'!$D$28</f>
        <v>2.7006172839506171E-2</v>
      </c>
      <c r="F42" s="80">
        <f>'Analisis Inputs Grales'!$D$29*('Analisis Inputs Grales'!$D$117/12)/'Analisis Inputs Grales'!$D$28</f>
        <v>2.7006172839506171E-2</v>
      </c>
      <c r="G42" s="80">
        <f>'Analisis Inputs Grales'!$D$29*('Analisis Inputs Grales'!$D$117/12)/'Analisis Inputs Grales'!$D$28</f>
        <v>2.7006172839506171E-2</v>
      </c>
      <c r="H42" s="80">
        <f>'Analisis Inputs Grales'!$D$29*('Analisis Inputs Grales'!$D$117/12)/'Analisis Inputs Grales'!$D$28</f>
        <v>2.7006172839506171E-2</v>
      </c>
      <c r="I42" s="80">
        <f>'Analisis Inputs Grales'!$D$29*('Analisis Inputs Grales'!$D$117/12)/'Analisis Inputs Grales'!$D$28</f>
        <v>2.7006172839506171E-2</v>
      </c>
      <c r="J42" s="80">
        <f>'Analisis Inputs Grales'!$D$29*('Analisis Inputs Grales'!$D$117/12)/'Analisis Inputs Grales'!$D$28</f>
        <v>2.7006172839506171E-2</v>
      </c>
      <c r="K42" s="80">
        <f>'Analisis Inputs Grales'!$D$29*('Analisis Inputs Grales'!$D$117/12)/'Analisis Inputs Grales'!$D$28</f>
        <v>2.7006172839506171E-2</v>
      </c>
      <c r="L42" s="80">
        <f>'Analisis Inputs Grales'!$D$29*('Analisis Inputs Grales'!$D$117/12)/'Analisis Inputs Grales'!$D$28</f>
        <v>2.7006172839506171E-2</v>
      </c>
      <c r="M42" s="80">
        <f>'Analisis Inputs Grales'!$D$29*('Analisis Inputs Grales'!$D$117/12)/'Analisis Inputs Grales'!$D$28</f>
        <v>2.7006172839506171E-2</v>
      </c>
      <c r="N42" s="57"/>
      <c r="O42" s="57"/>
      <c r="P42" s="57"/>
      <c r="Q42" s="57"/>
      <c r="R42" s="57"/>
      <c r="S42" s="57"/>
      <c r="T42" s="57"/>
      <c r="U42" s="57"/>
      <c r="V42" s="57"/>
      <c r="W42" s="57"/>
    </row>
    <row r="43" spans="2:23" x14ac:dyDescent="0.2">
      <c r="B43" s="35" t="s">
        <v>105</v>
      </c>
      <c r="C43" s="36" t="s">
        <v>68</v>
      </c>
      <c r="D43" s="57">
        <f>D42*'Analisis Inputs Grales'!$D$28*12</f>
        <v>4200</v>
      </c>
      <c r="E43" s="57">
        <f>E42*'Analisis Inputs Grales'!$D$28*12</f>
        <v>4200</v>
      </c>
      <c r="F43" s="57">
        <f>F42*'Analisis Inputs Grales'!$D$28*12</f>
        <v>4200</v>
      </c>
      <c r="G43" s="57">
        <f>G42*'Analisis Inputs Grales'!$D$28*12</f>
        <v>4200</v>
      </c>
      <c r="H43" s="57">
        <f>H42*'Analisis Inputs Grales'!$D$28*12</f>
        <v>4200</v>
      </c>
      <c r="I43" s="57">
        <f>I42*'Analisis Inputs Grales'!$D$28*12</f>
        <v>4200</v>
      </c>
      <c r="J43" s="57">
        <f>J42*'Analisis Inputs Grales'!$D$28*12</f>
        <v>4200</v>
      </c>
      <c r="K43" s="57">
        <f>K42*'Analisis Inputs Grales'!$D$28*12</f>
        <v>4200</v>
      </c>
      <c r="L43" s="57">
        <f>L42*'Analisis Inputs Grales'!$D$28*12</f>
        <v>4200</v>
      </c>
      <c r="M43" s="57">
        <f>M42*'Analisis Inputs Grales'!$D$28*12</f>
        <v>4200</v>
      </c>
      <c r="N43" s="57"/>
      <c r="O43" s="57"/>
      <c r="P43" s="57"/>
      <c r="Q43" s="57"/>
      <c r="R43" s="57"/>
      <c r="S43" s="57"/>
      <c r="T43" s="57"/>
      <c r="U43" s="57"/>
      <c r="V43" s="57"/>
      <c r="W43" s="57"/>
    </row>
    <row r="44" spans="2:23" x14ac:dyDescent="0.2">
      <c r="B44" s="33" t="s">
        <v>107</v>
      </c>
      <c r="C44" s="34" t="s">
        <v>106</v>
      </c>
      <c r="D44" s="80">
        <f>('Analisis Inputs Grales'!$D$30-'Analisis Inputs Grales'!$D$32*'Analisis Inputs Grales'!$D$30)/('Analisis Inputs Grales'!$D$28*$C40*12)</f>
        <v>2.0254629629629629E-2</v>
      </c>
      <c r="E44" s="80">
        <f>('Analisis Inputs Grales'!$D$30-'Analisis Inputs Grales'!$D$32*'Analisis Inputs Grales'!$D$30)/('Analisis Inputs Grales'!$D$28*$C40*12)</f>
        <v>2.0254629629629629E-2</v>
      </c>
      <c r="F44" s="80">
        <f>('Analisis Inputs Grales'!$D$30-'Analisis Inputs Grales'!$D$32*'Analisis Inputs Grales'!$D$30)/('Analisis Inputs Grales'!$D$28*$C40*12)</f>
        <v>2.0254629629629629E-2</v>
      </c>
      <c r="G44" s="80">
        <f>('Analisis Inputs Grales'!$D$30-'Analisis Inputs Grales'!$D$32*'Analisis Inputs Grales'!$D$30)/('Analisis Inputs Grales'!$D$28*$C40*12)</f>
        <v>2.0254629629629629E-2</v>
      </c>
      <c r="H44" s="80">
        <f>('Analisis Inputs Grales'!$D$30-'Analisis Inputs Grales'!$D$32*'Analisis Inputs Grales'!$D$30)/('Analisis Inputs Grales'!$D$28*$C40*12)</f>
        <v>2.0254629629629629E-2</v>
      </c>
      <c r="I44" s="80">
        <f>('Analisis Inputs Grales'!$D$30-'Analisis Inputs Grales'!$D$32*'Analisis Inputs Grales'!$D$30)/('Analisis Inputs Grales'!$D$28*$C40*12)</f>
        <v>2.0254629629629629E-2</v>
      </c>
      <c r="J44" s="80">
        <f>('Analisis Inputs Grales'!$D$30-'Analisis Inputs Grales'!$D$32*'Analisis Inputs Grales'!$D$30)/('Analisis Inputs Grales'!$D$28*$C40*12)</f>
        <v>2.0254629629629629E-2</v>
      </c>
      <c r="K44" s="80">
        <f>('Analisis Inputs Grales'!$D$30-'Analisis Inputs Grales'!$D$32*'Analisis Inputs Grales'!$D$30)/('Analisis Inputs Grales'!$D$28*$C40*12)</f>
        <v>2.0254629629629629E-2</v>
      </c>
      <c r="L44" s="80">
        <f>('Analisis Inputs Grales'!$D$30-'Analisis Inputs Grales'!$D$32*'Analisis Inputs Grales'!$D$30)/('Analisis Inputs Grales'!$D$28*$C40*12)</f>
        <v>2.0254629629629629E-2</v>
      </c>
      <c r="M44" s="80">
        <f>('Analisis Inputs Grales'!$D$30-'Analisis Inputs Grales'!$D$32*'Analisis Inputs Grales'!$D$30)/('Analisis Inputs Grales'!$D$28*$C40*12)</f>
        <v>2.0254629629629629E-2</v>
      </c>
      <c r="N44" s="57"/>
      <c r="O44" s="57"/>
      <c r="P44" s="57"/>
      <c r="Q44" s="57"/>
      <c r="R44" s="57"/>
      <c r="S44" s="57"/>
      <c r="T44" s="57"/>
      <c r="U44" s="57"/>
      <c r="V44" s="57"/>
      <c r="W44" s="57"/>
    </row>
    <row r="45" spans="2:23" x14ac:dyDescent="0.2">
      <c r="B45" s="35" t="s">
        <v>107</v>
      </c>
      <c r="C45" s="36" t="s">
        <v>68</v>
      </c>
      <c r="D45" s="57">
        <f>D44*'Analisis Inputs Grales'!$D$28*12</f>
        <v>3150</v>
      </c>
      <c r="E45" s="57">
        <f>E44*'Analisis Inputs Grales'!$D$28*12</f>
        <v>3150</v>
      </c>
      <c r="F45" s="57">
        <f>F44*'Analisis Inputs Grales'!$D$28*12</f>
        <v>3150</v>
      </c>
      <c r="G45" s="57">
        <f>G44*'Analisis Inputs Grales'!$D$28*12</f>
        <v>3150</v>
      </c>
      <c r="H45" s="57">
        <f>H44*'Analisis Inputs Grales'!$D$28*12</f>
        <v>3150</v>
      </c>
      <c r="I45" s="57">
        <f>I44*'Analisis Inputs Grales'!$D$28*12</f>
        <v>3150</v>
      </c>
      <c r="J45" s="57">
        <f>J44*'Analisis Inputs Grales'!$D$28*12</f>
        <v>3150</v>
      </c>
      <c r="K45" s="57">
        <f>K44*'Analisis Inputs Grales'!$D$28*12</f>
        <v>3150</v>
      </c>
      <c r="L45" s="57">
        <f>L44*'Analisis Inputs Grales'!$D$28*12</f>
        <v>3150</v>
      </c>
      <c r="M45" s="57">
        <f>M44*'Analisis Inputs Grales'!$D$28*12</f>
        <v>3150</v>
      </c>
      <c r="N45" s="57"/>
      <c r="O45" s="57"/>
      <c r="P45" s="57"/>
      <c r="Q45" s="57"/>
      <c r="R45" s="57"/>
      <c r="S45" s="57"/>
      <c r="T45" s="57"/>
      <c r="U45" s="57"/>
      <c r="V45" s="57"/>
      <c r="W45" s="57"/>
    </row>
    <row r="46" spans="2:23" x14ac:dyDescent="0.2">
      <c r="B46" s="33" t="s">
        <v>108</v>
      </c>
      <c r="C46" s="34" t="s">
        <v>106</v>
      </c>
      <c r="D46" s="80">
        <f>'Analisis Inputs Grales'!$D$21/'Analisis Inputs Grales'!$D$28</f>
        <v>0.15895061728395063</v>
      </c>
      <c r="E46" s="80">
        <f>'Analisis Inputs Grales'!$D$21/'Analisis Inputs Grales'!$D$28</f>
        <v>0.15895061728395063</v>
      </c>
      <c r="F46" s="80">
        <f>'Analisis Inputs Grales'!$D$21/'Analisis Inputs Grales'!$D$28</f>
        <v>0.15895061728395063</v>
      </c>
      <c r="G46" s="80">
        <f>'Analisis Inputs Grales'!$D$21/'Analisis Inputs Grales'!$D$28</f>
        <v>0.15895061728395063</v>
      </c>
      <c r="H46" s="80">
        <f>'Analisis Inputs Grales'!$D$21/'Analisis Inputs Grales'!$D$28</f>
        <v>0.15895061728395063</v>
      </c>
      <c r="I46" s="80">
        <f>'Analisis Inputs Grales'!$D$21/'Analisis Inputs Grales'!$D$28</f>
        <v>0.15895061728395063</v>
      </c>
      <c r="J46" s="80">
        <f>'Analisis Inputs Grales'!$D$21/'Analisis Inputs Grales'!$D$28</f>
        <v>0.15895061728395063</v>
      </c>
      <c r="K46" s="80">
        <f>'Analisis Inputs Grales'!$D$21/'Analisis Inputs Grales'!$D$28</f>
        <v>0.15895061728395063</v>
      </c>
      <c r="L46" s="80">
        <f>'Analisis Inputs Grales'!$D$21/'Analisis Inputs Grales'!$D$28</f>
        <v>0.15895061728395063</v>
      </c>
      <c r="M46" s="80">
        <f>'Analisis Inputs Grales'!$D$21/'Analisis Inputs Grales'!$D$28</f>
        <v>0.15895061728395063</v>
      </c>
      <c r="N46" s="57"/>
      <c r="O46" s="57"/>
      <c r="P46" s="57"/>
      <c r="Q46" s="57"/>
      <c r="R46" s="57"/>
      <c r="S46" s="57"/>
      <c r="T46" s="57"/>
      <c r="U46" s="57"/>
      <c r="V46" s="57"/>
      <c r="W46" s="57"/>
    </row>
    <row r="47" spans="2:23" x14ac:dyDescent="0.2">
      <c r="B47" s="37" t="s">
        <v>108</v>
      </c>
      <c r="C47" s="38" t="s">
        <v>68</v>
      </c>
      <c r="D47" s="57">
        <f>D46*'Analisis Inputs Grales'!$D$28*12</f>
        <v>24720</v>
      </c>
      <c r="E47" s="57">
        <f>E46*'Analisis Inputs Grales'!$D$28*12</f>
        <v>24720</v>
      </c>
      <c r="F47" s="57">
        <f>F46*'Analisis Inputs Grales'!$D$28*12</f>
        <v>24720</v>
      </c>
      <c r="G47" s="57">
        <f>G46*'Analisis Inputs Grales'!$D$28*12</f>
        <v>24720</v>
      </c>
      <c r="H47" s="57">
        <f>H46*'Analisis Inputs Grales'!$D$28*12</f>
        <v>24720</v>
      </c>
      <c r="I47" s="57">
        <f>I46*'Analisis Inputs Grales'!$D$28*12</f>
        <v>24720</v>
      </c>
      <c r="J47" s="57">
        <f>J46*'Analisis Inputs Grales'!$D$28*12</f>
        <v>24720</v>
      </c>
      <c r="K47" s="57">
        <f>K46*'Analisis Inputs Grales'!$D$28*12</f>
        <v>24720</v>
      </c>
      <c r="L47" s="57">
        <f>L46*'Analisis Inputs Grales'!$D$28*12</f>
        <v>24720</v>
      </c>
      <c r="M47" s="57">
        <f>M46*'Analisis Inputs Grales'!$D$28*12</f>
        <v>24720</v>
      </c>
      <c r="N47" s="57"/>
      <c r="O47" s="57"/>
      <c r="P47" s="57"/>
      <c r="Q47" s="57"/>
      <c r="R47" s="57"/>
      <c r="S47" s="57"/>
      <c r="T47" s="57"/>
      <c r="U47" s="57"/>
      <c r="V47" s="57"/>
      <c r="W47" s="57"/>
    </row>
    <row r="48" spans="2:23" x14ac:dyDescent="0.2">
      <c r="B48" s="33" t="s">
        <v>109</v>
      </c>
      <c r="C48" s="34" t="s">
        <v>106</v>
      </c>
      <c r="D48" s="80">
        <f>D46+D44+D42</f>
        <v>0.20621141975308643</v>
      </c>
      <c r="E48" s="80">
        <f t="shared" ref="E48:H48" si="7">E46+E44+E42</f>
        <v>0.20621141975308643</v>
      </c>
      <c r="F48" s="80">
        <f t="shared" si="7"/>
        <v>0.20621141975308643</v>
      </c>
      <c r="G48" s="80">
        <f t="shared" si="7"/>
        <v>0.20621141975308643</v>
      </c>
      <c r="H48" s="80">
        <f t="shared" si="7"/>
        <v>0.20621141975308643</v>
      </c>
      <c r="I48" s="80">
        <f>I46+I44+I42</f>
        <v>0.20621141975308643</v>
      </c>
      <c r="J48" s="80">
        <f t="shared" ref="J48:M48" si="8">J46+J44+J42</f>
        <v>0.20621141975308643</v>
      </c>
      <c r="K48" s="80">
        <f t="shared" si="8"/>
        <v>0.20621141975308643</v>
      </c>
      <c r="L48" s="80">
        <f t="shared" si="8"/>
        <v>0.20621141975308643</v>
      </c>
      <c r="M48" s="80">
        <f t="shared" si="8"/>
        <v>0.20621141975308643</v>
      </c>
      <c r="N48" s="57"/>
      <c r="O48" s="57"/>
      <c r="P48" s="57"/>
      <c r="Q48" s="57"/>
      <c r="R48" s="57"/>
      <c r="S48" s="57"/>
      <c r="T48" s="57"/>
      <c r="U48" s="57"/>
      <c r="V48" s="57"/>
      <c r="W48" s="57"/>
    </row>
    <row r="49" spans="2:23" x14ac:dyDescent="0.2">
      <c r="B49" s="35" t="s">
        <v>109</v>
      </c>
      <c r="C49" s="36" t="s">
        <v>68</v>
      </c>
      <c r="D49" s="57">
        <f>D47+D45+D43</f>
        <v>32070</v>
      </c>
      <c r="E49" s="57">
        <f t="shared" ref="E49:H49" si="9">E47+E45+E43</f>
        <v>32070</v>
      </c>
      <c r="F49" s="57">
        <f t="shared" si="9"/>
        <v>32070</v>
      </c>
      <c r="G49" s="57">
        <f t="shared" si="9"/>
        <v>32070</v>
      </c>
      <c r="H49" s="57">
        <f t="shared" si="9"/>
        <v>32070</v>
      </c>
      <c r="I49" s="57">
        <f>I47+I45+I43</f>
        <v>32070</v>
      </c>
      <c r="J49" s="57">
        <f t="shared" ref="J49:M49" si="10">J47+J45+J43</f>
        <v>32070</v>
      </c>
      <c r="K49" s="57">
        <f t="shared" si="10"/>
        <v>32070</v>
      </c>
      <c r="L49" s="57">
        <f t="shared" si="10"/>
        <v>32070</v>
      </c>
      <c r="M49" s="57">
        <f t="shared" si="10"/>
        <v>32070</v>
      </c>
      <c r="N49" s="57"/>
      <c r="O49" s="57"/>
      <c r="P49" s="57"/>
      <c r="Q49" s="57"/>
      <c r="R49" s="57"/>
      <c r="S49" s="57"/>
      <c r="T49" s="57"/>
      <c r="U49" s="57"/>
      <c r="V49" s="57"/>
      <c r="W49" s="57"/>
    </row>
    <row r="50" spans="2:23" x14ac:dyDescent="0.2">
      <c r="C50" s="36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</row>
    <row r="51" spans="2:23" ht="15.75" x14ac:dyDescent="0.25">
      <c r="B51" s="66" t="s">
        <v>110</v>
      </c>
      <c r="C51" s="36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</row>
    <row r="52" spans="2:23" x14ac:dyDescent="0.2">
      <c r="B52" s="33" t="s">
        <v>111</v>
      </c>
      <c r="C52" s="34" t="s">
        <v>106</v>
      </c>
      <c r="D52" s="30">
        <f>'Analisis Inputs Grales'!$D$35/('Analisis Inputs Grales'!$D$33/('Analisis Inputs Grales'!$D$34/60))</f>
        <v>0.125</v>
      </c>
      <c r="E52" s="30">
        <f>'Analisis Inputs Grales'!$D$35/('Analisis Inputs Grales'!$D$33/('Analisis Inputs Grales'!$D$34/60))</f>
        <v>0.125</v>
      </c>
      <c r="F52" s="30">
        <f>'Analisis Inputs Grales'!$D$35/('Analisis Inputs Grales'!$D$33/('Analisis Inputs Grales'!$D$34/60))</f>
        <v>0.125</v>
      </c>
      <c r="G52" s="30">
        <f>'Analisis Inputs Grales'!$D$35/('Analisis Inputs Grales'!$D$33/('Analisis Inputs Grales'!$D$34/60))</f>
        <v>0.125</v>
      </c>
      <c r="H52" s="30">
        <f>'Analisis Inputs Grales'!$D$35/('Analisis Inputs Grales'!$D$33/('Analisis Inputs Grales'!$D$34/60))</f>
        <v>0.125</v>
      </c>
      <c r="I52" s="30">
        <f>'Analisis Inputs Grales'!$D$35/('Analisis Inputs Grales'!$D$33/('Analisis Inputs Grales'!$D$34/60))</f>
        <v>0.125</v>
      </c>
      <c r="J52" s="30">
        <f>'Analisis Inputs Grales'!$D$35/('Analisis Inputs Grales'!$D$33/('Analisis Inputs Grales'!$D$34/60))</f>
        <v>0.125</v>
      </c>
      <c r="K52" s="30">
        <f>'Analisis Inputs Grales'!$D$35/('Analisis Inputs Grales'!$D$33/('Analisis Inputs Grales'!$D$34/60))</f>
        <v>0.125</v>
      </c>
      <c r="L52" s="30">
        <f>'Analisis Inputs Grales'!$D$35/('Analisis Inputs Grales'!$D$33/('Analisis Inputs Grales'!$D$34/60))</f>
        <v>0.125</v>
      </c>
      <c r="M52" s="30">
        <f>'Analisis Inputs Grales'!$D$35/('Analisis Inputs Grales'!$D$33/('Analisis Inputs Grales'!$D$34/60))</f>
        <v>0.125</v>
      </c>
      <c r="N52" s="57"/>
      <c r="O52" s="57"/>
      <c r="P52" s="57"/>
      <c r="Q52" s="57"/>
      <c r="R52" s="57"/>
      <c r="S52" s="57"/>
      <c r="T52" s="57"/>
      <c r="U52" s="57"/>
      <c r="V52" s="57"/>
      <c r="W52" s="57"/>
    </row>
    <row r="53" spans="2:23" x14ac:dyDescent="0.2">
      <c r="B53" s="35" t="s">
        <v>111</v>
      </c>
      <c r="C53" s="36" t="s">
        <v>68</v>
      </c>
      <c r="D53" s="57">
        <f>D52*12*'Analisis Inputs Grales'!$D$28</f>
        <v>19440</v>
      </c>
      <c r="E53" s="57">
        <f>E52*12*'Analisis Inputs Grales'!$D$28</f>
        <v>19440</v>
      </c>
      <c r="F53" s="57">
        <f>F52*12*'Analisis Inputs Grales'!$D$28</f>
        <v>19440</v>
      </c>
      <c r="G53" s="57">
        <f>G52*12*'Analisis Inputs Grales'!$D$28</f>
        <v>19440</v>
      </c>
      <c r="H53" s="57">
        <f>H52*12*'Analisis Inputs Grales'!$D$28</f>
        <v>19440</v>
      </c>
      <c r="I53" s="57">
        <f>I52*12*'Analisis Inputs Grales'!$D$28</f>
        <v>19440</v>
      </c>
      <c r="J53" s="57">
        <f>J52*12*'Analisis Inputs Grales'!$D$28</f>
        <v>19440</v>
      </c>
      <c r="K53" s="57">
        <f>K52*12*'Analisis Inputs Grales'!$D$28</f>
        <v>19440</v>
      </c>
      <c r="L53" s="57">
        <f>L52*12*'Analisis Inputs Grales'!$D$28</f>
        <v>19440</v>
      </c>
      <c r="M53" s="57">
        <f>M52*12*'Analisis Inputs Grales'!$D$28</f>
        <v>19440</v>
      </c>
      <c r="N53" s="57"/>
      <c r="O53" s="57"/>
      <c r="P53" s="57"/>
      <c r="Q53" s="57"/>
      <c r="R53" s="57"/>
      <c r="S53" s="57"/>
      <c r="T53" s="57"/>
      <c r="U53" s="57"/>
      <c r="V53" s="57"/>
      <c r="W53" s="57"/>
    </row>
    <row r="54" spans="2:23" x14ac:dyDescent="0.2">
      <c r="B54" s="33" t="s">
        <v>112</v>
      </c>
      <c r="C54" s="34" t="s">
        <v>106</v>
      </c>
      <c r="D54" s="80">
        <f>'Analisis Inputs Grales'!$D$36*'Analisis 20Años'!D52</f>
        <v>1.8749999999999999E-2</v>
      </c>
      <c r="E54" s="80">
        <f>'Analisis Inputs Grales'!$D$36*'Analisis 20Años'!E52</f>
        <v>1.8749999999999999E-2</v>
      </c>
      <c r="F54" s="80">
        <f>'Analisis Inputs Grales'!$D$36*'Analisis 20Años'!F52</f>
        <v>1.8749999999999999E-2</v>
      </c>
      <c r="G54" s="80">
        <f>'Analisis Inputs Grales'!$D$36*'Analisis 20Años'!G52</f>
        <v>1.8749999999999999E-2</v>
      </c>
      <c r="H54" s="80">
        <f>'Analisis Inputs Grales'!$D$36*'Analisis 20Años'!H52</f>
        <v>1.8749999999999999E-2</v>
      </c>
      <c r="I54" s="80">
        <f>'Analisis Inputs Grales'!$D$36*'Analisis 20Años'!I52</f>
        <v>1.8749999999999999E-2</v>
      </c>
      <c r="J54" s="80">
        <f>'Analisis Inputs Grales'!$D$36*'Analisis 20Años'!J52</f>
        <v>1.8749999999999999E-2</v>
      </c>
      <c r="K54" s="80">
        <f>'Analisis Inputs Grales'!$D$36*'Analisis 20Años'!K52</f>
        <v>1.8749999999999999E-2</v>
      </c>
      <c r="L54" s="80">
        <f>'Analisis Inputs Grales'!$D$36*'Analisis 20Años'!L52</f>
        <v>1.8749999999999999E-2</v>
      </c>
      <c r="M54" s="80">
        <f>'Analisis Inputs Grales'!$D$36*'Analisis 20Años'!M52</f>
        <v>1.8749999999999999E-2</v>
      </c>
      <c r="N54" s="57"/>
      <c r="O54" s="57"/>
      <c r="P54" s="57"/>
      <c r="Q54" s="57"/>
      <c r="R54" s="57"/>
      <c r="S54" s="57"/>
      <c r="T54" s="57"/>
      <c r="U54" s="57"/>
      <c r="V54" s="57"/>
      <c r="W54" s="57"/>
    </row>
    <row r="55" spans="2:23" x14ac:dyDescent="0.2">
      <c r="B55" s="35" t="s">
        <v>112</v>
      </c>
      <c r="C55" s="36" t="s">
        <v>68</v>
      </c>
      <c r="D55" s="57">
        <f>D54*12*'Analisis Inputs Grales'!$D$28</f>
        <v>2915.9999999999995</v>
      </c>
      <c r="E55" s="57">
        <f>E54*12*'Analisis Inputs Grales'!$D$28</f>
        <v>2915.9999999999995</v>
      </c>
      <c r="F55" s="57">
        <f>F54*12*'Analisis Inputs Grales'!$D$28</f>
        <v>2915.9999999999995</v>
      </c>
      <c r="G55" s="57">
        <f>G54*12*'Analisis Inputs Grales'!$D$28</f>
        <v>2915.9999999999995</v>
      </c>
      <c r="H55" s="57">
        <f>H54*12*'Analisis Inputs Grales'!$D$28</f>
        <v>2915.9999999999995</v>
      </c>
      <c r="I55" s="57">
        <f>I54*12*'Analisis Inputs Grales'!$D$28</f>
        <v>2915.9999999999995</v>
      </c>
      <c r="J55" s="57">
        <f>J54*12*'Analisis Inputs Grales'!$D$28</f>
        <v>2915.9999999999995</v>
      </c>
      <c r="K55" s="57">
        <f>K54*12*'Analisis Inputs Grales'!$D$28</f>
        <v>2915.9999999999995</v>
      </c>
      <c r="L55" s="57">
        <f>L54*12*'Analisis Inputs Grales'!$D$28</f>
        <v>2915.9999999999995</v>
      </c>
      <c r="M55" s="57">
        <f>M54*12*'Analisis Inputs Grales'!$D$28</f>
        <v>2915.9999999999995</v>
      </c>
      <c r="N55" s="57"/>
      <c r="O55" s="57"/>
      <c r="P55" s="57"/>
      <c r="Q55" s="57"/>
      <c r="R55" s="57"/>
      <c r="S55" s="57"/>
      <c r="T55" s="57"/>
      <c r="U55" s="57"/>
      <c r="V55" s="57"/>
      <c r="W55" s="57"/>
    </row>
    <row r="56" spans="2:23" x14ac:dyDescent="0.2">
      <c r="B56" s="33" t="s">
        <v>113</v>
      </c>
      <c r="C56" s="34" t="s">
        <v>106</v>
      </c>
      <c r="D56" s="80">
        <f>'Analisis Inputs Grales'!$D$37*('Analisis 20Años'!D54+'Analisis 20Años'!D52)</f>
        <v>5.7499999999999996E-2</v>
      </c>
      <c r="E56" s="80">
        <f>'Analisis Inputs Grales'!$D$37*('Analisis 20Años'!E54+'Analisis 20Años'!E52)</f>
        <v>5.7499999999999996E-2</v>
      </c>
      <c r="F56" s="80">
        <f>'Analisis Inputs Grales'!$D$37*('Analisis 20Años'!F54+'Analisis 20Años'!F52)</f>
        <v>5.7499999999999996E-2</v>
      </c>
      <c r="G56" s="80">
        <f>'Analisis Inputs Grales'!$D$37*('Analisis 20Años'!G54+'Analisis 20Años'!G52)</f>
        <v>5.7499999999999996E-2</v>
      </c>
      <c r="H56" s="80">
        <f>'Analisis Inputs Grales'!$D$37*('Analisis 20Años'!H54+'Analisis 20Años'!H52)</f>
        <v>5.7499999999999996E-2</v>
      </c>
      <c r="I56" s="80">
        <f>'Analisis Inputs Grales'!$D$37*('Analisis 20Años'!I54+'Analisis 20Años'!I52)</f>
        <v>5.7499999999999996E-2</v>
      </c>
      <c r="J56" s="80">
        <f>'Analisis Inputs Grales'!$D$37*('Analisis 20Años'!J54+'Analisis 20Años'!J52)</f>
        <v>5.7499999999999996E-2</v>
      </c>
      <c r="K56" s="80">
        <f>'Analisis Inputs Grales'!$D$37*('Analisis 20Años'!K54+'Analisis 20Años'!K52)</f>
        <v>5.7499999999999996E-2</v>
      </c>
      <c r="L56" s="80">
        <f>'Analisis Inputs Grales'!$D$37*('Analisis 20Años'!L54+'Analisis 20Años'!L52)</f>
        <v>5.7499999999999996E-2</v>
      </c>
      <c r="M56" s="80">
        <f>'Analisis Inputs Grales'!$D$37*('Analisis 20Años'!M54+'Analisis 20Años'!M52)</f>
        <v>5.7499999999999996E-2</v>
      </c>
      <c r="N56" s="57"/>
      <c r="O56" s="57"/>
      <c r="P56" s="57"/>
      <c r="Q56" s="57"/>
      <c r="R56" s="57"/>
      <c r="S56" s="57"/>
      <c r="T56" s="57"/>
      <c r="U56" s="57"/>
      <c r="V56" s="57"/>
      <c r="W56" s="57"/>
    </row>
    <row r="57" spans="2:23" x14ac:dyDescent="0.2">
      <c r="B57" s="35" t="s">
        <v>113</v>
      </c>
      <c r="C57" s="36" t="s">
        <v>68</v>
      </c>
      <c r="D57" s="57">
        <f>D56*12*'Analisis Inputs Grales'!$D$28</f>
        <v>8942.4</v>
      </c>
      <c r="E57" s="57">
        <f>E56*12*'Analisis Inputs Grales'!$D$28</f>
        <v>8942.4</v>
      </c>
      <c r="F57" s="57">
        <f>F56*12*'Analisis Inputs Grales'!$D$28</f>
        <v>8942.4</v>
      </c>
      <c r="G57" s="57">
        <f>G56*12*'Analisis Inputs Grales'!$D$28</f>
        <v>8942.4</v>
      </c>
      <c r="H57" s="57">
        <f>H56*12*'Analisis Inputs Grales'!$D$28</f>
        <v>8942.4</v>
      </c>
      <c r="I57" s="57">
        <f>I56*12*'Analisis Inputs Grales'!$D$28</f>
        <v>8942.4</v>
      </c>
      <c r="J57" s="57">
        <f>J56*12*'Analisis Inputs Grales'!$D$28</f>
        <v>8942.4</v>
      </c>
      <c r="K57" s="57">
        <f>K56*12*'Analisis Inputs Grales'!$D$28</f>
        <v>8942.4</v>
      </c>
      <c r="L57" s="57">
        <f>L56*12*'Analisis Inputs Grales'!$D$28</f>
        <v>8942.4</v>
      </c>
      <c r="M57" s="57">
        <f>M56*12*'Analisis Inputs Grales'!$D$28</f>
        <v>8942.4</v>
      </c>
      <c r="N57" s="57"/>
      <c r="O57" s="57"/>
      <c r="P57" s="57"/>
      <c r="Q57" s="57"/>
      <c r="R57" s="57"/>
      <c r="S57" s="57"/>
      <c r="T57" s="57"/>
      <c r="U57" s="57"/>
      <c r="V57" s="57"/>
      <c r="W57" s="57"/>
    </row>
    <row r="58" spans="2:23" x14ac:dyDescent="0.2">
      <c r="B58" s="33" t="s">
        <v>114</v>
      </c>
      <c r="C58" s="34" t="s">
        <v>106</v>
      </c>
      <c r="D58" s="80">
        <f>D56+D54+D52</f>
        <v>0.20124999999999998</v>
      </c>
      <c r="E58" s="80">
        <f t="shared" ref="E58:H58" si="11">E56+E54+E52</f>
        <v>0.20124999999999998</v>
      </c>
      <c r="F58" s="80">
        <f t="shared" si="11"/>
        <v>0.20124999999999998</v>
      </c>
      <c r="G58" s="80">
        <f t="shared" si="11"/>
        <v>0.20124999999999998</v>
      </c>
      <c r="H58" s="80">
        <f t="shared" si="11"/>
        <v>0.20124999999999998</v>
      </c>
      <c r="I58" s="80">
        <f>I56+I54+I52</f>
        <v>0.20124999999999998</v>
      </c>
      <c r="J58" s="80">
        <f t="shared" ref="J58:M58" si="12">J56+J54+J52</f>
        <v>0.20124999999999998</v>
      </c>
      <c r="K58" s="80">
        <f t="shared" si="12"/>
        <v>0.20124999999999998</v>
      </c>
      <c r="L58" s="80">
        <f t="shared" si="12"/>
        <v>0.20124999999999998</v>
      </c>
      <c r="M58" s="80">
        <f t="shared" si="12"/>
        <v>0.20124999999999998</v>
      </c>
      <c r="N58" s="57"/>
      <c r="O58" s="57"/>
      <c r="P58" s="57"/>
      <c r="Q58" s="57"/>
      <c r="R58" s="57"/>
      <c r="S58" s="57"/>
      <c r="T58" s="57"/>
      <c r="U58" s="57"/>
      <c r="V58" s="57"/>
      <c r="W58" s="57"/>
    </row>
    <row r="59" spans="2:23" x14ac:dyDescent="0.2">
      <c r="B59" s="37" t="s">
        <v>114</v>
      </c>
      <c r="C59" s="36" t="s">
        <v>68</v>
      </c>
      <c r="D59" s="57">
        <f>D57+D55+D53</f>
        <v>31298.400000000001</v>
      </c>
      <c r="E59" s="57">
        <f t="shared" ref="E59:H59" si="13">E57+E55+E53</f>
        <v>31298.400000000001</v>
      </c>
      <c r="F59" s="57">
        <f t="shared" si="13"/>
        <v>31298.400000000001</v>
      </c>
      <c r="G59" s="57">
        <f t="shared" si="13"/>
        <v>31298.400000000001</v>
      </c>
      <c r="H59" s="57">
        <f t="shared" si="13"/>
        <v>31298.400000000001</v>
      </c>
      <c r="I59" s="57">
        <f>I57+I55+I53</f>
        <v>31298.400000000001</v>
      </c>
      <c r="J59" s="57">
        <f t="shared" ref="J59:M59" si="14">J57+J55+J53</f>
        <v>31298.400000000001</v>
      </c>
      <c r="K59" s="57">
        <f t="shared" si="14"/>
        <v>31298.400000000001</v>
      </c>
      <c r="L59" s="57">
        <f t="shared" si="14"/>
        <v>31298.400000000001</v>
      </c>
      <c r="M59" s="57">
        <f t="shared" si="14"/>
        <v>31298.400000000001</v>
      </c>
      <c r="N59" s="57"/>
      <c r="O59" s="57"/>
      <c r="P59" s="57"/>
      <c r="Q59" s="57"/>
      <c r="R59" s="57"/>
      <c r="S59" s="57"/>
      <c r="T59" s="57"/>
      <c r="U59" s="57"/>
      <c r="V59" s="57"/>
      <c r="W59" s="57"/>
    </row>
    <row r="60" spans="2:23" x14ac:dyDescent="0.2">
      <c r="B60" s="39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</row>
    <row r="61" spans="2:23" x14ac:dyDescent="0.2">
      <c r="B61" s="40" t="s">
        <v>115</v>
      </c>
      <c r="C61" s="41" t="s">
        <v>106</v>
      </c>
      <c r="D61" s="80">
        <f>+D48+D58</f>
        <v>0.40746141975308642</v>
      </c>
      <c r="E61" s="80">
        <f t="shared" ref="E61:H61" si="15">+E48+E58</f>
        <v>0.40746141975308642</v>
      </c>
      <c r="F61" s="80">
        <f t="shared" si="15"/>
        <v>0.40746141975308642</v>
      </c>
      <c r="G61" s="80">
        <f t="shared" si="15"/>
        <v>0.40746141975308642</v>
      </c>
      <c r="H61" s="80">
        <f t="shared" si="15"/>
        <v>0.40746141975308642</v>
      </c>
      <c r="I61" s="80">
        <f>+I48+I58</f>
        <v>0.40746141975308642</v>
      </c>
      <c r="J61" s="80">
        <f t="shared" ref="J61:M61" si="16">+J48+J58</f>
        <v>0.40746141975308642</v>
      </c>
      <c r="K61" s="80">
        <f t="shared" si="16"/>
        <v>0.40746141975308642</v>
      </c>
      <c r="L61" s="80">
        <f t="shared" si="16"/>
        <v>0.40746141975308642</v>
      </c>
      <c r="M61" s="80">
        <f t="shared" si="16"/>
        <v>0.40746141975308642</v>
      </c>
      <c r="N61" s="57"/>
      <c r="O61" s="57"/>
      <c r="P61" s="57"/>
      <c r="Q61" s="57"/>
      <c r="R61" s="57"/>
      <c r="S61" s="57"/>
      <c r="T61" s="57"/>
      <c r="U61" s="57"/>
      <c r="V61" s="57"/>
      <c r="W61" s="57"/>
    </row>
    <row r="62" spans="2:23" x14ac:dyDescent="0.2">
      <c r="B62" s="42" t="s">
        <v>115</v>
      </c>
      <c r="C62" s="43" t="s">
        <v>68</v>
      </c>
      <c r="D62" s="57">
        <f>D61*12*'Analisis Inputs Grales'!$D$28</f>
        <v>63368.4</v>
      </c>
      <c r="E62" s="57">
        <f>E61*12*'Analisis Inputs Grales'!$D$28</f>
        <v>63368.4</v>
      </c>
      <c r="F62" s="57">
        <f>F61*12*'Analisis Inputs Grales'!$D$28</f>
        <v>63368.4</v>
      </c>
      <c r="G62" s="57">
        <f>G61*12*'Analisis Inputs Grales'!$D$28</f>
        <v>63368.4</v>
      </c>
      <c r="H62" s="57">
        <f>H61*12*'Analisis Inputs Grales'!$D$28</f>
        <v>63368.4</v>
      </c>
      <c r="I62" s="57">
        <f>I61*12*'Analisis Inputs Grales'!$D$28</f>
        <v>63368.4</v>
      </c>
      <c r="J62" s="57">
        <f>J61*12*'Analisis Inputs Grales'!$D$28</f>
        <v>63368.4</v>
      </c>
      <c r="K62" s="57">
        <f>K61*12*'Analisis Inputs Grales'!$D$28</f>
        <v>63368.4</v>
      </c>
      <c r="L62" s="57">
        <f>L61*12*'Analisis Inputs Grales'!$D$28</f>
        <v>63368.4</v>
      </c>
      <c r="M62" s="57">
        <f>M61*12*'Analisis Inputs Grales'!$D$28</f>
        <v>63368.4</v>
      </c>
      <c r="N62" s="57"/>
      <c r="O62" s="57"/>
      <c r="P62" s="57"/>
      <c r="Q62" s="57"/>
      <c r="R62" s="57"/>
      <c r="S62" s="57"/>
      <c r="T62" s="57"/>
      <c r="U62" s="57"/>
      <c r="V62" s="57"/>
      <c r="W62" s="57"/>
    </row>
    <row r="63" spans="2:23" x14ac:dyDescent="0.2">
      <c r="B63" s="44"/>
      <c r="C63" s="45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</row>
    <row r="64" spans="2:23" x14ac:dyDescent="0.2">
      <c r="B64" s="46" t="s">
        <v>116</v>
      </c>
      <c r="C64" s="41" t="s">
        <v>117</v>
      </c>
      <c r="D64" s="80">
        <f>D61/'Analisis Inputs Grales'!$D$13</f>
        <v>6.7910236625514403E-2</v>
      </c>
      <c r="E64" s="80">
        <f>E61/'Analisis Inputs Grales'!$D$13</f>
        <v>6.7910236625514403E-2</v>
      </c>
      <c r="F64" s="80">
        <f>F61/'Analisis Inputs Grales'!$D$13</f>
        <v>6.7910236625514403E-2</v>
      </c>
      <c r="G64" s="80">
        <f>G61/'Analisis Inputs Grales'!$D$13</f>
        <v>6.7910236625514403E-2</v>
      </c>
      <c r="H64" s="80">
        <f>H61/'Analisis Inputs Grales'!$D$13</f>
        <v>6.7910236625514403E-2</v>
      </c>
      <c r="I64" s="80">
        <f>I61/'Analisis Inputs Grales'!$D$13</f>
        <v>6.7910236625514403E-2</v>
      </c>
      <c r="J64" s="80">
        <f>J61/'Analisis Inputs Grales'!$D$13</f>
        <v>6.7910236625514403E-2</v>
      </c>
      <c r="K64" s="80">
        <f>K61/'Analisis Inputs Grales'!$D$13</f>
        <v>6.7910236625514403E-2</v>
      </c>
      <c r="L64" s="80">
        <f>L61/'Analisis Inputs Grales'!$D$13</f>
        <v>6.7910236625514403E-2</v>
      </c>
      <c r="M64" s="80">
        <f>M61/'Analisis Inputs Grales'!$D$13</f>
        <v>6.7910236625514403E-2</v>
      </c>
      <c r="N64" s="57"/>
      <c r="O64" s="57"/>
      <c r="P64" s="57"/>
      <c r="Q64" s="57"/>
      <c r="R64" s="57"/>
      <c r="S64" s="57"/>
      <c r="T64" s="57"/>
      <c r="U64" s="57"/>
      <c r="V64" s="57"/>
      <c r="W64" s="57"/>
    </row>
    <row r="65" spans="2:23" x14ac:dyDescent="0.2">
      <c r="B65" s="39" t="s">
        <v>118</v>
      </c>
      <c r="C65" s="36" t="s">
        <v>119</v>
      </c>
      <c r="D65" s="57">
        <f>D64*12*'Analisis Inputs Grales'!$D$28</f>
        <v>10561.4</v>
      </c>
      <c r="E65" s="57">
        <f>E64*12*'Analisis Inputs Grales'!$D$28</f>
        <v>10561.4</v>
      </c>
      <c r="F65" s="57">
        <f>F64*12*'Analisis Inputs Grales'!$D$28</f>
        <v>10561.4</v>
      </c>
      <c r="G65" s="57">
        <f>G64*12*'Analisis Inputs Grales'!$D$28</f>
        <v>10561.4</v>
      </c>
      <c r="H65" s="57">
        <f>H64*12*'Analisis Inputs Grales'!$D$28</f>
        <v>10561.4</v>
      </c>
      <c r="I65" s="57">
        <f>I64*12*'Analisis Inputs Grales'!$D$28</f>
        <v>10561.4</v>
      </c>
      <c r="J65" s="57">
        <f>J64*12*'Analisis Inputs Grales'!$D$28</f>
        <v>10561.4</v>
      </c>
      <c r="K65" s="57">
        <f>K64*12*'Analisis Inputs Grales'!$D$28</f>
        <v>10561.4</v>
      </c>
      <c r="L65" s="57">
        <f>L64*12*'Analisis Inputs Grales'!$D$28</f>
        <v>10561.4</v>
      </c>
      <c r="M65" s="57">
        <f>M64*12*'Analisis Inputs Grales'!$D$28</f>
        <v>10561.4</v>
      </c>
      <c r="N65" s="57"/>
      <c r="O65" s="57"/>
      <c r="P65" s="57"/>
      <c r="Q65" s="57"/>
      <c r="R65" s="57"/>
      <c r="S65" s="57"/>
      <c r="T65" s="57"/>
      <c r="U65" s="57"/>
      <c r="V65" s="57"/>
      <c r="W65" s="57"/>
    </row>
    <row r="66" spans="2:23" x14ac:dyDescent="0.2">
      <c r="B66" s="39" t="s">
        <v>146</v>
      </c>
      <c r="C66" s="36" t="s">
        <v>147</v>
      </c>
      <c r="D66" s="80">
        <f>'Analisis Inputs Grales'!$D$34*'Analisis 20Años'!D64/60</f>
        <v>6.7910236625514403E-2</v>
      </c>
      <c r="E66" s="80">
        <f>'Analisis Inputs Grales'!$D$34*'Analisis 20Años'!E64/60</f>
        <v>6.7910236625514403E-2</v>
      </c>
      <c r="F66" s="80">
        <f>'Analisis Inputs Grales'!$D$34*'Analisis 20Años'!F64/60</f>
        <v>6.7910236625514403E-2</v>
      </c>
      <c r="G66" s="80">
        <f>'Analisis Inputs Grales'!$D$34*'Analisis 20Años'!G64/60</f>
        <v>6.7910236625514403E-2</v>
      </c>
      <c r="H66" s="80">
        <f>'Analisis Inputs Grales'!$D$34*'Analisis 20Años'!H64/60</f>
        <v>6.7910236625514403E-2</v>
      </c>
      <c r="I66" s="80">
        <f>'Analisis Inputs Grales'!$D$34*'Analisis 20Años'!I64/60</f>
        <v>6.7910236625514403E-2</v>
      </c>
      <c r="J66" s="80">
        <f>'Analisis Inputs Grales'!$D$34*'Analisis 20Años'!J64/60</f>
        <v>6.7910236625514403E-2</v>
      </c>
      <c r="K66" s="80">
        <f>'Analisis Inputs Grales'!$D$34*'Analisis 20Años'!K64/60</f>
        <v>6.7910236625514403E-2</v>
      </c>
      <c r="L66" s="80">
        <f>'Analisis Inputs Grales'!$D$34*'Analisis 20Años'!L64/60</f>
        <v>6.7910236625514403E-2</v>
      </c>
      <c r="M66" s="80">
        <f>'Analisis Inputs Grales'!$D$34*'Analisis 20Años'!M64/60</f>
        <v>6.7910236625514403E-2</v>
      </c>
      <c r="N66" s="57"/>
      <c r="O66" s="57"/>
      <c r="P66" s="57"/>
      <c r="Q66" s="57"/>
      <c r="R66" s="57"/>
      <c r="S66" s="57"/>
      <c r="T66" s="57"/>
      <c r="U66" s="57"/>
      <c r="V66" s="57"/>
      <c r="W66" s="57"/>
    </row>
    <row r="67" spans="2:23" x14ac:dyDescent="0.2">
      <c r="B67" s="39"/>
      <c r="C67" s="36"/>
      <c r="D67" s="80"/>
      <c r="E67" s="80"/>
      <c r="F67" s="80"/>
      <c r="G67" s="80"/>
      <c r="H67" s="80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</row>
    <row r="68" spans="2:23" x14ac:dyDescent="0.2">
      <c r="B68" s="70" t="s">
        <v>148</v>
      </c>
      <c r="C68" s="71" t="s">
        <v>23</v>
      </c>
      <c r="D68" s="80">
        <f>(1+'Analisis Inputs Grales'!$D$117)^'Analisis 20Años'!D$3</f>
        <v>1</v>
      </c>
      <c r="E68" s="80">
        <f>(1+'Analisis Inputs Grales'!$D$117)^'Analisis 20Años'!E$3</f>
        <v>1.1200000000000001</v>
      </c>
      <c r="F68" s="80">
        <f>(1+'Analisis Inputs Grales'!$D$117)^'Analisis 20Años'!F$3</f>
        <v>1.2544000000000002</v>
      </c>
      <c r="G68" s="80">
        <f>(1+'Analisis Inputs Grales'!$D$117)^'Analisis 20Años'!G$3</f>
        <v>1.4049280000000004</v>
      </c>
      <c r="H68" s="80">
        <f>(1+'Analisis Inputs Grales'!$D$117)^'Analisis 20Años'!H$3</f>
        <v>1.5735193600000004</v>
      </c>
      <c r="I68" s="80">
        <f>(1+'Analisis Inputs Grales'!$D$117)^'Analisis 20Años'!I$3</f>
        <v>1.7623416832000005</v>
      </c>
      <c r="J68" s="80">
        <f>(1+'Analisis Inputs Grales'!$D$117)^'Analisis 20Años'!J$3</f>
        <v>1.9738226851840008</v>
      </c>
      <c r="K68" s="80">
        <f>(1+'Analisis Inputs Grales'!$D$117)^'Analisis 20Años'!K$3</f>
        <v>2.210681407406081</v>
      </c>
      <c r="L68" s="80">
        <f>(1+'Analisis Inputs Grales'!$D$117)^'Analisis 20Años'!L$3</f>
        <v>2.4759631762948109</v>
      </c>
      <c r="M68" s="80">
        <f>(1+'Analisis Inputs Grales'!$D$117)^'Analisis 20Años'!M$3</f>
        <v>2.7730787574501883</v>
      </c>
      <c r="N68" s="57"/>
      <c r="O68" s="57"/>
      <c r="P68" s="57"/>
      <c r="Q68" s="57"/>
      <c r="R68" s="57"/>
      <c r="S68" s="57"/>
      <c r="T68" s="57"/>
      <c r="U68" s="57"/>
      <c r="V68" s="57"/>
      <c r="W68" s="57"/>
    </row>
    <row r="69" spans="2:23" x14ac:dyDescent="0.2">
      <c r="B69" s="70" t="s">
        <v>149</v>
      </c>
      <c r="C69" s="71" t="s">
        <v>147</v>
      </c>
      <c r="D69" s="80">
        <f>D66*D68</f>
        <v>6.7910236625514403E-2</v>
      </c>
      <c r="E69" s="80">
        <f t="shared" ref="E69:H69" si="17">E66*E68</f>
        <v>7.6059465020576145E-2</v>
      </c>
      <c r="F69" s="80">
        <f t="shared" si="17"/>
        <v>8.5186600823045286E-2</v>
      </c>
      <c r="G69" s="80">
        <f t="shared" si="17"/>
        <v>9.5408992921810723E-2</v>
      </c>
      <c r="H69" s="80">
        <f t="shared" si="17"/>
        <v>0.10685807207242801</v>
      </c>
      <c r="I69" s="80">
        <f>I66*I68</f>
        <v>0.11968104072111937</v>
      </c>
      <c r="J69" s="80">
        <f t="shared" ref="J69" si="18">J66*J68</f>
        <v>0.13404276560765371</v>
      </c>
      <c r="K69" s="80">
        <f t="shared" ref="K69" si="19">K66*K68</f>
        <v>0.15012789748057218</v>
      </c>
      <c r="L69" s="80">
        <f t="shared" ref="L69" si="20">L66*L68</f>
        <v>0.16814324517824084</v>
      </c>
      <c r="M69" s="80">
        <f>M66*M68</f>
        <v>0.18832043459962974</v>
      </c>
      <c r="N69" s="57"/>
      <c r="O69" s="57"/>
      <c r="P69" s="57"/>
      <c r="Q69" s="57"/>
      <c r="R69" s="57"/>
      <c r="S69" s="57"/>
      <c r="T69" s="57"/>
      <c r="U69" s="57"/>
      <c r="V69" s="57"/>
      <c r="W69" s="57"/>
    </row>
    <row r="70" spans="2:23" ht="15" x14ac:dyDescent="0.25">
      <c r="B70" s="72" t="s">
        <v>152</v>
      </c>
      <c r="C70" s="71" t="s">
        <v>147</v>
      </c>
      <c r="D70" s="82">
        <f>SUM(D69:M69)</f>
        <v>1.1917387510505904</v>
      </c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</row>
    <row r="71" spans="2:23" x14ac:dyDescent="0.2">
      <c r="B71" s="39"/>
      <c r="C71" s="36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</row>
    <row r="72" spans="2:23" ht="15" thickBot="1" x14ac:dyDescent="0.25">
      <c r="B72" s="39"/>
      <c r="C72" s="36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</row>
    <row r="73" spans="2:23" ht="16.5" thickBot="1" x14ac:dyDescent="0.3">
      <c r="B73" s="69" t="s">
        <v>81</v>
      </c>
      <c r="C73" s="68">
        <v>15</v>
      </c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</row>
    <row r="74" spans="2:23" ht="15.75" x14ac:dyDescent="0.25">
      <c r="B74" s="66" t="s">
        <v>104</v>
      </c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</row>
    <row r="75" spans="2:23" x14ac:dyDescent="0.2">
      <c r="B75" s="33" t="s">
        <v>105</v>
      </c>
      <c r="C75" s="34" t="s">
        <v>106</v>
      </c>
      <c r="D75" s="80">
        <f>'Analisis Inputs Grales'!$D$29*('Analisis Inputs Grales'!$D$117/12)/'Analisis Inputs Grales'!$D$28</f>
        <v>2.7006172839506171E-2</v>
      </c>
      <c r="E75" s="80">
        <f>'Analisis Inputs Grales'!$D$29*('Analisis Inputs Grales'!$D$117/12)/'Analisis Inputs Grales'!$D$28</f>
        <v>2.7006172839506171E-2</v>
      </c>
      <c r="F75" s="80">
        <f>'Analisis Inputs Grales'!$D$29*('Analisis Inputs Grales'!$D$117/12)/'Analisis Inputs Grales'!$D$28</f>
        <v>2.7006172839506171E-2</v>
      </c>
      <c r="G75" s="80">
        <f>'Analisis Inputs Grales'!$D$29*('Analisis Inputs Grales'!$D$117/12)/'Analisis Inputs Grales'!$D$28</f>
        <v>2.7006172839506171E-2</v>
      </c>
      <c r="H75" s="80">
        <f>'Analisis Inputs Grales'!$D$29*('Analisis Inputs Grales'!$D$117/12)/'Analisis Inputs Grales'!$D$28</f>
        <v>2.7006172839506171E-2</v>
      </c>
      <c r="I75" s="80">
        <f>'Analisis Inputs Grales'!$D$29*('Analisis Inputs Grales'!$D$117/12)/'Analisis Inputs Grales'!$D$28</f>
        <v>2.7006172839506171E-2</v>
      </c>
      <c r="J75" s="80">
        <f>'Analisis Inputs Grales'!$D$29*('Analisis Inputs Grales'!$D$117/12)/'Analisis Inputs Grales'!$D$28</f>
        <v>2.7006172839506171E-2</v>
      </c>
      <c r="K75" s="80">
        <f>'Analisis Inputs Grales'!$D$29*('Analisis Inputs Grales'!$D$117/12)/'Analisis Inputs Grales'!$D$28</f>
        <v>2.7006172839506171E-2</v>
      </c>
      <c r="L75" s="80">
        <f>'Analisis Inputs Grales'!$D$29*('Analisis Inputs Grales'!$D$117/12)/'Analisis Inputs Grales'!$D$28</f>
        <v>2.7006172839506171E-2</v>
      </c>
      <c r="M75" s="80">
        <f>'Analisis Inputs Grales'!$D$29*('Analisis Inputs Grales'!$D$117/12)/'Analisis Inputs Grales'!$D$28</f>
        <v>2.7006172839506171E-2</v>
      </c>
      <c r="N75" s="80">
        <f>'Analisis Inputs Grales'!$D$29*('Analisis Inputs Grales'!$D$117/12)/'Analisis Inputs Grales'!$D$28</f>
        <v>2.7006172839506171E-2</v>
      </c>
      <c r="O75" s="80">
        <f>'Analisis Inputs Grales'!$D$29*('Analisis Inputs Grales'!$D$117/12)/'Analisis Inputs Grales'!$D$28</f>
        <v>2.7006172839506171E-2</v>
      </c>
      <c r="P75" s="80">
        <f>'Analisis Inputs Grales'!$D$29*('Analisis Inputs Grales'!$D$117/12)/'Analisis Inputs Grales'!$D$28</f>
        <v>2.7006172839506171E-2</v>
      </c>
      <c r="Q75" s="80">
        <f>'Analisis Inputs Grales'!$D$29*('Analisis Inputs Grales'!$D$117/12)/'Analisis Inputs Grales'!$D$28</f>
        <v>2.7006172839506171E-2</v>
      </c>
      <c r="R75" s="80">
        <f>'Analisis Inputs Grales'!$D$29*('Analisis Inputs Grales'!$D$117/12)/'Analisis Inputs Grales'!$D$28</f>
        <v>2.7006172839506171E-2</v>
      </c>
      <c r="S75" s="57"/>
      <c r="T75" s="57"/>
      <c r="U75" s="57"/>
      <c r="V75" s="57"/>
      <c r="W75" s="57"/>
    </row>
    <row r="76" spans="2:23" x14ac:dyDescent="0.2">
      <c r="B76" s="35" t="s">
        <v>105</v>
      </c>
      <c r="C76" s="36" t="s">
        <v>68</v>
      </c>
      <c r="D76" s="57">
        <f>D75*'Analisis Inputs Grales'!$D$28*12</f>
        <v>4200</v>
      </c>
      <c r="E76" s="57">
        <f>E75*'Analisis Inputs Grales'!$D$28*12</f>
        <v>4200</v>
      </c>
      <c r="F76" s="57">
        <f>F75*'Analisis Inputs Grales'!$D$28*12</f>
        <v>4200</v>
      </c>
      <c r="G76" s="57">
        <f>G75*'Analisis Inputs Grales'!$D$28*12</f>
        <v>4200</v>
      </c>
      <c r="H76" s="57">
        <f>H75*'Analisis Inputs Grales'!$D$28*12</f>
        <v>4200</v>
      </c>
      <c r="I76" s="57">
        <f>I75*'Analisis Inputs Grales'!$D$28*12</f>
        <v>4200</v>
      </c>
      <c r="J76" s="57">
        <f>J75*'Analisis Inputs Grales'!$D$28*12</f>
        <v>4200</v>
      </c>
      <c r="K76" s="57">
        <f>K75*'Analisis Inputs Grales'!$D$28*12</f>
        <v>4200</v>
      </c>
      <c r="L76" s="57">
        <f>L75*'Analisis Inputs Grales'!$D$28*12</f>
        <v>4200</v>
      </c>
      <c r="M76" s="57">
        <f>M75*'Analisis Inputs Grales'!$D$28*12</f>
        <v>4200</v>
      </c>
      <c r="N76" s="57">
        <f>N75*'Analisis Inputs Grales'!$D$28*12</f>
        <v>4200</v>
      </c>
      <c r="O76" s="57">
        <f>O75*'Analisis Inputs Grales'!$D$28*12</f>
        <v>4200</v>
      </c>
      <c r="P76" s="57">
        <f>P75*'Analisis Inputs Grales'!$D$28*12</f>
        <v>4200</v>
      </c>
      <c r="Q76" s="57">
        <f>Q75*'Analisis Inputs Grales'!$D$28*12</f>
        <v>4200</v>
      </c>
      <c r="R76" s="57">
        <f>R75*'Analisis Inputs Grales'!$D$28*12</f>
        <v>4200</v>
      </c>
      <c r="S76" s="57"/>
      <c r="T76" s="57"/>
      <c r="U76" s="57"/>
      <c r="V76" s="57"/>
      <c r="W76" s="57"/>
    </row>
    <row r="77" spans="2:23" x14ac:dyDescent="0.2">
      <c r="B77" s="33" t="s">
        <v>107</v>
      </c>
      <c r="C77" s="34" t="s">
        <v>106</v>
      </c>
      <c r="D77" s="80">
        <f>('Analisis Inputs Grales'!$D$30-'Analisis Inputs Grales'!$D$32*'Analisis Inputs Grales'!$D$30)/('Analisis Inputs Grales'!$D$28*$C73*12)</f>
        <v>1.3503086419753086E-2</v>
      </c>
      <c r="E77" s="80">
        <f>('Analisis Inputs Grales'!$D$30-'Analisis Inputs Grales'!$D$32*'Analisis Inputs Grales'!$D$30)/('Analisis Inputs Grales'!$D$28*$C73*12)</f>
        <v>1.3503086419753086E-2</v>
      </c>
      <c r="F77" s="80">
        <f>('Analisis Inputs Grales'!$D$30-'Analisis Inputs Grales'!$D$32*'Analisis Inputs Grales'!$D$30)/('Analisis Inputs Grales'!$D$28*$C73*12)</f>
        <v>1.3503086419753086E-2</v>
      </c>
      <c r="G77" s="80">
        <f>('Analisis Inputs Grales'!$D$30-'Analisis Inputs Grales'!$D$32*'Analisis Inputs Grales'!$D$30)/('Analisis Inputs Grales'!$D$28*$C73*12)</f>
        <v>1.3503086419753086E-2</v>
      </c>
      <c r="H77" s="80">
        <f>('Analisis Inputs Grales'!$D$30-'Analisis Inputs Grales'!$D$32*'Analisis Inputs Grales'!$D$30)/('Analisis Inputs Grales'!$D$28*$C73*12)</f>
        <v>1.3503086419753086E-2</v>
      </c>
      <c r="I77" s="80">
        <f>('Analisis Inputs Grales'!$D$30-'Analisis Inputs Grales'!$D$32*'Analisis Inputs Grales'!$D$30)/('Analisis Inputs Grales'!$D$28*$C73*12)</f>
        <v>1.3503086419753086E-2</v>
      </c>
      <c r="J77" s="80">
        <f>('Analisis Inputs Grales'!$D$30-'Analisis Inputs Grales'!$D$32*'Analisis Inputs Grales'!$D$30)/('Analisis Inputs Grales'!$D$28*$C73*12)</f>
        <v>1.3503086419753086E-2</v>
      </c>
      <c r="K77" s="80">
        <f>('Analisis Inputs Grales'!$D$30-'Analisis Inputs Grales'!$D$32*'Analisis Inputs Grales'!$D$30)/('Analisis Inputs Grales'!$D$28*$C73*12)</f>
        <v>1.3503086419753086E-2</v>
      </c>
      <c r="L77" s="80">
        <f>('Analisis Inputs Grales'!$D$30-'Analisis Inputs Grales'!$D$32*'Analisis Inputs Grales'!$D$30)/('Analisis Inputs Grales'!$D$28*$C73*12)</f>
        <v>1.3503086419753086E-2</v>
      </c>
      <c r="M77" s="80">
        <f>('Analisis Inputs Grales'!$D$30-'Analisis Inputs Grales'!$D$32*'Analisis Inputs Grales'!$D$30)/('Analisis Inputs Grales'!$D$28*$C73*12)</f>
        <v>1.3503086419753086E-2</v>
      </c>
      <c r="N77" s="80">
        <f>('Analisis Inputs Grales'!$D$30-'Analisis Inputs Grales'!$D$32*'Analisis Inputs Grales'!$D$30)/('Analisis Inputs Grales'!$D$28*$C73*12)</f>
        <v>1.3503086419753086E-2</v>
      </c>
      <c r="O77" s="80">
        <f>('Analisis Inputs Grales'!$D$30-'Analisis Inputs Grales'!$D$32*'Analisis Inputs Grales'!$D$30)/('Analisis Inputs Grales'!$D$28*$C73*12)</f>
        <v>1.3503086419753086E-2</v>
      </c>
      <c r="P77" s="80">
        <f>('Analisis Inputs Grales'!$D$30-'Analisis Inputs Grales'!$D$32*'Analisis Inputs Grales'!$D$30)/('Analisis Inputs Grales'!$D$28*$C73*12)</f>
        <v>1.3503086419753086E-2</v>
      </c>
      <c r="Q77" s="80">
        <f>('Analisis Inputs Grales'!$D$30-'Analisis Inputs Grales'!$D$32*'Analisis Inputs Grales'!$D$30)/('Analisis Inputs Grales'!$D$28*$C73*12)</f>
        <v>1.3503086419753086E-2</v>
      </c>
      <c r="R77" s="80">
        <f>('Analisis Inputs Grales'!$D$30-'Analisis Inputs Grales'!$D$32*'Analisis Inputs Grales'!$D$30)/('Analisis Inputs Grales'!$D$28*$C73*12)</f>
        <v>1.3503086419753086E-2</v>
      </c>
      <c r="S77" s="57"/>
      <c r="T77" s="57"/>
      <c r="U77" s="57"/>
      <c r="V77" s="57"/>
      <c r="W77" s="57"/>
    </row>
    <row r="78" spans="2:23" x14ac:dyDescent="0.2">
      <c r="B78" s="35" t="s">
        <v>107</v>
      </c>
      <c r="C78" s="36" t="s">
        <v>68</v>
      </c>
      <c r="D78" s="57">
        <f>D77*'Analisis Inputs Grales'!$D$28*12</f>
        <v>2100</v>
      </c>
      <c r="E78" s="57">
        <f>E77*'Analisis Inputs Grales'!$D$28*12</f>
        <v>2100</v>
      </c>
      <c r="F78" s="57">
        <f>F77*'Analisis Inputs Grales'!$D$28*12</f>
        <v>2100</v>
      </c>
      <c r="G78" s="57">
        <f>G77*'Analisis Inputs Grales'!$D$28*12</f>
        <v>2100</v>
      </c>
      <c r="H78" s="57">
        <f>H77*'Analisis Inputs Grales'!$D$28*12</f>
        <v>2100</v>
      </c>
      <c r="I78" s="57">
        <f>I77*'Analisis Inputs Grales'!$D$28*12</f>
        <v>2100</v>
      </c>
      <c r="J78" s="57">
        <f>J77*'Analisis Inputs Grales'!$D$28*12</f>
        <v>2100</v>
      </c>
      <c r="K78" s="57">
        <f>K77*'Analisis Inputs Grales'!$D$28*12</f>
        <v>2100</v>
      </c>
      <c r="L78" s="57">
        <f>L77*'Analisis Inputs Grales'!$D$28*12</f>
        <v>2100</v>
      </c>
      <c r="M78" s="57">
        <f>M77*'Analisis Inputs Grales'!$D$28*12</f>
        <v>2100</v>
      </c>
      <c r="N78" s="57">
        <f>N77*'Analisis Inputs Grales'!$D$28*12</f>
        <v>2100</v>
      </c>
      <c r="O78" s="57">
        <f>O77*'Analisis Inputs Grales'!$D$28*12</f>
        <v>2100</v>
      </c>
      <c r="P78" s="57">
        <f>P77*'Analisis Inputs Grales'!$D$28*12</f>
        <v>2100</v>
      </c>
      <c r="Q78" s="57">
        <f>Q77*'Analisis Inputs Grales'!$D$28*12</f>
        <v>2100</v>
      </c>
      <c r="R78" s="57">
        <f>R77*'Analisis Inputs Grales'!$D$28*12</f>
        <v>2100</v>
      </c>
      <c r="S78" s="57"/>
      <c r="T78" s="57"/>
      <c r="U78" s="57"/>
      <c r="V78" s="57"/>
      <c r="W78" s="57"/>
    </row>
    <row r="79" spans="2:23" x14ac:dyDescent="0.2">
      <c r="B79" s="33" t="s">
        <v>108</v>
      </c>
      <c r="C79" s="34" t="s">
        <v>106</v>
      </c>
      <c r="D79" s="80">
        <f>'Analisis Inputs Grales'!$D$21/'Analisis Inputs Grales'!$D$28</f>
        <v>0.15895061728395063</v>
      </c>
      <c r="E79" s="80">
        <f>'Analisis Inputs Grales'!$D$21/'Analisis Inputs Grales'!$D$28</f>
        <v>0.15895061728395063</v>
      </c>
      <c r="F79" s="80">
        <f>'Analisis Inputs Grales'!$D$21/'Analisis Inputs Grales'!$D$28</f>
        <v>0.15895061728395063</v>
      </c>
      <c r="G79" s="80">
        <f>'Analisis Inputs Grales'!$D$21/'Analisis Inputs Grales'!$D$28</f>
        <v>0.15895061728395063</v>
      </c>
      <c r="H79" s="80">
        <f>'Analisis Inputs Grales'!$D$21/'Analisis Inputs Grales'!$D$28</f>
        <v>0.15895061728395063</v>
      </c>
      <c r="I79" s="80">
        <f>'Analisis Inputs Grales'!$D$21/'Analisis Inputs Grales'!$D$28</f>
        <v>0.15895061728395063</v>
      </c>
      <c r="J79" s="80">
        <f>'Analisis Inputs Grales'!$D$21/'Analisis Inputs Grales'!$D$28</f>
        <v>0.15895061728395063</v>
      </c>
      <c r="K79" s="80">
        <f>'Analisis Inputs Grales'!$D$21/'Analisis Inputs Grales'!$D$28</f>
        <v>0.15895061728395063</v>
      </c>
      <c r="L79" s="80">
        <f>'Analisis Inputs Grales'!$D$21/'Analisis Inputs Grales'!$D$28</f>
        <v>0.15895061728395063</v>
      </c>
      <c r="M79" s="80">
        <f>'Analisis Inputs Grales'!$D$21/'Analisis Inputs Grales'!$D$28</f>
        <v>0.15895061728395063</v>
      </c>
      <c r="N79" s="80">
        <f>'Analisis Inputs Grales'!$D$21/'Analisis Inputs Grales'!$D$28</f>
        <v>0.15895061728395063</v>
      </c>
      <c r="O79" s="80">
        <f>'Analisis Inputs Grales'!$D$21/'Analisis Inputs Grales'!$D$28</f>
        <v>0.15895061728395063</v>
      </c>
      <c r="P79" s="80">
        <f>'Analisis Inputs Grales'!$D$21/'Analisis Inputs Grales'!$D$28</f>
        <v>0.15895061728395063</v>
      </c>
      <c r="Q79" s="80">
        <f>'Analisis Inputs Grales'!$D$21/'Analisis Inputs Grales'!$D$28</f>
        <v>0.15895061728395063</v>
      </c>
      <c r="R79" s="80">
        <f>'Analisis Inputs Grales'!$D$21/'Analisis Inputs Grales'!$D$28</f>
        <v>0.15895061728395063</v>
      </c>
      <c r="S79" s="57"/>
      <c r="T79" s="57"/>
      <c r="U79" s="57"/>
      <c r="V79" s="57"/>
      <c r="W79" s="57"/>
    </row>
    <row r="80" spans="2:23" x14ac:dyDescent="0.2">
      <c r="B80" s="37" t="s">
        <v>108</v>
      </c>
      <c r="C80" s="38" t="s">
        <v>68</v>
      </c>
      <c r="D80" s="57">
        <f>D79*'Analisis Inputs Grales'!$D$28*12</f>
        <v>24720</v>
      </c>
      <c r="E80" s="57">
        <f>E79*'Analisis Inputs Grales'!$D$28*12</f>
        <v>24720</v>
      </c>
      <c r="F80" s="57">
        <f>F79*'Analisis Inputs Grales'!$D$28*12</f>
        <v>24720</v>
      </c>
      <c r="G80" s="57">
        <f>G79*'Analisis Inputs Grales'!$D$28*12</f>
        <v>24720</v>
      </c>
      <c r="H80" s="57">
        <f>H79*'Analisis Inputs Grales'!$D$28*12</f>
        <v>24720</v>
      </c>
      <c r="I80" s="57">
        <f>I79*'Analisis Inputs Grales'!$D$28*12</f>
        <v>24720</v>
      </c>
      <c r="J80" s="57">
        <f>J79*'Analisis Inputs Grales'!$D$28*12</f>
        <v>24720</v>
      </c>
      <c r="K80" s="57">
        <f>K79*'Analisis Inputs Grales'!$D$28*12</f>
        <v>24720</v>
      </c>
      <c r="L80" s="57">
        <f>L79*'Analisis Inputs Grales'!$D$28*12</f>
        <v>24720</v>
      </c>
      <c r="M80" s="57">
        <f>M79*'Analisis Inputs Grales'!$D$28*12</f>
        <v>24720</v>
      </c>
      <c r="N80" s="57">
        <f>N79*'Analisis Inputs Grales'!$D$28*12</f>
        <v>24720</v>
      </c>
      <c r="O80" s="57">
        <f>O79*'Analisis Inputs Grales'!$D$28*12</f>
        <v>24720</v>
      </c>
      <c r="P80" s="57">
        <f>P79*'Analisis Inputs Grales'!$D$28*12</f>
        <v>24720</v>
      </c>
      <c r="Q80" s="57">
        <f>Q79*'Analisis Inputs Grales'!$D$28*12</f>
        <v>24720</v>
      </c>
      <c r="R80" s="57">
        <f>R79*'Analisis Inputs Grales'!$D$28*12</f>
        <v>24720</v>
      </c>
      <c r="S80" s="57"/>
      <c r="T80" s="57"/>
      <c r="U80" s="57"/>
      <c r="V80" s="57"/>
      <c r="W80" s="57"/>
    </row>
    <row r="81" spans="2:23" x14ac:dyDescent="0.2">
      <c r="B81" s="33" t="s">
        <v>109</v>
      </c>
      <c r="C81" s="34" t="s">
        <v>106</v>
      </c>
      <c r="D81" s="80">
        <f>D79+D77+D75</f>
        <v>0.1994598765432099</v>
      </c>
      <c r="E81" s="80">
        <f t="shared" ref="E81:I81" si="21">E79+E77+E75</f>
        <v>0.1994598765432099</v>
      </c>
      <c r="F81" s="80">
        <f t="shared" si="21"/>
        <v>0.1994598765432099</v>
      </c>
      <c r="G81" s="80">
        <f t="shared" si="21"/>
        <v>0.1994598765432099</v>
      </c>
      <c r="H81" s="80">
        <f t="shared" si="21"/>
        <v>0.1994598765432099</v>
      </c>
      <c r="I81" s="80">
        <f t="shared" si="21"/>
        <v>0.1994598765432099</v>
      </c>
      <c r="J81" s="80">
        <f t="shared" ref="J81:R81" si="22">J79+J77+J75</f>
        <v>0.1994598765432099</v>
      </c>
      <c r="K81" s="80">
        <f t="shared" si="22"/>
        <v>0.1994598765432099</v>
      </c>
      <c r="L81" s="80">
        <f t="shared" si="22"/>
        <v>0.1994598765432099</v>
      </c>
      <c r="M81" s="80">
        <f t="shared" si="22"/>
        <v>0.1994598765432099</v>
      </c>
      <c r="N81" s="80">
        <f t="shared" si="22"/>
        <v>0.1994598765432099</v>
      </c>
      <c r="O81" s="80">
        <f t="shared" si="22"/>
        <v>0.1994598765432099</v>
      </c>
      <c r="P81" s="80">
        <f t="shared" si="22"/>
        <v>0.1994598765432099</v>
      </c>
      <c r="Q81" s="80">
        <f t="shared" si="22"/>
        <v>0.1994598765432099</v>
      </c>
      <c r="R81" s="80">
        <f t="shared" si="22"/>
        <v>0.1994598765432099</v>
      </c>
      <c r="S81" s="57"/>
      <c r="T81" s="57"/>
      <c r="U81" s="57"/>
      <c r="V81" s="57"/>
      <c r="W81" s="57"/>
    </row>
    <row r="82" spans="2:23" x14ac:dyDescent="0.2">
      <c r="B82" s="35" t="s">
        <v>109</v>
      </c>
      <c r="C82" s="36" t="s">
        <v>68</v>
      </c>
      <c r="D82" s="57">
        <f>D80+D78+D76</f>
        <v>31020</v>
      </c>
      <c r="E82" s="57">
        <f t="shared" ref="E82:I82" si="23">E80+E78+E76</f>
        <v>31020</v>
      </c>
      <c r="F82" s="57">
        <f t="shared" si="23"/>
        <v>31020</v>
      </c>
      <c r="G82" s="57">
        <f t="shared" si="23"/>
        <v>31020</v>
      </c>
      <c r="H82" s="57">
        <f t="shared" si="23"/>
        <v>31020</v>
      </c>
      <c r="I82" s="57">
        <f t="shared" si="23"/>
        <v>31020</v>
      </c>
      <c r="J82" s="57">
        <f t="shared" ref="J82:R82" si="24">J80+J78+J76</f>
        <v>31020</v>
      </c>
      <c r="K82" s="57">
        <f t="shared" si="24"/>
        <v>31020</v>
      </c>
      <c r="L82" s="57">
        <f t="shared" si="24"/>
        <v>31020</v>
      </c>
      <c r="M82" s="57">
        <f t="shared" si="24"/>
        <v>31020</v>
      </c>
      <c r="N82" s="57">
        <f t="shared" si="24"/>
        <v>31020</v>
      </c>
      <c r="O82" s="57">
        <f t="shared" si="24"/>
        <v>31020</v>
      </c>
      <c r="P82" s="57">
        <f t="shared" si="24"/>
        <v>31020</v>
      </c>
      <c r="Q82" s="57">
        <f t="shared" si="24"/>
        <v>31020</v>
      </c>
      <c r="R82" s="57">
        <f t="shared" si="24"/>
        <v>31020</v>
      </c>
      <c r="S82" s="57"/>
      <c r="T82" s="57"/>
      <c r="U82" s="57"/>
      <c r="V82" s="57"/>
      <c r="W82" s="57"/>
    </row>
    <row r="83" spans="2:23" x14ac:dyDescent="0.2">
      <c r="C83" s="36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</row>
    <row r="84" spans="2:23" ht="15.75" x14ac:dyDescent="0.25">
      <c r="B84" s="66" t="s">
        <v>110</v>
      </c>
      <c r="C84" s="36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</row>
    <row r="85" spans="2:23" x14ac:dyDescent="0.2">
      <c r="B85" s="33" t="s">
        <v>111</v>
      </c>
      <c r="C85" s="34" t="s">
        <v>106</v>
      </c>
      <c r="D85" s="30">
        <f>'Analisis Inputs Grales'!$D$35/('Analisis Inputs Grales'!$D$33/('Analisis Inputs Grales'!$D$34/60))</f>
        <v>0.125</v>
      </c>
      <c r="E85" s="30">
        <f>'Analisis Inputs Grales'!$D$35/('Analisis Inputs Grales'!$D$33/('Analisis Inputs Grales'!$D$34/60))</f>
        <v>0.125</v>
      </c>
      <c r="F85" s="30">
        <f>'Analisis Inputs Grales'!$D$35/('Analisis Inputs Grales'!$D$33/('Analisis Inputs Grales'!$D$34/60))</f>
        <v>0.125</v>
      </c>
      <c r="G85" s="30">
        <f>'Analisis Inputs Grales'!$D$35/('Analisis Inputs Grales'!$D$33/('Analisis Inputs Grales'!$D$34/60))</f>
        <v>0.125</v>
      </c>
      <c r="H85" s="30">
        <f>'Analisis Inputs Grales'!$D$35/('Analisis Inputs Grales'!$D$33/('Analisis Inputs Grales'!$D$34/60))</f>
        <v>0.125</v>
      </c>
      <c r="I85" s="30">
        <f>'Analisis Inputs Grales'!$D$35/('Analisis Inputs Grales'!$D$33/('Analisis Inputs Grales'!$D$34/60))</f>
        <v>0.125</v>
      </c>
      <c r="J85" s="30">
        <f>'Analisis Inputs Grales'!$D$35/('Analisis Inputs Grales'!$D$33/('Analisis Inputs Grales'!$D$34/60))</f>
        <v>0.125</v>
      </c>
      <c r="K85" s="30">
        <f>'Analisis Inputs Grales'!$D$35/('Analisis Inputs Grales'!$D$33/('Analisis Inputs Grales'!$D$34/60))</f>
        <v>0.125</v>
      </c>
      <c r="L85" s="30">
        <f>'Analisis Inputs Grales'!$D$35/('Analisis Inputs Grales'!$D$33/('Analisis Inputs Grales'!$D$34/60))</f>
        <v>0.125</v>
      </c>
      <c r="M85" s="30">
        <f>'Analisis Inputs Grales'!$D$35/('Analisis Inputs Grales'!$D$33/('Analisis Inputs Grales'!$D$34/60))</f>
        <v>0.125</v>
      </c>
      <c r="N85" s="30">
        <f>'Analisis Inputs Grales'!$D$35/('Analisis Inputs Grales'!$D$33/('Analisis Inputs Grales'!$D$34/60))</f>
        <v>0.125</v>
      </c>
      <c r="O85" s="30">
        <f>'Analisis Inputs Grales'!$D$35/('Analisis Inputs Grales'!$D$33/('Analisis Inputs Grales'!$D$34/60))</f>
        <v>0.125</v>
      </c>
      <c r="P85" s="30">
        <f>'Analisis Inputs Grales'!$D$35/('Analisis Inputs Grales'!$D$33/('Analisis Inputs Grales'!$D$34/60))</f>
        <v>0.125</v>
      </c>
      <c r="Q85" s="30">
        <f>'Analisis Inputs Grales'!$D$35/('Analisis Inputs Grales'!$D$33/('Analisis Inputs Grales'!$D$34/60))</f>
        <v>0.125</v>
      </c>
      <c r="R85" s="30">
        <f>'Analisis Inputs Grales'!$D$35/('Analisis Inputs Grales'!$D$33/('Analisis Inputs Grales'!$D$34/60))</f>
        <v>0.125</v>
      </c>
      <c r="S85" s="57"/>
      <c r="T85" s="57"/>
      <c r="U85" s="57"/>
      <c r="V85" s="57"/>
      <c r="W85" s="57"/>
    </row>
    <row r="86" spans="2:23" x14ac:dyDescent="0.2">
      <c r="B86" s="35" t="s">
        <v>111</v>
      </c>
      <c r="C86" s="36" t="s">
        <v>68</v>
      </c>
      <c r="D86" s="57">
        <f>D85*12*'Analisis Inputs Grales'!$D$28</f>
        <v>19440</v>
      </c>
      <c r="E86" s="57">
        <f>E85*12*'Analisis Inputs Grales'!$D$28</f>
        <v>19440</v>
      </c>
      <c r="F86" s="57">
        <f>F85*12*'Analisis Inputs Grales'!$D$28</f>
        <v>19440</v>
      </c>
      <c r="G86" s="57">
        <f>G85*12*'Analisis Inputs Grales'!$D$28</f>
        <v>19440</v>
      </c>
      <c r="H86" s="57">
        <f>H85*12*'Analisis Inputs Grales'!$D$28</f>
        <v>19440</v>
      </c>
      <c r="I86" s="57">
        <f>I85*12*'Analisis Inputs Grales'!$D$28</f>
        <v>19440</v>
      </c>
      <c r="J86" s="57">
        <f>J85*12*'Analisis Inputs Grales'!$D$28</f>
        <v>19440</v>
      </c>
      <c r="K86" s="57">
        <f>K85*12*'Analisis Inputs Grales'!$D$28</f>
        <v>19440</v>
      </c>
      <c r="L86" s="57">
        <f>L85*12*'Analisis Inputs Grales'!$D$28</f>
        <v>19440</v>
      </c>
      <c r="M86" s="57">
        <f>M85*12*'Analisis Inputs Grales'!$D$28</f>
        <v>19440</v>
      </c>
      <c r="N86" s="57">
        <f>N85*12*'Analisis Inputs Grales'!$D$28</f>
        <v>19440</v>
      </c>
      <c r="O86" s="57">
        <f>O85*12*'Analisis Inputs Grales'!$D$28</f>
        <v>19440</v>
      </c>
      <c r="P86" s="57">
        <f>P85*12*'Analisis Inputs Grales'!$D$28</f>
        <v>19440</v>
      </c>
      <c r="Q86" s="57">
        <f>Q85*12*'Analisis Inputs Grales'!$D$28</f>
        <v>19440</v>
      </c>
      <c r="R86" s="57">
        <f>R85*12*'Analisis Inputs Grales'!$D$28</f>
        <v>19440</v>
      </c>
      <c r="S86" s="57"/>
      <c r="T86" s="57"/>
      <c r="U86" s="57"/>
      <c r="V86" s="57"/>
      <c r="W86" s="57"/>
    </row>
    <row r="87" spans="2:23" x14ac:dyDescent="0.2">
      <c r="B87" s="33" t="s">
        <v>112</v>
      </c>
      <c r="C87" s="34" t="s">
        <v>106</v>
      </c>
      <c r="D87" s="80">
        <f>'Analisis Inputs Grales'!$D$36*'Analisis 20Años'!D85</f>
        <v>1.8749999999999999E-2</v>
      </c>
      <c r="E87" s="80">
        <f>'Analisis Inputs Grales'!$D$36*'Analisis 20Años'!E85</f>
        <v>1.8749999999999999E-2</v>
      </c>
      <c r="F87" s="80">
        <f>'Analisis Inputs Grales'!$D$36*'Analisis 20Años'!F85</f>
        <v>1.8749999999999999E-2</v>
      </c>
      <c r="G87" s="80">
        <f>'Analisis Inputs Grales'!$D$36*'Analisis 20Años'!G85</f>
        <v>1.8749999999999999E-2</v>
      </c>
      <c r="H87" s="80">
        <f>'Analisis Inputs Grales'!$D$36*'Analisis 20Años'!H85</f>
        <v>1.8749999999999999E-2</v>
      </c>
      <c r="I87" s="80">
        <f>'Analisis Inputs Grales'!$D$36*'Analisis 20Años'!I85</f>
        <v>1.8749999999999999E-2</v>
      </c>
      <c r="J87" s="80">
        <f>'Analisis Inputs Grales'!$D$36*'Analisis 20Años'!J85</f>
        <v>1.8749999999999999E-2</v>
      </c>
      <c r="K87" s="80">
        <f>'Analisis Inputs Grales'!$D$36*'Analisis 20Años'!K85</f>
        <v>1.8749999999999999E-2</v>
      </c>
      <c r="L87" s="80">
        <f>'Analisis Inputs Grales'!$D$36*'Analisis 20Años'!L85</f>
        <v>1.8749999999999999E-2</v>
      </c>
      <c r="M87" s="80">
        <f>'Analisis Inputs Grales'!$D$36*'Analisis 20Años'!M85</f>
        <v>1.8749999999999999E-2</v>
      </c>
      <c r="N87" s="80">
        <f>'Analisis Inputs Grales'!$D$36*'Analisis 20Años'!N85</f>
        <v>1.8749999999999999E-2</v>
      </c>
      <c r="O87" s="80">
        <f>'Analisis Inputs Grales'!$D$36*'Analisis 20Años'!O85</f>
        <v>1.8749999999999999E-2</v>
      </c>
      <c r="P87" s="80">
        <f>'Analisis Inputs Grales'!$D$36*'Analisis 20Años'!P85</f>
        <v>1.8749999999999999E-2</v>
      </c>
      <c r="Q87" s="80">
        <f>'Analisis Inputs Grales'!$D$36*'Analisis 20Años'!Q85</f>
        <v>1.8749999999999999E-2</v>
      </c>
      <c r="R87" s="80">
        <f>'Analisis Inputs Grales'!$D$36*'Analisis 20Años'!R85</f>
        <v>1.8749999999999999E-2</v>
      </c>
      <c r="S87" s="57"/>
      <c r="T87" s="57"/>
      <c r="U87" s="57"/>
      <c r="V87" s="57"/>
      <c r="W87" s="57"/>
    </row>
    <row r="88" spans="2:23" x14ac:dyDescent="0.2">
      <c r="B88" s="35" t="s">
        <v>112</v>
      </c>
      <c r="C88" s="36" t="s">
        <v>68</v>
      </c>
      <c r="D88" s="57">
        <f>D87*12*'Analisis Inputs Grales'!$D$28</f>
        <v>2915.9999999999995</v>
      </c>
      <c r="E88" s="57">
        <f>E87*12*'Analisis Inputs Grales'!$D$28</f>
        <v>2915.9999999999995</v>
      </c>
      <c r="F88" s="57">
        <f>F87*12*'Analisis Inputs Grales'!$D$28</f>
        <v>2915.9999999999995</v>
      </c>
      <c r="G88" s="57">
        <f>G87*12*'Analisis Inputs Grales'!$D$28</f>
        <v>2915.9999999999995</v>
      </c>
      <c r="H88" s="57">
        <f>H87*12*'Analisis Inputs Grales'!$D$28</f>
        <v>2915.9999999999995</v>
      </c>
      <c r="I88" s="57">
        <f>I87*12*'Analisis Inputs Grales'!$D$28</f>
        <v>2915.9999999999995</v>
      </c>
      <c r="J88" s="57">
        <f>J87*12*'Analisis Inputs Grales'!$D$28</f>
        <v>2915.9999999999995</v>
      </c>
      <c r="K88" s="57">
        <f>K87*12*'Analisis Inputs Grales'!$D$28</f>
        <v>2915.9999999999995</v>
      </c>
      <c r="L88" s="57">
        <f>L87*12*'Analisis Inputs Grales'!$D$28</f>
        <v>2915.9999999999995</v>
      </c>
      <c r="M88" s="57">
        <f>M87*12*'Analisis Inputs Grales'!$D$28</f>
        <v>2915.9999999999995</v>
      </c>
      <c r="N88" s="57">
        <f>N87*12*'Analisis Inputs Grales'!$D$28</f>
        <v>2915.9999999999995</v>
      </c>
      <c r="O88" s="57">
        <f>O87*12*'Analisis Inputs Grales'!$D$28</f>
        <v>2915.9999999999995</v>
      </c>
      <c r="P88" s="57">
        <f>P87*12*'Analisis Inputs Grales'!$D$28</f>
        <v>2915.9999999999995</v>
      </c>
      <c r="Q88" s="57">
        <f>Q87*12*'Analisis Inputs Grales'!$D$28</f>
        <v>2915.9999999999995</v>
      </c>
      <c r="R88" s="57">
        <f>R87*12*'Analisis Inputs Grales'!$D$28</f>
        <v>2915.9999999999995</v>
      </c>
      <c r="S88" s="57"/>
      <c r="T88" s="57"/>
      <c r="U88" s="57"/>
      <c r="V88" s="57"/>
      <c r="W88" s="57"/>
    </row>
    <row r="89" spans="2:23" x14ac:dyDescent="0.2">
      <c r="B89" s="33" t="s">
        <v>113</v>
      </c>
      <c r="C89" s="34" t="s">
        <v>106</v>
      </c>
      <c r="D89" s="80">
        <f>'Analisis Inputs Grales'!$D$37*('Analisis 20Años'!D87+'Analisis 20Años'!D85)</f>
        <v>5.7499999999999996E-2</v>
      </c>
      <c r="E89" s="80">
        <f>'Analisis Inputs Grales'!$D$37*('Analisis 20Años'!E87+'Analisis 20Años'!E85)</f>
        <v>5.7499999999999996E-2</v>
      </c>
      <c r="F89" s="80">
        <f>'Analisis Inputs Grales'!$D$37*('Analisis 20Años'!F87+'Analisis 20Años'!F85)</f>
        <v>5.7499999999999996E-2</v>
      </c>
      <c r="G89" s="80">
        <f>'Analisis Inputs Grales'!$D$37*('Analisis 20Años'!G87+'Analisis 20Años'!G85)</f>
        <v>5.7499999999999996E-2</v>
      </c>
      <c r="H89" s="80">
        <f>'Analisis Inputs Grales'!$D$37*('Analisis 20Años'!H87+'Analisis 20Años'!H85)</f>
        <v>5.7499999999999996E-2</v>
      </c>
      <c r="I89" s="80">
        <f>'Analisis Inputs Grales'!$D$37*('Analisis 20Años'!I87+'Analisis 20Años'!I85)</f>
        <v>5.7499999999999996E-2</v>
      </c>
      <c r="J89" s="80">
        <f>'Analisis Inputs Grales'!$D$37*('Analisis 20Años'!J87+'Analisis 20Años'!J85)</f>
        <v>5.7499999999999996E-2</v>
      </c>
      <c r="K89" s="80">
        <f>'Analisis Inputs Grales'!$D$37*('Analisis 20Años'!K87+'Analisis 20Años'!K85)</f>
        <v>5.7499999999999996E-2</v>
      </c>
      <c r="L89" s="80">
        <f>'Analisis Inputs Grales'!$D$37*('Analisis 20Años'!L87+'Analisis 20Años'!L85)</f>
        <v>5.7499999999999996E-2</v>
      </c>
      <c r="M89" s="80">
        <f>'Analisis Inputs Grales'!$D$37*('Analisis 20Años'!M87+'Analisis 20Años'!M85)</f>
        <v>5.7499999999999996E-2</v>
      </c>
      <c r="N89" s="80">
        <f>'Analisis Inputs Grales'!$D$37*('Analisis 20Años'!N87+'Analisis 20Años'!N85)</f>
        <v>5.7499999999999996E-2</v>
      </c>
      <c r="O89" s="80">
        <f>'Analisis Inputs Grales'!$D$37*('Analisis 20Años'!O87+'Analisis 20Años'!O85)</f>
        <v>5.7499999999999996E-2</v>
      </c>
      <c r="P89" s="80">
        <f>'Analisis Inputs Grales'!$D$37*('Analisis 20Años'!P87+'Analisis 20Años'!P85)</f>
        <v>5.7499999999999996E-2</v>
      </c>
      <c r="Q89" s="80">
        <f>'Analisis Inputs Grales'!$D$37*('Analisis 20Años'!Q87+'Analisis 20Años'!Q85)</f>
        <v>5.7499999999999996E-2</v>
      </c>
      <c r="R89" s="80">
        <f>'Analisis Inputs Grales'!$D$37*('Analisis 20Años'!R87+'Analisis 20Años'!R85)</f>
        <v>5.7499999999999996E-2</v>
      </c>
      <c r="S89" s="57"/>
      <c r="T89" s="57"/>
      <c r="U89" s="57"/>
      <c r="V89" s="57"/>
      <c r="W89" s="57"/>
    </row>
    <row r="90" spans="2:23" x14ac:dyDescent="0.2">
      <c r="B90" s="35" t="s">
        <v>113</v>
      </c>
      <c r="C90" s="36" t="s">
        <v>68</v>
      </c>
      <c r="D90" s="57">
        <f>D89*12*'Analisis Inputs Grales'!$D$28</f>
        <v>8942.4</v>
      </c>
      <c r="E90" s="57">
        <f>E89*12*'Analisis Inputs Grales'!$D$28</f>
        <v>8942.4</v>
      </c>
      <c r="F90" s="57">
        <f>F89*12*'Analisis Inputs Grales'!$D$28</f>
        <v>8942.4</v>
      </c>
      <c r="G90" s="57">
        <f>G89*12*'Analisis Inputs Grales'!$D$28</f>
        <v>8942.4</v>
      </c>
      <c r="H90" s="57">
        <f>H89*12*'Analisis Inputs Grales'!$D$28</f>
        <v>8942.4</v>
      </c>
      <c r="I90" s="57">
        <f>I89*12*'Analisis Inputs Grales'!$D$28</f>
        <v>8942.4</v>
      </c>
      <c r="J90" s="57">
        <f>J89*12*'Analisis Inputs Grales'!$D$28</f>
        <v>8942.4</v>
      </c>
      <c r="K90" s="57">
        <f>K89*12*'Analisis Inputs Grales'!$D$28</f>
        <v>8942.4</v>
      </c>
      <c r="L90" s="57">
        <f>L89*12*'Analisis Inputs Grales'!$D$28</f>
        <v>8942.4</v>
      </c>
      <c r="M90" s="57">
        <f>M89*12*'Analisis Inputs Grales'!$D$28</f>
        <v>8942.4</v>
      </c>
      <c r="N90" s="57">
        <f>N89*12*'Analisis Inputs Grales'!$D$28</f>
        <v>8942.4</v>
      </c>
      <c r="O90" s="57">
        <f>O89*12*'Analisis Inputs Grales'!$D$28</f>
        <v>8942.4</v>
      </c>
      <c r="P90" s="57">
        <f>P89*12*'Analisis Inputs Grales'!$D$28</f>
        <v>8942.4</v>
      </c>
      <c r="Q90" s="57">
        <f>Q89*12*'Analisis Inputs Grales'!$D$28</f>
        <v>8942.4</v>
      </c>
      <c r="R90" s="57">
        <f>R89*12*'Analisis Inputs Grales'!$D$28</f>
        <v>8942.4</v>
      </c>
      <c r="S90" s="57"/>
      <c r="T90" s="57"/>
      <c r="U90" s="57"/>
      <c r="V90" s="57"/>
      <c r="W90" s="57"/>
    </row>
    <row r="91" spans="2:23" x14ac:dyDescent="0.2">
      <c r="B91" s="33" t="s">
        <v>114</v>
      </c>
      <c r="C91" s="34" t="s">
        <v>106</v>
      </c>
      <c r="D91" s="80">
        <f>D89+D87+D85</f>
        <v>0.20124999999999998</v>
      </c>
      <c r="E91" s="80">
        <f t="shared" ref="E91:H91" si="25">E89+E87+E85</f>
        <v>0.20124999999999998</v>
      </c>
      <c r="F91" s="80">
        <f t="shared" si="25"/>
        <v>0.20124999999999998</v>
      </c>
      <c r="G91" s="80">
        <f t="shared" si="25"/>
        <v>0.20124999999999998</v>
      </c>
      <c r="H91" s="80">
        <f t="shared" si="25"/>
        <v>0.20124999999999998</v>
      </c>
      <c r="I91" s="80">
        <f t="shared" ref="I91:R91" si="26">I89+I87+I85</f>
        <v>0.20124999999999998</v>
      </c>
      <c r="J91" s="80">
        <f t="shared" si="26"/>
        <v>0.20124999999999998</v>
      </c>
      <c r="K91" s="80">
        <f t="shared" si="26"/>
        <v>0.20124999999999998</v>
      </c>
      <c r="L91" s="80">
        <f t="shared" si="26"/>
        <v>0.20124999999999998</v>
      </c>
      <c r="M91" s="80">
        <f t="shared" si="26"/>
        <v>0.20124999999999998</v>
      </c>
      <c r="N91" s="80">
        <f t="shared" si="26"/>
        <v>0.20124999999999998</v>
      </c>
      <c r="O91" s="80">
        <f t="shared" si="26"/>
        <v>0.20124999999999998</v>
      </c>
      <c r="P91" s="80">
        <f t="shared" si="26"/>
        <v>0.20124999999999998</v>
      </c>
      <c r="Q91" s="80">
        <f t="shared" si="26"/>
        <v>0.20124999999999998</v>
      </c>
      <c r="R91" s="80">
        <f t="shared" si="26"/>
        <v>0.20124999999999998</v>
      </c>
      <c r="S91" s="57"/>
      <c r="T91" s="57"/>
      <c r="U91" s="57"/>
      <c r="V91" s="57"/>
      <c r="W91" s="57"/>
    </row>
    <row r="92" spans="2:23" x14ac:dyDescent="0.2">
      <c r="B92" s="37" t="s">
        <v>114</v>
      </c>
      <c r="C92" s="36" t="s">
        <v>68</v>
      </c>
      <c r="D92" s="57">
        <f>D90+D88+D86</f>
        <v>31298.400000000001</v>
      </c>
      <c r="E92" s="57">
        <f t="shared" ref="E92:H92" si="27">E90+E88+E86</f>
        <v>31298.400000000001</v>
      </c>
      <c r="F92" s="57">
        <f t="shared" si="27"/>
        <v>31298.400000000001</v>
      </c>
      <c r="G92" s="57">
        <f t="shared" si="27"/>
        <v>31298.400000000001</v>
      </c>
      <c r="H92" s="57">
        <f t="shared" si="27"/>
        <v>31298.400000000001</v>
      </c>
      <c r="I92" s="57">
        <f t="shared" ref="I92:R92" si="28">I90+I88+I86</f>
        <v>31298.400000000001</v>
      </c>
      <c r="J92" s="57">
        <f t="shared" si="28"/>
        <v>31298.400000000001</v>
      </c>
      <c r="K92" s="57">
        <f t="shared" si="28"/>
        <v>31298.400000000001</v>
      </c>
      <c r="L92" s="57">
        <f t="shared" si="28"/>
        <v>31298.400000000001</v>
      </c>
      <c r="M92" s="57">
        <f t="shared" si="28"/>
        <v>31298.400000000001</v>
      </c>
      <c r="N92" s="57">
        <f t="shared" si="28"/>
        <v>31298.400000000001</v>
      </c>
      <c r="O92" s="57">
        <f t="shared" si="28"/>
        <v>31298.400000000001</v>
      </c>
      <c r="P92" s="57">
        <f t="shared" si="28"/>
        <v>31298.400000000001</v>
      </c>
      <c r="Q92" s="57">
        <f t="shared" si="28"/>
        <v>31298.400000000001</v>
      </c>
      <c r="R92" s="57">
        <f t="shared" si="28"/>
        <v>31298.400000000001</v>
      </c>
      <c r="S92" s="57"/>
      <c r="T92" s="57"/>
      <c r="U92" s="57"/>
      <c r="V92" s="57"/>
      <c r="W92" s="57"/>
    </row>
    <row r="93" spans="2:23" x14ac:dyDescent="0.2">
      <c r="B93" s="39"/>
      <c r="S93" s="57"/>
      <c r="T93" s="57"/>
      <c r="U93" s="57"/>
      <c r="V93" s="57"/>
      <c r="W93" s="57"/>
    </row>
    <row r="94" spans="2:23" x14ac:dyDescent="0.2">
      <c r="B94" s="40" t="s">
        <v>115</v>
      </c>
      <c r="C94" s="41" t="s">
        <v>106</v>
      </c>
      <c r="D94" s="80">
        <f>+D81+D91</f>
        <v>0.40070987654320989</v>
      </c>
      <c r="E94" s="80">
        <f t="shared" ref="E94:H94" si="29">+E81+E91</f>
        <v>0.40070987654320989</v>
      </c>
      <c r="F94" s="80">
        <f t="shared" si="29"/>
        <v>0.40070987654320989</v>
      </c>
      <c r="G94" s="80">
        <f t="shared" si="29"/>
        <v>0.40070987654320989</v>
      </c>
      <c r="H94" s="80">
        <f t="shared" si="29"/>
        <v>0.40070987654320989</v>
      </c>
      <c r="I94" s="80">
        <f t="shared" ref="I94:R94" si="30">+I81+I91</f>
        <v>0.40070987654320989</v>
      </c>
      <c r="J94" s="80">
        <f t="shared" si="30"/>
        <v>0.40070987654320989</v>
      </c>
      <c r="K94" s="80">
        <f t="shared" si="30"/>
        <v>0.40070987654320989</v>
      </c>
      <c r="L94" s="80">
        <f t="shared" si="30"/>
        <v>0.40070987654320989</v>
      </c>
      <c r="M94" s="80">
        <f t="shared" si="30"/>
        <v>0.40070987654320989</v>
      </c>
      <c r="N94" s="80">
        <f t="shared" si="30"/>
        <v>0.40070987654320989</v>
      </c>
      <c r="O94" s="80">
        <f t="shared" si="30"/>
        <v>0.40070987654320989</v>
      </c>
      <c r="P94" s="80">
        <f t="shared" si="30"/>
        <v>0.40070987654320989</v>
      </c>
      <c r="Q94" s="80">
        <f t="shared" si="30"/>
        <v>0.40070987654320989</v>
      </c>
      <c r="R94" s="80">
        <f t="shared" si="30"/>
        <v>0.40070987654320989</v>
      </c>
      <c r="S94" s="57"/>
      <c r="T94" s="57"/>
      <c r="U94" s="57"/>
      <c r="V94" s="57"/>
      <c r="W94" s="57"/>
    </row>
    <row r="95" spans="2:23" x14ac:dyDescent="0.2">
      <c r="B95" s="42" t="s">
        <v>115</v>
      </c>
      <c r="C95" s="43" t="s">
        <v>68</v>
      </c>
      <c r="D95" s="57">
        <f>D94*12*'Analisis Inputs Grales'!$D$28</f>
        <v>62318.399999999994</v>
      </c>
      <c r="E95" s="57">
        <f>E94*12*'Analisis Inputs Grales'!$D$28</f>
        <v>62318.399999999994</v>
      </c>
      <c r="F95" s="57">
        <f>F94*12*'Analisis Inputs Grales'!$D$28</f>
        <v>62318.399999999994</v>
      </c>
      <c r="G95" s="57">
        <f>G94*12*'Analisis Inputs Grales'!$D$28</f>
        <v>62318.399999999994</v>
      </c>
      <c r="H95" s="57">
        <f>H94*12*'Analisis Inputs Grales'!$D$28</f>
        <v>62318.399999999994</v>
      </c>
      <c r="I95" s="57">
        <f>I94*12*'Analisis Inputs Grales'!$D$28</f>
        <v>62318.399999999994</v>
      </c>
      <c r="J95" s="57">
        <f>J94*12*'Analisis Inputs Grales'!$D$28</f>
        <v>62318.399999999994</v>
      </c>
      <c r="K95" s="57">
        <f>K94*12*'Analisis Inputs Grales'!$D$28</f>
        <v>62318.399999999994</v>
      </c>
      <c r="L95" s="57">
        <f>L94*12*'Analisis Inputs Grales'!$D$28</f>
        <v>62318.399999999994</v>
      </c>
      <c r="M95" s="57">
        <f>M94*12*'Analisis Inputs Grales'!$D$28</f>
        <v>62318.399999999994</v>
      </c>
      <c r="N95" s="57">
        <f>N94*12*'Analisis Inputs Grales'!$D$28</f>
        <v>62318.399999999994</v>
      </c>
      <c r="O95" s="57">
        <f>O94*12*'Analisis Inputs Grales'!$D$28</f>
        <v>62318.399999999994</v>
      </c>
      <c r="P95" s="57">
        <f>P94*12*'Analisis Inputs Grales'!$D$28</f>
        <v>62318.399999999994</v>
      </c>
      <c r="Q95" s="57">
        <f>Q94*12*'Analisis Inputs Grales'!$D$28</f>
        <v>62318.399999999994</v>
      </c>
      <c r="R95" s="57">
        <f>R94*12*'Analisis Inputs Grales'!$D$28</f>
        <v>62318.399999999994</v>
      </c>
      <c r="S95" s="57"/>
      <c r="T95" s="57"/>
      <c r="U95" s="57"/>
      <c r="V95" s="57"/>
      <c r="W95" s="57"/>
    </row>
    <row r="96" spans="2:23" x14ac:dyDescent="0.2">
      <c r="B96" s="44"/>
      <c r="C96" s="45"/>
      <c r="S96" s="57"/>
      <c r="T96" s="57"/>
      <c r="U96" s="57"/>
      <c r="V96" s="57"/>
      <c r="W96" s="57"/>
    </row>
    <row r="97" spans="2:23" x14ac:dyDescent="0.2">
      <c r="B97" s="46" t="s">
        <v>116</v>
      </c>
      <c r="C97" s="41" t="s">
        <v>117</v>
      </c>
      <c r="D97" s="80">
        <f>D94/'Analisis Inputs Grales'!$D$13</f>
        <v>6.678497942386831E-2</v>
      </c>
      <c r="E97" s="80">
        <f>E94/'Analisis Inputs Grales'!$D$13</f>
        <v>6.678497942386831E-2</v>
      </c>
      <c r="F97" s="80">
        <f>F94/'Analisis Inputs Grales'!$D$13</f>
        <v>6.678497942386831E-2</v>
      </c>
      <c r="G97" s="80">
        <f>G94/'Analisis Inputs Grales'!$D$13</f>
        <v>6.678497942386831E-2</v>
      </c>
      <c r="H97" s="80">
        <f>H94/'Analisis Inputs Grales'!$D$13</f>
        <v>6.678497942386831E-2</v>
      </c>
      <c r="I97" s="80">
        <f>I94/'Analisis Inputs Grales'!$D$13</f>
        <v>6.678497942386831E-2</v>
      </c>
      <c r="J97" s="80">
        <f>J94/'Analisis Inputs Grales'!$D$13</f>
        <v>6.678497942386831E-2</v>
      </c>
      <c r="K97" s="80">
        <f>K94/'Analisis Inputs Grales'!$D$13</f>
        <v>6.678497942386831E-2</v>
      </c>
      <c r="L97" s="80">
        <f>L94/'Analisis Inputs Grales'!$D$13</f>
        <v>6.678497942386831E-2</v>
      </c>
      <c r="M97" s="80">
        <f>M94/'Analisis Inputs Grales'!$D$13</f>
        <v>6.678497942386831E-2</v>
      </c>
      <c r="N97" s="80">
        <f>N94/'Analisis Inputs Grales'!$D$13</f>
        <v>6.678497942386831E-2</v>
      </c>
      <c r="O97" s="80">
        <f>O94/'Analisis Inputs Grales'!$D$13</f>
        <v>6.678497942386831E-2</v>
      </c>
      <c r="P97" s="80">
        <f>P94/'Analisis Inputs Grales'!$D$13</f>
        <v>6.678497942386831E-2</v>
      </c>
      <c r="Q97" s="80">
        <f>Q94/'Analisis Inputs Grales'!$D$13</f>
        <v>6.678497942386831E-2</v>
      </c>
      <c r="R97" s="80">
        <f>R94/'Analisis Inputs Grales'!$D$13</f>
        <v>6.678497942386831E-2</v>
      </c>
      <c r="S97" s="57"/>
      <c r="T97" s="57"/>
      <c r="U97" s="57"/>
      <c r="V97" s="57"/>
      <c r="W97" s="57"/>
    </row>
    <row r="98" spans="2:23" x14ac:dyDescent="0.2">
      <c r="B98" s="39" t="s">
        <v>118</v>
      </c>
      <c r="C98" s="36" t="s">
        <v>119</v>
      </c>
      <c r="D98" s="57">
        <f>D97*12*'Analisis Inputs Grales'!$D$28</f>
        <v>10386.4</v>
      </c>
      <c r="E98" s="57">
        <f>E97*12*'Analisis Inputs Grales'!$D$28</f>
        <v>10386.4</v>
      </c>
      <c r="F98" s="57">
        <f>F97*12*'Analisis Inputs Grales'!$D$28</f>
        <v>10386.4</v>
      </c>
      <c r="G98" s="57">
        <f>G97*12*'Analisis Inputs Grales'!$D$28</f>
        <v>10386.4</v>
      </c>
      <c r="H98" s="57">
        <f>H97*12*'Analisis Inputs Grales'!$D$28</f>
        <v>10386.4</v>
      </c>
      <c r="I98" s="57">
        <f>I97*12*'Analisis Inputs Grales'!$D$28</f>
        <v>10386.4</v>
      </c>
      <c r="J98" s="57">
        <f>J97*12*'Analisis Inputs Grales'!$D$28</f>
        <v>10386.4</v>
      </c>
      <c r="K98" s="57">
        <f>K97*12*'Analisis Inputs Grales'!$D$28</f>
        <v>10386.4</v>
      </c>
      <c r="L98" s="57">
        <f>L97*12*'Analisis Inputs Grales'!$D$28</f>
        <v>10386.4</v>
      </c>
      <c r="M98" s="57">
        <f>M97*12*'Analisis Inputs Grales'!$D$28</f>
        <v>10386.4</v>
      </c>
      <c r="N98" s="57">
        <f>N97*12*'Analisis Inputs Grales'!$D$28</f>
        <v>10386.4</v>
      </c>
      <c r="O98" s="57">
        <f>O97*12*'Analisis Inputs Grales'!$D$28</f>
        <v>10386.4</v>
      </c>
      <c r="P98" s="57">
        <f>P97*12*'Analisis Inputs Grales'!$D$28</f>
        <v>10386.4</v>
      </c>
      <c r="Q98" s="57">
        <f>Q97*12*'Analisis Inputs Grales'!$D$28</f>
        <v>10386.4</v>
      </c>
      <c r="R98" s="57">
        <f>R97*12*'Analisis Inputs Grales'!$D$28</f>
        <v>10386.4</v>
      </c>
      <c r="S98" s="57"/>
      <c r="T98" s="57"/>
      <c r="U98" s="57"/>
      <c r="V98" s="57"/>
      <c r="W98" s="57"/>
    </row>
    <row r="99" spans="2:23" x14ac:dyDescent="0.2">
      <c r="B99" s="39" t="s">
        <v>146</v>
      </c>
      <c r="C99" s="36" t="s">
        <v>147</v>
      </c>
      <c r="D99" s="80">
        <f>'Analisis Inputs Grales'!$D$34*'Analisis 20Años'!D97/60</f>
        <v>6.678497942386831E-2</v>
      </c>
      <c r="E99" s="80">
        <f>'Analisis Inputs Grales'!$D$34*'Analisis 20Años'!E97/60</f>
        <v>6.678497942386831E-2</v>
      </c>
      <c r="F99" s="80">
        <f>'Analisis Inputs Grales'!$D$34*'Analisis 20Años'!F97/60</f>
        <v>6.678497942386831E-2</v>
      </c>
      <c r="G99" s="80">
        <f>'Analisis Inputs Grales'!$D$34*'Analisis 20Años'!G97/60</f>
        <v>6.678497942386831E-2</v>
      </c>
      <c r="H99" s="80">
        <f>'Analisis Inputs Grales'!$D$34*'Analisis 20Años'!H97/60</f>
        <v>6.678497942386831E-2</v>
      </c>
      <c r="I99" s="80">
        <f>'Analisis Inputs Grales'!$D$34*'Analisis 20Años'!I97/60</f>
        <v>6.678497942386831E-2</v>
      </c>
      <c r="J99" s="80">
        <f>'Analisis Inputs Grales'!$D$34*'Analisis 20Años'!J97/60</f>
        <v>6.678497942386831E-2</v>
      </c>
      <c r="K99" s="80">
        <f>'Analisis Inputs Grales'!$D$34*'Analisis 20Años'!K97/60</f>
        <v>6.678497942386831E-2</v>
      </c>
      <c r="L99" s="80">
        <f>'Analisis Inputs Grales'!$D$34*'Analisis 20Años'!L97/60</f>
        <v>6.678497942386831E-2</v>
      </c>
      <c r="M99" s="80">
        <f>'Analisis Inputs Grales'!$D$34*'Analisis 20Años'!M97/60</f>
        <v>6.678497942386831E-2</v>
      </c>
      <c r="N99" s="80">
        <f>'Analisis Inputs Grales'!$D$34*'Analisis 20Años'!N97/60</f>
        <v>6.678497942386831E-2</v>
      </c>
      <c r="O99" s="80">
        <f>'Analisis Inputs Grales'!$D$34*'Analisis 20Años'!O97/60</f>
        <v>6.678497942386831E-2</v>
      </c>
      <c r="P99" s="80">
        <f>'Analisis Inputs Grales'!$D$34*'Analisis 20Años'!P97/60</f>
        <v>6.678497942386831E-2</v>
      </c>
      <c r="Q99" s="80">
        <f>'Analisis Inputs Grales'!$D$34*'Analisis 20Años'!Q97/60</f>
        <v>6.678497942386831E-2</v>
      </c>
      <c r="R99" s="80">
        <f>'Analisis Inputs Grales'!$D$34*'Analisis 20Años'!R97/60</f>
        <v>6.678497942386831E-2</v>
      </c>
      <c r="S99" s="57"/>
      <c r="T99" s="57"/>
      <c r="U99" s="57"/>
      <c r="V99" s="57"/>
      <c r="W99" s="57"/>
    </row>
    <row r="100" spans="2:23" x14ac:dyDescent="0.2">
      <c r="B100" s="39"/>
      <c r="C100" s="36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57"/>
      <c r="T100" s="57"/>
      <c r="U100" s="57"/>
      <c r="V100" s="57"/>
      <c r="W100" s="57"/>
    </row>
    <row r="101" spans="2:23" x14ac:dyDescent="0.2">
      <c r="B101" s="70" t="s">
        <v>148</v>
      </c>
      <c r="C101" s="71" t="s">
        <v>23</v>
      </c>
      <c r="D101" s="80">
        <f>(1+'Analisis Inputs Grales'!$D$117)^'Analisis 20Años'!D$3</f>
        <v>1</v>
      </c>
      <c r="E101" s="80">
        <f>(1+'Analisis Inputs Grales'!$D$117)^'Analisis 20Años'!E$3</f>
        <v>1.1200000000000001</v>
      </c>
      <c r="F101" s="80">
        <f>(1+'Analisis Inputs Grales'!$D$117)^'Analisis 20Años'!F$3</f>
        <v>1.2544000000000002</v>
      </c>
      <c r="G101" s="80">
        <f>(1+'Analisis Inputs Grales'!$D$117)^'Analisis 20Años'!G$3</f>
        <v>1.4049280000000004</v>
      </c>
      <c r="H101" s="80">
        <f>(1+'Analisis Inputs Grales'!$D$117)^'Analisis 20Años'!H$3</f>
        <v>1.5735193600000004</v>
      </c>
      <c r="I101" s="80">
        <f>(1+'Analisis Inputs Grales'!$D$117)^'Analisis 20Años'!I$3</f>
        <v>1.7623416832000005</v>
      </c>
      <c r="J101" s="80">
        <f>(1+'Analisis Inputs Grales'!$D$117)^'Analisis 20Años'!J$3</f>
        <v>1.9738226851840008</v>
      </c>
      <c r="K101" s="80">
        <f>(1+'Analisis Inputs Grales'!$D$117)^'Analisis 20Años'!K$3</f>
        <v>2.210681407406081</v>
      </c>
      <c r="L101" s="80">
        <f>(1+'Analisis Inputs Grales'!$D$117)^'Analisis 20Años'!L$3</f>
        <v>2.4759631762948109</v>
      </c>
      <c r="M101" s="80">
        <f>(1+'Analisis Inputs Grales'!$D$117)^'Analisis 20Años'!M$3</f>
        <v>2.7730787574501883</v>
      </c>
      <c r="N101" s="80">
        <f>(1+'Analisis Inputs Grales'!$D$117)^'Analisis 20Años'!N$3</f>
        <v>3.1058482083442112</v>
      </c>
      <c r="O101" s="80">
        <f>(1+'Analisis Inputs Grales'!$D$117)^'Analisis 20Años'!O$3</f>
        <v>3.4785499933455171</v>
      </c>
      <c r="P101" s="80">
        <f>(1+'Analisis Inputs Grales'!$D$117)^'Analisis 20Años'!P$3</f>
        <v>3.8959759925469788</v>
      </c>
      <c r="Q101" s="80">
        <f>(1+'Analisis Inputs Grales'!$D$117)^'Analisis 20Años'!Q$3</f>
        <v>4.363493111652617</v>
      </c>
      <c r="R101" s="80">
        <f>(1+'Analisis Inputs Grales'!$D$117)^'Analisis 20Años'!R$3</f>
        <v>4.8871122850509314</v>
      </c>
      <c r="S101" s="57"/>
      <c r="T101" s="57"/>
      <c r="U101" s="57"/>
      <c r="V101" s="57"/>
      <c r="W101" s="57"/>
    </row>
    <row r="102" spans="2:23" x14ac:dyDescent="0.2">
      <c r="B102" s="70" t="s">
        <v>149</v>
      </c>
      <c r="C102" s="71" t="s">
        <v>147</v>
      </c>
      <c r="D102" s="80">
        <f>D99*D101</f>
        <v>6.678497942386831E-2</v>
      </c>
      <c r="E102" s="80">
        <f t="shared" ref="E102:R102" si="31">E99*E101</f>
        <v>7.479917695473251E-2</v>
      </c>
      <c r="F102" s="80">
        <f t="shared" si="31"/>
        <v>8.3775078189300425E-2</v>
      </c>
      <c r="G102" s="80">
        <f t="shared" si="31"/>
        <v>9.382808757201648E-2</v>
      </c>
      <c r="H102" s="80">
        <f t="shared" si="31"/>
        <v>0.10508745808065846</v>
      </c>
      <c r="I102" s="80">
        <f t="shared" si="31"/>
        <v>0.11769795305033748</v>
      </c>
      <c r="J102" s="80">
        <f t="shared" si="31"/>
        <v>0.131821707416378</v>
      </c>
      <c r="K102" s="80">
        <f t="shared" si="31"/>
        <v>0.14764031230634336</v>
      </c>
      <c r="L102" s="80">
        <f t="shared" si="31"/>
        <v>0.16535714978310456</v>
      </c>
      <c r="M102" s="80">
        <f t="shared" si="31"/>
        <v>0.18520000775707712</v>
      </c>
      <c r="N102" s="80">
        <f t="shared" si="31"/>
        <v>0.2074240086879264</v>
      </c>
      <c r="O102" s="80">
        <f t="shared" si="31"/>
        <v>0.23231488973047759</v>
      </c>
      <c r="P102" s="80">
        <f t="shared" si="31"/>
        <v>0.26019267649813488</v>
      </c>
      <c r="Q102" s="80">
        <f t="shared" si="31"/>
        <v>0.29141579767791115</v>
      </c>
      <c r="R102" s="80">
        <f t="shared" si="31"/>
        <v>0.32638569339926049</v>
      </c>
      <c r="S102" s="57"/>
      <c r="T102" s="57"/>
      <c r="U102" s="57"/>
      <c r="V102" s="57"/>
      <c r="W102" s="57"/>
    </row>
    <row r="103" spans="2:23" ht="15" x14ac:dyDescent="0.25">
      <c r="B103" s="72" t="s">
        <v>152</v>
      </c>
      <c r="C103" s="71" t="s">
        <v>147</v>
      </c>
      <c r="D103" s="82">
        <f>SUM(D102:R102)</f>
        <v>2.4897249765275271</v>
      </c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</row>
    <row r="104" spans="2:23" x14ac:dyDescent="0.2">
      <c r="B104" s="39"/>
      <c r="C104" s="36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</row>
    <row r="105" spans="2:23" ht="15" thickBot="1" x14ac:dyDescent="0.25">
      <c r="B105" s="39"/>
      <c r="C105" s="36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</row>
    <row r="106" spans="2:23" ht="16.5" thickBot="1" x14ac:dyDescent="0.3">
      <c r="B106" s="69" t="s">
        <v>81</v>
      </c>
      <c r="C106" s="68">
        <v>20</v>
      </c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</row>
    <row r="107" spans="2:23" ht="15.75" x14ac:dyDescent="0.25">
      <c r="B107" s="66" t="s">
        <v>104</v>
      </c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</row>
    <row r="108" spans="2:23" x14ac:dyDescent="0.2">
      <c r="B108" s="33" t="s">
        <v>105</v>
      </c>
      <c r="C108" s="34" t="s">
        <v>106</v>
      </c>
      <c r="D108" s="80">
        <f>'Analisis Inputs Grales'!$D$29*('Analisis Inputs Grales'!$D$117/12)/'Analisis Inputs Grales'!$D$28</f>
        <v>2.7006172839506171E-2</v>
      </c>
      <c r="E108" s="80">
        <f>'Analisis Inputs Grales'!$D$29*('Analisis Inputs Grales'!$D$117/12)/'Analisis Inputs Grales'!$D$28</f>
        <v>2.7006172839506171E-2</v>
      </c>
      <c r="F108" s="80">
        <f>'Analisis Inputs Grales'!$D$29*('Analisis Inputs Grales'!$D$117/12)/'Analisis Inputs Grales'!$D$28</f>
        <v>2.7006172839506171E-2</v>
      </c>
      <c r="G108" s="80">
        <f>'Analisis Inputs Grales'!$D$29*('Analisis Inputs Grales'!$D$117/12)/'Analisis Inputs Grales'!$D$28</f>
        <v>2.7006172839506171E-2</v>
      </c>
      <c r="H108" s="80">
        <f>'Analisis Inputs Grales'!$D$29*('Analisis Inputs Grales'!$D$117/12)/'Analisis Inputs Grales'!$D$28</f>
        <v>2.7006172839506171E-2</v>
      </c>
      <c r="I108" s="80">
        <f>'Analisis Inputs Grales'!$D$29*('Analisis Inputs Grales'!$D$117/12)/'Analisis Inputs Grales'!$D$28</f>
        <v>2.7006172839506171E-2</v>
      </c>
      <c r="J108" s="80">
        <f>'Analisis Inputs Grales'!$D$29*('Analisis Inputs Grales'!$D$117/12)/'Analisis Inputs Grales'!$D$28</f>
        <v>2.7006172839506171E-2</v>
      </c>
      <c r="K108" s="80">
        <f>'Analisis Inputs Grales'!$D$29*('Analisis Inputs Grales'!$D$117/12)/'Analisis Inputs Grales'!$D$28</f>
        <v>2.7006172839506171E-2</v>
      </c>
      <c r="L108" s="80">
        <f>'Analisis Inputs Grales'!$D$29*('Analisis Inputs Grales'!$D$117/12)/'Analisis Inputs Grales'!$D$28</f>
        <v>2.7006172839506171E-2</v>
      </c>
      <c r="M108" s="80">
        <f>'Analisis Inputs Grales'!$D$29*('Analisis Inputs Grales'!$D$117/12)/'Analisis Inputs Grales'!$D$28</f>
        <v>2.7006172839506171E-2</v>
      </c>
      <c r="N108" s="80">
        <f>'Analisis Inputs Grales'!$D$29*('Analisis Inputs Grales'!$D$117/12)/'Analisis Inputs Grales'!$D$28</f>
        <v>2.7006172839506171E-2</v>
      </c>
      <c r="O108" s="80">
        <f>'Analisis Inputs Grales'!$D$29*('Analisis Inputs Grales'!$D$117/12)/'Analisis Inputs Grales'!$D$28</f>
        <v>2.7006172839506171E-2</v>
      </c>
      <c r="P108" s="80">
        <f>'Analisis Inputs Grales'!$D$29*('Analisis Inputs Grales'!$D$117/12)/'Analisis Inputs Grales'!$D$28</f>
        <v>2.7006172839506171E-2</v>
      </c>
      <c r="Q108" s="80">
        <f>'Analisis Inputs Grales'!$D$29*('Analisis Inputs Grales'!$D$117/12)/'Analisis Inputs Grales'!$D$28</f>
        <v>2.7006172839506171E-2</v>
      </c>
      <c r="R108" s="80">
        <f>'Analisis Inputs Grales'!$D$29*('Analisis Inputs Grales'!$D$117/12)/'Analisis Inputs Grales'!$D$28</f>
        <v>2.7006172839506171E-2</v>
      </c>
      <c r="S108" s="80">
        <f>'Analisis Inputs Grales'!$D$29*('Analisis Inputs Grales'!$D$117/12)/'Analisis Inputs Grales'!$D$28</f>
        <v>2.7006172839506171E-2</v>
      </c>
      <c r="T108" s="80">
        <f>'Analisis Inputs Grales'!$D$29*('Analisis Inputs Grales'!$D$117/12)/'Analisis Inputs Grales'!$D$28</f>
        <v>2.7006172839506171E-2</v>
      </c>
      <c r="U108" s="80">
        <f>'Analisis Inputs Grales'!$D$29*('Analisis Inputs Grales'!$D$117/12)/'Analisis Inputs Grales'!$D$28</f>
        <v>2.7006172839506171E-2</v>
      </c>
      <c r="V108" s="80">
        <f>'Analisis Inputs Grales'!$D$29*('Analisis Inputs Grales'!$D$117/12)/'Analisis Inputs Grales'!$D$28</f>
        <v>2.7006172839506171E-2</v>
      </c>
      <c r="W108" s="80">
        <f>'Analisis Inputs Grales'!$D$29*('Analisis Inputs Grales'!$D$117/12)/'Analisis Inputs Grales'!$D$28</f>
        <v>2.7006172839506171E-2</v>
      </c>
    </row>
    <row r="109" spans="2:23" x14ac:dyDescent="0.2">
      <c r="B109" s="35" t="s">
        <v>105</v>
      </c>
      <c r="C109" s="36" t="s">
        <v>68</v>
      </c>
      <c r="D109" s="57">
        <f>D108*'Analisis Inputs Grales'!$D$28*12</f>
        <v>4200</v>
      </c>
      <c r="E109" s="57">
        <f>E108*'Analisis Inputs Grales'!$D$28*12</f>
        <v>4200</v>
      </c>
      <c r="F109" s="57">
        <f>F108*'Analisis Inputs Grales'!$D$28*12</f>
        <v>4200</v>
      </c>
      <c r="G109" s="57">
        <f>G108*'Analisis Inputs Grales'!$D$28*12</f>
        <v>4200</v>
      </c>
      <c r="H109" s="57">
        <f>H108*'Analisis Inputs Grales'!$D$28*12</f>
        <v>4200</v>
      </c>
      <c r="I109" s="57">
        <f>I108*'Analisis Inputs Grales'!$D$28*12</f>
        <v>4200</v>
      </c>
      <c r="J109" s="57">
        <f>J108*'Analisis Inputs Grales'!$D$28*12</f>
        <v>4200</v>
      </c>
      <c r="K109" s="57">
        <f>K108*'Analisis Inputs Grales'!$D$28*12</f>
        <v>4200</v>
      </c>
      <c r="L109" s="57">
        <f>L108*'Analisis Inputs Grales'!$D$28*12</f>
        <v>4200</v>
      </c>
      <c r="M109" s="57">
        <f>M108*'Analisis Inputs Grales'!$D$28*12</f>
        <v>4200</v>
      </c>
      <c r="N109" s="57">
        <f>N108*'Analisis Inputs Grales'!$D$28*12</f>
        <v>4200</v>
      </c>
      <c r="O109" s="57">
        <f>O108*'Analisis Inputs Grales'!$D$28*12</f>
        <v>4200</v>
      </c>
      <c r="P109" s="57">
        <f>P108*'Analisis Inputs Grales'!$D$28*12</f>
        <v>4200</v>
      </c>
      <c r="Q109" s="57">
        <f>Q108*'Analisis Inputs Grales'!$D$28*12</f>
        <v>4200</v>
      </c>
      <c r="R109" s="57">
        <f>R108*'Analisis Inputs Grales'!$D$28*12</f>
        <v>4200</v>
      </c>
      <c r="S109" s="57">
        <f>S108*'Analisis Inputs Grales'!$D$28*12</f>
        <v>4200</v>
      </c>
      <c r="T109" s="57">
        <f>T108*'Analisis Inputs Grales'!$D$28*12</f>
        <v>4200</v>
      </c>
      <c r="U109" s="57">
        <f>U108*'Analisis Inputs Grales'!$D$28*12</f>
        <v>4200</v>
      </c>
      <c r="V109" s="57">
        <f>V108*'Analisis Inputs Grales'!$D$28*12</f>
        <v>4200</v>
      </c>
      <c r="W109" s="57">
        <f>W108*'Analisis Inputs Grales'!$D$28*12</f>
        <v>4200</v>
      </c>
    </row>
    <row r="110" spans="2:23" x14ac:dyDescent="0.2">
      <c r="B110" s="33" t="s">
        <v>107</v>
      </c>
      <c r="C110" s="34" t="s">
        <v>106</v>
      </c>
      <c r="D110" s="80">
        <f>('Analisis Inputs Grales'!$D$30-'Analisis Inputs Grales'!$D$32*'Analisis Inputs Grales'!$D$30)/('Analisis Inputs Grales'!$D$28*$C106*12)</f>
        <v>1.0127314814814815E-2</v>
      </c>
      <c r="E110" s="80">
        <f>('Analisis Inputs Grales'!$D$30-'Analisis Inputs Grales'!$D$32*'Analisis Inputs Grales'!$D$30)/('Analisis Inputs Grales'!$D$28*$C106*12)</f>
        <v>1.0127314814814815E-2</v>
      </c>
      <c r="F110" s="80">
        <f>('Analisis Inputs Grales'!$D$30-'Analisis Inputs Grales'!$D$32*'Analisis Inputs Grales'!$D$30)/('Analisis Inputs Grales'!$D$28*$C106*12)</f>
        <v>1.0127314814814815E-2</v>
      </c>
      <c r="G110" s="80">
        <f>('Analisis Inputs Grales'!$D$30-'Analisis Inputs Grales'!$D$32*'Analisis Inputs Grales'!$D$30)/('Analisis Inputs Grales'!$D$28*$C106*12)</f>
        <v>1.0127314814814815E-2</v>
      </c>
      <c r="H110" s="80">
        <f>('Analisis Inputs Grales'!$D$30-'Analisis Inputs Grales'!$D$32*'Analisis Inputs Grales'!$D$30)/('Analisis Inputs Grales'!$D$28*$C106*12)</f>
        <v>1.0127314814814815E-2</v>
      </c>
      <c r="I110" s="80">
        <f>('Analisis Inputs Grales'!$D$30-'Analisis Inputs Grales'!$D$32*'Analisis Inputs Grales'!$D$30)/('Analisis Inputs Grales'!$D$28*$C106*12)</f>
        <v>1.0127314814814815E-2</v>
      </c>
      <c r="J110" s="80">
        <f>('Analisis Inputs Grales'!$D$30-'Analisis Inputs Grales'!$D$32*'Analisis Inputs Grales'!$D$30)/('Analisis Inputs Grales'!$D$28*$C106*12)</f>
        <v>1.0127314814814815E-2</v>
      </c>
      <c r="K110" s="80">
        <f>('Analisis Inputs Grales'!$D$30-'Analisis Inputs Grales'!$D$32*'Analisis Inputs Grales'!$D$30)/('Analisis Inputs Grales'!$D$28*$C106*12)</f>
        <v>1.0127314814814815E-2</v>
      </c>
      <c r="L110" s="80">
        <f>('Analisis Inputs Grales'!$D$30-'Analisis Inputs Grales'!$D$32*'Analisis Inputs Grales'!$D$30)/('Analisis Inputs Grales'!$D$28*$C106*12)</f>
        <v>1.0127314814814815E-2</v>
      </c>
      <c r="M110" s="80">
        <f>('Analisis Inputs Grales'!$D$30-'Analisis Inputs Grales'!$D$32*'Analisis Inputs Grales'!$D$30)/('Analisis Inputs Grales'!$D$28*$C106*12)</f>
        <v>1.0127314814814815E-2</v>
      </c>
      <c r="N110" s="80">
        <f>('Analisis Inputs Grales'!$D$30-'Analisis Inputs Grales'!$D$32*'Analisis Inputs Grales'!$D$30)/('Analisis Inputs Grales'!$D$28*$C106*12)</f>
        <v>1.0127314814814815E-2</v>
      </c>
      <c r="O110" s="80">
        <f>('Analisis Inputs Grales'!$D$30-'Analisis Inputs Grales'!$D$32*'Analisis Inputs Grales'!$D$30)/('Analisis Inputs Grales'!$D$28*$C106*12)</f>
        <v>1.0127314814814815E-2</v>
      </c>
      <c r="P110" s="80">
        <f>('Analisis Inputs Grales'!$D$30-'Analisis Inputs Grales'!$D$32*'Analisis Inputs Grales'!$D$30)/('Analisis Inputs Grales'!$D$28*$C106*12)</f>
        <v>1.0127314814814815E-2</v>
      </c>
      <c r="Q110" s="80">
        <f>('Analisis Inputs Grales'!$D$30-'Analisis Inputs Grales'!$D$32*'Analisis Inputs Grales'!$D$30)/('Analisis Inputs Grales'!$D$28*$C106*12)</f>
        <v>1.0127314814814815E-2</v>
      </c>
      <c r="R110" s="80">
        <f>('Analisis Inputs Grales'!$D$30-'Analisis Inputs Grales'!$D$32*'Analisis Inputs Grales'!$D$30)/('Analisis Inputs Grales'!$D$28*$C106*12)</f>
        <v>1.0127314814814815E-2</v>
      </c>
      <c r="S110" s="80">
        <f>('Analisis Inputs Grales'!$D$30-'Analisis Inputs Grales'!$D$32*'Analisis Inputs Grales'!$D$30)/('Analisis Inputs Grales'!$D$28*$C106*12)</f>
        <v>1.0127314814814815E-2</v>
      </c>
      <c r="T110" s="80">
        <f>('Analisis Inputs Grales'!$D$30-'Analisis Inputs Grales'!$D$32*'Analisis Inputs Grales'!$D$30)/('Analisis Inputs Grales'!$D$28*$C106*12)</f>
        <v>1.0127314814814815E-2</v>
      </c>
      <c r="U110" s="80">
        <f>('Analisis Inputs Grales'!$D$30-'Analisis Inputs Grales'!$D$32*'Analisis Inputs Grales'!$D$30)/('Analisis Inputs Grales'!$D$28*$C106*12)</f>
        <v>1.0127314814814815E-2</v>
      </c>
      <c r="V110" s="80">
        <f>('Analisis Inputs Grales'!$D$30-'Analisis Inputs Grales'!$D$32*'Analisis Inputs Grales'!$D$30)/('Analisis Inputs Grales'!$D$28*$C106*12)</f>
        <v>1.0127314814814815E-2</v>
      </c>
      <c r="W110" s="80">
        <f>('Analisis Inputs Grales'!$D$30-'Analisis Inputs Grales'!$D$32*'Analisis Inputs Grales'!$D$30)/('Analisis Inputs Grales'!$D$28*$C106*12)</f>
        <v>1.0127314814814815E-2</v>
      </c>
    </row>
    <row r="111" spans="2:23" x14ac:dyDescent="0.2">
      <c r="B111" s="35" t="s">
        <v>107</v>
      </c>
      <c r="C111" s="36" t="s">
        <v>68</v>
      </c>
      <c r="D111" s="57">
        <f>D110*'Analisis Inputs Grales'!$D$28*12</f>
        <v>1575</v>
      </c>
      <c r="E111" s="57">
        <f>E110*'Analisis Inputs Grales'!$D$28*12</f>
        <v>1575</v>
      </c>
      <c r="F111" s="57">
        <f>F110*'Analisis Inputs Grales'!$D$28*12</f>
        <v>1575</v>
      </c>
      <c r="G111" s="57">
        <f>G110*'Analisis Inputs Grales'!$D$28*12</f>
        <v>1575</v>
      </c>
      <c r="H111" s="57">
        <f>H110*'Analisis Inputs Grales'!$D$28*12</f>
        <v>1575</v>
      </c>
      <c r="I111" s="57">
        <f>I110*'Analisis Inputs Grales'!$D$28*12</f>
        <v>1575</v>
      </c>
      <c r="J111" s="57">
        <f>J110*'Analisis Inputs Grales'!$D$28*12</f>
        <v>1575</v>
      </c>
      <c r="K111" s="57">
        <f>K110*'Analisis Inputs Grales'!$D$28*12</f>
        <v>1575</v>
      </c>
      <c r="L111" s="57">
        <f>L110*'Analisis Inputs Grales'!$D$28*12</f>
        <v>1575</v>
      </c>
      <c r="M111" s="57">
        <f>M110*'Analisis Inputs Grales'!$D$28*12</f>
        <v>1575</v>
      </c>
      <c r="N111" s="57">
        <f>N110*'Analisis Inputs Grales'!$D$28*12</f>
        <v>1575</v>
      </c>
      <c r="O111" s="57">
        <f>O110*'Analisis Inputs Grales'!$D$28*12</f>
        <v>1575</v>
      </c>
      <c r="P111" s="57">
        <f>P110*'Analisis Inputs Grales'!$D$28*12</f>
        <v>1575</v>
      </c>
      <c r="Q111" s="57">
        <f>Q110*'Analisis Inputs Grales'!$D$28*12</f>
        <v>1575</v>
      </c>
      <c r="R111" s="57">
        <f>R110*'Analisis Inputs Grales'!$D$28*12</f>
        <v>1575</v>
      </c>
      <c r="S111" s="57">
        <f>S110*'Analisis Inputs Grales'!$D$28*12</f>
        <v>1575</v>
      </c>
      <c r="T111" s="57">
        <f>T110*'Analisis Inputs Grales'!$D$28*12</f>
        <v>1575</v>
      </c>
      <c r="U111" s="57">
        <f>U110*'Analisis Inputs Grales'!$D$28*12</f>
        <v>1575</v>
      </c>
      <c r="V111" s="57">
        <f>V110*'Analisis Inputs Grales'!$D$28*12</f>
        <v>1575</v>
      </c>
      <c r="W111" s="57">
        <f>W110*'Analisis Inputs Grales'!$D$28*12</f>
        <v>1575</v>
      </c>
    </row>
    <row r="112" spans="2:23" x14ac:dyDescent="0.2">
      <c r="B112" s="33" t="s">
        <v>108</v>
      </c>
      <c r="C112" s="34" t="s">
        <v>106</v>
      </c>
      <c r="D112" s="80">
        <f>'Analisis Inputs Grales'!$D$21/'Analisis Inputs Grales'!$D$28</f>
        <v>0.15895061728395063</v>
      </c>
      <c r="E112" s="80">
        <f>'Analisis Inputs Grales'!$D$21/'Analisis Inputs Grales'!$D$28</f>
        <v>0.15895061728395063</v>
      </c>
      <c r="F112" s="80">
        <f>'Analisis Inputs Grales'!$D$21/'Analisis Inputs Grales'!$D$28</f>
        <v>0.15895061728395063</v>
      </c>
      <c r="G112" s="80">
        <f>'Analisis Inputs Grales'!$D$21/'Analisis Inputs Grales'!$D$28</f>
        <v>0.15895061728395063</v>
      </c>
      <c r="H112" s="80">
        <f>'Analisis Inputs Grales'!$D$21/'Analisis Inputs Grales'!$D$28</f>
        <v>0.15895061728395063</v>
      </c>
      <c r="I112" s="80">
        <f>'Analisis Inputs Grales'!$D$21/'Analisis Inputs Grales'!$D$28</f>
        <v>0.15895061728395063</v>
      </c>
      <c r="J112" s="80">
        <f>'Analisis Inputs Grales'!$D$21/'Analisis Inputs Grales'!$D$28</f>
        <v>0.15895061728395063</v>
      </c>
      <c r="K112" s="80">
        <f>'Analisis Inputs Grales'!$D$21/'Analisis Inputs Grales'!$D$28</f>
        <v>0.15895061728395063</v>
      </c>
      <c r="L112" s="80">
        <f>'Analisis Inputs Grales'!$D$21/'Analisis Inputs Grales'!$D$28</f>
        <v>0.15895061728395063</v>
      </c>
      <c r="M112" s="80">
        <f>'Analisis Inputs Grales'!$D$21/'Analisis Inputs Grales'!$D$28</f>
        <v>0.15895061728395063</v>
      </c>
      <c r="N112" s="80">
        <f>'Analisis Inputs Grales'!$D$21/'Analisis Inputs Grales'!$D$28</f>
        <v>0.15895061728395063</v>
      </c>
      <c r="O112" s="80">
        <f>'Analisis Inputs Grales'!$D$21/'Analisis Inputs Grales'!$D$28</f>
        <v>0.15895061728395063</v>
      </c>
      <c r="P112" s="80">
        <f>'Analisis Inputs Grales'!$D$21/'Analisis Inputs Grales'!$D$28</f>
        <v>0.15895061728395063</v>
      </c>
      <c r="Q112" s="80">
        <f>'Analisis Inputs Grales'!$D$21/'Analisis Inputs Grales'!$D$28</f>
        <v>0.15895061728395063</v>
      </c>
      <c r="R112" s="80">
        <f>'Analisis Inputs Grales'!$D$21/'Analisis Inputs Grales'!$D$28</f>
        <v>0.15895061728395063</v>
      </c>
      <c r="S112" s="80">
        <f>'Analisis Inputs Grales'!$D$21/'Analisis Inputs Grales'!$D$28</f>
        <v>0.15895061728395063</v>
      </c>
      <c r="T112" s="80">
        <f>'Analisis Inputs Grales'!$D$21/'Analisis Inputs Grales'!$D$28</f>
        <v>0.15895061728395063</v>
      </c>
      <c r="U112" s="80">
        <f>'Analisis Inputs Grales'!$D$21/'Analisis Inputs Grales'!$D$28</f>
        <v>0.15895061728395063</v>
      </c>
      <c r="V112" s="80">
        <f>'Analisis Inputs Grales'!$D$21/'Analisis Inputs Grales'!$D$28</f>
        <v>0.15895061728395063</v>
      </c>
      <c r="W112" s="80">
        <f>'Analisis Inputs Grales'!$D$21/'Analisis Inputs Grales'!$D$28</f>
        <v>0.15895061728395063</v>
      </c>
    </row>
    <row r="113" spans="2:23" x14ac:dyDescent="0.2">
      <c r="B113" s="37" t="s">
        <v>108</v>
      </c>
      <c r="C113" s="38" t="s">
        <v>68</v>
      </c>
      <c r="D113" s="57">
        <f>D112*'Analisis Inputs Grales'!$D$28*12</f>
        <v>24720</v>
      </c>
      <c r="E113" s="57">
        <f>E112*'Analisis Inputs Grales'!$D$28*12</f>
        <v>24720</v>
      </c>
      <c r="F113" s="57">
        <f>F112*'Analisis Inputs Grales'!$D$28*12</f>
        <v>24720</v>
      </c>
      <c r="G113" s="57">
        <f>G112*'Analisis Inputs Grales'!$D$28*12</f>
        <v>24720</v>
      </c>
      <c r="H113" s="57">
        <f>H112*'Analisis Inputs Grales'!$D$28*12</f>
        <v>24720</v>
      </c>
      <c r="I113" s="57">
        <f>I112*'Analisis Inputs Grales'!$D$28*12</f>
        <v>24720</v>
      </c>
      <c r="J113" s="57">
        <f>J112*'Analisis Inputs Grales'!$D$28*12</f>
        <v>24720</v>
      </c>
      <c r="K113" s="57">
        <f>K112*'Analisis Inputs Grales'!$D$28*12</f>
        <v>24720</v>
      </c>
      <c r="L113" s="57">
        <f>L112*'Analisis Inputs Grales'!$D$28*12</f>
        <v>24720</v>
      </c>
      <c r="M113" s="57">
        <f>M112*'Analisis Inputs Grales'!$D$28*12</f>
        <v>24720</v>
      </c>
      <c r="N113" s="57">
        <f>N112*'Analisis Inputs Grales'!$D$28*12</f>
        <v>24720</v>
      </c>
      <c r="O113" s="57">
        <f>O112*'Analisis Inputs Grales'!$D$28*12</f>
        <v>24720</v>
      </c>
      <c r="P113" s="57">
        <f>P112*'Analisis Inputs Grales'!$D$28*12</f>
        <v>24720</v>
      </c>
      <c r="Q113" s="57">
        <f>Q112*'Analisis Inputs Grales'!$D$28*12</f>
        <v>24720</v>
      </c>
      <c r="R113" s="57">
        <f>R112*'Analisis Inputs Grales'!$D$28*12</f>
        <v>24720</v>
      </c>
      <c r="S113" s="57">
        <f>S112*'Analisis Inputs Grales'!$D$28*12</f>
        <v>24720</v>
      </c>
      <c r="T113" s="57">
        <f>T112*'Analisis Inputs Grales'!$D$28*12</f>
        <v>24720</v>
      </c>
      <c r="U113" s="57">
        <f>U112*'Analisis Inputs Grales'!$D$28*12</f>
        <v>24720</v>
      </c>
      <c r="V113" s="57">
        <f>V112*'Analisis Inputs Grales'!$D$28*12</f>
        <v>24720</v>
      </c>
      <c r="W113" s="57">
        <f>W112*'Analisis Inputs Grales'!$D$28*12</f>
        <v>24720</v>
      </c>
    </row>
    <row r="114" spans="2:23" x14ac:dyDescent="0.2">
      <c r="B114" s="33" t="s">
        <v>109</v>
      </c>
      <c r="C114" s="34" t="s">
        <v>106</v>
      </c>
      <c r="D114" s="80">
        <f>D112+D110+D108</f>
        <v>0.19608410493827164</v>
      </c>
      <c r="E114" s="80">
        <f t="shared" ref="E114:G114" si="32">E112+E110+E108</f>
        <v>0.19608410493827164</v>
      </c>
      <c r="F114" s="80">
        <f t="shared" si="32"/>
        <v>0.19608410493827164</v>
      </c>
      <c r="G114" s="80">
        <f t="shared" si="32"/>
        <v>0.19608410493827164</v>
      </c>
      <c r="H114" s="80">
        <f t="shared" ref="H114:W114" si="33">H112+H110+H108</f>
        <v>0.19608410493827164</v>
      </c>
      <c r="I114" s="80">
        <f t="shared" si="33"/>
        <v>0.19608410493827164</v>
      </c>
      <c r="J114" s="80">
        <f t="shared" si="33"/>
        <v>0.19608410493827164</v>
      </c>
      <c r="K114" s="80">
        <f t="shared" si="33"/>
        <v>0.19608410493827164</v>
      </c>
      <c r="L114" s="80">
        <f t="shared" si="33"/>
        <v>0.19608410493827164</v>
      </c>
      <c r="M114" s="80">
        <f t="shared" si="33"/>
        <v>0.19608410493827164</v>
      </c>
      <c r="N114" s="80">
        <f t="shared" si="33"/>
        <v>0.19608410493827164</v>
      </c>
      <c r="O114" s="80">
        <f t="shared" si="33"/>
        <v>0.19608410493827164</v>
      </c>
      <c r="P114" s="80">
        <f t="shared" si="33"/>
        <v>0.19608410493827164</v>
      </c>
      <c r="Q114" s="80">
        <f t="shared" si="33"/>
        <v>0.19608410493827164</v>
      </c>
      <c r="R114" s="80">
        <f t="shared" si="33"/>
        <v>0.19608410493827164</v>
      </c>
      <c r="S114" s="80">
        <f t="shared" si="33"/>
        <v>0.19608410493827164</v>
      </c>
      <c r="T114" s="80">
        <f t="shared" si="33"/>
        <v>0.19608410493827164</v>
      </c>
      <c r="U114" s="80">
        <f t="shared" si="33"/>
        <v>0.19608410493827164</v>
      </c>
      <c r="V114" s="80">
        <f t="shared" si="33"/>
        <v>0.19608410493827164</v>
      </c>
      <c r="W114" s="80">
        <f t="shared" si="33"/>
        <v>0.19608410493827164</v>
      </c>
    </row>
    <row r="115" spans="2:23" x14ac:dyDescent="0.2">
      <c r="B115" s="35" t="s">
        <v>109</v>
      </c>
      <c r="C115" s="36" t="s">
        <v>68</v>
      </c>
      <c r="D115" s="57">
        <f>D113+D111+D109</f>
        <v>30495</v>
      </c>
      <c r="E115" s="57">
        <f t="shared" ref="E115:G115" si="34">E113+E111+E109</f>
        <v>30495</v>
      </c>
      <c r="F115" s="57">
        <f t="shared" si="34"/>
        <v>30495</v>
      </c>
      <c r="G115" s="57">
        <f t="shared" si="34"/>
        <v>30495</v>
      </c>
      <c r="H115" s="57">
        <f t="shared" ref="H115:W115" si="35">H113+H111+H109</f>
        <v>30495</v>
      </c>
      <c r="I115" s="57">
        <f t="shared" si="35"/>
        <v>30495</v>
      </c>
      <c r="J115" s="57">
        <f t="shared" si="35"/>
        <v>30495</v>
      </c>
      <c r="K115" s="57">
        <f t="shared" si="35"/>
        <v>30495</v>
      </c>
      <c r="L115" s="57">
        <f t="shared" si="35"/>
        <v>30495</v>
      </c>
      <c r="M115" s="57">
        <f t="shared" si="35"/>
        <v>30495</v>
      </c>
      <c r="N115" s="57">
        <f t="shared" si="35"/>
        <v>30495</v>
      </c>
      <c r="O115" s="57">
        <f t="shared" si="35"/>
        <v>30495</v>
      </c>
      <c r="P115" s="57">
        <f t="shared" si="35"/>
        <v>30495</v>
      </c>
      <c r="Q115" s="57">
        <f t="shared" si="35"/>
        <v>30495</v>
      </c>
      <c r="R115" s="57">
        <f t="shared" si="35"/>
        <v>30495</v>
      </c>
      <c r="S115" s="57">
        <f t="shared" si="35"/>
        <v>30495</v>
      </c>
      <c r="T115" s="57">
        <f t="shared" si="35"/>
        <v>30495</v>
      </c>
      <c r="U115" s="57">
        <f t="shared" si="35"/>
        <v>30495</v>
      </c>
      <c r="V115" s="57">
        <f t="shared" si="35"/>
        <v>30495</v>
      </c>
      <c r="W115" s="57">
        <f t="shared" si="35"/>
        <v>30495</v>
      </c>
    </row>
    <row r="116" spans="2:23" x14ac:dyDescent="0.2">
      <c r="C116" s="36"/>
    </row>
    <row r="117" spans="2:23" ht="15.75" x14ac:dyDescent="0.25">
      <c r="B117" s="66" t="s">
        <v>110</v>
      </c>
      <c r="C117" s="36"/>
    </row>
    <row r="118" spans="2:23" x14ac:dyDescent="0.2">
      <c r="B118" s="33" t="s">
        <v>111</v>
      </c>
      <c r="C118" s="34" t="s">
        <v>106</v>
      </c>
      <c r="D118" s="30">
        <f>'Analisis Inputs Grales'!$D$35/('Analisis Inputs Grales'!$D$33/('Analisis Inputs Grales'!$D$34/60))</f>
        <v>0.125</v>
      </c>
      <c r="E118" s="30">
        <f>'Analisis Inputs Grales'!$D$35/('Analisis Inputs Grales'!$D$33/('Analisis Inputs Grales'!$D$34/60))</f>
        <v>0.125</v>
      </c>
      <c r="F118" s="30">
        <f>'Analisis Inputs Grales'!$D$35/('Analisis Inputs Grales'!$D$33/('Analisis Inputs Grales'!$D$34/60))</f>
        <v>0.125</v>
      </c>
      <c r="G118" s="30">
        <f>'Analisis Inputs Grales'!$D$35/('Analisis Inputs Grales'!$D$33/('Analisis Inputs Grales'!$D$34/60))</f>
        <v>0.125</v>
      </c>
      <c r="H118" s="30">
        <f>'Analisis Inputs Grales'!$D$35/('Analisis Inputs Grales'!$D$33/('Analisis Inputs Grales'!$D$34/60))</f>
        <v>0.125</v>
      </c>
      <c r="I118" s="30">
        <f>'Analisis Inputs Grales'!$D$35/('Analisis Inputs Grales'!$D$33/('Analisis Inputs Grales'!$D$34/60))</f>
        <v>0.125</v>
      </c>
      <c r="J118" s="30">
        <f>'Analisis Inputs Grales'!$D$35/('Analisis Inputs Grales'!$D$33/('Analisis Inputs Grales'!$D$34/60))</f>
        <v>0.125</v>
      </c>
      <c r="K118" s="30">
        <f>'Analisis Inputs Grales'!$D$35/('Analisis Inputs Grales'!$D$33/('Analisis Inputs Grales'!$D$34/60))</f>
        <v>0.125</v>
      </c>
      <c r="L118" s="30">
        <f>'Analisis Inputs Grales'!$D$35/('Analisis Inputs Grales'!$D$33/('Analisis Inputs Grales'!$D$34/60))</f>
        <v>0.125</v>
      </c>
      <c r="M118" s="30">
        <f>'Analisis Inputs Grales'!$D$35/('Analisis Inputs Grales'!$D$33/('Analisis Inputs Grales'!$D$34/60))</f>
        <v>0.125</v>
      </c>
      <c r="N118" s="30">
        <f>'Analisis Inputs Grales'!$D$35/('Analisis Inputs Grales'!$D$33/('Analisis Inputs Grales'!$D$34/60))</f>
        <v>0.125</v>
      </c>
      <c r="O118" s="30">
        <f>'Analisis Inputs Grales'!$D$35/('Analisis Inputs Grales'!$D$33/('Analisis Inputs Grales'!$D$34/60))</f>
        <v>0.125</v>
      </c>
      <c r="P118" s="30">
        <f>'Analisis Inputs Grales'!$D$35/('Analisis Inputs Grales'!$D$33/('Analisis Inputs Grales'!$D$34/60))</f>
        <v>0.125</v>
      </c>
      <c r="Q118" s="30">
        <f>'Analisis Inputs Grales'!$D$35/('Analisis Inputs Grales'!$D$33/('Analisis Inputs Grales'!$D$34/60))</f>
        <v>0.125</v>
      </c>
      <c r="R118" s="30">
        <f>'Analisis Inputs Grales'!$D$35/('Analisis Inputs Grales'!$D$33/('Analisis Inputs Grales'!$D$34/60))</f>
        <v>0.125</v>
      </c>
      <c r="S118" s="30">
        <f>'Analisis Inputs Grales'!$D$35/('Analisis Inputs Grales'!$D$33/('Analisis Inputs Grales'!$D$34/60))</f>
        <v>0.125</v>
      </c>
      <c r="T118" s="30">
        <f>'Analisis Inputs Grales'!$D$35/('Analisis Inputs Grales'!$D$33/('Analisis Inputs Grales'!$D$34/60))</f>
        <v>0.125</v>
      </c>
      <c r="U118" s="30">
        <f>'Analisis Inputs Grales'!$D$35/('Analisis Inputs Grales'!$D$33/('Analisis Inputs Grales'!$D$34/60))</f>
        <v>0.125</v>
      </c>
      <c r="V118" s="30">
        <f>'Analisis Inputs Grales'!$D$35/('Analisis Inputs Grales'!$D$33/('Analisis Inputs Grales'!$D$34/60))</f>
        <v>0.125</v>
      </c>
      <c r="W118" s="30">
        <f>'Analisis Inputs Grales'!$D$35/('Analisis Inputs Grales'!$D$33/('Analisis Inputs Grales'!$D$34/60))</f>
        <v>0.125</v>
      </c>
    </row>
    <row r="119" spans="2:23" x14ac:dyDescent="0.2">
      <c r="B119" s="35" t="s">
        <v>111</v>
      </c>
      <c r="C119" s="36" t="s">
        <v>68</v>
      </c>
      <c r="D119" s="57">
        <f>D118*12*'Analisis Inputs Grales'!$D$28</f>
        <v>19440</v>
      </c>
      <c r="E119" s="57">
        <f>E118*12*'Analisis Inputs Grales'!$D$28</f>
        <v>19440</v>
      </c>
      <c r="F119" s="57">
        <f>F118*12*'Analisis Inputs Grales'!$D$28</f>
        <v>19440</v>
      </c>
      <c r="G119" s="57">
        <f>G118*12*'Analisis Inputs Grales'!$D$28</f>
        <v>19440</v>
      </c>
      <c r="H119" s="57">
        <f>H118*12*'Analisis Inputs Grales'!$D$28</f>
        <v>19440</v>
      </c>
      <c r="I119" s="57">
        <f>I118*12*'Analisis Inputs Grales'!$D$28</f>
        <v>19440</v>
      </c>
      <c r="J119" s="57">
        <f>J118*12*'Analisis Inputs Grales'!$D$28</f>
        <v>19440</v>
      </c>
      <c r="K119" s="57">
        <f>K118*12*'Analisis Inputs Grales'!$D$28</f>
        <v>19440</v>
      </c>
      <c r="L119" s="57">
        <f>L118*12*'Analisis Inputs Grales'!$D$28</f>
        <v>19440</v>
      </c>
      <c r="M119" s="57">
        <f>M118*12*'Analisis Inputs Grales'!$D$28</f>
        <v>19440</v>
      </c>
      <c r="N119" s="57">
        <f>N118*12*'Analisis Inputs Grales'!$D$28</f>
        <v>19440</v>
      </c>
      <c r="O119" s="57">
        <f>O118*12*'Analisis Inputs Grales'!$D$28</f>
        <v>19440</v>
      </c>
      <c r="P119" s="57">
        <f>P118*12*'Analisis Inputs Grales'!$D$28</f>
        <v>19440</v>
      </c>
      <c r="Q119" s="57">
        <f>Q118*12*'Analisis Inputs Grales'!$D$28</f>
        <v>19440</v>
      </c>
      <c r="R119" s="57">
        <f>R118*12*'Analisis Inputs Grales'!$D$28</f>
        <v>19440</v>
      </c>
      <c r="S119" s="57">
        <f>S118*12*'Analisis Inputs Grales'!$D$28</f>
        <v>19440</v>
      </c>
      <c r="T119" s="57">
        <f>T118*12*'Analisis Inputs Grales'!$D$28</f>
        <v>19440</v>
      </c>
      <c r="U119" s="57">
        <f>U118*12*'Analisis Inputs Grales'!$D$28</f>
        <v>19440</v>
      </c>
      <c r="V119" s="57">
        <f>V118*12*'Analisis Inputs Grales'!$D$28</f>
        <v>19440</v>
      </c>
      <c r="W119" s="57">
        <f>W118*12*'Analisis Inputs Grales'!$D$28</f>
        <v>19440</v>
      </c>
    </row>
    <row r="120" spans="2:23" x14ac:dyDescent="0.2">
      <c r="B120" s="33" t="s">
        <v>112</v>
      </c>
      <c r="C120" s="34" t="s">
        <v>106</v>
      </c>
      <c r="D120" s="80">
        <f>'Analisis Inputs Grales'!$D$36*'Analisis 20Años'!D118</f>
        <v>1.8749999999999999E-2</v>
      </c>
      <c r="E120" s="80">
        <f>'Analisis Inputs Grales'!$D$36*'Analisis 20Años'!E118</f>
        <v>1.8749999999999999E-2</v>
      </c>
      <c r="F120" s="80">
        <f>'Analisis Inputs Grales'!$D$36*'Analisis 20Años'!F118</f>
        <v>1.8749999999999999E-2</v>
      </c>
      <c r="G120" s="80">
        <f>'Analisis Inputs Grales'!$D$36*'Analisis 20Años'!G118</f>
        <v>1.8749999999999999E-2</v>
      </c>
      <c r="H120" s="80">
        <f>'Analisis Inputs Grales'!$D$36*'Analisis 20Años'!H118</f>
        <v>1.8749999999999999E-2</v>
      </c>
      <c r="I120" s="80">
        <f>'Analisis Inputs Grales'!$D$36*'Analisis 20Años'!I118</f>
        <v>1.8749999999999999E-2</v>
      </c>
      <c r="J120" s="80">
        <f>'Analisis Inputs Grales'!$D$36*'Analisis 20Años'!J118</f>
        <v>1.8749999999999999E-2</v>
      </c>
      <c r="K120" s="80">
        <f>'Analisis Inputs Grales'!$D$36*'Analisis 20Años'!K118</f>
        <v>1.8749999999999999E-2</v>
      </c>
      <c r="L120" s="80">
        <f>'Analisis Inputs Grales'!$D$36*'Analisis 20Años'!L118</f>
        <v>1.8749999999999999E-2</v>
      </c>
      <c r="M120" s="80">
        <f>'Analisis Inputs Grales'!$D$36*'Analisis 20Años'!M118</f>
        <v>1.8749999999999999E-2</v>
      </c>
      <c r="N120" s="80">
        <f>'Analisis Inputs Grales'!$D$36*'Analisis 20Años'!N118</f>
        <v>1.8749999999999999E-2</v>
      </c>
      <c r="O120" s="80">
        <f>'Analisis Inputs Grales'!$D$36*'Analisis 20Años'!O118</f>
        <v>1.8749999999999999E-2</v>
      </c>
      <c r="P120" s="80">
        <f>'Analisis Inputs Grales'!$D$36*'Analisis 20Años'!P118</f>
        <v>1.8749999999999999E-2</v>
      </c>
      <c r="Q120" s="80">
        <f>'Analisis Inputs Grales'!$D$36*'Analisis 20Años'!Q118</f>
        <v>1.8749999999999999E-2</v>
      </c>
      <c r="R120" s="80">
        <f>'Analisis Inputs Grales'!$D$36*'Analisis 20Años'!R118</f>
        <v>1.8749999999999999E-2</v>
      </c>
      <c r="S120" s="80">
        <f>'Analisis Inputs Grales'!$D$36*'Analisis 20Años'!S118</f>
        <v>1.8749999999999999E-2</v>
      </c>
      <c r="T120" s="80">
        <f>'Analisis Inputs Grales'!$D$36*'Analisis 20Años'!T118</f>
        <v>1.8749999999999999E-2</v>
      </c>
      <c r="U120" s="80">
        <f>'Analisis Inputs Grales'!$D$36*'Analisis 20Años'!U118</f>
        <v>1.8749999999999999E-2</v>
      </c>
      <c r="V120" s="80">
        <f>'Analisis Inputs Grales'!$D$36*'Analisis 20Años'!V118</f>
        <v>1.8749999999999999E-2</v>
      </c>
      <c r="W120" s="80">
        <f>'Analisis Inputs Grales'!$D$36*'Analisis 20Años'!W118</f>
        <v>1.8749999999999999E-2</v>
      </c>
    </row>
    <row r="121" spans="2:23" x14ac:dyDescent="0.2">
      <c r="B121" s="35" t="s">
        <v>112</v>
      </c>
      <c r="C121" s="36" t="s">
        <v>68</v>
      </c>
      <c r="D121" s="57">
        <f>D120*12*'Analisis Inputs Grales'!$D$28</f>
        <v>2915.9999999999995</v>
      </c>
      <c r="E121" s="57">
        <f>E120*12*'Analisis Inputs Grales'!$D$28</f>
        <v>2915.9999999999995</v>
      </c>
      <c r="F121" s="57">
        <f>F120*12*'Analisis Inputs Grales'!$D$28</f>
        <v>2915.9999999999995</v>
      </c>
      <c r="G121" s="57">
        <f>G120*12*'Analisis Inputs Grales'!$D$28</f>
        <v>2915.9999999999995</v>
      </c>
      <c r="H121" s="57">
        <f>H120*12*'Analisis Inputs Grales'!$D$28</f>
        <v>2915.9999999999995</v>
      </c>
      <c r="I121" s="57">
        <f>I120*12*'Analisis Inputs Grales'!$D$28</f>
        <v>2915.9999999999995</v>
      </c>
      <c r="J121" s="57">
        <f>J120*12*'Analisis Inputs Grales'!$D$28</f>
        <v>2915.9999999999995</v>
      </c>
      <c r="K121" s="57">
        <f>K120*12*'Analisis Inputs Grales'!$D$28</f>
        <v>2915.9999999999995</v>
      </c>
      <c r="L121" s="57">
        <f>L120*12*'Analisis Inputs Grales'!$D$28</f>
        <v>2915.9999999999995</v>
      </c>
      <c r="M121" s="57">
        <f>M120*12*'Analisis Inputs Grales'!$D$28</f>
        <v>2915.9999999999995</v>
      </c>
      <c r="N121" s="57">
        <f>N120*12*'Analisis Inputs Grales'!$D$28</f>
        <v>2915.9999999999995</v>
      </c>
      <c r="O121" s="57">
        <f>O120*12*'Analisis Inputs Grales'!$D$28</f>
        <v>2915.9999999999995</v>
      </c>
      <c r="P121" s="57">
        <f>P120*12*'Analisis Inputs Grales'!$D$28</f>
        <v>2915.9999999999995</v>
      </c>
      <c r="Q121" s="57">
        <f>Q120*12*'Analisis Inputs Grales'!$D$28</f>
        <v>2915.9999999999995</v>
      </c>
      <c r="R121" s="57">
        <f>R120*12*'Analisis Inputs Grales'!$D$28</f>
        <v>2915.9999999999995</v>
      </c>
      <c r="S121" s="57">
        <f>S120*12*'Analisis Inputs Grales'!$D$28</f>
        <v>2915.9999999999995</v>
      </c>
      <c r="T121" s="57">
        <f>T120*12*'Analisis Inputs Grales'!$D$28</f>
        <v>2915.9999999999995</v>
      </c>
      <c r="U121" s="57">
        <f>U120*12*'Analisis Inputs Grales'!$D$28</f>
        <v>2915.9999999999995</v>
      </c>
      <c r="V121" s="57">
        <f>V120*12*'Analisis Inputs Grales'!$D$28</f>
        <v>2915.9999999999995</v>
      </c>
      <c r="W121" s="57">
        <f>W120*12*'Analisis Inputs Grales'!$D$28</f>
        <v>2915.9999999999995</v>
      </c>
    </row>
    <row r="122" spans="2:23" x14ac:dyDescent="0.2">
      <c r="B122" s="33" t="s">
        <v>113</v>
      </c>
      <c r="C122" s="34" t="s">
        <v>106</v>
      </c>
      <c r="D122" s="80">
        <f>'Analisis Inputs Grales'!$D$37*('Analisis 20Años'!D120+'Analisis 20Años'!D118)</f>
        <v>5.7499999999999996E-2</v>
      </c>
      <c r="E122" s="80">
        <f>'Analisis Inputs Grales'!$D$37*('Analisis 20Años'!E120+'Analisis 20Años'!E118)</f>
        <v>5.7499999999999996E-2</v>
      </c>
      <c r="F122" s="80">
        <f>'Analisis Inputs Grales'!$D$37*('Analisis 20Años'!F120+'Analisis 20Años'!F118)</f>
        <v>5.7499999999999996E-2</v>
      </c>
      <c r="G122" s="80">
        <f>'Analisis Inputs Grales'!$D$37*('Analisis 20Años'!G120+'Analisis 20Años'!G118)</f>
        <v>5.7499999999999996E-2</v>
      </c>
      <c r="H122" s="80">
        <f>'Analisis Inputs Grales'!$D$37*('Analisis 20Años'!H120+'Analisis 20Años'!H118)</f>
        <v>5.7499999999999996E-2</v>
      </c>
      <c r="I122" s="80">
        <f>'Analisis Inputs Grales'!$D$37*('Analisis 20Años'!I120+'Analisis 20Años'!I118)</f>
        <v>5.7499999999999996E-2</v>
      </c>
      <c r="J122" s="80">
        <f>'Analisis Inputs Grales'!$D$37*('Analisis 20Años'!J120+'Analisis 20Años'!J118)</f>
        <v>5.7499999999999996E-2</v>
      </c>
      <c r="K122" s="80">
        <f>'Analisis Inputs Grales'!$D$37*('Analisis 20Años'!K120+'Analisis 20Años'!K118)</f>
        <v>5.7499999999999996E-2</v>
      </c>
      <c r="L122" s="80">
        <f>'Analisis Inputs Grales'!$D$37*('Analisis 20Años'!L120+'Analisis 20Años'!L118)</f>
        <v>5.7499999999999996E-2</v>
      </c>
      <c r="M122" s="80">
        <f>'Analisis Inputs Grales'!$D$37*('Analisis 20Años'!M120+'Analisis 20Años'!M118)</f>
        <v>5.7499999999999996E-2</v>
      </c>
      <c r="N122" s="80">
        <f>'Analisis Inputs Grales'!$D$37*('Analisis 20Años'!N120+'Analisis 20Años'!N118)</f>
        <v>5.7499999999999996E-2</v>
      </c>
      <c r="O122" s="80">
        <f>'Analisis Inputs Grales'!$D$37*('Analisis 20Años'!O120+'Analisis 20Años'!O118)</f>
        <v>5.7499999999999996E-2</v>
      </c>
      <c r="P122" s="80">
        <f>'Analisis Inputs Grales'!$D$37*('Analisis 20Años'!P120+'Analisis 20Años'!P118)</f>
        <v>5.7499999999999996E-2</v>
      </c>
      <c r="Q122" s="80">
        <f>'Analisis Inputs Grales'!$D$37*('Analisis 20Años'!Q120+'Analisis 20Años'!Q118)</f>
        <v>5.7499999999999996E-2</v>
      </c>
      <c r="R122" s="80">
        <f>'Analisis Inputs Grales'!$D$37*('Analisis 20Años'!R120+'Analisis 20Años'!R118)</f>
        <v>5.7499999999999996E-2</v>
      </c>
      <c r="S122" s="80">
        <f>'Analisis Inputs Grales'!$D$37*('Analisis 20Años'!S120+'Analisis 20Años'!S118)</f>
        <v>5.7499999999999996E-2</v>
      </c>
      <c r="T122" s="80">
        <f>'Analisis Inputs Grales'!$D$37*('Analisis 20Años'!T120+'Analisis 20Años'!T118)</f>
        <v>5.7499999999999996E-2</v>
      </c>
      <c r="U122" s="80">
        <f>'Analisis Inputs Grales'!$D$37*('Analisis 20Años'!U120+'Analisis 20Años'!U118)</f>
        <v>5.7499999999999996E-2</v>
      </c>
      <c r="V122" s="80">
        <f>'Analisis Inputs Grales'!$D$37*('Analisis 20Años'!V120+'Analisis 20Años'!V118)</f>
        <v>5.7499999999999996E-2</v>
      </c>
      <c r="W122" s="80">
        <f>'Analisis Inputs Grales'!$D$37*('Analisis 20Años'!W120+'Analisis 20Años'!W118)</f>
        <v>5.7499999999999996E-2</v>
      </c>
    </row>
    <row r="123" spans="2:23" x14ac:dyDescent="0.2">
      <c r="B123" s="35" t="s">
        <v>113</v>
      </c>
      <c r="C123" s="36" t="s">
        <v>68</v>
      </c>
      <c r="D123" s="57">
        <f>D122*12*'Analisis Inputs Grales'!$D$28</f>
        <v>8942.4</v>
      </c>
      <c r="E123" s="57">
        <f>E122*12*'Analisis Inputs Grales'!$D$28</f>
        <v>8942.4</v>
      </c>
      <c r="F123" s="57">
        <f>F122*12*'Analisis Inputs Grales'!$D$28</f>
        <v>8942.4</v>
      </c>
      <c r="G123" s="57">
        <f>G122*12*'Analisis Inputs Grales'!$D$28</f>
        <v>8942.4</v>
      </c>
      <c r="H123" s="57">
        <f>H122*12*'Analisis Inputs Grales'!$D$28</f>
        <v>8942.4</v>
      </c>
      <c r="I123" s="57">
        <f>I122*12*'Analisis Inputs Grales'!$D$28</f>
        <v>8942.4</v>
      </c>
      <c r="J123" s="57">
        <f>J122*12*'Analisis Inputs Grales'!$D$28</f>
        <v>8942.4</v>
      </c>
      <c r="K123" s="57">
        <f>K122*12*'Analisis Inputs Grales'!$D$28</f>
        <v>8942.4</v>
      </c>
      <c r="L123" s="57">
        <f>L122*12*'Analisis Inputs Grales'!$D$28</f>
        <v>8942.4</v>
      </c>
      <c r="M123" s="57">
        <f>M122*12*'Analisis Inputs Grales'!$D$28</f>
        <v>8942.4</v>
      </c>
      <c r="N123" s="57">
        <f>N122*12*'Analisis Inputs Grales'!$D$28</f>
        <v>8942.4</v>
      </c>
      <c r="O123" s="57">
        <f>O122*12*'Analisis Inputs Grales'!$D$28</f>
        <v>8942.4</v>
      </c>
      <c r="P123" s="57">
        <f>P122*12*'Analisis Inputs Grales'!$D$28</f>
        <v>8942.4</v>
      </c>
      <c r="Q123" s="57">
        <f>Q122*12*'Analisis Inputs Grales'!$D$28</f>
        <v>8942.4</v>
      </c>
      <c r="R123" s="57">
        <f>R122*12*'Analisis Inputs Grales'!$D$28</f>
        <v>8942.4</v>
      </c>
      <c r="S123" s="57">
        <f>S122*12*'Analisis Inputs Grales'!$D$28</f>
        <v>8942.4</v>
      </c>
      <c r="T123" s="57">
        <f>T122*12*'Analisis Inputs Grales'!$D$28</f>
        <v>8942.4</v>
      </c>
      <c r="U123" s="57">
        <f>U122*12*'Analisis Inputs Grales'!$D$28</f>
        <v>8942.4</v>
      </c>
      <c r="V123" s="57">
        <f>V122*12*'Analisis Inputs Grales'!$D$28</f>
        <v>8942.4</v>
      </c>
      <c r="W123" s="57">
        <f>W122*12*'Analisis Inputs Grales'!$D$28</f>
        <v>8942.4</v>
      </c>
    </row>
    <row r="124" spans="2:23" x14ac:dyDescent="0.2">
      <c r="B124" s="33" t="s">
        <v>114</v>
      </c>
      <c r="C124" s="34" t="s">
        <v>106</v>
      </c>
      <c r="D124" s="80">
        <f>D122+D120+D118</f>
        <v>0.20124999999999998</v>
      </c>
      <c r="E124" s="80">
        <f t="shared" ref="E124:G124" si="36">E122+E120+E118</f>
        <v>0.20124999999999998</v>
      </c>
      <c r="F124" s="80">
        <f t="shared" si="36"/>
        <v>0.20124999999999998</v>
      </c>
      <c r="G124" s="80">
        <f t="shared" si="36"/>
        <v>0.20124999999999998</v>
      </c>
      <c r="H124" s="80">
        <f t="shared" ref="H124:W124" si="37">H122+H120+H118</f>
        <v>0.20124999999999998</v>
      </c>
      <c r="I124" s="80">
        <f t="shared" si="37"/>
        <v>0.20124999999999998</v>
      </c>
      <c r="J124" s="80">
        <f t="shared" si="37"/>
        <v>0.20124999999999998</v>
      </c>
      <c r="K124" s="80">
        <f t="shared" si="37"/>
        <v>0.20124999999999998</v>
      </c>
      <c r="L124" s="80">
        <f t="shared" si="37"/>
        <v>0.20124999999999998</v>
      </c>
      <c r="M124" s="80">
        <f t="shared" si="37"/>
        <v>0.20124999999999998</v>
      </c>
      <c r="N124" s="80">
        <f t="shared" si="37"/>
        <v>0.20124999999999998</v>
      </c>
      <c r="O124" s="80">
        <f t="shared" si="37"/>
        <v>0.20124999999999998</v>
      </c>
      <c r="P124" s="80">
        <f t="shared" si="37"/>
        <v>0.20124999999999998</v>
      </c>
      <c r="Q124" s="80">
        <f t="shared" si="37"/>
        <v>0.20124999999999998</v>
      </c>
      <c r="R124" s="80">
        <f t="shared" si="37"/>
        <v>0.20124999999999998</v>
      </c>
      <c r="S124" s="80">
        <f t="shared" si="37"/>
        <v>0.20124999999999998</v>
      </c>
      <c r="T124" s="80">
        <f t="shared" si="37"/>
        <v>0.20124999999999998</v>
      </c>
      <c r="U124" s="80">
        <f t="shared" si="37"/>
        <v>0.20124999999999998</v>
      </c>
      <c r="V124" s="80">
        <f t="shared" si="37"/>
        <v>0.20124999999999998</v>
      </c>
      <c r="W124" s="80">
        <f t="shared" si="37"/>
        <v>0.20124999999999998</v>
      </c>
    </row>
    <row r="125" spans="2:23" x14ac:dyDescent="0.2">
      <c r="B125" s="37" t="s">
        <v>114</v>
      </c>
      <c r="C125" s="36" t="s">
        <v>68</v>
      </c>
      <c r="D125" s="57">
        <f>D123+D121+D119</f>
        <v>31298.400000000001</v>
      </c>
      <c r="E125" s="57">
        <f t="shared" ref="E125:G125" si="38">E123+E121+E119</f>
        <v>31298.400000000001</v>
      </c>
      <c r="F125" s="57">
        <f t="shared" si="38"/>
        <v>31298.400000000001</v>
      </c>
      <c r="G125" s="57">
        <f t="shared" si="38"/>
        <v>31298.400000000001</v>
      </c>
      <c r="H125" s="57">
        <f t="shared" ref="H125:W125" si="39">H123+H121+H119</f>
        <v>31298.400000000001</v>
      </c>
      <c r="I125" s="57">
        <f t="shared" si="39"/>
        <v>31298.400000000001</v>
      </c>
      <c r="J125" s="57">
        <f t="shared" si="39"/>
        <v>31298.400000000001</v>
      </c>
      <c r="K125" s="57">
        <f t="shared" si="39"/>
        <v>31298.400000000001</v>
      </c>
      <c r="L125" s="57">
        <f t="shared" si="39"/>
        <v>31298.400000000001</v>
      </c>
      <c r="M125" s="57">
        <f t="shared" si="39"/>
        <v>31298.400000000001</v>
      </c>
      <c r="N125" s="57">
        <f t="shared" si="39"/>
        <v>31298.400000000001</v>
      </c>
      <c r="O125" s="57">
        <f t="shared" si="39"/>
        <v>31298.400000000001</v>
      </c>
      <c r="P125" s="57">
        <f t="shared" si="39"/>
        <v>31298.400000000001</v>
      </c>
      <c r="Q125" s="57">
        <f t="shared" si="39"/>
        <v>31298.400000000001</v>
      </c>
      <c r="R125" s="57">
        <f t="shared" si="39"/>
        <v>31298.400000000001</v>
      </c>
      <c r="S125" s="57">
        <f t="shared" si="39"/>
        <v>31298.400000000001</v>
      </c>
      <c r="T125" s="57">
        <f t="shared" si="39"/>
        <v>31298.400000000001</v>
      </c>
      <c r="U125" s="57">
        <f t="shared" si="39"/>
        <v>31298.400000000001</v>
      </c>
      <c r="V125" s="57">
        <f t="shared" si="39"/>
        <v>31298.400000000001</v>
      </c>
      <c r="W125" s="57">
        <f t="shared" si="39"/>
        <v>31298.400000000001</v>
      </c>
    </row>
    <row r="126" spans="2:23" x14ac:dyDescent="0.2">
      <c r="B126" s="39"/>
    </row>
    <row r="127" spans="2:23" x14ac:dyDescent="0.2">
      <c r="B127" s="40" t="s">
        <v>115</v>
      </c>
      <c r="C127" s="41" t="s">
        <v>106</v>
      </c>
      <c r="D127" s="80">
        <f>+D114+D124</f>
        <v>0.39733410493827159</v>
      </c>
      <c r="E127" s="80">
        <f t="shared" ref="E127:G127" si="40">+E114+E124</f>
        <v>0.39733410493827159</v>
      </c>
      <c r="F127" s="80">
        <f t="shared" si="40"/>
        <v>0.39733410493827159</v>
      </c>
      <c r="G127" s="80">
        <f t="shared" si="40"/>
        <v>0.39733410493827159</v>
      </c>
      <c r="H127" s="80">
        <f t="shared" ref="H127:W127" si="41">+H114+H124</f>
        <v>0.39733410493827159</v>
      </c>
      <c r="I127" s="80">
        <f t="shared" si="41"/>
        <v>0.39733410493827159</v>
      </c>
      <c r="J127" s="80">
        <f t="shared" si="41"/>
        <v>0.39733410493827159</v>
      </c>
      <c r="K127" s="80">
        <f t="shared" si="41"/>
        <v>0.39733410493827159</v>
      </c>
      <c r="L127" s="80">
        <f t="shared" si="41"/>
        <v>0.39733410493827159</v>
      </c>
      <c r="M127" s="80">
        <f t="shared" si="41"/>
        <v>0.39733410493827159</v>
      </c>
      <c r="N127" s="80">
        <f t="shared" si="41"/>
        <v>0.39733410493827159</v>
      </c>
      <c r="O127" s="80">
        <f t="shared" si="41"/>
        <v>0.39733410493827159</v>
      </c>
      <c r="P127" s="80">
        <f t="shared" si="41"/>
        <v>0.39733410493827159</v>
      </c>
      <c r="Q127" s="80">
        <f t="shared" si="41"/>
        <v>0.39733410493827159</v>
      </c>
      <c r="R127" s="80">
        <f t="shared" si="41"/>
        <v>0.39733410493827159</v>
      </c>
      <c r="S127" s="80">
        <f t="shared" si="41"/>
        <v>0.39733410493827159</v>
      </c>
      <c r="T127" s="80">
        <f t="shared" si="41"/>
        <v>0.39733410493827159</v>
      </c>
      <c r="U127" s="80">
        <f t="shared" si="41"/>
        <v>0.39733410493827159</v>
      </c>
      <c r="V127" s="80">
        <f t="shared" si="41"/>
        <v>0.39733410493827159</v>
      </c>
      <c r="W127" s="80">
        <f t="shared" si="41"/>
        <v>0.39733410493827159</v>
      </c>
    </row>
    <row r="128" spans="2:23" x14ac:dyDescent="0.2">
      <c r="B128" s="42" t="s">
        <v>115</v>
      </c>
      <c r="C128" s="43" t="s">
        <v>68</v>
      </c>
      <c r="D128" s="57">
        <f>D127*12*'Analisis Inputs Grales'!$D$28</f>
        <v>61793.399999999994</v>
      </c>
      <c r="E128" s="57">
        <f>E127*12*'Analisis Inputs Grales'!$D$28</f>
        <v>61793.399999999994</v>
      </c>
      <c r="F128" s="57">
        <f>F127*12*'Analisis Inputs Grales'!$D$28</f>
        <v>61793.399999999994</v>
      </c>
      <c r="G128" s="57">
        <f>G127*12*'Analisis Inputs Grales'!$D$28</f>
        <v>61793.399999999994</v>
      </c>
      <c r="H128" s="57">
        <f>H127*12*'Analisis Inputs Grales'!$D$28</f>
        <v>61793.399999999994</v>
      </c>
      <c r="I128" s="57">
        <f>I127*12*'Analisis Inputs Grales'!$D$28</f>
        <v>61793.399999999994</v>
      </c>
      <c r="J128" s="57">
        <f>J127*12*'Analisis Inputs Grales'!$D$28</f>
        <v>61793.399999999994</v>
      </c>
      <c r="K128" s="57">
        <f>K127*12*'Analisis Inputs Grales'!$D$28</f>
        <v>61793.399999999994</v>
      </c>
      <c r="L128" s="57">
        <f>L127*12*'Analisis Inputs Grales'!$D$28</f>
        <v>61793.399999999994</v>
      </c>
      <c r="M128" s="57">
        <f>M127*12*'Analisis Inputs Grales'!$D$28</f>
        <v>61793.399999999994</v>
      </c>
      <c r="N128" s="57">
        <f>N127*12*'Analisis Inputs Grales'!$D$28</f>
        <v>61793.399999999994</v>
      </c>
      <c r="O128" s="57">
        <f>O127*12*'Analisis Inputs Grales'!$D$28</f>
        <v>61793.399999999994</v>
      </c>
      <c r="P128" s="57">
        <f>P127*12*'Analisis Inputs Grales'!$D$28</f>
        <v>61793.399999999994</v>
      </c>
      <c r="Q128" s="57">
        <f>Q127*12*'Analisis Inputs Grales'!$D$28</f>
        <v>61793.399999999994</v>
      </c>
      <c r="R128" s="57">
        <f>R127*12*'Analisis Inputs Grales'!$D$28</f>
        <v>61793.399999999994</v>
      </c>
      <c r="S128" s="57">
        <f>S127*12*'Analisis Inputs Grales'!$D$28</f>
        <v>61793.399999999994</v>
      </c>
      <c r="T128" s="57">
        <f>T127*12*'Analisis Inputs Grales'!$D$28</f>
        <v>61793.399999999994</v>
      </c>
      <c r="U128" s="57">
        <f>U127*12*'Analisis Inputs Grales'!$D$28</f>
        <v>61793.399999999994</v>
      </c>
      <c r="V128" s="57">
        <f>V127*12*'Analisis Inputs Grales'!$D$28</f>
        <v>61793.399999999994</v>
      </c>
      <c r="W128" s="57">
        <f>W127*12*'Analisis Inputs Grales'!$D$28</f>
        <v>61793.399999999994</v>
      </c>
    </row>
    <row r="129" spans="2:23" x14ac:dyDescent="0.2">
      <c r="B129" s="44"/>
      <c r="C129" s="45"/>
    </row>
    <row r="130" spans="2:23" x14ac:dyDescent="0.2">
      <c r="B130" s="46" t="s">
        <v>116</v>
      </c>
      <c r="C130" s="41" t="s">
        <v>117</v>
      </c>
      <c r="D130" s="80">
        <f>D127/'Analisis Inputs Grales'!$D$13</f>
        <v>6.622235082304527E-2</v>
      </c>
      <c r="E130" s="80">
        <f>E127/'Analisis Inputs Grales'!$D$13</f>
        <v>6.622235082304527E-2</v>
      </c>
      <c r="F130" s="80">
        <f>F127/'Analisis Inputs Grales'!$D$13</f>
        <v>6.622235082304527E-2</v>
      </c>
      <c r="G130" s="80">
        <f>G127/'Analisis Inputs Grales'!$D$13</f>
        <v>6.622235082304527E-2</v>
      </c>
      <c r="H130" s="80">
        <f>H127/'Analisis Inputs Grales'!$D$13</f>
        <v>6.622235082304527E-2</v>
      </c>
      <c r="I130" s="80">
        <f>I127/'Analisis Inputs Grales'!$D$13</f>
        <v>6.622235082304527E-2</v>
      </c>
      <c r="J130" s="80">
        <f>J127/'Analisis Inputs Grales'!$D$13</f>
        <v>6.622235082304527E-2</v>
      </c>
      <c r="K130" s="80">
        <f>K127/'Analisis Inputs Grales'!$D$13</f>
        <v>6.622235082304527E-2</v>
      </c>
      <c r="L130" s="80">
        <f>L127/'Analisis Inputs Grales'!$D$13</f>
        <v>6.622235082304527E-2</v>
      </c>
      <c r="M130" s="80">
        <f>M127/'Analisis Inputs Grales'!$D$13</f>
        <v>6.622235082304527E-2</v>
      </c>
      <c r="N130" s="80">
        <f>N127/'Analisis Inputs Grales'!$D$13</f>
        <v>6.622235082304527E-2</v>
      </c>
      <c r="O130" s="80">
        <f>O127/'Analisis Inputs Grales'!$D$13</f>
        <v>6.622235082304527E-2</v>
      </c>
      <c r="P130" s="80">
        <f>P127/'Analisis Inputs Grales'!$D$13</f>
        <v>6.622235082304527E-2</v>
      </c>
      <c r="Q130" s="80">
        <f>Q127/'Analisis Inputs Grales'!$D$13</f>
        <v>6.622235082304527E-2</v>
      </c>
      <c r="R130" s="80">
        <f>R127/'Analisis Inputs Grales'!$D$13</f>
        <v>6.622235082304527E-2</v>
      </c>
      <c r="S130" s="80">
        <f>S127/'Analisis Inputs Grales'!$D$13</f>
        <v>6.622235082304527E-2</v>
      </c>
      <c r="T130" s="80">
        <f>T127/'Analisis Inputs Grales'!$D$13</f>
        <v>6.622235082304527E-2</v>
      </c>
      <c r="U130" s="80">
        <f>U127/'Analisis Inputs Grales'!$D$13</f>
        <v>6.622235082304527E-2</v>
      </c>
      <c r="V130" s="80">
        <f>V127/'Analisis Inputs Grales'!$D$13</f>
        <v>6.622235082304527E-2</v>
      </c>
      <c r="W130" s="80">
        <f>W127/'Analisis Inputs Grales'!$D$13</f>
        <v>6.622235082304527E-2</v>
      </c>
    </row>
    <row r="131" spans="2:23" x14ac:dyDescent="0.2">
      <c r="B131" s="39" t="s">
        <v>118</v>
      </c>
      <c r="C131" s="36" t="s">
        <v>119</v>
      </c>
      <c r="D131" s="57">
        <f>D130*12*'Analisis Inputs Grales'!$D$28</f>
        <v>10298.9</v>
      </c>
      <c r="E131" s="57">
        <f>E130*12*'Analisis Inputs Grales'!$D$28</f>
        <v>10298.9</v>
      </c>
      <c r="F131" s="57">
        <f>F130*12*'Analisis Inputs Grales'!$D$28</f>
        <v>10298.9</v>
      </c>
      <c r="G131" s="57">
        <f>G130*12*'Analisis Inputs Grales'!$D$28</f>
        <v>10298.9</v>
      </c>
      <c r="H131" s="57">
        <f>H130*12*'Analisis Inputs Grales'!$D$28</f>
        <v>10298.9</v>
      </c>
      <c r="I131" s="57">
        <f>I130*12*'Analisis Inputs Grales'!$D$28</f>
        <v>10298.9</v>
      </c>
      <c r="J131" s="57">
        <f>J130*12*'Analisis Inputs Grales'!$D$28</f>
        <v>10298.9</v>
      </c>
      <c r="K131" s="57">
        <f>K130*12*'Analisis Inputs Grales'!$D$28</f>
        <v>10298.9</v>
      </c>
      <c r="L131" s="57">
        <f>L130*12*'Analisis Inputs Grales'!$D$28</f>
        <v>10298.9</v>
      </c>
      <c r="M131" s="57">
        <f>M130*12*'Analisis Inputs Grales'!$D$28</f>
        <v>10298.9</v>
      </c>
      <c r="N131" s="57">
        <f>N130*12*'Analisis Inputs Grales'!$D$28</f>
        <v>10298.9</v>
      </c>
      <c r="O131" s="57">
        <f>O130*12*'Analisis Inputs Grales'!$D$28</f>
        <v>10298.9</v>
      </c>
      <c r="P131" s="57">
        <f>P130*12*'Analisis Inputs Grales'!$D$28</f>
        <v>10298.9</v>
      </c>
      <c r="Q131" s="57">
        <f>Q130*12*'Analisis Inputs Grales'!$D$28</f>
        <v>10298.9</v>
      </c>
      <c r="R131" s="57">
        <f>R130*12*'Analisis Inputs Grales'!$D$28</f>
        <v>10298.9</v>
      </c>
      <c r="S131" s="57">
        <f>S130*12*'Analisis Inputs Grales'!$D$28</f>
        <v>10298.9</v>
      </c>
      <c r="T131" s="57">
        <f>T130*12*'Analisis Inputs Grales'!$D$28</f>
        <v>10298.9</v>
      </c>
      <c r="U131" s="57">
        <f>U130*12*'Analisis Inputs Grales'!$D$28</f>
        <v>10298.9</v>
      </c>
      <c r="V131" s="57">
        <f>V130*12*'Analisis Inputs Grales'!$D$28</f>
        <v>10298.9</v>
      </c>
      <c r="W131" s="57">
        <f>W130*12*'Analisis Inputs Grales'!$D$28</f>
        <v>10298.9</v>
      </c>
    </row>
    <row r="132" spans="2:23" x14ac:dyDescent="0.2">
      <c r="B132" s="39" t="s">
        <v>146</v>
      </c>
      <c r="C132" s="36" t="s">
        <v>147</v>
      </c>
      <c r="D132" s="80">
        <f>'Analisis Inputs Grales'!$D$34*'Analisis 20Años'!D130/60</f>
        <v>6.622235082304527E-2</v>
      </c>
      <c r="E132" s="80">
        <f>'Analisis Inputs Grales'!$D$34*'Analisis 20Años'!E130/60</f>
        <v>6.622235082304527E-2</v>
      </c>
      <c r="F132" s="80">
        <f>'Analisis Inputs Grales'!$D$34*'Analisis 20Años'!F130/60</f>
        <v>6.622235082304527E-2</v>
      </c>
      <c r="G132" s="80">
        <f>'Analisis Inputs Grales'!$D$34*'Analisis 20Años'!G130/60</f>
        <v>6.622235082304527E-2</v>
      </c>
      <c r="H132" s="80">
        <f>'Analisis Inputs Grales'!$D$34*'Analisis 20Años'!H130/60</f>
        <v>6.622235082304527E-2</v>
      </c>
      <c r="I132" s="80">
        <f>'Analisis Inputs Grales'!$D$34*'Analisis 20Años'!I130/60</f>
        <v>6.622235082304527E-2</v>
      </c>
      <c r="J132" s="80">
        <f>'Analisis Inputs Grales'!$D$34*'Analisis 20Años'!J130/60</f>
        <v>6.622235082304527E-2</v>
      </c>
      <c r="K132" s="80">
        <f>'Analisis Inputs Grales'!$D$34*'Analisis 20Años'!K130/60</f>
        <v>6.622235082304527E-2</v>
      </c>
      <c r="L132" s="80">
        <f>'Analisis Inputs Grales'!$D$34*'Analisis 20Años'!L130/60</f>
        <v>6.622235082304527E-2</v>
      </c>
      <c r="M132" s="80">
        <f>'Analisis Inputs Grales'!$D$34*'Analisis 20Años'!M130/60</f>
        <v>6.622235082304527E-2</v>
      </c>
      <c r="N132" s="80">
        <f>'Analisis Inputs Grales'!$D$34*'Analisis 20Años'!N130/60</f>
        <v>6.622235082304527E-2</v>
      </c>
      <c r="O132" s="80">
        <f>'Analisis Inputs Grales'!$D$34*'Analisis 20Años'!O130/60</f>
        <v>6.622235082304527E-2</v>
      </c>
      <c r="P132" s="80">
        <f>'Analisis Inputs Grales'!$D$34*'Analisis 20Años'!P130/60</f>
        <v>6.622235082304527E-2</v>
      </c>
      <c r="Q132" s="80">
        <f>'Analisis Inputs Grales'!$D$34*'Analisis 20Años'!Q130/60</f>
        <v>6.622235082304527E-2</v>
      </c>
      <c r="R132" s="80">
        <f>'Analisis Inputs Grales'!$D$34*'Analisis 20Años'!R130/60</f>
        <v>6.622235082304527E-2</v>
      </c>
      <c r="S132" s="80">
        <f>'Analisis Inputs Grales'!$D$34*'Analisis 20Años'!S130/60</f>
        <v>6.622235082304527E-2</v>
      </c>
      <c r="T132" s="80">
        <f>'Analisis Inputs Grales'!$D$34*'Analisis 20Años'!T130/60</f>
        <v>6.622235082304527E-2</v>
      </c>
      <c r="U132" s="80">
        <f>'Analisis Inputs Grales'!$D$34*'Analisis 20Años'!U130/60</f>
        <v>6.622235082304527E-2</v>
      </c>
      <c r="V132" s="80">
        <f>'Analisis Inputs Grales'!$D$34*'Analisis 20Años'!V130/60</f>
        <v>6.622235082304527E-2</v>
      </c>
      <c r="W132" s="80">
        <f>'Analisis Inputs Grales'!$D$34*'Analisis 20Años'!W130/60</f>
        <v>6.622235082304527E-2</v>
      </c>
    </row>
    <row r="133" spans="2:23" x14ac:dyDescent="0.2">
      <c r="B133" s="39"/>
      <c r="C133" s="36"/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</row>
    <row r="134" spans="2:23" x14ac:dyDescent="0.2">
      <c r="B134" s="70" t="s">
        <v>148</v>
      </c>
      <c r="C134" s="71" t="s">
        <v>23</v>
      </c>
      <c r="D134" s="80">
        <f>(1+'Analisis Inputs Grales'!$D$117)^'Analisis 20Años'!D$3</f>
        <v>1</v>
      </c>
      <c r="E134" s="80">
        <f>(1+'Analisis Inputs Grales'!$D$117)^'Analisis 20Años'!E$3</f>
        <v>1.1200000000000001</v>
      </c>
      <c r="F134" s="80">
        <f>(1+'Analisis Inputs Grales'!$D$117)^'Analisis 20Años'!F$3</f>
        <v>1.2544000000000002</v>
      </c>
      <c r="G134" s="80">
        <f>(1+'Analisis Inputs Grales'!$D$117)^'Analisis 20Años'!G$3</f>
        <v>1.4049280000000004</v>
      </c>
      <c r="H134" s="80">
        <f>(1+'Analisis Inputs Grales'!$D$117)^'Analisis 20Años'!H$3</f>
        <v>1.5735193600000004</v>
      </c>
      <c r="I134" s="80">
        <f>(1+'Analisis Inputs Grales'!$D$117)^'Analisis 20Años'!I$3</f>
        <v>1.7623416832000005</v>
      </c>
      <c r="J134" s="80">
        <f>(1+'Analisis Inputs Grales'!$D$117)^'Analisis 20Años'!J$3</f>
        <v>1.9738226851840008</v>
      </c>
      <c r="K134" s="80">
        <f>(1+'Analisis Inputs Grales'!$D$117)^'Analisis 20Años'!K$3</f>
        <v>2.210681407406081</v>
      </c>
      <c r="L134" s="80">
        <f>(1+'Analisis Inputs Grales'!$D$117)^'Analisis 20Años'!L$3</f>
        <v>2.4759631762948109</v>
      </c>
      <c r="M134" s="80">
        <f>(1+'Analisis Inputs Grales'!$D$117)^'Analisis 20Años'!M$3</f>
        <v>2.7730787574501883</v>
      </c>
      <c r="N134" s="80">
        <f>(1+'Analisis Inputs Grales'!$D$117)^'Analisis 20Años'!N$3</f>
        <v>3.1058482083442112</v>
      </c>
      <c r="O134" s="80">
        <f>(1+'Analisis Inputs Grales'!$D$117)^'Analisis 20Años'!O$3</f>
        <v>3.4785499933455171</v>
      </c>
      <c r="P134" s="80">
        <f>(1+'Analisis Inputs Grales'!$D$117)^'Analisis 20Años'!P$3</f>
        <v>3.8959759925469788</v>
      </c>
      <c r="Q134" s="80">
        <f>(1+'Analisis Inputs Grales'!$D$117)^'Analisis 20Años'!Q$3</f>
        <v>4.363493111652617</v>
      </c>
      <c r="R134" s="80">
        <f>(1+'Analisis Inputs Grales'!$D$117)^'Analisis 20Años'!R$3</f>
        <v>4.8871122850509314</v>
      </c>
      <c r="S134" s="80">
        <f>(1+'Analisis Inputs Grales'!$D$117)^'Analisis 20Años'!S$3</f>
        <v>5.4735657592570428</v>
      </c>
      <c r="T134" s="80">
        <f>(1+'Analisis Inputs Grales'!$D$117)^'Analisis 20Años'!T$3</f>
        <v>6.1303936503678891</v>
      </c>
      <c r="U134" s="80">
        <f>(1+'Analisis Inputs Grales'!$D$117)^'Analisis 20Años'!U$3</f>
        <v>6.8660408884120363</v>
      </c>
      <c r="V134" s="80">
        <f>(1+'Analisis Inputs Grales'!$D$117)^'Analisis 20Años'!V$3</f>
        <v>7.6899657950214815</v>
      </c>
      <c r="W134" s="80">
        <f>(1+'Analisis Inputs Grales'!$D$117)^'Analisis 20Años'!W$3</f>
        <v>8.61276169042406</v>
      </c>
    </row>
    <row r="135" spans="2:23" x14ac:dyDescent="0.2">
      <c r="B135" s="70" t="s">
        <v>149</v>
      </c>
      <c r="C135" s="71" t="s">
        <v>147</v>
      </c>
      <c r="D135" s="80">
        <f>D132*D134</f>
        <v>6.622235082304527E-2</v>
      </c>
      <c r="E135" s="80">
        <f t="shared" ref="E135:W135" si="42">E132*E134</f>
        <v>7.4169032921810707E-2</v>
      </c>
      <c r="F135" s="80">
        <f t="shared" si="42"/>
        <v>8.3069316872427995E-2</v>
      </c>
      <c r="G135" s="80">
        <f t="shared" si="42"/>
        <v>9.3037634897119373E-2</v>
      </c>
      <c r="H135" s="80">
        <f t="shared" si="42"/>
        <v>0.10420215108477369</v>
      </c>
      <c r="I135" s="80">
        <f t="shared" si="42"/>
        <v>0.11670640921494654</v>
      </c>
      <c r="J135" s="80">
        <f t="shared" si="42"/>
        <v>0.13071117832074014</v>
      </c>
      <c r="K135" s="80">
        <f t="shared" si="42"/>
        <v>0.14639651971922896</v>
      </c>
      <c r="L135" s="80">
        <f t="shared" si="42"/>
        <v>0.16396410208553644</v>
      </c>
      <c r="M135" s="80">
        <f t="shared" si="42"/>
        <v>0.18363979433580083</v>
      </c>
      <c r="N135" s="80">
        <f t="shared" si="42"/>
        <v>0.20567656965609696</v>
      </c>
      <c r="O135" s="80">
        <f t="shared" si="42"/>
        <v>0.23035775801482863</v>
      </c>
      <c r="P135" s="80">
        <f t="shared" si="42"/>
        <v>0.25800068897660805</v>
      </c>
      <c r="Q135" s="80">
        <f t="shared" si="42"/>
        <v>0.28896077165380107</v>
      </c>
      <c r="R135" s="80">
        <f t="shared" si="42"/>
        <v>0.32363606425225722</v>
      </c>
      <c r="S135" s="80">
        <f t="shared" si="42"/>
        <v>0.36247239196252806</v>
      </c>
      <c r="T135" s="80">
        <f t="shared" si="42"/>
        <v>0.40596907899803147</v>
      </c>
      <c r="U135" s="80">
        <f t="shared" si="42"/>
        <v>0.45468536847779528</v>
      </c>
      <c r="V135" s="80">
        <f t="shared" si="42"/>
        <v>0.50924761269513075</v>
      </c>
      <c r="W135" s="80">
        <f t="shared" si="42"/>
        <v>0.57035732621854651</v>
      </c>
    </row>
    <row r="136" spans="2:23" ht="15" x14ac:dyDescent="0.25">
      <c r="B136" s="72" t="s">
        <v>151</v>
      </c>
      <c r="C136" s="71" t="s">
        <v>147</v>
      </c>
      <c r="D136" s="82">
        <f>SUM(D135:W135)</f>
        <v>4.7714821211810543</v>
      </c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</row>
    <row r="137" spans="2:23" ht="15" thickBot="1" x14ac:dyDescent="0.25">
      <c r="B137" s="39"/>
      <c r="C137" s="36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</row>
    <row r="138" spans="2:23" x14ac:dyDescent="0.2">
      <c r="B138" s="147" t="s">
        <v>153</v>
      </c>
      <c r="C138" s="74">
        <v>5</v>
      </c>
      <c r="D138" s="76">
        <f>D33</f>
        <v>7.1286008230452683E-2</v>
      </c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</row>
    <row r="139" spans="2:23" x14ac:dyDescent="0.2">
      <c r="B139" s="148"/>
      <c r="C139" s="73">
        <v>10</v>
      </c>
      <c r="D139" s="77">
        <f>D66</f>
        <v>6.7910236625514403E-2</v>
      </c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</row>
    <row r="140" spans="2:23" x14ac:dyDescent="0.2">
      <c r="B140" s="148"/>
      <c r="C140" s="73">
        <v>15</v>
      </c>
      <c r="D140" s="77">
        <f>D99</f>
        <v>6.678497942386831E-2</v>
      </c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</row>
    <row r="141" spans="2:23" ht="15" thickBot="1" x14ac:dyDescent="0.25">
      <c r="B141" s="149"/>
      <c r="C141" s="75">
        <v>20</v>
      </c>
      <c r="D141" s="78">
        <f>D132</f>
        <v>6.622235082304527E-2</v>
      </c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</row>
    <row r="142" spans="2:23" x14ac:dyDescent="0.2">
      <c r="B142" s="39"/>
      <c r="C142" s="36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</row>
    <row r="143" spans="2:23" x14ac:dyDescent="0.2">
      <c r="B143" s="39"/>
      <c r="C143" s="36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</row>
    <row r="144" spans="2:23" ht="18.75" thickBot="1" x14ac:dyDescent="0.3">
      <c r="B144" s="67" t="s">
        <v>154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</row>
    <row r="145" spans="2:23" ht="16.5" thickBot="1" x14ac:dyDescent="0.3">
      <c r="B145" s="69" t="s">
        <v>81</v>
      </c>
      <c r="C145" s="68">
        <v>5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</row>
    <row r="146" spans="2:23" ht="15.75" x14ac:dyDescent="0.25">
      <c r="B146" s="66" t="s">
        <v>104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</row>
    <row r="147" spans="2:23" x14ac:dyDescent="0.2">
      <c r="B147" s="33" t="s">
        <v>105</v>
      </c>
      <c r="C147" s="34" t="s">
        <v>106</v>
      </c>
      <c r="D147" s="80">
        <f>'Analisis Inputs Grales'!$D$66*('Analisis Inputs Grales'!$D$117/12)/'Analisis Inputs Grales'!$D$65</f>
        <v>0.11342592592592593</v>
      </c>
      <c r="E147" s="80">
        <f>'Analisis Inputs Grales'!$D$66*('Analisis Inputs Grales'!$D$117/12)/'Analisis Inputs Grales'!$D$65</f>
        <v>0.11342592592592593</v>
      </c>
      <c r="F147" s="80">
        <f>'Analisis Inputs Grales'!$D$66*('Analisis Inputs Grales'!$D$117/12)/'Analisis Inputs Grales'!$D$65</f>
        <v>0.11342592592592593</v>
      </c>
      <c r="G147" s="80">
        <f>'Analisis Inputs Grales'!$D$66*('Analisis Inputs Grales'!$D$117/12)/'Analisis Inputs Grales'!$D$65</f>
        <v>0.11342592592592593</v>
      </c>
      <c r="H147" s="80">
        <f>'Analisis Inputs Grales'!$D$66*('Analisis Inputs Grales'!$D$117/12)/'Analisis Inputs Grales'!$D$65</f>
        <v>0.11342592592592593</v>
      </c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</row>
    <row r="148" spans="2:23" x14ac:dyDescent="0.2">
      <c r="B148" s="35" t="s">
        <v>105</v>
      </c>
      <c r="C148" s="36" t="s">
        <v>68</v>
      </c>
      <c r="D148" s="57">
        <f>D147*12*'Analisis Inputs Grales'!$D$65</f>
        <v>17640</v>
      </c>
      <c r="E148" s="57">
        <f>E147*12*'Analisis Inputs Grales'!$D$65</f>
        <v>17640</v>
      </c>
      <c r="F148" s="57">
        <f>F147*12*'Analisis Inputs Grales'!$D$65</f>
        <v>17640</v>
      </c>
      <c r="G148" s="57">
        <f>G147*12*'Analisis Inputs Grales'!$D$65</f>
        <v>17640</v>
      </c>
      <c r="H148" s="57">
        <f>H147*12*'Analisis Inputs Grales'!$D$65</f>
        <v>17640</v>
      </c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</row>
    <row r="149" spans="2:23" x14ac:dyDescent="0.2">
      <c r="B149" s="33" t="s">
        <v>107</v>
      </c>
      <c r="C149" s="34" t="s">
        <v>106</v>
      </c>
      <c r="D149" s="80">
        <f>('Analisis Inputs Grales'!$D$66-'Analisis Inputs Grales'!$D$69*'Analisis Inputs Grales'!$D$66)/('Analisis Inputs Grales'!$D$65*12*$C$145)</f>
        <v>0.1701388888888889</v>
      </c>
      <c r="E149" s="80">
        <f>('Analisis Inputs Grales'!$D$66-'Analisis Inputs Grales'!$D$69*'Analisis Inputs Grales'!$D$66)/('Analisis Inputs Grales'!$D$65*12*$C$145)</f>
        <v>0.1701388888888889</v>
      </c>
      <c r="F149" s="80">
        <f>('Analisis Inputs Grales'!$D$66-'Analisis Inputs Grales'!$D$69*'Analisis Inputs Grales'!$D$66)/('Analisis Inputs Grales'!$D$65*12*$C$145)</f>
        <v>0.1701388888888889</v>
      </c>
      <c r="G149" s="80">
        <f>('Analisis Inputs Grales'!$D$66-'Analisis Inputs Grales'!$D$69*'Analisis Inputs Grales'!$D$66)/('Analisis Inputs Grales'!$D$65*12*$C$145)</f>
        <v>0.1701388888888889</v>
      </c>
      <c r="H149" s="80">
        <f>('Analisis Inputs Grales'!$D$66-'Analisis Inputs Grales'!$D$69*'Analisis Inputs Grales'!$D$66)/('Analisis Inputs Grales'!$D$65*12*$C$145)</f>
        <v>0.1701388888888889</v>
      </c>
      <c r="I149" s="55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</row>
    <row r="150" spans="2:23" x14ac:dyDescent="0.2">
      <c r="B150" s="35" t="s">
        <v>107</v>
      </c>
      <c r="C150" s="36" t="s">
        <v>68</v>
      </c>
      <c r="D150" s="57">
        <f>D149*12*'Analisis Inputs Grales'!$D$65</f>
        <v>26460.000000000004</v>
      </c>
      <c r="E150" s="57">
        <f>E149*12*'Analisis Inputs Grales'!$D$65</f>
        <v>26460.000000000004</v>
      </c>
      <c r="F150" s="57">
        <f>F149*12*'Analisis Inputs Grales'!$D$65</f>
        <v>26460.000000000004</v>
      </c>
      <c r="G150" s="57">
        <f>G149*12*'Analisis Inputs Grales'!$D$65</f>
        <v>26460.000000000004</v>
      </c>
      <c r="H150" s="57">
        <f>H149*12*'Analisis Inputs Grales'!$D$65</f>
        <v>26460.000000000004</v>
      </c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</row>
    <row r="151" spans="2:23" x14ac:dyDescent="0.2">
      <c r="B151" s="33" t="s">
        <v>108</v>
      </c>
      <c r="C151" s="34" t="s">
        <v>106</v>
      </c>
      <c r="D151" s="80">
        <f>'Analisis Inputs Grales'!$D$58/'Analisis Inputs Grales'!$D$65</f>
        <v>3.8580246913580245E-2</v>
      </c>
      <c r="E151" s="80">
        <f>'Analisis Inputs Grales'!$D$58/'Analisis Inputs Grales'!$D$65</f>
        <v>3.8580246913580245E-2</v>
      </c>
      <c r="F151" s="80">
        <f>'Analisis Inputs Grales'!$D$58/'Analisis Inputs Grales'!$D$65</f>
        <v>3.8580246913580245E-2</v>
      </c>
      <c r="G151" s="80">
        <f>'Analisis Inputs Grales'!$D$58/'Analisis Inputs Grales'!$D$65</f>
        <v>3.8580246913580245E-2</v>
      </c>
      <c r="H151" s="80">
        <f>'Analisis Inputs Grales'!$D$58/'Analisis Inputs Grales'!$D$65</f>
        <v>3.8580246913580245E-2</v>
      </c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</row>
    <row r="152" spans="2:23" x14ac:dyDescent="0.2">
      <c r="B152" s="37" t="s">
        <v>108</v>
      </c>
      <c r="C152" s="38" t="s">
        <v>68</v>
      </c>
      <c r="D152" s="57">
        <f>D151*12*'Analisis Inputs Grales'!$D$65</f>
        <v>5999.9999999999991</v>
      </c>
      <c r="E152" s="57">
        <f>E151*12*'Analisis Inputs Grales'!$D$65</f>
        <v>5999.9999999999991</v>
      </c>
      <c r="F152" s="57">
        <f>F151*12*'Analisis Inputs Grales'!$D$65</f>
        <v>5999.9999999999991</v>
      </c>
      <c r="G152" s="57">
        <f>G151*12*'Analisis Inputs Grales'!$D$65</f>
        <v>5999.9999999999991</v>
      </c>
      <c r="H152" s="57">
        <f>H151*12*'Analisis Inputs Grales'!$D$65</f>
        <v>5999.9999999999991</v>
      </c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</row>
    <row r="153" spans="2:23" x14ac:dyDescent="0.2">
      <c r="B153" s="33" t="s">
        <v>109</v>
      </c>
      <c r="C153" s="34" t="s">
        <v>106</v>
      </c>
      <c r="D153" s="80">
        <f>D151+D149+D147</f>
        <v>0.32214506172839508</v>
      </c>
      <c r="E153" s="80">
        <f t="shared" ref="E153:H153" si="43">E151+E149+E147</f>
        <v>0.32214506172839508</v>
      </c>
      <c r="F153" s="80">
        <f t="shared" si="43"/>
        <v>0.32214506172839508</v>
      </c>
      <c r="G153" s="80">
        <f t="shared" si="43"/>
        <v>0.32214506172839508</v>
      </c>
      <c r="H153" s="80">
        <f t="shared" si="43"/>
        <v>0.32214506172839508</v>
      </c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</row>
    <row r="154" spans="2:23" x14ac:dyDescent="0.2">
      <c r="B154" s="35" t="s">
        <v>109</v>
      </c>
      <c r="C154" s="36" t="s">
        <v>68</v>
      </c>
      <c r="D154" s="57">
        <f>D153*12*'Analisis Inputs Grales'!$D$65</f>
        <v>50100</v>
      </c>
      <c r="E154" s="57">
        <f>E153*12*'Analisis Inputs Grales'!$D$65</f>
        <v>50100</v>
      </c>
      <c r="F154" s="57">
        <f>F153*12*'Analisis Inputs Grales'!$D$65</f>
        <v>50100</v>
      </c>
      <c r="G154" s="57">
        <f>G153*12*'Analisis Inputs Grales'!$D$65</f>
        <v>50100</v>
      </c>
      <c r="H154" s="57">
        <f>H153*12*'Analisis Inputs Grales'!$D$65</f>
        <v>50100</v>
      </c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</row>
    <row r="155" spans="2:23" x14ac:dyDescent="0.2">
      <c r="C155" s="36"/>
    </row>
    <row r="156" spans="2:23" ht="15" x14ac:dyDescent="0.25">
      <c r="B156" s="32" t="s">
        <v>110</v>
      </c>
      <c r="C156" s="36"/>
    </row>
    <row r="157" spans="2:23" x14ac:dyDescent="0.2">
      <c r="B157" s="33" t="s">
        <v>111</v>
      </c>
      <c r="C157" s="34" t="s">
        <v>106</v>
      </c>
      <c r="D157" s="80">
        <f>'Analisis Inputs Grales'!$D$72/('Analisis Inputs Grales'!$D$70*'Analisis Inputs Grales'!$D$71/60)</f>
        <v>0.15909090909090906</v>
      </c>
      <c r="E157" s="80">
        <f>'Analisis Inputs Grales'!$D$72/('Analisis Inputs Grales'!$D$70*'Analisis Inputs Grales'!$D$71/60)</f>
        <v>0.15909090909090906</v>
      </c>
      <c r="F157" s="80">
        <f>'Analisis Inputs Grales'!$D$72/('Analisis Inputs Grales'!$D$70*'Analisis Inputs Grales'!$D$71/60)</f>
        <v>0.15909090909090906</v>
      </c>
      <c r="G157" s="80">
        <f>'Analisis Inputs Grales'!$D$72/('Analisis Inputs Grales'!$D$70*'Analisis Inputs Grales'!$D$71/60)</f>
        <v>0.15909090909090906</v>
      </c>
      <c r="H157" s="80">
        <f>'Analisis Inputs Grales'!$D$72/('Analisis Inputs Grales'!$D$70*'Analisis Inputs Grales'!$D$71/60)</f>
        <v>0.15909090909090906</v>
      </c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</row>
    <row r="158" spans="2:23" x14ac:dyDescent="0.2">
      <c r="B158" s="35" t="s">
        <v>111</v>
      </c>
      <c r="C158" s="36" t="s">
        <v>68</v>
      </c>
      <c r="D158" s="57">
        <f>D157*12*'Analisis Inputs Grales'!$D$65</f>
        <v>24741.818181818177</v>
      </c>
      <c r="E158" s="57">
        <f>E157*12*'Analisis Inputs Grales'!$D$65</f>
        <v>24741.818181818177</v>
      </c>
      <c r="F158" s="57">
        <f>F157*12*'Analisis Inputs Grales'!$D$65</f>
        <v>24741.818181818177</v>
      </c>
      <c r="G158" s="57">
        <f>G157*12*'Analisis Inputs Grales'!$D$65</f>
        <v>24741.818181818177</v>
      </c>
      <c r="H158" s="57">
        <f>H157*12*'Analisis Inputs Grales'!$D$65</f>
        <v>24741.818181818177</v>
      </c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</row>
    <row r="159" spans="2:23" x14ac:dyDescent="0.2">
      <c r="B159" s="33" t="s">
        <v>112</v>
      </c>
      <c r="C159" s="34" t="s">
        <v>106</v>
      </c>
      <c r="D159" s="80">
        <f>'Analisis Inputs Grales'!$D$73*'Analisis 20Años'!D157</f>
        <v>2.3863636363636358E-2</v>
      </c>
      <c r="E159" s="80">
        <f>'Analisis Inputs Grales'!$D$73*'Analisis 20Años'!E157</f>
        <v>2.3863636363636358E-2</v>
      </c>
      <c r="F159" s="80">
        <f>'Analisis Inputs Grales'!$D$73*'Analisis 20Años'!F157</f>
        <v>2.3863636363636358E-2</v>
      </c>
      <c r="G159" s="80">
        <f>'Analisis Inputs Grales'!$D$73*'Analisis 20Años'!G157</f>
        <v>2.3863636363636358E-2</v>
      </c>
      <c r="H159" s="80">
        <f>'Analisis Inputs Grales'!$D$73*'Analisis 20Años'!H157</f>
        <v>2.3863636363636358E-2</v>
      </c>
      <c r="I159" s="80"/>
      <c r="J159" s="80"/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</row>
    <row r="160" spans="2:23" x14ac:dyDescent="0.2">
      <c r="B160" s="35" t="s">
        <v>112</v>
      </c>
      <c r="C160" s="36" t="s">
        <v>68</v>
      </c>
      <c r="D160" s="57">
        <f>D159*12*'Analisis Inputs Grales'!$D$65</f>
        <v>3711.2727272727261</v>
      </c>
      <c r="E160" s="57">
        <f>E159*12*'Analisis Inputs Grales'!$D$65</f>
        <v>3711.2727272727261</v>
      </c>
      <c r="F160" s="57">
        <f>F159*12*'Analisis Inputs Grales'!$D$65</f>
        <v>3711.2727272727261</v>
      </c>
      <c r="G160" s="57">
        <f>G159*12*'Analisis Inputs Grales'!$D$65</f>
        <v>3711.2727272727261</v>
      </c>
      <c r="H160" s="57">
        <f>H159*12*'Analisis Inputs Grales'!$D$65</f>
        <v>3711.2727272727261</v>
      </c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</row>
    <row r="161" spans="2:23" x14ac:dyDescent="0.2">
      <c r="B161" s="33" t="s">
        <v>113</v>
      </c>
      <c r="C161" s="34" t="s">
        <v>106</v>
      </c>
      <c r="D161" s="80">
        <f>'Analisis Inputs Grales'!$D$74*('Analisis 20Años'!D157+'Analisis 20Años'!D159)</f>
        <v>7.3181818181818167E-2</v>
      </c>
      <c r="E161" s="80">
        <f>'Analisis Inputs Grales'!$D$74*('Analisis 20Años'!E157+'Analisis 20Años'!E159)</f>
        <v>7.3181818181818167E-2</v>
      </c>
      <c r="F161" s="80">
        <f>'Analisis Inputs Grales'!$D$74*('Analisis 20Años'!F157+'Analisis 20Años'!F159)</f>
        <v>7.3181818181818167E-2</v>
      </c>
      <c r="G161" s="80">
        <f>'Analisis Inputs Grales'!$D$74*('Analisis 20Años'!G157+'Analisis 20Años'!G159)</f>
        <v>7.3181818181818167E-2</v>
      </c>
      <c r="H161" s="80">
        <f>'Analisis Inputs Grales'!$D$74*('Analisis 20Años'!H157+'Analisis 20Años'!H159)</f>
        <v>7.3181818181818167E-2</v>
      </c>
      <c r="I161" s="80"/>
      <c r="J161" s="80"/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</row>
    <row r="162" spans="2:23" x14ac:dyDescent="0.2">
      <c r="B162" s="35" t="s">
        <v>113</v>
      </c>
      <c r="C162" s="36" t="s">
        <v>68</v>
      </c>
      <c r="D162" s="57">
        <f>D161*12*'Analisis Inputs Grales'!$D$65</f>
        <v>11381.236363636361</v>
      </c>
      <c r="E162" s="57">
        <f>E161*12*'Analisis Inputs Grales'!$D$65</f>
        <v>11381.236363636361</v>
      </c>
      <c r="F162" s="57">
        <f>F161*12*'Analisis Inputs Grales'!$D$65</f>
        <v>11381.236363636361</v>
      </c>
      <c r="G162" s="57">
        <f>G161*12*'Analisis Inputs Grales'!$D$65</f>
        <v>11381.236363636361</v>
      </c>
      <c r="H162" s="57">
        <f>H161*12*'Analisis Inputs Grales'!$D$65</f>
        <v>11381.236363636361</v>
      </c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</row>
    <row r="163" spans="2:23" x14ac:dyDescent="0.2">
      <c r="B163" s="33" t="s">
        <v>114</v>
      </c>
      <c r="C163" s="34" t="s">
        <v>106</v>
      </c>
      <c r="D163" s="80">
        <f>D161+D159+D157</f>
        <v>0.25613636363636361</v>
      </c>
      <c r="E163" s="80">
        <f t="shared" ref="E163:H163" si="44">E161+E159+E157</f>
        <v>0.25613636363636361</v>
      </c>
      <c r="F163" s="80">
        <f t="shared" si="44"/>
        <v>0.25613636363636361</v>
      </c>
      <c r="G163" s="80">
        <f t="shared" si="44"/>
        <v>0.25613636363636361</v>
      </c>
      <c r="H163" s="80">
        <f t="shared" si="44"/>
        <v>0.25613636363636361</v>
      </c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</row>
    <row r="164" spans="2:23" x14ac:dyDescent="0.2">
      <c r="B164" s="37" t="s">
        <v>114</v>
      </c>
      <c r="C164" s="36" t="s">
        <v>68</v>
      </c>
      <c r="D164" s="57">
        <f>D163*12*'Analisis Inputs Grales'!$D$65</f>
        <v>39834.327272727271</v>
      </c>
      <c r="E164" s="57">
        <f>E163*12*'Analisis Inputs Grales'!$D$65</f>
        <v>39834.327272727271</v>
      </c>
      <c r="F164" s="57">
        <f>F163*12*'Analisis Inputs Grales'!$D$65</f>
        <v>39834.327272727271</v>
      </c>
      <c r="G164" s="57">
        <f>G163*12*'Analisis Inputs Grales'!$D$65</f>
        <v>39834.327272727271</v>
      </c>
      <c r="H164" s="57">
        <f>H163*12*'Analisis Inputs Grales'!$D$65</f>
        <v>39834.327272727271</v>
      </c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</row>
    <row r="165" spans="2:23" x14ac:dyDescent="0.2">
      <c r="B165" s="39"/>
    </row>
    <row r="166" spans="2:23" x14ac:dyDescent="0.2">
      <c r="B166" s="40" t="s">
        <v>115</v>
      </c>
      <c r="C166" s="41" t="s">
        <v>106</v>
      </c>
      <c r="D166" s="80">
        <f>+D153+D163</f>
        <v>0.57828142536475868</v>
      </c>
      <c r="E166" s="80">
        <f t="shared" ref="E166:H166" si="45">+E153+E163</f>
        <v>0.57828142536475868</v>
      </c>
      <c r="F166" s="80">
        <f t="shared" si="45"/>
        <v>0.57828142536475868</v>
      </c>
      <c r="G166" s="80">
        <f t="shared" si="45"/>
        <v>0.57828142536475868</v>
      </c>
      <c r="H166" s="80">
        <f t="shared" si="45"/>
        <v>0.57828142536475868</v>
      </c>
      <c r="I166" s="80"/>
      <c r="J166" s="80"/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</row>
    <row r="167" spans="2:23" x14ac:dyDescent="0.2">
      <c r="B167" s="42" t="s">
        <v>115</v>
      </c>
      <c r="C167" s="43" t="s">
        <v>68</v>
      </c>
      <c r="D167" s="57">
        <f>D166*12*'Analisis Inputs Grales'!$D$65</f>
        <v>89934.327272727271</v>
      </c>
      <c r="E167" s="57">
        <f>E166*12*'Analisis Inputs Grales'!$D$65</f>
        <v>89934.327272727271</v>
      </c>
      <c r="F167" s="57">
        <f>F166*12*'Analisis Inputs Grales'!$D$65</f>
        <v>89934.327272727271</v>
      </c>
      <c r="G167" s="57">
        <f>G166*12*'Analisis Inputs Grales'!$D$65</f>
        <v>89934.327272727271</v>
      </c>
      <c r="H167" s="57">
        <f>H166*12*'Analisis Inputs Grales'!$D$65</f>
        <v>89934.327272727271</v>
      </c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</row>
    <row r="168" spans="2:23" x14ac:dyDescent="0.2">
      <c r="B168" s="44"/>
      <c r="C168" s="45"/>
    </row>
    <row r="169" spans="2:23" x14ac:dyDescent="0.2">
      <c r="B169" s="46" t="s">
        <v>116</v>
      </c>
      <c r="C169" s="41" t="s">
        <v>117</v>
      </c>
      <c r="D169" s="80">
        <f>D166/('Analisis Inputs Grales'!$D$50)</f>
        <v>2.065290804874138E-2</v>
      </c>
      <c r="E169" s="80">
        <f>E166/('Analisis Inputs Grales'!$D$50)</f>
        <v>2.065290804874138E-2</v>
      </c>
      <c r="F169" s="80">
        <f>F166/('Analisis Inputs Grales'!$D$50)</f>
        <v>2.065290804874138E-2</v>
      </c>
      <c r="G169" s="80">
        <f>G166/('Analisis Inputs Grales'!$D$50)</f>
        <v>2.065290804874138E-2</v>
      </c>
      <c r="H169" s="80">
        <f>H166/('Analisis Inputs Grales'!$D$50)</f>
        <v>2.065290804874138E-2</v>
      </c>
      <c r="I169" s="80"/>
      <c r="J169" s="80"/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</row>
    <row r="170" spans="2:23" x14ac:dyDescent="0.2">
      <c r="B170" s="39" t="s">
        <v>118</v>
      </c>
      <c r="C170" s="36" t="s">
        <v>119</v>
      </c>
      <c r="D170" s="57">
        <f>D169*12*'Analisis Inputs Grales'!$D$65</f>
        <v>3211.9402597402591</v>
      </c>
      <c r="E170" s="57">
        <f>E169*12*'Analisis Inputs Grales'!$D$65</f>
        <v>3211.9402597402591</v>
      </c>
      <c r="F170" s="57">
        <f>F169*12*'Analisis Inputs Grales'!$D$65</f>
        <v>3211.9402597402591</v>
      </c>
      <c r="G170" s="57">
        <f>G169*12*'Analisis Inputs Grales'!$D$65</f>
        <v>3211.9402597402591</v>
      </c>
      <c r="H170" s="57">
        <f>H169*12*'Analisis Inputs Grales'!$D$65</f>
        <v>3211.9402597402591</v>
      </c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</row>
    <row r="171" spans="2:23" ht="28.5" x14ac:dyDescent="0.2">
      <c r="B171" s="42" t="s">
        <v>120</v>
      </c>
      <c r="C171" s="43" t="s">
        <v>121</v>
      </c>
      <c r="D171" s="80">
        <f>('Analisis Inputs Grales'!$D$77+'Analisis Inputs Grales'!$D$78)*D153/'Analisis Inputs Grales'!$D$50</f>
        <v>0.40268132716049382</v>
      </c>
      <c r="E171" s="80">
        <f>('Analisis Inputs Grales'!$D$77+'Analisis Inputs Grales'!$D$78)*E153/'Analisis Inputs Grales'!$D$50</f>
        <v>0.40268132716049382</v>
      </c>
      <c r="F171" s="80">
        <f>('Analisis Inputs Grales'!$D$77+'Analisis Inputs Grales'!$D$78)*F153/'Analisis Inputs Grales'!$D$50</f>
        <v>0.40268132716049382</v>
      </c>
      <c r="G171" s="80">
        <f>('Analisis Inputs Grales'!$D$77+'Analisis Inputs Grales'!$D$78)*G153/'Analisis Inputs Grales'!$D$50</f>
        <v>0.40268132716049382</v>
      </c>
      <c r="H171" s="80">
        <f>('Analisis Inputs Grales'!$D$77+'Analisis Inputs Grales'!$D$78)*H153/'Analisis Inputs Grales'!$D$50</f>
        <v>0.40268132716049382</v>
      </c>
      <c r="I171" s="80"/>
      <c r="J171" s="80"/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</row>
    <row r="173" spans="2:23" x14ac:dyDescent="0.2">
      <c r="B173" s="39" t="s">
        <v>146</v>
      </c>
      <c r="C173" s="36" t="s">
        <v>147</v>
      </c>
      <c r="D173" s="80">
        <f>(D169*'Analisis Inputs Grales'!$D$34/60)+D171</f>
        <v>0.42333423520923519</v>
      </c>
      <c r="E173" s="80">
        <f>(E169*'Analisis Inputs Grales'!$D$34/60)+E171</f>
        <v>0.42333423520923519</v>
      </c>
      <c r="F173" s="80">
        <f>(F169*'Analisis Inputs Grales'!$D$34/60)+F171</f>
        <v>0.42333423520923519</v>
      </c>
      <c r="G173" s="80">
        <f>(G169*'Analisis Inputs Grales'!$D$34/60)+G171</f>
        <v>0.42333423520923519</v>
      </c>
      <c r="H173" s="80">
        <f>(H169*'Analisis Inputs Grales'!$D$34/60)+H171</f>
        <v>0.42333423520923519</v>
      </c>
    </row>
    <row r="174" spans="2:23" x14ac:dyDescent="0.2">
      <c r="B174" s="70" t="s">
        <v>148</v>
      </c>
      <c r="C174" s="71" t="s">
        <v>23</v>
      </c>
      <c r="D174" s="80">
        <f>(1+'Analisis Inputs Grales'!$D$117)^'Analisis 20Años'!D$3</f>
        <v>1</v>
      </c>
      <c r="E174" s="80">
        <f>(1+'Analisis Inputs Grales'!$D$117)^'Analisis 20Años'!E$3</f>
        <v>1.1200000000000001</v>
      </c>
      <c r="F174" s="80">
        <f>(1+'Analisis Inputs Grales'!$D$117)^'Analisis 20Años'!F$3</f>
        <v>1.2544000000000002</v>
      </c>
      <c r="G174" s="80">
        <f>(1+'Analisis Inputs Grales'!$D$117)^'Analisis 20Años'!G$3</f>
        <v>1.4049280000000004</v>
      </c>
      <c r="H174" s="80">
        <f>(1+'Analisis Inputs Grales'!$D$117)^'Analisis 20Años'!H$3</f>
        <v>1.5735193600000004</v>
      </c>
    </row>
    <row r="175" spans="2:23" x14ac:dyDescent="0.2">
      <c r="B175" s="70" t="s">
        <v>149</v>
      </c>
      <c r="C175" s="71" t="s">
        <v>147</v>
      </c>
      <c r="D175" s="80">
        <f>D173*D174</f>
        <v>0.42333423520923519</v>
      </c>
      <c r="E175" s="80">
        <f t="shared" ref="E175:H175" si="46">E173*E174</f>
        <v>0.47413434343434346</v>
      </c>
      <c r="F175" s="80">
        <f t="shared" si="46"/>
        <v>0.53103046464646475</v>
      </c>
      <c r="G175" s="80">
        <f t="shared" si="46"/>
        <v>0.59475412040404052</v>
      </c>
      <c r="H175" s="80">
        <f t="shared" si="46"/>
        <v>0.66612461485252539</v>
      </c>
    </row>
    <row r="176" spans="2:23" ht="15" x14ac:dyDescent="0.25">
      <c r="B176" s="72" t="s">
        <v>150</v>
      </c>
      <c r="C176" s="71" t="s">
        <v>147</v>
      </c>
      <c r="D176" s="80">
        <f>SUM(D175:H175)</f>
        <v>2.6893777785466093</v>
      </c>
    </row>
    <row r="177" spans="2:23" ht="15" x14ac:dyDescent="0.25">
      <c r="B177" s="32"/>
    </row>
    <row r="178" spans="2:23" ht="15" thickBot="1" x14ac:dyDescent="0.25">
      <c r="B178" s="35"/>
      <c r="C178" s="36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</row>
    <row r="179" spans="2:23" ht="16.5" thickBot="1" x14ac:dyDescent="0.3">
      <c r="B179" s="69" t="s">
        <v>81</v>
      </c>
      <c r="C179" s="68">
        <v>10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</row>
    <row r="180" spans="2:23" ht="15.75" x14ac:dyDescent="0.25">
      <c r="B180" s="66" t="s">
        <v>104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</row>
    <row r="181" spans="2:23" x14ac:dyDescent="0.2">
      <c r="B181" s="33" t="s">
        <v>105</v>
      </c>
      <c r="C181" s="34" t="s">
        <v>106</v>
      </c>
      <c r="D181" s="80">
        <f>'Analisis Inputs Grales'!$D$66*('Analisis Inputs Grales'!$D$117/12)/'Analisis Inputs Grales'!$D$65</f>
        <v>0.11342592592592593</v>
      </c>
      <c r="E181" s="80">
        <f>'Analisis Inputs Grales'!$D$66*('Analisis Inputs Grales'!$D$117/12)/'Analisis Inputs Grales'!$D$65</f>
        <v>0.11342592592592593</v>
      </c>
      <c r="F181" s="80">
        <f>'Analisis Inputs Grales'!$D$66*('Analisis Inputs Grales'!$D$117/12)/'Analisis Inputs Grales'!$D$65</f>
        <v>0.11342592592592593</v>
      </c>
      <c r="G181" s="80">
        <f>'Analisis Inputs Grales'!$D$66*('Analisis Inputs Grales'!$D$117/12)/'Analisis Inputs Grales'!$D$65</f>
        <v>0.11342592592592593</v>
      </c>
      <c r="H181" s="80">
        <f>'Analisis Inputs Grales'!$D$66*('Analisis Inputs Grales'!$D$117/12)/'Analisis Inputs Grales'!$D$65</f>
        <v>0.11342592592592593</v>
      </c>
      <c r="I181" s="80">
        <f>'Analisis Inputs Grales'!$D$66*('Analisis Inputs Grales'!$D$117/12)/'Analisis Inputs Grales'!$D$65</f>
        <v>0.11342592592592593</v>
      </c>
      <c r="J181" s="80">
        <f>'Analisis Inputs Grales'!$D$66*('Analisis Inputs Grales'!$D$117/12)/'Analisis Inputs Grales'!$D$65</f>
        <v>0.11342592592592593</v>
      </c>
      <c r="K181" s="80">
        <f>'Analisis Inputs Grales'!$D$66*('Analisis Inputs Grales'!$D$117/12)/'Analisis Inputs Grales'!$D$65</f>
        <v>0.11342592592592593</v>
      </c>
      <c r="L181" s="80">
        <f>'Analisis Inputs Grales'!$D$66*('Analisis Inputs Grales'!$D$117/12)/'Analisis Inputs Grales'!$D$65</f>
        <v>0.11342592592592593</v>
      </c>
      <c r="M181" s="80">
        <f>'Analisis Inputs Grales'!$D$66*('Analisis Inputs Grales'!$D$117/12)/'Analisis Inputs Grales'!$D$65</f>
        <v>0.11342592592592593</v>
      </c>
      <c r="N181" s="80"/>
      <c r="O181" s="80"/>
      <c r="P181" s="80"/>
      <c r="Q181" s="80"/>
      <c r="R181" s="80"/>
      <c r="S181" s="80"/>
      <c r="T181" s="80"/>
      <c r="U181" s="80"/>
      <c r="V181" s="80"/>
      <c r="W181" s="80"/>
    </row>
    <row r="182" spans="2:23" x14ac:dyDescent="0.2">
      <c r="B182" s="35" t="s">
        <v>105</v>
      </c>
      <c r="C182" s="36" t="s">
        <v>68</v>
      </c>
      <c r="D182" s="57">
        <f>D181*12*'Analisis Inputs Grales'!$D$65</f>
        <v>17640</v>
      </c>
      <c r="E182" s="57">
        <f>E181*12*'Analisis Inputs Grales'!$D$65</f>
        <v>17640</v>
      </c>
      <c r="F182" s="57">
        <f>F181*12*'Analisis Inputs Grales'!$D$65</f>
        <v>17640</v>
      </c>
      <c r="G182" s="57">
        <f>G181*12*'Analisis Inputs Grales'!$D$65</f>
        <v>17640</v>
      </c>
      <c r="H182" s="57">
        <f>H181*12*'Analisis Inputs Grales'!$D$65</f>
        <v>17640</v>
      </c>
      <c r="I182" s="57">
        <f>I181*12*'Analisis Inputs Grales'!$D$65</f>
        <v>17640</v>
      </c>
      <c r="J182" s="57">
        <f>J181*12*'Analisis Inputs Grales'!$D$65</f>
        <v>17640</v>
      </c>
      <c r="K182" s="57">
        <f>K181*12*'Analisis Inputs Grales'!$D$65</f>
        <v>17640</v>
      </c>
      <c r="L182" s="57">
        <f>L181*12*'Analisis Inputs Grales'!$D$65</f>
        <v>17640</v>
      </c>
      <c r="M182" s="57">
        <f>M181*12*'Analisis Inputs Grales'!$D$65</f>
        <v>17640</v>
      </c>
    </row>
    <row r="183" spans="2:23" x14ac:dyDescent="0.2">
      <c r="B183" s="33" t="s">
        <v>107</v>
      </c>
      <c r="C183" s="34" t="s">
        <v>106</v>
      </c>
      <c r="D183" s="80">
        <f>('Analisis Inputs Grales'!$D$66-'Analisis Inputs Grales'!$D$69*'Analisis Inputs Grales'!$D$66)/('Analisis Inputs Grales'!$D$65*12*$C$179)</f>
        <v>8.5069444444444448E-2</v>
      </c>
      <c r="E183" s="80">
        <f>('Analisis Inputs Grales'!$D$66-'Analisis Inputs Grales'!$D$69*'Analisis Inputs Grales'!$D$66)/('Analisis Inputs Grales'!$D$65*12*$C$179)</f>
        <v>8.5069444444444448E-2</v>
      </c>
      <c r="F183" s="80">
        <f>('Analisis Inputs Grales'!$D$66-'Analisis Inputs Grales'!$D$69*'Analisis Inputs Grales'!$D$66)/('Analisis Inputs Grales'!$D$65*12*$C$179)</f>
        <v>8.5069444444444448E-2</v>
      </c>
      <c r="G183" s="80">
        <f>('Analisis Inputs Grales'!$D$66-'Analisis Inputs Grales'!$D$69*'Analisis Inputs Grales'!$D$66)/('Analisis Inputs Grales'!$D$65*12*$C$179)</f>
        <v>8.5069444444444448E-2</v>
      </c>
      <c r="H183" s="80">
        <f>('Analisis Inputs Grales'!$D$66-'Analisis Inputs Grales'!$D$69*'Analisis Inputs Grales'!$D$66)/('Analisis Inputs Grales'!$D$65*12*$C$179)</f>
        <v>8.5069444444444448E-2</v>
      </c>
      <c r="I183" s="80">
        <f>('Analisis Inputs Grales'!$D$66-'Analisis Inputs Grales'!$D$69*'Analisis Inputs Grales'!$D$66)/('Analisis Inputs Grales'!$D$65*12*$C$179)</f>
        <v>8.5069444444444448E-2</v>
      </c>
      <c r="J183" s="80">
        <f>('Analisis Inputs Grales'!$D$66-'Analisis Inputs Grales'!$D$69*'Analisis Inputs Grales'!$D$66)/('Analisis Inputs Grales'!$D$65*12*$C$179)</f>
        <v>8.5069444444444448E-2</v>
      </c>
      <c r="K183" s="80">
        <f>('Analisis Inputs Grales'!$D$66-'Analisis Inputs Grales'!$D$69*'Analisis Inputs Grales'!$D$66)/('Analisis Inputs Grales'!$D$65*12*$C$179)</f>
        <v>8.5069444444444448E-2</v>
      </c>
      <c r="L183" s="80">
        <f>('Analisis Inputs Grales'!$D$66-'Analisis Inputs Grales'!$D$69*'Analisis Inputs Grales'!$D$66)/('Analisis Inputs Grales'!$D$65*12*$C$179)</f>
        <v>8.5069444444444448E-2</v>
      </c>
      <c r="M183" s="80">
        <f>('Analisis Inputs Grales'!$D$66-'Analisis Inputs Grales'!$D$69*'Analisis Inputs Grales'!$D$66)/('Analisis Inputs Grales'!$D$65*12*$C$179)</f>
        <v>8.5069444444444448E-2</v>
      </c>
    </row>
    <row r="184" spans="2:23" x14ac:dyDescent="0.2">
      <c r="B184" s="35" t="s">
        <v>107</v>
      </c>
      <c r="C184" s="36" t="s">
        <v>68</v>
      </c>
      <c r="D184" s="57">
        <f>D183*12*'Analisis Inputs Grales'!$D$65</f>
        <v>13230.000000000002</v>
      </c>
      <c r="E184" s="57">
        <f>E183*12*'Analisis Inputs Grales'!$D$65</f>
        <v>13230.000000000002</v>
      </c>
      <c r="F184" s="57">
        <f>F183*12*'Analisis Inputs Grales'!$D$65</f>
        <v>13230.000000000002</v>
      </c>
      <c r="G184" s="57">
        <f>G183*12*'Analisis Inputs Grales'!$D$65</f>
        <v>13230.000000000002</v>
      </c>
      <c r="H184" s="57">
        <f>H183*12*'Analisis Inputs Grales'!$D$65</f>
        <v>13230.000000000002</v>
      </c>
      <c r="I184" s="57">
        <f>I183*12*'Analisis Inputs Grales'!$D$65</f>
        <v>13230.000000000002</v>
      </c>
      <c r="J184" s="57">
        <f>J183*12*'Analisis Inputs Grales'!$D$65</f>
        <v>13230.000000000002</v>
      </c>
      <c r="K184" s="57">
        <f>K183*12*'Analisis Inputs Grales'!$D$65</f>
        <v>13230.000000000002</v>
      </c>
      <c r="L184" s="57">
        <f>L183*12*'Analisis Inputs Grales'!$D$65</f>
        <v>13230.000000000002</v>
      </c>
      <c r="M184" s="57">
        <f>M183*12*'Analisis Inputs Grales'!$D$65</f>
        <v>13230.000000000002</v>
      </c>
    </row>
    <row r="185" spans="2:23" x14ac:dyDescent="0.2">
      <c r="B185" s="33" t="s">
        <v>108</v>
      </c>
      <c r="C185" s="34" t="s">
        <v>106</v>
      </c>
      <c r="D185" s="80">
        <f>'Analisis Inputs Grales'!$D$58/'Analisis Inputs Grales'!$D$65</f>
        <v>3.8580246913580245E-2</v>
      </c>
      <c r="E185" s="80">
        <f>'Analisis Inputs Grales'!$D$58/'Analisis Inputs Grales'!$D$65</f>
        <v>3.8580246913580245E-2</v>
      </c>
      <c r="F185" s="80">
        <f>'Analisis Inputs Grales'!$D$58/'Analisis Inputs Grales'!$D$65</f>
        <v>3.8580246913580245E-2</v>
      </c>
      <c r="G185" s="80">
        <f>'Analisis Inputs Grales'!$D$58/'Analisis Inputs Grales'!$D$65</f>
        <v>3.8580246913580245E-2</v>
      </c>
      <c r="H185" s="80">
        <f>'Analisis Inputs Grales'!$D$58/'Analisis Inputs Grales'!$D$65</f>
        <v>3.8580246913580245E-2</v>
      </c>
      <c r="I185" s="80">
        <f>'Analisis Inputs Grales'!$D$58/'Analisis Inputs Grales'!$D$65</f>
        <v>3.8580246913580245E-2</v>
      </c>
      <c r="J185" s="80">
        <f>'Analisis Inputs Grales'!$D$58/'Analisis Inputs Grales'!$D$65</f>
        <v>3.8580246913580245E-2</v>
      </c>
      <c r="K185" s="80">
        <f>'Analisis Inputs Grales'!$D$58/'Analisis Inputs Grales'!$D$65</f>
        <v>3.8580246913580245E-2</v>
      </c>
      <c r="L185" s="80">
        <f>'Analisis Inputs Grales'!$D$58/'Analisis Inputs Grales'!$D$65</f>
        <v>3.8580246913580245E-2</v>
      </c>
      <c r="M185" s="80">
        <f>'Analisis Inputs Grales'!$D$58/'Analisis Inputs Grales'!$D$65</f>
        <v>3.8580246913580245E-2</v>
      </c>
    </row>
    <row r="186" spans="2:23" x14ac:dyDescent="0.2">
      <c r="B186" s="37" t="s">
        <v>108</v>
      </c>
      <c r="C186" s="38" t="s">
        <v>68</v>
      </c>
      <c r="D186" s="57">
        <f>D185*12*'Analisis Inputs Grales'!$D$65</f>
        <v>5999.9999999999991</v>
      </c>
      <c r="E186" s="57">
        <f>E185*12*'Analisis Inputs Grales'!$D$65</f>
        <v>5999.9999999999991</v>
      </c>
      <c r="F186" s="57">
        <f>F185*12*'Analisis Inputs Grales'!$D$65</f>
        <v>5999.9999999999991</v>
      </c>
      <c r="G186" s="57">
        <f>G185*12*'Analisis Inputs Grales'!$D$65</f>
        <v>5999.9999999999991</v>
      </c>
      <c r="H186" s="57">
        <f>H185*12*'Analisis Inputs Grales'!$D$65</f>
        <v>5999.9999999999991</v>
      </c>
      <c r="I186" s="57">
        <f>I185*12*'Analisis Inputs Grales'!$D$65</f>
        <v>5999.9999999999991</v>
      </c>
      <c r="J186" s="57">
        <f>J185*12*'Analisis Inputs Grales'!$D$65</f>
        <v>5999.9999999999991</v>
      </c>
      <c r="K186" s="57">
        <f>K185*12*'Analisis Inputs Grales'!$D$65</f>
        <v>5999.9999999999991</v>
      </c>
      <c r="L186" s="57">
        <f>L185*12*'Analisis Inputs Grales'!$D$65</f>
        <v>5999.9999999999991</v>
      </c>
      <c r="M186" s="57">
        <f>M185*12*'Analisis Inputs Grales'!$D$65</f>
        <v>5999.9999999999991</v>
      </c>
    </row>
    <row r="187" spans="2:23" x14ac:dyDescent="0.2">
      <c r="B187" s="33" t="s">
        <v>109</v>
      </c>
      <c r="C187" s="34" t="s">
        <v>106</v>
      </c>
      <c r="D187" s="80">
        <f>D185+D183+D181</f>
        <v>0.23707561728395063</v>
      </c>
      <c r="E187" s="80">
        <f t="shared" ref="E187:M187" si="47">E185+E183+E181</f>
        <v>0.23707561728395063</v>
      </c>
      <c r="F187" s="80">
        <f t="shared" si="47"/>
        <v>0.23707561728395063</v>
      </c>
      <c r="G187" s="80">
        <f t="shared" si="47"/>
        <v>0.23707561728395063</v>
      </c>
      <c r="H187" s="80">
        <f t="shared" si="47"/>
        <v>0.23707561728395063</v>
      </c>
      <c r="I187" s="80">
        <f t="shared" si="47"/>
        <v>0.23707561728395063</v>
      </c>
      <c r="J187" s="80">
        <f t="shared" si="47"/>
        <v>0.23707561728395063</v>
      </c>
      <c r="K187" s="80">
        <f t="shared" si="47"/>
        <v>0.23707561728395063</v>
      </c>
      <c r="L187" s="80">
        <f t="shared" si="47"/>
        <v>0.23707561728395063</v>
      </c>
      <c r="M187" s="80">
        <f t="shared" si="47"/>
        <v>0.23707561728395063</v>
      </c>
    </row>
    <row r="188" spans="2:23" x14ac:dyDescent="0.2">
      <c r="B188" s="35" t="s">
        <v>109</v>
      </c>
      <c r="C188" s="36" t="s">
        <v>68</v>
      </c>
      <c r="D188" s="57">
        <f>D187*12*'Analisis Inputs Grales'!$D$65</f>
        <v>36870</v>
      </c>
      <c r="E188" s="57">
        <f>E187*12*'Analisis Inputs Grales'!$D$65</f>
        <v>36870</v>
      </c>
      <c r="F188" s="57">
        <f>F187*12*'Analisis Inputs Grales'!$D$65</f>
        <v>36870</v>
      </c>
      <c r="G188" s="57">
        <f>G187*12*'Analisis Inputs Grales'!$D$65</f>
        <v>36870</v>
      </c>
      <c r="H188" s="57">
        <f>H187*12*'Analisis Inputs Grales'!$D$65</f>
        <v>36870</v>
      </c>
      <c r="I188" s="57">
        <f>I187*12*'Analisis Inputs Grales'!$D$65</f>
        <v>36870</v>
      </c>
      <c r="J188" s="57">
        <f>J187*12*'Analisis Inputs Grales'!$D$65</f>
        <v>36870</v>
      </c>
      <c r="K188" s="57">
        <f>K187*12*'Analisis Inputs Grales'!$D$65</f>
        <v>36870</v>
      </c>
      <c r="L188" s="57">
        <f>L187*12*'Analisis Inputs Grales'!$D$65</f>
        <v>36870</v>
      </c>
      <c r="M188" s="57">
        <f>M187*12*'Analisis Inputs Grales'!$D$65</f>
        <v>36870</v>
      </c>
    </row>
    <row r="189" spans="2:23" x14ac:dyDescent="0.2">
      <c r="C189" s="36"/>
    </row>
    <row r="190" spans="2:23" ht="15" x14ac:dyDescent="0.25">
      <c r="B190" s="32" t="s">
        <v>110</v>
      </c>
      <c r="C190" s="36"/>
    </row>
    <row r="191" spans="2:23" x14ac:dyDescent="0.2">
      <c r="B191" s="33" t="s">
        <v>111</v>
      </c>
      <c r="C191" s="34" t="s">
        <v>106</v>
      </c>
      <c r="D191" s="80">
        <f>'Analisis Inputs Grales'!$D$72/('Analisis Inputs Grales'!$D$70*'Analisis Inputs Grales'!$D$71/60)</f>
        <v>0.15909090909090906</v>
      </c>
      <c r="E191" s="80">
        <f>'Analisis Inputs Grales'!$D$72/('Analisis Inputs Grales'!$D$70*'Analisis Inputs Grales'!$D$71/60)</f>
        <v>0.15909090909090906</v>
      </c>
      <c r="F191" s="80">
        <f>'Analisis Inputs Grales'!$D$72/('Analisis Inputs Grales'!$D$70*'Analisis Inputs Grales'!$D$71/60)</f>
        <v>0.15909090909090906</v>
      </c>
      <c r="G191" s="80">
        <f>'Analisis Inputs Grales'!$D$72/('Analisis Inputs Grales'!$D$70*'Analisis Inputs Grales'!$D$71/60)</f>
        <v>0.15909090909090906</v>
      </c>
      <c r="H191" s="80">
        <f>'Analisis Inputs Grales'!$D$72/('Analisis Inputs Grales'!$D$70*'Analisis Inputs Grales'!$D$71/60)</f>
        <v>0.15909090909090906</v>
      </c>
      <c r="I191" s="80">
        <f>'Analisis Inputs Grales'!$D$72/('Analisis Inputs Grales'!$D$70*'Analisis Inputs Grales'!$D$71/60)</f>
        <v>0.15909090909090906</v>
      </c>
      <c r="J191" s="80">
        <f>'Analisis Inputs Grales'!$D$72/('Analisis Inputs Grales'!$D$70*'Analisis Inputs Grales'!$D$71/60)</f>
        <v>0.15909090909090906</v>
      </c>
      <c r="K191" s="80">
        <f>'Analisis Inputs Grales'!$D$72/('Analisis Inputs Grales'!$D$70*'Analisis Inputs Grales'!$D$71/60)</f>
        <v>0.15909090909090906</v>
      </c>
      <c r="L191" s="80">
        <f>'Analisis Inputs Grales'!$D$72/('Analisis Inputs Grales'!$D$70*'Analisis Inputs Grales'!$D$71/60)</f>
        <v>0.15909090909090906</v>
      </c>
      <c r="M191" s="80">
        <f>'Analisis Inputs Grales'!$D$72/('Analisis Inputs Grales'!$D$70*'Analisis Inputs Grales'!$D$71/60)</f>
        <v>0.15909090909090906</v>
      </c>
    </row>
    <row r="192" spans="2:23" x14ac:dyDescent="0.2">
      <c r="B192" s="35" t="s">
        <v>111</v>
      </c>
      <c r="C192" s="36" t="s">
        <v>68</v>
      </c>
      <c r="D192" s="57">
        <f>D191*12*'Analisis Inputs Grales'!$D$65</f>
        <v>24741.818181818177</v>
      </c>
      <c r="E192" s="57">
        <f>E191*12*'Analisis Inputs Grales'!$D$65</f>
        <v>24741.818181818177</v>
      </c>
      <c r="F192" s="57">
        <f>F191*12*'Analisis Inputs Grales'!$D$65</f>
        <v>24741.818181818177</v>
      </c>
      <c r="G192" s="57">
        <f>G191*12*'Analisis Inputs Grales'!$D$65</f>
        <v>24741.818181818177</v>
      </c>
      <c r="H192" s="57">
        <f>H191*12*'Analisis Inputs Grales'!$D$65</f>
        <v>24741.818181818177</v>
      </c>
      <c r="I192" s="57">
        <f>I191*12*'Analisis Inputs Grales'!$D$65</f>
        <v>24741.818181818177</v>
      </c>
      <c r="J192" s="57">
        <f>J191*12*'Analisis Inputs Grales'!$D$65</f>
        <v>24741.818181818177</v>
      </c>
      <c r="K192" s="57">
        <f>K191*12*'Analisis Inputs Grales'!$D$65</f>
        <v>24741.818181818177</v>
      </c>
      <c r="L192" s="57">
        <f>L191*12*'Analisis Inputs Grales'!$D$65</f>
        <v>24741.818181818177</v>
      </c>
      <c r="M192" s="57">
        <f>M191*12*'Analisis Inputs Grales'!$D$65</f>
        <v>24741.818181818177</v>
      </c>
    </row>
    <row r="193" spans="2:13" x14ac:dyDescent="0.2">
      <c r="B193" s="33" t="s">
        <v>112</v>
      </c>
      <c r="C193" s="34" t="s">
        <v>106</v>
      </c>
      <c r="D193" s="80">
        <f>'Analisis Inputs Grales'!$D$73*'Analisis 20Años'!D191</f>
        <v>2.3863636363636358E-2</v>
      </c>
      <c r="E193" s="80">
        <f>'Analisis Inputs Grales'!$D$73*'Analisis 20Años'!E191</f>
        <v>2.3863636363636358E-2</v>
      </c>
      <c r="F193" s="80">
        <f>'Analisis Inputs Grales'!$D$73*'Analisis 20Años'!F191</f>
        <v>2.3863636363636358E-2</v>
      </c>
      <c r="G193" s="80">
        <f>'Analisis Inputs Grales'!$D$73*'Analisis 20Años'!G191</f>
        <v>2.3863636363636358E-2</v>
      </c>
      <c r="H193" s="80">
        <f>'Analisis Inputs Grales'!$D$73*'Analisis 20Años'!H191</f>
        <v>2.3863636363636358E-2</v>
      </c>
      <c r="I193" s="80">
        <f>'Analisis Inputs Grales'!$D$73*'Analisis 20Años'!I191</f>
        <v>2.3863636363636358E-2</v>
      </c>
      <c r="J193" s="80">
        <f>'Analisis Inputs Grales'!$D$73*'Analisis 20Años'!J191</f>
        <v>2.3863636363636358E-2</v>
      </c>
      <c r="K193" s="80">
        <f>'Analisis Inputs Grales'!$D$73*'Analisis 20Años'!K191</f>
        <v>2.3863636363636358E-2</v>
      </c>
      <c r="L193" s="80">
        <f>'Analisis Inputs Grales'!$D$73*'Analisis 20Años'!L191</f>
        <v>2.3863636363636358E-2</v>
      </c>
      <c r="M193" s="80">
        <f>'Analisis Inputs Grales'!$D$73*'Analisis 20Años'!M191</f>
        <v>2.3863636363636358E-2</v>
      </c>
    </row>
    <row r="194" spans="2:13" x14ac:dyDescent="0.2">
      <c r="B194" s="35" t="s">
        <v>112</v>
      </c>
      <c r="C194" s="36" t="s">
        <v>68</v>
      </c>
      <c r="D194" s="57">
        <f>D193*12*'Analisis Inputs Grales'!$D$65</f>
        <v>3711.2727272727261</v>
      </c>
      <c r="E194" s="57">
        <f>E193*12*'Analisis Inputs Grales'!$D$65</f>
        <v>3711.2727272727261</v>
      </c>
      <c r="F194" s="57">
        <f>F193*12*'Analisis Inputs Grales'!$D$65</f>
        <v>3711.2727272727261</v>
      </c>
      <c r="G194" s="57">
        <f>G193*12*'Analisis Inputs Grales'!$D$65</f>
        <v>3711.2727272727261</v>
      </c>
      <c r="H194" s="57">
        <f>H193*12*'Analisis Inputs Grales'!$D$65</f>
        <v>3711.2727272727261</v>
      </c>
      <c r="I194" s="57">
        <f>I193*12*'Analisis Inputs Grales'!$D$65</f>
        <v>3711.2727272727261</v>
      </c>
      <c r="J194" s="57">
        <f>J193*12*'Analisis Inputs Grales'!$D$65</f>
        <v>3711.2727272727261</v>
      </c>
      <c r="K194" s="57">
        <f>K193*12*'Analisis Inputs Grales'!$D$65</f>
        <v>3711.2727272727261</v>
      </c>
      <c r="L194" s="57">
        <f>L193*12*'Analisis Inputs Grales'!$D$65</f>
        <v>3711.2727272727261</v>
      </c>
      <c r="M194" s="57">
        <f>M193*12*'Analisis Inputs Grales'!$D$65</f>
        <v>3711.2727272727261</v>
      </c>
    </row>
    <row r="195" spans="2:13" x14ac:dyDescent="0.2">
      <c r="B195" s="33" t="s">
        <v>113</v>
      </c>
      <c r="C195" s="34" t="s">
        <v>106</v>
      </c>
      <c r="D195" s="80">
        <f>'Analisis Inputs Grales'!$D$74*('Analisis 20Años'!D191+'Analisis 20Años'!D193)</f>
        <v>7.3181818181818167E-2</v>
      </c>
      <c r="E195" s="80">
        <f>'Analisis Inputs Grales'!$D$74*('Analisis 20Años'!E191+'Analisis 20Años'!E193)</f>
        <v>7.3181818181818167E-2</v>
      </c>
      <c r="F195" s="80">
        <f>'Analisis Inputs Grales'!$D$74*('Analisis 20Años'!F191+'Analisis 20Años'!F193)</f>
        <v>7.3181818181818167E-2</v>
      </c>
      <c r="G195" s="80">
        <f>'Analisis Inputs Grales'!$D$74*('Analisis 20Años'!G191+'Analisis 20Años'!G193)</f>
        <v>7.3181818181818167E-2</v>
      </c>
      <c r="H195" s="80">
        <f>'Analisis Inputs Grales'!$D$74*('Analisis 20Años'!H191+'Analisis 20Años'!H193)</f>
        <v>7.3181818181818167E-2</v>
      </c>
      <c r="I195" s="80">
        <f>'Analisis Inputs Grales'!$D$74*('Analisis 20Años'!I191+'Analisis 20Años'!I193)</f>
        <v>7.3181818181818167E-2</v>
      </c>
      <c r="J195" s="80">
        <f>'Analisis Inputs Grales'!$D$74*('Analisis 20Años'!J191+'Analisis 20Años'!J193)</f>
        <v>7.3181818181818167E-2</v>
      </c>
      <c r="K195" s="80">
        <f>'Analisis Inputs Grales'!$D$74*('Analisis 20Años'!K191+'Analisis 20Años'!K193)</f>
        <v>7.3181818181818167E-2</v>
      </c>
      <c r="L195" s="80">
        <f>'Analisis Inputs Grales'!$D$74*('Analisis 20Años'!L191+'Analisis 20Años'!L193)</f>
        <v>7.3181818181818167E-2</v>
      </c>
      <c r="M195" s="80">
        <f>'Analisis Inputs Grales'!$D$74*('Analisis 20Años'!M191+'Analisis 20Años'!M193)</f>
        <v>7.3181818181818167E-2</v>
      </c>
    </row>
    <row r="196" spans="2:13" x14ac:dyDescent="0.2">
      <c r="B196" s="35" t="s">
        <v>113</v>
      </c>
      <c r="C196" s="36" t="s">
        <v>68</v>
      </c>
      <c r="D196" s="57">
        <f>D195*12*'Analisis Inputs Grales'!$D$65</f>
        <v>11381.236363636361</v>
      </c>
      <c r="E196" s="57">
        <f>E195*12*'Analisis Inputs Grales'!$D$65</f>
        <v>11381.236363636361</v>
      </c>
      <c r="F196" s="57">
        <f>F195*12*'Analisis Inputs Grales'!$D$65</f>
        <v>11381.236363636361</v>
      </c>
      <c r="G196" s="57">
        <f>G195*12*'Analisis Inputs Grales'!$D$65</f>
        <v>11381.236363636361</v>
      </c>
      <c r="H196" s="57">
        <f>H195*12*'Analisis Inputs Grales'!$D$65</f>
        <v>11381.236363636361</v>
      </c>
      <c r="I196" s="57">
        <f>I195*12*'Analisis Inputs Grales'!$D$65</f>
        <v>11381.236363636361</v>
      </c>
      <c r="J196" s="57">
        <f>J195*12*'Analisis Inputs Grales'!$D$65</f>
        <v>11381.236363636361</v>
      </c>
      <c r="K196" s="57">
        <f>K195*12*'Analisis Inputs Grales'!$D$65</f>
        <v>11381.236363636361</v>
      </c>
      <c r="L196" s="57">
        <f>L195*12*'Analisis Inputs Grales'!$D$65</f>
        <v>11381.236363636361</v>
      </c>
      <c r="M196" s="57">
        <f>M195*12*'Analisis Inputs Grales'!$D$65</f>
        <v>11381.236363636361</v>
      </c>
    </row>
    <row r="197" spans="2:13" x14ac:dyDescent="0.2">
      <c r="B197" s="33" t="s">
        <v>114</v>
      </c>
      <c r="C197" s="34" t="s">
        <v>106</v>
      </c>
      <c r="D197" s="80">
        <f>D195+D193+D191</f>
        <v>0.25613636363636361</v>
      </c>
      <c r="E197" s="80">
        <f t="shared" ref="E197:M197" si="48">E195+E193+E191</f>
        <v>0.25613636363636361</v>
      </c>
      <c r="F197" s="80">
        <f t="shared" si="48"/>
        <v>0.25613636363636361</v>
      </c>
      <c r="G197" s="80">
        <f t="shared" si="48"/>
        <v>0.25613636363636361</v>
      </c>
      <c r="H197" s="80">
        <f t="shared" si="48"/>
        <v>0.25613636363636361</v>
      </c>
      <c r="I197" s="80">
        <f t="shared" si="48"/>
        <v>0.25613636363636361</v>
      </c>
      <c r="J197" s="80">
        <f t="shared" si="48"/>
        <v>0.25613636363636361</v>
      </c>
      <c r="K197" s="80">
        <f t="shared" si="48"/>
        <v>0.25613636363636361</v>
      </c>
      <c r="L197" s="80">
        <f t="shared" si="48"/>
        <v>0.25613636363636361</v>
      </c>
      <c r="M197" s="80">
        <f t="shared" si="48"/>
        <v>0.25613636363636361</v>
      </c>
    </row>
    <row r="198" spans="2:13" x14ac:dyDescent="0.2">
      <c r="B198" s="37" t="s">
        <v>114</v>
      </c>
      <c r="C198" s="36" t="s">
        <v>68</v>
      </c>
      <c r="D198" s="57">
        <f>D197*12*'Analisis Inputs Grales'!$D$65</f>
        <v>39834.327272727271</v>
      </c>
      <c r="E198" s="57">
        <f>E197*12*'Analisis Inputs Grales'!$D$65</f>
        <v>39834.327272727271</v>
      </c>
      <c r="F198" s="57">
        <f>F197*12*'Analisis Inputs Grales'!$D$65</f>
        <v>39834.327272727271</v>
      </c>
      <c r="G198" s="57">
        <f>G197*12*'Analisis Inputs Grales'!$D$65</f>
        <v>39834.327272727271</v>
      </c>
      <c r="H198" s="57">
        <f>H197*12*'Analisis Inputs Grales'!$D$65</f>
        <v>39834.327272727271</v>
      </c>
      <c r="I198" s="57">
        <f>I197*12*'Analisis Inputs Grales'!$D$65</f>
        <v>39834.327272727271</v>
      </c>
      <c r="J198" s="57">
        <f>J197*12*'Analisis Inputs Grales'!$D$65</f>
        <v>39834.327272727271</v>
      </c>
      <c r="K198" s="57">
        <f>K197*12*'Analisis Inputs Grales'!$D$65</f>
        <v>39834.327272727271</v>
      </c>
      <c r="L198" s="57">
        <f>L197*12*'Analisis Inputs Grales'!$D$65</f>
        <v>39834.327272727271</v>
      </c>
      <c r="M198" s="57">
        <f>M197*12*'Analisis Inputs Grales'!$D$65</f>
        <v>39834.327272727271</v>
      </c>
    </row>
    <row r="199" spans="2:13" x14ac:dyDescent="0.2">
      <c r="B199" s="39"/>
    </row>
    <row r="200" spans="2:13" x14ac:dyDescent="0.2">
      <c r="B200" s="40" t="s">
        <v>115</v>
      </c>
      <c r="C200" s="41" t="s">
        <v>106</v>
      </c>
      <c r="D200" s="80">
        <f>+D187+D197</f>
        <v>0.49321198092031426</v>
      </c>
      <c r="E200" s="80">
        <f t="shared" ref="E200:M200" si="49">+E187+E197</f>
        <v>0.49321198092031426</v>
      </c>
      <c r="F200" s="80">
        <f t="shared" si="49"/>
        <v>0.49321198092031426</v>
      </c>
      <c r="G200" s="80">
        <f t="shared" si="49"/>
        <v>0.49321198092031426</v>
      </c>
      <c r="H200" s="80">
        <f t="shared" si="49"/>
        <v>0.49321198092031426</v>
      </c>
      <c r="I200" s="80">
        <f t="shared" si="49"/>
        <v>0.49321198092031426</v>
      </c>
      <c r="J200" s="80">
        <f t="shared" si="49"/>
        <v>0.49321198092031426</v>
      </c>
      <c r="K200" s="80">
        <f t="shared" si="49"/>
        <v>0.49321198092031426</v>
      </c>
      <c r="L200" s="80">
        <f t="shared" si="49"/>
        <v>0.49321198092031426</v>
      </c>
      <c r="M200" s="80">
        <f t="shared" si="49"/>
        <v>0.49321198092031426</v>
      </c>
    </row>
    <row r="201" spans="2:13" x14ac:dyDescent="0.2">
      <c r="B201" s="42" t="s">
        <v>115</v>
      </c>
      <c r="C201" s="43" t="s">
        <v>68</v>
      </c>
      <c r="D201" s="57">
        <f>D200*12*'Analisis Inputs Grales'!$D$65</f>
        <v>76704.327272727271</v>
      </c>
      <c r="E201" s="57">
        <f>E200*12*'Analisis Inputs Grales'!$D$65</f>
        <v>76704.327272727271</v>
      </c>
      <c r="F201" s="57">
        <f>F200*12*'Analisis Inputs Grales'!$D$65</f>
        <v>76704.327272727271</v>
      </c>
      <c r="G201" s="57">
        <f>G200*12*'Analisis Inputs Grales'!$D$65</f>
        <v>76704.327272727271</v>
      </c>
      <c r="H201" s="57">
        <f>H200*12*'Analisis Inputs Grales'!$D$65</f>
        <v>76704.327272727271</v>
      </c>
      <c r="I201" s="57">
        <f>I200*12*'Analisis Inputs Grales'!$D$65</f>
        <v>76704.327272727271</v>
      </c>
      <c r="J201" s="57">
        <f>J200*12*'Analisis Inputs Grales'!$D$65</f>
        <v>76704.327272727271</v>
      </c>
      <c r="K201" s="57">
        <f>K200*12*'Analisis Inputs Grales'!$D$65</f>
        <v>76704.327272727271</v>
      </c>
      <c r="L201" s="57">
        <f>L200*12*'Analisis Inputs Grales'!$D$65</f>
        <v>76704.327272727271</v>
      </c>
      <c r="M201" s="57">
        <f>M200*12*'Analisis Inputs Grales'!$D$65</f>
        <v>76704.327272727271</v>
      </c>
    </row>
    <row r="202" spans="2:13" x14ac:dyDescent="0.2">
      <c r="B202" s="44"/>
      <c r="C202" s="45"/>
    </row>
    <row r="203" spans="2:13" x14ac:dyDescent="0.2">
      <c r="B203" s="46" t="s">
        <v>116</v>
      </c>
      <c r="C203" s="41" t="s">
        <v>117</v>
      </c>
      <c r="D203" s="80">
        <f>D200/('Analisis Inputs Grales'!$D$50)</f>
        <v>1.7614713604296939E-2</v>
      </c>
      <c r="E203" s="80">
        <f>E200/('Analisis Inputs Grales'!$D$50)</f>
        <v>1.7614713604296939E-2</v>
      </c>
      <c r="F203" s="80">
        <f>F200/('Analisis Inputs Grales'!$D$50)</f>
        <v>1.7614713604296939E-2</v>
      </c>
      <c r="G203" s="80">
        <f>G200/('Analisis Inputs Grales'!$D$50)</f>
        <v>1.7614713604296939E-2</v>
      </c>
      <c r="H203" s="80">
        <f>H200/('Analisis Inputs Grales'!$D$50)</f>
        <v>1.7614713604296939E-2</v>
      </c>
      <c r="I203" s="80">
        <f>I200/('Analisis Inputs Grales'!$D$50)</f>
        <v>1.7614713604296939E-2</v>
      </c>
      <c r="J203" s="80">
        <f>J200/('Analisis Inputs Grales'!$D$50)</f>
        <v>1.7614713604296939E-2</v>
      </c>
      <c r="K203" s="80">
        <f>K200/('Analisis Inputs Grales'!$D$50)</f>
        <v>1.7614713604296939E-2</v>
      </c>
      <c r="L203" s="80">
        <f>L200/('Analisis Inputs Grales'!$D$50)</f>
        <v>1.7614713604296939E-2</v>
      </c>
      <c r="M203" s="80">
        <f>M200/('Analisis Inputs Grales'!$D$50)</f>
        <v>1.7614713604296939E-2</v>
      </c>
    </row>
    <row r="204" spans="2:13" x14ac:dyDescent="0.2">
      <c r="B204" s="39" t="s">
        <v>118</v>
      </c>
      <c r="C204" s="36" t="s">
        <v>119</v>
      </c>
      <c r="D204" s="57">
        <f>D203*12*'Analisis Inputs Grales'!$D$65</f>
        <v>2739.44025974026</v>
      </c>
      <c r="E204" s="57">
        <f>E203*12*'Analisis Inputs Grales'!$D$65</f>
        <v>2739.44025974026</v>
      </c>
      <c r="F204" s="57">
        <f>F203*12*'Analisis Inputs Grales'!$D$65</f>
        <v>2739.44025974026</v>
      </c>
      <c r="G204" s="57">
        <f>G203*12*'Analisis Inputs Grales'!$D$65</f>
        <v>2739.44025974026</v>
      </c>
      <c r="H204" s="57">
        <f>H203*12*'Analisis Inputs Grales'!$D$65</f>
        <v>2739.44025974026</v>
      </c>
      <c r="I204" s="57">
        <f>I203*12*'Analisis Inputs Grales'!$D$65</f>
        <v>2739.44025974026</v>
      </c>
      <c r="J204" s="57">
        <f>J203*12*'Analisis Inputs Grales'!$D$65</f>
        <v>2739.44025974026</v>
      </c>
      <c r="K204" s="57">
        <f>K203*12*'Analisis Inputs Grales'!$D$65</f>
        <v>2739.44025974026</v>
      </c>
      <c r="L204" s="57">
        <f>L203*12*'Analisis Inputs Grales'!$D$65</f>
        <v>2739.44025974026</v>
      </c>
      <c r="M204" s="57">
        <f>M203*12*'Analisis Inputs Grales'!$D$65</f>
        <v>2739.44025974026</v>
      </c>
    </row>
    <row r="205" spans="2:13" ht="28.5" x14ac:dyDescent="0.2">
      <c r="B205" s="42" t="s">
        <v>120</v>
      </c>
      <c r="C205" s="43" t="s">
        <v>121</v>
      </c>
      <c r="D205" s="80">
        <f>('Analisis Inputs Grales'!$D$77+'Analisis Inputs Grales'!$D$78)*D187/'Analisis Inputs Grales'!$D$50</f>
        <v>0.29634452160493829</v>
      </c>
      <c r="E205" s="80">
        <f>('Analisis Inputs Grales'!$D$77+'Analisis Inputs Grales'!$D$78)*E187/'Analisis Inputs Grales'!$D$50</f>
        <v>0.29634452160493829</v>
      </c>
      <c r="F205" s="80">
        <f>('Analisis Inputs Grales'!$D$77+'Analisis Inputs Grales'!$D$78)*F187/'Analisis Inputs Grales'!$D$50</f>
        <v>0.29634452160493829</v>
      </c>
      <c r="G205" s="80">
        <f>('Analisis Inputs Grales'!$D$77+'Analisis Inputs Grales'!$D$78)*G187/'Analisis Inputs Grales'!$D$50</f>
        <v>0.29634452160493829</v>
      </c>
      <c r="H205" s="80">
        <f>('Analisis Inputs Grales'!$D$77+'Analisis Inputs Grales'!$D$78)*H187/'Analisis Inputs Grales'!$D$50</f>
        <v>0.29634452160493829</v>
      </c>
      <c r="I205" s="80">
        <f>('Analisis Inputs Grales'!$D$77+'Analisis Inputs Grales'!$D$78)*I187/'Analisis Inputs Grales'!$D$50</f>
        <v>0.29634452160493829</v>
      </c>
      <c r="J205" s="80">
        <f>('Analisis Inputs Grales'!$D$77+'Analisis Inputs Grales'!$D$78)*J187/'Analisis Inputs Grales'!$D$50</f>
        <v>0.29634452160493829</v>
      </c>
      <c r="K205" s="80">
        <f>('Analisis Inputs Grales'!$D$77+'Analisis Inputs Grales'!$D$78)*K187/'Analisis Inputs Grales'!$D$50</f>
        <v>0.29634452160493829</v>
      </c>
      <c r="L205" s="80">
        <f>('Analisis Inputs Grales'!$D$77+'Analisis Inputs Grales'!$D$78)*L187/'Analisis Inputs Grales'!$D$50</f>
        <v>0.29634452160493829</v>
      </c>
      <c r="M205" s="80">
        <f>('Analisis Inputs Grales'!$D$77+'Analisis Inputs Grales'!$D$78)*M187/'Analisis Inputs Grales'!$D$50</f>
        <v>0.29634452160493829</v>
      </c>
    </row>
    <row r="207" spans="2:13" x14ac:dyDescent="0.2">
      <c r="B207" s="39" t="s">
        <v>146</v>
      </c>
      <c r="C207" s="36" t="s">
        <v>147</v>
      </c>
      <c r="D207" s="80">
        <f>(D203*'Analisis Inputs Grales'!$D$34/60)+D205</f>
        <v>0.31395923520923524</v>
      </c>
      <c r="E207" s="80">
        <f>(E203*'Analisis Inputs Grales'!$D$34/60)+E205</f>
        <v>0.31395923520923524</v>
      </c>
      <c r="F207" s="80">
        <f>(F203*'Analisis Inputs Grales'!$D$34/60)+F205</f>
        <v>0.31395923520923524</v>
      </c>
      <c r="G207" s="80">
        <f>(G203*'Analisis Inputs Grales'!$D$34/60)+G205</f>
        <v>0.31395923520923524</v>
      </c>
      <c r="H207" s="80">
        <f>(H203*'Analisis Inputs Grales'!$D$34/60)+H205</f>
        <v>0.31395923520923524</v>
      </c>
      <c r="I207" s="80">
        <f>(I203*'Analisis Inputs Grales'!$D$34/60)+I205</f>
        <v>0.31395923520923524</v>
      </c>
      <c r="J207" s="80">
        <f>(J203*'Analisis Inputs Grales'!$D$34/60)+J205</f>
        <v>0.31395923520923524</v>
      </c>
      <c r="K207" s="80">
        <f>(K203*'Analisis Inputs Grales'!$D$34/60)+K205</f>
        <v>0.31395923520923524</v>
      </c>
      <c r="L207" s="80">
        <f>(L203*'Analisis Inputs Grales'!$D$34/60)+L205</f>
        <v>0.31395923520923524</v>
      </c>
      <c r="M207" s="80">
        <f>(M203*'Analisis Inputs Grales'!$D$34/60)+M205</f>
        <v>0.31395923520923524</v>
      </c>
    </row>
    <row r="208" spans="2:13" x14ac:dyDescent="0.2">
      <c r="B208" s="70" t="s">
        <v>148</v>
      </c>
      <c r="C208" s="71" t="s">
        <v>23</v>
      </c>
      <c r="D208" s="80">
        <f>(1+'Analisis Inputs Grales'!$D$117)^'Analisis 20Años'!D$3</f>
        <v>1</v>
      </c>
      <c r="E208" s="80">
        <f>(1+'Analisis Inputs Grales'!$D$117)^'Analisis 20Años'!E$3</f>
        <v>1.1200000000000001</v>
      </c>
      <c r="F208" s="80">
        <f>(1+'Analisis Inputs Grales'!$D$117)^'Analisis 20Años'!F$3</f>
        <v>1.2544000000000002</v>
      </c>
      <c r="G208" s="80">
        <f>(1+'Analisis Inputs Grales'!$D$117)^'Analisis 20Años'!G$3</f>
        <v>1.4049280000000004</v>
      </c>
      <c r="H208" s="80">
        <f>(1+'Analisis Inputs Grales'!$D$117)^'Analisis 20Años'!H$3</f>
        <v>1.5735193600000004</v>
      </c>
      <c r="I208" s="80">
        <f>(1+'Analisis Inputs Grales'!$D$117)^'Analisis 20Años'!I$3</f>
        <v>1.7623416832000005</v>
      </c>
      <c r="J208" s="80">
        <f>(1+'Analisis Inputs Grales'!$D$117)^'Analisis 20Años'!J$3</f>
        <v>1.9738226851840008</v>
      </c>
      <c r="K208" s="80">
        <f>(1+'Analisis Inputs Grales'!$D$117)^'Analisis 20Años'!K$3</f>
        <v>2.210681407406081</v>
      </c>
      <c r="L208" s="80">
        <f>(1+'Analisis Inputs Grales'!$D$117)^'Analisis 20Años'!L$3</f>
        <v>2.4759631762948109</v>
      </c>
      <c r="M208" s="80">
        <f>(1+'Analisis Inputs Grales'!$D$117)^'Analisis 20Años'!M$3</f>
        <v>2.7730787574501883</v>
      </c>
    </row>
    <row r="209" spans="2:18" x14ac:dyDescent="0.2">
      <c r="B209" s="70" t="s">
        <v>149</v>
      </c>
      <c r="C209" s="71" t="s">
        <v>147</v>
      </c>
      <c r="D209" s="80">
        <f>D207*D208</f>
        <v>0.31395923520923524</v>
      </c>
      <c r="E209" s="80">
        <f t="shared" ref="E209:M209" si="50">E207*E208</f>
        <v>0.35163434343434352</v>
      </c>
      <c r="F209" s="80">
        <f t="shared" si="50"/>
        <v>0.39383046464646476</v>
      </c>
      <c r="G209" s="80">
        <f t="shared" si="50"/>
        <v>0.44109012040404055</v>
      </c>
      <c r="H209" s="80">
        <f t="shared" si="50"/>
        <v>0.49402093485252541</v>
      </c>
      <c r="I209" s="80">
        <f t="shared" si="50"/>
        <v>0.55330344703482848</v>
      </c>
      <c r="J209" s="80">
        <f t="shared" si="50"/>
        <v>0.61969986067900795</v>
      </c>
      <c r="K209" s="80">
        <f t="shared" si="50"/>
        <v>0.69406384396048904</v>
      </c>
      <c r="L209" s="80">
        <f t="shared" si="50"/>
        <v>0.7773515052357477</v>
      </c>
      <c r="M209" s="80">
        <f t="shared" si="50"/>
        <v>0.87063368586403744</v>
      </c>
    </row>
    <row r="210" spans="2:18" ht="15" x14ac:dyDescent="0.25">
      <c r="B210" s="72" t="s">
        <v>155</v>
      </c>
      <c r="C210" s="71" t="s">
        <v>147</v>
      </c>
      <c r="D210" s="80">
        <f>SUM(D209:M209)</f>
        <v>5.5095874413207193</v>
      </c>
    </row>
    <row r="212" spans="2:18" ht="15" thickBot="1" x14ac:dyDescent="0.25"/>
    <row r="213" spans="2:18" ht="16.5" thickBot="1" x14ac:dyDescent="0.3">
      <c r="B213" s="69" t="s">
        <v>81</v>
      </c>
      <c r="C213" s="68">
        <v>15</v>
      </c>
      <c r="D213" s="57"/>
    </row>
    <row r="214" spans="2:18" ht="15.75" x14ac:dyDescent="0.25">
      <c r="B214" s="66" t="s">
        <v>104</v>
      </c>
      <c r="D214" s="57"/>
    </row>
    <row r="215" spans="2:18" x14ac:dyDescent="0.2">
      <c r="B215" s="33" t="s">
        <v>105</v>
      </c>
      <c r="C215" s="34" t="s">
        <v>106</v>
      </c>
      <c r="D215" s="80">
        <f>'Analisis Inputs Grales'!$D$66*('Analisis Inputs Grales'!$D$117/12)/'Analisis Inputs Grales'!$D$65</f>
        <v>0.11342592592592593</v>
      </c>
      <c r="E215" s="80">
        <f>'Analisis Inputs Grales'!$D$66*('Analisis Inputs Grales'!$D$117/12)/'Analisis Inputs Grales'!$D$65</f>
        <v>0.11342592592592593</v>
      </c>
      <c r="F215" s="80">
        <f>'Analisis Inputs Grales'!$D$66*('Analisis Inputs Grales'!$D$117/12)/'Analisis Inputs Grales'!$D$65</f>
        <v>0.11342592592592593</v>
      </c>
      <c r="G215" s="80">
        <f>'Analisis Inputs Grales'!$D$66*('Analisis Inputs Grales'!$D$117/12)/'Analisis Inputs Grales'!$D$65</f>
        <v>0.11342592592592593</v>
      </c>
      <c r="H215" s="80">
        <f>'Analisis Inputs Grales'!$D$66*('Analisis Inputs Grales'!$D$117/12)/'Analisis Inputs Grales'!$D$65</f>
        <v>0.11342592592592593</v>
      </c>
      <c r="I215" s="80">
        <f>'Analisis Inputs Grales'!$D$66*('Analisis Inputs Grales'!$D$117/12)/'Analisis Inputs Grales'!$D$65</f>
        <v>0.11342592592592593</v>
      </c>
      <c r="J215" s="80">
        <f>'Analisis Inputs Grales'!$D$66*('Analisis Inputs Grales'!$D$117/12)/'Analisis Inputs Grales'!$D$65</f>
        <v>0.11342592592592593</v>
      </c>
      <c r="K215" s="80">
        <f>'Analisis Inputs Grales'!$D$66*('Analisis Inputs Grales'!$D$117/12)/'Analisis Inputs Grales'!$D$65</f>
        <v>0.11342592592592593</v>
      </c>
      <c r="L215" s="80">
        <f>'Analisis Inputs Grales'!$D$66*('Analisis Inputs Grales'!$D$117/12)/'Analisis Inputs Grales'!$D$65</f>
        <v>0.11342592592592593</v>
      </c>
      <c r="M215" s="80">
        <f>'Analisis Inputs Grales'!$D$66*('Analisis Inputs Grales'!$D$117/12)/'Analisis Inputs Grales'!$D$65</f>
        <v>0.11342592592592593</v>
      </c>
      <c r="N215" s="80">
        <f>'Analisis Inputs Grales'!$D$66*('Analisis Inputs Grales'!$D$117/12)/'Analisis Inputs Grales'!$D$65</f>
        <v>0.11342592592592593</v>
      </c>
      <c r="O215" s="80">
        <f>'Analisis Inputs Grales'!$D$66*('Analisis Inputs Grales'!$D$117/12)/'Analisis Inputs Grales'!$D$65</f>
        <v>0.11342592592592593</v>
      </c>
      <c r="P215" s="80">
        <f>'Analisis Inputs Grales'!$D$66*('Analisis Inputs Grales'!$D$117/12)/'Analisis Inputs Grales'!$D$65</f>
        <v>0.11342592592592593</v>
      </c>
      <c r="Q215" s="80">
        <f>'Analisis Inputs Grales'!$D$66*('Analisis Inputs Grales'!$D$117/12)/'Analisis Inputs Grales'!$D$65</f>
        <v>0.11342592592592593</v>
      </c>
      <c r="R215" s="80">
        <f>'Analisis Inputs Grales'!$D$66*('Analisis Inputs Grales'!$D$117/12)/'Analisis Inputs Grales'!$D$65</f>
        <v>0.11342592592592593</v>
      </c>
    </row>
    <row r="216" spans="2:18" x14ac:dyDescent="0.2">
      <c r="B216" s="35" t="s">
        <v>105</v>
      </c>
      <c r="C216" s="36" t="s">
        <v>68</v>
      </c>
      <c r="D216" s="57">
        <f>D215*12*'Analisis Inputs Grales'!$D$65</f>
        <v>17640</v>
      </c>
      <c r="E216" s="57">
        <f>E215*12*'Analisis Inputs Grales'!$D$65</f>
        <v>17640</v>
      </c>
      <c r="F216" s="57">
        <f>F215*12*'Analisis Inputs Grales'!$D$65</f>
        <v>17640</v>
      </c>
      <c r="G216" s="57">
        <f>G215*12*'Analisis Inputs Grales'!$D$65</f>
        <v>17640</v>
      </c>
      <c r="H216" s="57">
        <f>H215*12*'Analisis Inputs Grales'!$D$65</f>
        <v>17640</v>
      </c>
      <c r="I216" s="57">
        <f>I215*12*'Analisis Inputs Grales'!$D$65</f>
        <v>17640</v>
      </c>
      <c r="J216" s="57">
        <f>J215*12*'Analisis Inputs Grales'!$D$65</f>
        <v>17640</v>
      </c>
      <c r="K216" s="57">
        <f>K215*12*'Analisis Inputs Grales'!$D$65</f>
        <v>17640</v>
      </c>
      <c r="L216" s="57">
        <f>L215*12*'Analisis Inputs Grales'!$D$65</f>
        <v>17640</v>
      </c>
      <c r="M216" s="57">
        <f>M215*12*'Analisis Inputs Grales'!$D$65</f>
        <v>17640</v>
      </c>
      <c r="N216" s="57">
        <f>N215*12*'Analisis Inputs Grales'!$D$65</f>
        <v>17640</v>
      </c>
      <c r="O216" s="57">
        <f>O215*12*'Analisis Inputs Grales'!$D$65</f>
        <v>17640</v>
      </c>
      <c r="P216" s="57">
        <f>P215*12*'Analisis Inputs Grales'!$D$65</f>
        <v>17640</v>
      </c>
      <c r="Q216" s="57">
        <f>Q215*12*'Analisis Inputs Grales'!$D$65</f>
        <v>17640</v>
      </c>
      <c r="R216" s="57">
        <f>R215*12*'Analisis Inputs Grales'!$D$65</f>
        <v>17640</v>
      </c>
    </row>
    <row r="217" spans="2:18" x14ac:dyDescent="0.2">
      <c r="B217" s="33" t="s">
        <v>107</v>
      </c>
      <c r="C217" s="34" t="s">
        <v>106</v>
      </c>
      <c r="D217" s="80">
        <f>('Analisis Inputs Grales'!$D$66-'Analisis Inputs Grales'!$D$69*'Analisis Inputs Grales'!$D$66)/('Analisis Inputs Grales'!$D$65*12*$C$213)</f>
        <v>5.6712962962962965E-2</v>
      </c>
      <c r="E217" s="80">
        <f>('Analisis Inputs Grales'!$D$66-'Analisis Inputs Grales'!$D$69*'Analisis Inputs Grales'!$D$66)/('Analisis Inputs Grales'!$D$65*12*$C$213)</f>
        <v>5.6712962962962965E-2</v>
      </c>
      <c r="F217" s="80">
        <f>('Analisis Inputs Grales'!$D$66-'Analisis Inputs Grales'!$D$69*'Analisis Inputs Grales'!$D$66)/('Analisis Inputs Grales'!$D$65*12*$C$213)</f>
        <v>5.6712962962962965E-2</v>
      </c>
      <c r="G217" s="80">
        <f>('Analisis Inputs Grales'!$D$66-'Analisis Inputs Grales'!$D$69*'Analisis Inputs Grales'!$D$66)/('Analisis Inputs Grales'!$D$65*12*$C$213)</f>
        <v>5.6712962962962965E-2</v>
      </c>
      <c r="H217" s="80">
        <f>('Analisis Inputs Grales'!$D$66-'Analisis Inputs Grales'!$D$69*'Analisis Inputs Grales'!$D$66)/('Analisis Inputs Grales'!$D$65*12*$C$213)</f>
        <v>5.6712962962962965E-2</v>
      </c>
      <c r="I217" s="80">
        <f>('Analisis Inputs Grales'!$D$66-'Analisis Inputs Grales'!$D$69*'Analisis Inputs Grales'!$D$66)/('Analisis Inputs Grales'!$D$65*12*$C$213)</f>
        <v>5.6712962962962965E-2</v>
      </c>
      <c r="J217" s="80">
        <f>('Analisis Inputs Grales'!$D$66-'Analisis Inputs Grales'!$D$69*'Analisis Inputs Grales'!$D$66)/('Analisis Inputs Grales'!$D$65*12*$C$213)</f>
        <v>5.6712962962962965E-2</v>
      </c>
      <c r="K217" s="80">
        <f>('Analisis Inputs Grales'!$D$66-'Analisis Inputs Grales'!$D$69*'Analisis Inputs Grales'!$D$66)/('Analisis Inputs Grales'!$D$65*12*$C$213)</f>
        <v>5.6712962962962965E-2</v>
      </c>
      <c r="L217" s="80">
        <f>('Analisis Inputs Grales'!$D$66-'Analisis Inputs Grales'!$D$69*'Analisis Inputs Grales'!$D$66)/('Analisis Inputs Grales'!$D$65*12*$C$213)</f>
        <v>5.6712962962962965E-2</v>
      </c>
      <c r="M217" s="80">
        <f>('Analisis Inputs Grales'!$D$66-'Analisis Inputs Grales'!$D$69*'Analisis Inputs Grales'!$D$66)/('Analisis Inputs Grales'!$D$65*12*$C$213)</f>
        <v>5.6712962962962965E-2</v>
      </c>
      <c r="N217" s="80">
        <f>('Analisis Inputs Grales'!$D$66-'Analisis Inputs Grales'!$D$69*'Analisis Inputs Grales'!$D$66)/('Analisis Inputs Grales'!$D$65*12*$C$213)</f>
        <v>5.6712962962962965E-2</v>
      </c>
      <c r="O217" s="80">
        <f>('Analisis Inputs Grales'!$D$66-'Analisis Inputs Grales'!$D$69*'Analisis Inputs Grales'!$D$66)/('Analisis Inputs Grales'!$D$65*12*$C$213)</f>
        <v>5.6712962962962965E-2</v>
      </c>
      <c r="P217" s="80">
        <f>('Analisis Inputs Grales'!$D$66-'Analisis Inputs Grales'!$D$69*'Analisis Inputs Grales'!$D$66)/('Analisis Inputs Grales'!$D$65*12*$C$213)</f>
        <v>5.6712962962962965E-2</v>
      </c>
      <c r="Q217" s="80">
        <f>('Analisis Inputs Grales'!$D$66-'Analisis Inputs Grales'!$D$69*'Analisis Inputs Grales'!$D$66)/('Analisis Inputs Grales'!$D$65*12*$C$213)</f>
        <v>5.6712962962962965E-2</v>
      </c>
      <c r="R217" s="80">
        <f>('Analisis Inputs Grales'!$D$66-'Analisis Inputs Grales'!$D$69*'Analisis Inputs Grales'!$D$66)/('Analisis Inputs Grales'!$D$65*12*$C$213)</f>
        <v>5.6712962962962965E-2</v>
      </c>
    </row>
    <row r="218" spans="2:18" x14ac:dyDescent="0.2">
      <c r="B218" s="35" t="s">
        <v>107</v>
      </c>
      <c r="C218" s="36" t="s">
        <v>68</v>
      </c>
      <c r="D218" s="57">
        <f>D217*12*'Analisis Inputs Grales'!$D$65</f>
        <v>8820</v>
      </c>
      <c r="E218" s="57">
        <f>E217*12*'Analisis Inputs Grales'!$D$65</f>
        <v>8820</v>
      </c>
      <c r="F218" s="57">
        <f>F217*12*'Analisis Inputs Grales'!$D$65</f>
        <v>8820</v>
      </c>
      <c r="G218" s="57">
        <f>G217*12*'Analisis Inputs Grales'!$D$65</f>
        <v>8820</v>
      </c>
      <c r="H218" s="57">
        <f>H217*12*'Analisis Inputs Grales'!$D$65</f>
        <v>8820</v>
      </c>
      <c r="I218" s="57">
        <f>I217*12*'Analisis Inputs Grales'!$D$65</f>
        <v>8820</v>
      </c>
      <c r="J218" s="57">
        <f>J217*12*'Analisis Inputs Grales'!$D$65</f>
        <v>8820</v>
      </c>
      <c r="K218" s="57">
        <f>K217*12*'Analisis Inputs Grales'!$D$65</f>
        <v>8820</v>
      </c>
      <c r="L218" s="57">
        <f>L217*12*'Analisis Inputs Grales'!$D$65</f>
        <v>8820</v>
      </c>
      <c r="M218" s="57">
        <f>M217*12*'Analisis Inputs Grales'!$D$65</f>
        <v>8820</v>
      </c>
      <c r="N218" s="57">
        <f>N217*12*'Analisis Inputs Grales'!$D$65</f>
        <v>8820</v>
      </c>
      <c r="O218" s="57">
        <f>O217*12*'Analisis Inputs Grales'!$D$65</f>
        <v>8820</v>
      </c>
      <c r="P218" s="57">
        <f>P217*12*'Analisis Inputs Grales'!$D$65</f>
        <v>8820</v>
      </c>
      <c r="Q218" s="57">
        <f>Q217*12*'Analisis Inputs Grales'!$D$65</f>
        <v>8820</v>
      </c>
      <c r="R218" s="57">
        <f>R217*12*'Analisis Inputs Grales'!$D$65</f>
        <v>8820</v>
      </c>
    </row>
    <row r="219" spans="2:18" x14ac:dyDescent="0.2">
      <c r="B219" s="33" t="s">
        <v>108</v>
      </c>
      <c r="C219" s="34" t="s">
        <v>106</v>
      </c>
      <c r="D219" s="80">
        <f>'Analisis Inputs Grales'!$D$58/'Analisis Inputs Grales'!$D$65</f>
        <v>3.8580246913580245E-2</v>
      </c>
      <c r="E219" s="80">
        <f>'Analisis Inputs Grales'!$D$58/'Analisis Inputs Grales'!$D$65</f>
        <v>3.8580246913580245E-2</v>
      </c>
      <c r="F219" s="80">
        <f>'Analisis Inputs Grales'!$D$58/'Analisis Inputs Grales'!$D$65</f>
        <v>3.8580246913580245E-2</v>
      </c>
      <c r="G219" s="80">
        <f>'Analisis Inputs Grales'!$D$58/'Analisis Inputs Grales'!$D$65</f>
        <v>3.8580246913580245E-2</v>
      </c>
      <c r="H219" s="80">
        <f>'Analisis Inputs Grales'!$D$58/'Analisis Inputs Grales'!$D$65</f>
        <v>3.8580246913580245E-2</v>
      </c>
      <c r="I219" s="80">
        <f>'Analisis Inputs Grales'!$D$58/'Analisis Inputs Grales'!$D$65</f>
        <v>3.8580246913580245E-2</v>
      </c>
      <c r="J219" s="80">
        <f>'Analisis Inputs Grales'!$D$58/'Analisis Inputs Grales'!$D$65</f>
        <v>3.8580246913580245E-2</v>
      </c>
      <c r="K219" s="80">
        <f>'Analisis Inputs Grales'!$D$58/'Analisis Inputs Grales'!$D$65</f>
        <v>3.8580246913580245E-2</v>
      </c>
      <c r="L219" s="80">
        <f>'Analisis Inputs Grales'!$D$58/'Analisis Inputs Grales'!$D$65</f>
        <v>3.8580246913580245E-2</v>
      </c>
      <c r="M219" s="80">
        <f>'Analisis Inputs Grales'!$D$58/'Analisis Inputs Grales'!$D$65</f>
        <v>3.8580246913580245E-2</v>
      </c>
      <c r="N219" s="80">
        <f>'Analisis Inputs Grales'!$D$58/'Analisis Inputs Grales'!$D$65</f>
        <v>3.8580246913580245E-2</v>
      </c>
      <c r="O219" s="80">
        <f>'Analisis Inputs Grales'!$D$58/'Analisis Inputs Grales'!$D$65</f>
        <v>3.8580246913580245E-2</v>
      </c>
      <c r="P219" s="80">
        <f>'Analisis Inputs Grales'!$D$58/'Analisis Inputs Grales'!$D$65</f>
        <v>3.8580246913580245E-2</v>
      </c>
      <c r="Q219" s="80">
        <f>'Analisis Inputs Grales'!$D$58/'Analisis Inputs Grales'!$D$65</f>
        <v>3.8580246913580245E-2</v>
      </c>
      <c r="R219" s="80">
        <f>'Analisis Inputs Grales'!$D$58/'Analisis Inputs Grales'!$D$65</f>
        <v>3.8580246913580245E-2</v>
      </c>
    </row>
    <row r="220" spans="2:18" x14ac:dyDescent="0.2">
      <c r="B220" s="37" t="s">
        <v>108</v>
      </c>
      <c r="C220" s="38" t="s">
        <v>68</v>
      </c>
      <c r="D220" s="57">
        <f>D219*12*'Analisis Inputs Grales'!$D$65</f>
        <v>5999.9999999999991</v>
      </c>
      <c r="E220" s="57">
        <f>E219*12*'Analisis Inputs Grales'!$D$65</f>
        <v>5999.9999999999991</v>
      </c>
      <c r="F220" s="57">
        <f>F219*12*'Analisis Inputs Grales'!$D$65</f>
        <v>5999.9999999999991</v>
      </c>
      <c r="G220" s="57">
        <f>G219*12*'Analisis Inputs Grales'!$D$65</f>
        <v>5999.9999999999991</v>
      </c>
      <c r="H220" s="57">
        <f>H219*12*'Analisis Inputs Grales'!$D$65</f>
        <v>5999.9999999999991</v>
      </c>
      <c r="I220" s="57">
        <f>I219*12*'Analisis Inputs Grales'!$D$65</f>
        <v>5999.9999999999991</v>
      </c>
      <c r="J220" s="57">
        <f>J219*12*'Analisis Inputs Grales'!$D$65</f>
        <v>5999.9999999999991</v>
      </c>
      <c r="K220" s="57">
        <f>K219*12*'Analisis Inputs Grales'!$D$65</f>
        <v>5999.9999999999991</v>
      </c>
      <c r="L220" s="57">
        <f>L219*12*'Analisis Inputs Grales'!$D$65</f>
        <v>5999.9999999999991</v>
      </c>
      <c r="M220" s="57">
        <f>M219*12*'Analisis Inputs Grales'!$D$65</f>
        <v>5999.9999999999991</v>
      </c>
      <c r="N220" s="57">
        <f>N219*12*'Analisis Inputs Grales'!$D$65</f>
        <v>5999.9999999999991</v>
      </c>
      <c r="O220" s="57">
        <f>O219*12*'Analisis Inputs Grales'!$D$65</f>
        <v>5999.9999999999991</v>
      </c>
      <c r="P220" s="57">
        <f>P219*12*'Analisis Inputs Grales'!$D$65</f>
        <v>5999.9999999999991</v>
      </c>
      <c r="Q220" s="57">
        <f>Q219*12*'Analisis Inputs Grales'!$D$65</f>
        <v>5999.9999999999991</v>
      </c>
      <c r="R220" s="57">
        <f>R219*12*'Analisis Inputs Grales'!$D$65</f>
        <v>5999.9999999999991</v>
      </c>
    </row>
    <row r="221" spans="2:18" x14ac:dyDescent="0.2">
      <c r="B221" s="33" t="s">
        <v>109</v>
      </c>
      <c r="C221" s="34" t="s">
        <v>106</v>
      </c>
      <c r="D221" s="80">
        <f>D219+D217+D215</f>
        <v>0.20871913580246915</v>
      </c>
      <c r="E221" s="80">
        <f t="shared" ref="E221:R221" si="51">E219+E217+E215</f>
        <v>0.20871913580246915</v>
      </c>
      <c r="F221" s="80">
        <f t="shared" si="51"/>
        <v>0.20871913580246915</v>
      </c>
      <c r="G221" s="80">
        <f t="shared" si="51"/>
        <v>0.20871913580246915</v>
      </c>
      <c r="H221" s="80">
        <f t="shared" si="51"/>
        <v>0.20871913580246915</v>
      </c>
      <c r="I221" s="80">
        <f t="shared" si="51"/>
        <v>0.20871913580246915</v>
      </c>
      <c r="J221" s="80">
        <f t="shared" si="51"/>
        <v>0.20871913580246915</v>
      </c>
      <c r="K221" s="80">
        <f t="shared" si="51"/>
        <v>0.20871913580246915</v>
      </c>
      <c r="L221" s="80">
        <f t="shared" si="51"/>
        <v>0.20871913580246915</v>
      </c>
      <c r="M221" s="80">
        <f t="shared" si="51"/>
        <v>0.20871913580246915</v>
      </c>
      <c r="N221" s="80">
        <f t="shared" si="51"/>
        <v>0.20871913580246915</v>
      </c>
      <c r="O221" s="80">
        <f t="shared" si="51"/>
        <v>0.20871913580246915</v>
      </c>
      <c r="P221" s="80">
        <f t="shared" si="51"/>
        <v>0.20871913580246915</v>
      </c>
      <c r="Q221" s="80">
        <f t="shared" si="51"/>
        <v>0.20871913580246915</v>
      </c>
      <c r="R221" s="80">
        <f t="shared" si="51"/>
        <v>0.20871913580246915</v>
      </c>
    </row>
    <row r="222" spans="2:18" x14ac:dyDescent="0.2">
      <c r="B222" s="35" t="s">
        <v>109</v>
      </c>
      <c r="C222" s="36" t="s">
        <v>68</v>
      </c>
      <c r="D222" s="57">
        <f>D221*12*'Analisis Inputs Grales'!$D$65</f>
        <v>32460</v>
      </c>
      <c r="E222" s="57">
        <f>E221*12*'Analisis Inputs Grales'!$D$65</f>
        <v>32460</v>
      </c>
      <c r="F222" s="57">
        <f>F221*12*'Analisis Inputs Grales'!$D$65</f>
        <v>32460</v>
      </c>
      <c r="G222" s="57">
        <f>G221*12*'Analisis Inputs Grales'!$D$65</f>
        <v>32460</v>
      </c>
      <c r="H222" s="57">
        <f>H221*12*'Analisis Inputs Grales'!$D$65</f>
        <v>32460</v>
      </c>
      <c r="I222" s="57">
        <f>I221*12*'Analisis Inputs Grales'!$D$65</f>
        <v>32460</v>
      </c>
      <c r="J222" s="57">
        <f>J221*12*'Analisis Inputs Grales'!$D$65</f>
        <v>32460</v>
      </c>
      <c r="K222" s="57">
        <f>K221*12*'Analisis Inputs Grales'!$D$65</f>
        <v>32460</v>
      </c>
      <c r="L222" s="57">
        <f>L221*12*'Analisis Inputs Grales'!$D$65</f>
        <v>32460</v>
      </c>
      <c r="M222" s="57">
        <f>M221*12*'Analisis Inputs Grales'!$D$65</f>
        <v>32460</v>
      </c>
      <c r="N222" s="57">
        <f>N221*12*'Analisis Inputs Grales'!$D$65</f>
        <v>32460</v>
      </c>
      <c r="O222" s="57">
        <f>O221*12*'Analisis Inputs Grales'!$D$65</f>
        <v>32460</v>
      </c>
      <c r="P222" s="57">
        <f>P221*12*'Analisis Inputs Grales'!$D$65</f>
        <v>32460</v>
      </c>
      <c r="Q222" s="57">
        <f>Q221*12*'Analisis Inputs Grales'!$D$65</f>
        <v>32460</v>
      </c>
      <c r="R222" s="57">
        <f>R221*12*'Analisis Inputs Grales'!$D$65</f>
        <v>32460</v>
      </c>
    </row>
    <row r="223" spans="2:18" x14ac:dyDescent="0.2">
      <c r="C223" s="36"/>
    </row>
    <row r="224" spans="2:18" ht="15" x14ac:dyDescent="0.25">
      <c r="B224" s="32" t="s">
        <v>110</v>
      </c>
      <c r="C224" s="36"/>
    </row>
    <row r="225" spans="2:18" x14ac:dyDescent="0.2">
      <c r="B225" s="33" t="s">
        <v>111</v>
      </c>
      <c r="C225" s="34" t="s">
        <v>106</v>
      </c>
      <c r="D225" s="80">
        <f>'Analisis Inputs Grales'!$D$72/('Analisis Inputs Grales'!$D$70*'Analisis Inputs Grales'!$D$71/60)</f>
        <v>0.15909090909090906</v>
      </c>
      <c r="E225" s="80">
        <f>'Analisis Inputs Grales'!$D$72/('Analisis Inputs Grales'!$D$70*'Analisis Inputs Grales'!$D$71/60)</f>
        <v>0.15909090909090906</v>
      </c>
      <c r="F225" s="80">
        <f>'Analisis Inputs Grales'!$D$72/('Analisis Inputs Grales'!$D$70*'Analisis Inputs Grales'!$D$71/60)</f>
        <v>0.15909090909090906</v>
      </c>
      <c r="G225" s="80">
        <f>'Analisis Inputs Grales'!$D$72/('Analisis Inputs Grales'!$D$70*'Analisis Inputs Grales'!$D$71/60)</f>
        <v>0.15909090909090906</v>
      </c>
      <c r="H225" s="80">
        <f>'Analisis Inputs Grales'!$D$72/('Analisis Inputs Grales'!$D$70*'Analisis Inputs Grales'!$D$71/60)</f>
        <v>0.15909090909090906</v>
      </c>
      <c r="I225" s="80">
        <f>'Analisis Inputs Grales'!$D$72/('Analisis Inputs Grales'!$D$70*'Analisis Inputs Grales'!$D$71/60)</f>
        <v>0.15909090909090906</v>
      </c>
      <c r="J225" s="80">
        <f>'Analisis Inputs Grales'!$D$72/('Analisis Inputs Grales'!$D$70*'Analisis Inputs Grales'!$D$71/60)</f>
        <v>0.15909090909090906</v>
      </c>
      <c r="K225" s="80">
        <f>'Analisis Inputs Grales'!$D$72/('Analisis Inputs Grales'!$D$70*'Analisis Inputs Grales'!$D$71/60)</f>
        <v>0.15909090909090906</v>
      </c>
      <c r="L225" s="80">
        <f>'Analisis Inputs Grales'!$D$72/('Analisis Inputs Grales'!$D$70*'Analisis Inputs Grales'!$D$71/60)</f>
        <v>0.15909090909090906</v>
      </c>
      <c r="M225" s="80">
        <f>'Analisis Inputs Grales'!$D$72/('Analisis Inputs Grales'!$D$70*'Analisis Inputs Grales'!$D$71/60)</f>
        <v>0.15909090909090906</v>
      </c>
      <c r="N225" s="80">
        <f>'Analisis Inputs Grales'!$D$72/('Analisis Inputs Grales'!$D$70*'Analisis Inputs Grales'!$D$71/60)</f>
        <v>0.15909090909090906</v>
      </c>
      <c r="O225" s="80">
        <f>'Analisis Inputs Grales'!$D$72/('Analisis Inputs Grales'!$D$70*'Analisis Inputs Grales'!$D$71/60)</f>
        <v>0.15909090909090906</v>
      </c>
      <c r="P225" s="80">
        <f>'Analisis Inputs Grales'!$D$72/('Analisis Inputs Grales'!$D$70*'Analisis Inputs Grales'!$D$71/60)</f>
        <v>0.15909090909090906</v>
      </c>
      <c r="Q225" s="80">
        <f>'Analisis Inputs Grales'!$D$72/('Analisis Inputs Grales'!$D$70*'Analisis Inputs Grales'!$D$71/60)</f>
        <v>0.15909090909090906</v>
      </c>
      <c r="R225" s="80">
        <f>'Analisis Inputs Grales'!$D$72/('Analisis Inputs Grales'!$D$70*'Analisis Inputs Grales'!$D$71/60)</f>
        <v>0.15909090909090906</v>
      </c>
    </row>
    <row r="226" spans="2:18" x14ac:dyDescent="0.2">
      <c r="B226" s="35" t="s">
        <v>111</v>
      </c>
      <c r="C226" s="36" t="s">
        <v>68</v>
      </c>
      <c r="D226" s="57">
        <f>D225*12*'Analisis Inputs Grales'!$D$65</f>
        <v>24741.818181818177</v>
      </c>
      <c r="E226" s="57">
        <f>E225*12*'Analisis Inputs Grales'!$D$65</f>
        <v>24741.818181818177</v>
      </c>
      <c r="F226" s="57">
        <f>F225*12*'Analisis Inputs Grales'!$D$65</f>
        <v>24741.818181818177</v>
      </c>
      <c r="G226" s="57">
        <f>G225*12*'Analisis Inputs Grales'!$D$65</f>
        <v>24741.818181818177</v>
      </c>
      <c r="H226" s="57">
        <f>H225*12*'Analisis Inputs Grales'!$D$65</f>
        <v>24741.818181818177</v>
      </c>
      <c r="I226" s="57">
        <f>I225*12*'Analisis Inputs Grales'!$D$65</f>
        <v>24741.818181818177</v>
      </c>
      <c r="J226" s="57">
        <f>J225*12*'Analisis Inputs Grales'!$D$65</f>
        <v>24741.818181818177</v>
      </c>
      <c r="K226" s="57">
        <f>K225*12*'Analisis Inputs Grales'!$D$65</f>
        <v>24741.818181818177</v>
      </c>
      <c r="L226" s="57">
        <f>L225*12*'Analisis Inputs Grales'!$D$65</f>
        <v>24741.818181818177</v>
      </c>
      <c r="M226" s="57">
        <f>M225*12*'Analisis Inputs Grales'!$D$65</f>
        <v>24741.818181818177</v>
      </c>
      <c r="N226" s="57">
        <f>N225*12*'Analisis Inputs Grales'!$D$65</f>
        <v>24741.818181818177</v>
      </c>
      <c r="O226" s="57">
        <f>O225*12*'Analisis Inputs Grales'!$D$65</f>
        <v>24741.818181818177</v>
      </c>
      <c r="P226" s="57">
        <f>P225*12*'Analisis Inputs Grales'!$D$65</f>
        <v>24741.818181818177</v>
      </c>
      <c r="Q226" s="57">
        <f>Q225*12*'Analisis Inputs Grales'!$D$65</f>
        <v>24741.818181818177</v>
      </c>
      <c r="R226" s="57">
        <f>R225*12*'Analisis Inputs Grales'!$D$65</f>
        <v>24741.818181818177</v>
      </c>
    </row>
    <row r="227" spans="2:18" x14ac:dyDescent="0.2">
      <c r="B227" s="33" t="s">
        <v>112</v>
      </c>
      <c r="C227" s="34" t="s">
        <v>106</v>
      </c>
      <c r="D227" s="80">
        <f>'Analisis Inputs Grales'!$D$73*'Analisis 20Años'!D225</f>
        <v>2.3863636363636358E-2</v>
      </c>
      <c r="E227" s="80">
        <f>'Analisis Inputs Grales'!$D$73*'Analisis 20Años'!E225</f>
        <v>2.3863636363636358E-2</v>
      </c>
      <c r="F227" s="80">
        <f>'Analisis Inputs Grales'!$D$73*'Analisis 20Años'!F225</f>
        <v>2.3863636363636358E-2</v>
      </c>
      <c r="G227" s="80">
        <f>'Analisis Inputs Grales'!$D$73*'Analisis 20Años'!G225</f>
        <v>2.3863636363636358E-2</v>
      </c>
      <c r="H227" s="80">
        <f>'Analisis Inputs Grales'!$D$73*'Analisis 20Años'!H225</f>
        <v>2.3863636363636358E-2</v>
      </c>
      <c r="I227" s="80">
        <f>'Analisis Inputs Grales'!$D$73*'Analisis 20Años'!I225</f>
        <v>2.3863636363636358E-2</v>
      </c>
      <c r="J227" s="80">
        <f>'Analisis Inputs Grales'!$D$73*'Analisis 20Años'!J225</f>
        <v>2.3863636363636358E-2</v>
      </c>
      <c r="K227" s="80">
        <f>'Analisis Inputs Grales'!$D$73*'Analisis 20Años'!K225</f>
        <v>2.3863636363636358E-2</v>
      </c>
      <c r="L227" s="80">
        <f>'Analisis Inputs Grales'!$D$73*'Analisis 20Años'!L225</f>
        <v>2.3863636363636358E-2</v>
      </c>
      <c r="M227" s="80">
        <f>'Analisis Inputs Grales'!$D$73*'Analisis 20Años'!M225</f>
        <v>2.3863636363636358E-2</v>
      </c>
      <c r="N227" s="80">
        <f>'Analisis Inputs Grales'!$D$73*'Analisis 20Años'!N225</f>
        <v>2.3863636363636358E-2</v>
      </c>
      <c r="O227" s="80">
        <f>'Analisis Inputs Grales'!$D$73*'Analisis 20Años'!O225</f>
        <v>2.3863636363636358E-2</v>
      </c>
      <c r="P227" s="80">
        <f>'Analisis Inputs Grales'!$D$73*'Analisis 20Años'!P225</f>
        <v>2.3863636363636358E-2</v>
      </c>
      <c r="Q227" s="80">
        <f>'Analisis Inputs Grales'!$D$73*'Analisis 20Años'!Q225</f>
        <v>2.3863636363636358E-2</v>
      </c>
      <c r="R227" s="80">
        <f>'Analisis Inputs Grales'!$D$73*'Analisis 20Años'!R225</f>
        <v>2.3863636363636358E-2</v>
      </c>
    </row>
    <row r="228" spans="2:18" x14ac:dyDescent="0.2">
      <c r="B228" s="35" t="s">
        <v>112</v>
      </c>
      <c r="C228" s="36" t="s">
        <v>68</v>
      </c>
      <c r="D228" s="57">
        <f>D227*12*'Analisis Inputs Grales'!$D$65</f>
        <v>3711.2727272727261</v>
      </c>
      <c r="E228" s="57">
        <f>E227*12*'Analisis Inputs Grales'!$D$65</f>
        <v>3711.2727272727261</v>
      </c>
      <c r="F228" s="57">
        <f>F227*12*'Analisis Inputs Grales'!$D$65</f>
        <v>3711.2727272727261</v>
      </c>
      <c r="G228" s="57">
        <f>G227*12*'Analisis Inputs Grales'!$D$65</f>
        <v>3711.2727272727261</v>
      </c>
      <c r="H228" s="57">
        <f>H227*12*'Analisis Inputs Grales'!$D$65</f>
        <v>3711.2727272727261</v>
      </c>
      <c r="I228" s="57">
        <f>I227*12*'Analisis Inputs Grales'!$D$65</f>
        <v>3711.2727272727261</v>
      </c>
      <c r="J228" s="57">
        <f>J227*12*'Analisis Inputs Grales'!$D$65</f>
        <v>3711.2727272727261</v>
      </c>
      <c r="K228" s="57">
        <f>K227*12*'Analisis Inputs Grales'!$D$65</f>
        <v>3711.2727272727261</v>
      </c>
      <c r="L228" s="57">
        <f>L227*12*'Analisis Inputs Grales'!$D$65</f>
        <v>3711.2727272727261</v>
      </c>
      <c r="M228" s="57">
        <f>M227*12*'Analisis Inputs Grales'!$D$65</f>
        <v>3711.2727272727261</v>
      </c>
      <c r="N228" s="57">
        <f>N227*12*'Analisis Inputs Grales'!$D$65</f>
        <v>3711.2727272727261</v>
      </c>
      <c r="O228" s="57">
        <f>O227*12*'Analisis Inputs Grales'!$D$65</f>
        <v>3711.2727272727261</v>
      </c>
      <c r="P228" s="57">
        <f>P227*12*'Analisis Inputs Grales'!$D$65</f>
        <v>3711.2727272727261</v>
      </c>
      <c r="Q228" s="57">
        <f>Q227*12*'Analisis Inputs Grales'!$D$65</f>
        <v>3711.2727272727261</v>
      </c>
      <c r="R228" s="57">
        <f>R227*12*'Analisis Inputs Grales'!$D$65</f>
        <v>3711.2727272727261</v>
      </c>
    </row>
    <row r="229" spans="2:18" x14ac:dyDescent="0.2">
      <c r="B229" s="33" t="s">
        <v>113</v>
      </c>
      <c r="C229" s="34" t="s">
        <v>106</v>
      </c>
      <c r="D229" s="80">
        <f>'Analisis Inputs Grales'!$D$74*('Analisis 20Años'!D225+'Analisis 20Años'!D227)</f>
        <v>7.3181818181818167E-2</v>
      </c>
      <c r="E229" s="80">
        <f>'Analisis Inputs Grales'!$D$74*('Analisis 20Años'!E225+'Analisis 20Años'!E227)</f>
        <v>7.3181818181818167E-2</v>
      </c>
      <c r="F229" s="80">
        <f>'Analisis Inputs Grales'!$D$74*('Analisis 20Años'!F225+'Analisis 20Años'!F227)</f>
        <v>7.3181818181818167E-2</v>
      </c>
      <c r="G229" s="80">
        <f>'Analisis Inputs Grales'!$D$74*('Analisis 20Años'!G225+'Analisis 20Años'!G227)</f>
        <v>7.3181818181818167E-2</v>
      </c>
      <c r="H229" s="80">
        <f>'Analisis Inputs Grales'!$D$74*('Analisis 20Años'!H225+'Analisis 20Años'!H227)</f>
        <v>7.3181818181818167E-2</v>
      </c>
      <c r="I229" s="80">
        <f>'Analisis Inputs Grales'!$D$74*('Analisis 20Años'!I225+'Analisis 20Años'!I227)</f>
        <v>7.3181818181818167E-2</v>
      </c>
      <c r="J229" s="80">
        <f>'Analisis Inputs Grales'!$D$74*('Analisis 20Años'!J225+'Analisis 20Años'!J227)</f>
        <v>7.3181818181818167E-2</v>
      </c>
      <c r="K229" s="80">
        <f>'Analisis Inputs Grales'!$D$74*('Analisis 20Años'!K225+'Analisis 20Años'!K227)</f>
        <v>7.3181818181818167E-2</v>
      </c>
      <c r="L229" s="80">
        <f>'Analisis Inputs Grales'!$D$74*('Analisis 20Años'!L225+'Analisis 20Años'!L227)</f>
        <v>7.3181818181818167E-2</v>
      </c>
      <c r="M229" s="80">
        <f>'Analisis Inputs Grales'!$D$74*('Analisis 20Años'!M225+'Analisis 20Años'!M227)</f>
        <v>7.3181818181818167E-2</v>
      </c>
      <c r="N229" s="80">
        <f>'Analisis Inputs Grales'!$D$74*('Analisis 20Años'!N225+'Analisis 20Años'!N227)</f>
        <v>7.3181818181818167E-2</v>
      </c>
      <c r="O229" s="80">
        <f>'Analisis Inputs Grales'!$D$74*('Analisis 20Años'!O225+'Analisis 20Años'!O227)</f>
        <v>7.3181818181818167E-2</v>
      </c>
      <c r="P229" s="80">
        <f>'Analisis Inputs Grales'!$D$74*('Analisis 20Años'!P225+'Analisis 20Años'!P227)</f>
        <v>7.3181818181818167E-2</v>
      </c>
      <c r="Q229" s="80">
        <f>'Analisis Inputs Grales'!$D$74*('Analisis 20Años'!Q225+'Analisis 20Años'!Q227)</f>
        <v>7.3181818181818167E-2</v>
      </c>
      <c r="R229" s="80">
        <f>'Analisis Inputs Grales'!$D$74*('Analisis 20Años'!R225+'Analisis 20Años'!R227)</f>
        <v>7.3181818181818167E-2</v>
      </c>
    </row>
    <row r="230" spans="2:18" x14ac:dyDescent="0.2">
      <c r="B230" s="35" t="s">
        <v>113</v>
      </c>
      <c r="C230" s="36" t="s">
        <v>68</v>
      </c>
      <c r="D230" s="57">
        <f>D229*12*'Analisis Inputs Grales'!$D$65</f>
        <v>11381.236363636361</v>
      </c>
      <c r="E230" s="57">
        <f>E229*12*'Analisis Inputs Grales'!$D$65</f>
        <v>11381.236363636361</v>
      </c>
      <c r="F230" s="57">
        <f>F229*12*'Analisis Inputs Grales'!$D$65</f>
        <v>11381.236363636361</v>
      </c>
      <c r="G230" s="57">
        <f>G229*12*'Analisis Inputs Grales'!$D$65</f>
        <v>11381.236363636361</v>
      </c>
      <c r="H230" s="57">
        <f>H229*12*'Analisis Inputs Grales'!$D$65</f>
        <v>11381.236363636361</v>
      </c>
      <c r="I230" s="57">
        <f>I229*12*'Analisis Inputs Grales'!$D$65</f>
        <v>11381.236363636361</v>
      </c>
      <c r="J230" s="57">
        <f>J229*12*'Analisis Inputs Grales'!$D$65</f>
        <v>11381.236363636361</v>
      </c>
      <c r="K230" s="57">
        <f>K229*12*'Analisis Inputs Grales'!$D$65</f>
        <v>11381.236363636361</v>
      </c>
      <c r="L230" s="57">
        <f>L229*12*'Analisis Inputs Grales'!$D$65</f>
        <v>11381.236363636361</v>
      </c>
      <c r="M230" s="57">
        <f>M229*12*'Analisis Inputs Grales'!$D$65</f>
        <v>11381.236363636361</v>
      </c>
      <c r="N230" s="57">
        <f>N229*12*'Analisis Inputs Grales'!$D$65</f>
        <v>11381.236363636361</v>
      </c>
      <c r="O230" s="57">
        <f>O229*12*'Analisis Inputs Grales'!$D$65</f>
        <v>11381.236363636361</v>
      </c>
      <c r="P230" s="57">
        <f>P229*12*'Analisis Inputs Grales'!$D$65</f>
        <v>11381.236363636361</v>
      </c>
      <c r="Q230" s="57">
        <f>Q229*12*'Analisis Inputs Grales'!$D$65</f>
        <v>11381.236363636361</v>
      </c>
      <c r="R230" s="57">
        <f>R229*12*'Analisis Inputs Grales'!$D$65</f>
        <v>11381.236363636361</v>
      </c>
    </row>
    <row r="231" spans="2:18" x14ac:dyDescent="0.2">
      <c r="B231" s="33" t="s">
        <v>114</v>
      </c>
      <c r="C231" s="34" t="s">
        <v>106</v>
      </c>
      <c r="D231" s="80">
        <f>D229+D227+D225</f>
        <v>0.25613636363636361</v>
      </c>
      <c r="E231" s="80">
        <f t="shared" ref="E231:R231" si="52">E229+E227+E225</f>
        <v>0.25613636363636361</v>
      </c>
      <c r="F231" s="80">
        <f t="shared" si="52"/>
        <v>0.25613636363636361</v>
      </c>
      <c r="G231" s="80">
        <f t="shared" si="52"/>
        <v>0.25613636363636361</v>
      </c>
      <c r="H231" s="80">
        <f t="shared" si="52"/>
        <v>0.25613636363636361</v>
      </c>
      <c r="I231" s="80">
        <f t="shared" si="52"/>
        <v>0.25613636363636361</v>
      </c>
      <c r="J231" s="80">
        <f t="shared" si="52"/>
        <v>0.25613636363636361</v>
      </c>
      <c r="K231" s="80">
        <f t="shared" si="52"/>
        <v>0.25613636363636361</v>
      </c>
      <c r="L231" s="80">
        <f t="shared" si="52"/>
        <v>0.25613636363636361</v>
      </c>
      <c r="M231" s="80">
        <f t="shared" si="52"/>
        <v>0.25613636363636361</v>
      </c>
      <c r="N231" s="80">
        <f t="shared" si="52"/>
        <v>0.25613636363636361</v>
      </c>
      <c r="O231" s="80">
        <f t="shared" si="52"/>
        <v>0.25613636363636361</v>
      </c>
      <c r="P231" s="80">
        <f t="shared" si="52"/>
        <v>0.25613636363636361</v>
      </c>
      <c r="Q231" s="80">
        <f t="shared" si="52"/>
        <v>0.25613636363636361</v>
      </c>
      <c r="R231" s="80">
        <f t="shared" si="52"/>
        <v>0.25613636363636361</v>
      </c>
    </row>
    <row r="232" spans="2:18" x14ac:dyDescent="0.2">
      <c r="B232" s="37" t="s">
        <v>114</v>
      </c>
      <c r="C232" s="36" t="s">
        <v>68</v>
      </c>
      <c r="D232" s="57">
        <f>D231*12*'Analisis Inputs Grales'!$D$65</f>
        <v>39834.327272727271</v>
      </c>
      <c r="E232" s="57">
        <f>E231*12*'Analisis Inputs Grales'!$D$65</f>
        <v>39834.327272727271</v>
      </c>
      <c r="F232" s="57">
        <f>F231*12*'Analisis Inputs Grales'!$D$65</f>
        <v>39834.327272727271</v>
      </c>
      <c r="G232" s="57">
        <f>G231*12*'Analisis Inputs Grales'!$D$65</f>
        <v>39834.327272727271</v>
      </c>
      <c r="H232" s="57">
        <f>H231*12*'Analisis Inputs Grales'!$D$65</f>
        <v>39834.327272727271</v>
      </c>
      <c r="I232" s="57">
        <f>I231*12*'Analisis Inputs Grales'!$D$65</f>
        <v>39834.327272727271</v>
      </c>
      <c r="J232" s="57">
        <f>J231*12*'Analisis Inputs Grales'!$D$65</f>
        <v>39834.327272727271</v>
      </c>
      <c r="K232" s="57">
        <f>K231*12*'Analisis Inputs Grales'!$D$65</f>
        <v>39834.327272727271</v>
      </c>
      <c r="L232" s="57">
        <f>L231*12*'Analisis Inputs Grales'!$D$65</f>
        <v>39834.327272727271</v>
      </c>
      <c r="M232" s="57">
        <f>M231*12*'Analisis Inputs Grales'!$D$65</f>
        <v>39834.327272727271</v>
      </c>
      <c r="N232" s="57">
        <f>N231*12*'Analisis Inputs Grales'!$D$65</f>
        <v>39834.327272727271</v>
      </c>
      <c r="O232" s="57">
        <f>O231*12*'Analisis Inputs Grales'!$D$65</f>
        <v>39834.327272727271</v>
      </c>
      <c r="P232" s="57">
        <f>P231*12*'Analisis Inputs Grales'!$D$65</f>
        <v>39834.327272727271</v>
      </c>
      <c r="Q232" s="57">
        <f>Q231*12*'Analisis Inputs Grales'!$D$65</f>
        <v>39834.327272727271</v>
      </c>
      <c r="R232" s="57">
        <f>R231*12*'Analisis Inputs Grales'!$D$65</f>
        <v>39834.327272727271</v>
      </c>
    </row>
    <row r="233" spans="2:18" x14ac:dyDescent="0.2">
      <c r="B233" s="39"/>
    </row>
    <row r="234" spans="2:18" x14ac:dyDescent="0.2">
      <c r="B234" s="40" t="s">
        <v>115</v>
      </c>
      <c r="C234" s="41" t="s">
        <v>106</v>
      </c>
      <c r="D234" s="80">
        <f>+D221+D231</f>
        <v>0.46485549943883275</v>
      </c>
      <c r="E234" s="80">
        <f t="shared" ref="E234:R234" si="53">+E221+E231</f>
        <v>0.46485549943883275</v>
      </c>
      <c r="F234" s="80">
        <f t="shared" si="53"/>
        <v>0.46485549943883275</v>
      </c>
      <c r="G234" s="80">
        <f t="shared" si="53"/>
        <v>0.46485549943883275</v>
      </c>
      <c r="H234" s="80">
        <f t="shared" si="53"/>
        <v>0.46485549943883275</v>
      </c>
      <c r="I234" s="80">
        <f t="shared" si="53"/>
        <v>0.46485549943883275</v>
      </c>
      <c r="J234" s="80">
        <f t="shared" si="53"/>
        <v>0.46485549943883275</v>
      </c>
      <c r="K234" s="80">
        <f t="shared" si="53"/>
        <v>0.46485549943883275</v>
      </c>
      <c r="L234" s="80">
        <f t="shared" si="53"/>
        <v>0.46485549943883275</v>
      </c>
      <c r="M234" s="80">
        <f t="shared" si="53"/>
        <v>0.46485549943883275</v>
      </c>
      <c r="N234" s="80">
        <f t="shared" si="53"/>
        <v>0.46485549943883275</v>
      </c>
      <c r="O234" s="80">
        <f t="shared" si="53"/>
        <v>0.46485549943883275</v>
      </c>
      <c r="P234" s="80">
        <f t="shared" si="53"/>
        <v>0.46485549943883275</v>
      </c>
      <c r="Q234" s="80">
        <f t="shared" si="53"/>
        <v>0.46485549943883275</v>
      </c>
      <c r="R234" s="80">
        <f t="shared" si="53"/>
        <v>0.46485549943883275</v>
      </c>
    </row>
    <row r="235" spans="2:18" x14ac:dyDescent="0.2">
      <c r="B235" s="42" t="s">
        <v>115</v>
      </c>
      <c r="C235" s="43" t="s">
        <v>68</v>
      </c>
      <c r="D235" s="57">
        <f>D234*12*'Analisis Inputs Grales'!$D$65</f>
        <v>72294.327272727271</v>
      </c>
      <c r="E235" s="57">
        <f>E234*12*'Analisis Inputs Grales'!$D$65</f>
        <v>72294.327272727271</v>
      </c>
      <c r="F235" s="57">
        <f>F234*12*'Analisis Inputs Grales'!$D$65</f>
        <v>72294.327272727271</v>
      </c>
      <c r="G235" s="57">
        <f>G234*12*'Analisis Inputs Grales'!$D$65</f>
        <v>72294.327272727271</v>
      </c>
      <c r="H235" s="57">
        <f>H234*12*'Analisis Inputs Grales'!$D$65</f>
        <v>72294.327272727271</v>
      </c>
      <c r="I235" s="57">
        <f>I234*12*'Analisis Inputs Grales'!$D$65</f>
        <v>72294.327272727271</v>
      </c>
      <c r="J235" s="57">
        <f>J234*12*'Analisis Inputs Grales'!$D$65</f>
        <v>72294.327272727271</v>
      </c>
      <c r="K235" s="57">
        <f>K234*12*'Analisis Inputs Grales'!$D$65</f>
        <v>72294.327272727271</v>
      </c>
      <c r="L235" s="57">
        <f>L234*12*'Analisis Inputs Grales'!$D$65</f>
        <v>72294.327272727271</v>
      </c>
      <c r="M235" s="57">
        <f>M234*12*'Analisis Inputs Grales'!$D$65</f>
        <v>72294.327272727271</v>
      </c>
      <c r="N235" s="57">
        <f>N234*12*'Analisis Inputs Grales'!$D$65</f>
        <v>72294.327272727271</v>
      </c>
      <c r="O235" s="57">
        <f>O234*12*'Analisis Inputs Grales'!$D$65</f>
        <v>72294.327272727271</v>
      </c>
      <c r="P235" s="57">
        <f>P234*12*'Analisis Inputs Grales'!$D$65</f>
        <v>72294.327272727271</v>
      </c>
      <c r="Q235" s="57">
        <f>Q234*12*'Analisis Inputs Grales'!$D$65</f>
        <v>72294.327272727271</v>
      </c>
      <c r="R235" s="57">
        <f>R234*12*'Analisis Inputs Grales'!$D$65</f>
        <v>72294.327272727271</v>
      </c>
    </row>
    <row r="236" spans="2:18" x14ac:dyDescent="0.2">
      <c r="B236" s="44"/>
      <c r="C236" s="45"/>
    </row>
    <row r="237" spans="2:18" x14ac:dyDescent="0.2">
      <c r="B237" s="46" t="s">
        <v>116</v>
      </c>
      <c r="C237" s="41" t="s">
        <v>117</v>
      </c>
      <c r="D237" s="80">
        <f>D234/('Analisis Inputs Grales'!$D$50)</f>
        <v>1.6601982122815457E-2</v>
      </c>
      <c r="E237" s="80">
        <f>E234/('Analisis Inputs Grales'!$D$50)</f>
        <v>1.6601982122815457E-2</v>
      </c>
      <c r="F237" s="80">
        <f>F234/('Analisis Inputs Grales'!$D$50)</f>
        <v>1.6601982122815457E-2</v>
      </c>
      <c r="G237" s="80">
        <f>G234/('Analisis Inputs Grales'!$D$50)</f>
        <v>1.6601982122815457E-2</v>
      </c>
      <c r="H237" s="80">
        <f>H234/('Analisis Inputs Grales'!$D$50)</f>
        <v>1.6601982122815457E-2</v>
      </c>
      <c r="I237" s="80">
        <f>I234/('Analisis Inputs Grales'!$D$50)</f>
        <v>1.6601982122815457E-2</v>
      </c>
      <c r="J237" s="80">
        <f>J234/('Analisis Inputs Grales'!$D$50)</f>
        <v>1.6601982122815457E-2</v>
      </c>
      <c r="K237" s="80">
        <f>K234/('Analisis Inputs Grales'!$D$50)</f>
        <v>1.6601982122815457E-2</v>
      </c>
      <c r="L237" s="80">
        <f>L234/('Analisis Inputs Grales'!$D$50)</f>
        <v>1.6601982122815457E-2</v>
      </c>
      <c r="M237" s="80">
        <f>M234/('Analisis Inputs Grales'!$D$50)</f>
        <v>1.6601982122815457E-2</v>
      </c>
      <c r="N237" s="80">
        <f>N234/('Analisis Inputs Grales'!$D$50)</f>
        <v>1.6601982122815457E-2</v>
      </c>
      <c r="O237" s="80">
        <f>O234/('Analisis Inputs Grales'!$D$50)</f>
        <v>1.6601982122815457E-2</v>
      </c>
      <c r="P237" s="80">
        <f>P234/('Analisis Inputs Grales'!$D$50)</f>
        <v>1.6601982122815457E-2</v>
      </c>
      <c r="Q237" s="80">
        <f>Q234/('Analisis Inputs Grales'!$D$50)</f>
        <v>1.6601982122815457E-2</v>
      </c>
      <c r="R237" s="80">
        <f>R234/('Analisis Inputs Grales'!$D$50)</f>
        <v>1.6601982122815457E-2</v>
      </c>
    </row>
    <row r="238" spans="2:18" x14ac:dyDescent="0.2">
      <c r="B238" s="39" t="s">
        <v>118</v>
      </c>
      <c r="C238" s="36" t="s">
        <v>119</v>
      </c>
      <c r="D238" s="57">
        <f>D237*12*'Analisis Inputs Grales'!$D$65</f>
        <v>2581.94025974026</v>
      </c>
      <c r="E238" s="57">
        <f>E237*12*'Analisis Inputs Grales'!$D$65</f>
        <v>2581.94025974026</v>
      </c>
      <c r="F238" s="57">
        <f>F237*12*'Analisis Inputs Grales'!$D$65</f>
        <v>2581.94025974026</v>
      </c>
      <c r="G238" s="57">
        <f>G237*12*'Analisis Inputs Grales'!$D$65</f>
        <v>2581.94025974026</v>
      </c>
      <c r="H238" s="57">
        <f>H237*12*'Analisis Inputs Grales'!$D$65</f>
        <v>2581.94025974026</v>
      </c>
      <c r="I238" s="57">
        <f>I237*12*'Analisis Inputs Grales'!$D$65</f>
        <v>2581.94025974026</v>
      </c>
      <c r="J238" s="57">
        <f>J237*12*'Analisis Inputs Grales'!$D$65</f>
        <v>2581.94025974026</v>
      </c>
      <c r="K238" s="57">
        <f>K237*12*'Analisis Inputs Grales'!$D$65</f>
        <v>2581.94025974026</v>
      </c>
      <c r="L238" s="57">
        <f>L237*12*'Analisis Inputs Grales'!$D$65</f>
        <v>2581.94025974026</v>
      </c>
      <c r="M238" s="57">
        <f>M237*12*'Analisis Inputs Grales'!$D$65</f>
        <v>2581.94025974026</v>
      </c>
      <c r="N238" s="57">
        <f>N237*12*'Analisis Inputs Grales'!$D$65</f>
        <v>2581.94025974026</v>
      </c>
      <c r="O238" s="57">
        <f>O237*12*'Analisis Inputs Grales'!$D$65</f>
        <v>2581.94025974026</v>
      </c>
      <c r="P238" s="57">
        <f>P237*12*'Analisis Inputs Grales'!$D$65</f>
        <v>2581.94025974026</v>
      </c>
      <c r="Q238" s="57">
        <f>Q237*12*'Analisis Inputs Grales'!$D$65</f>
        <v>2581.94025974026</v>
      </c>
      <c r="R238" s="57">
        <f>R237*12*'Analisis Inputs Grales'!$D$65</f>
        <v>2581.94025974026</v>
      </c>
    </row>
    <row r="239" spans="2:18" ht="28.5" x14ac:dyDescent="0.2">
      <c r="B239" s="42" t="s">
        <v>120</v>
      </c>
      <c r="C239" s="43" t="s">
        <v>121</v>
      </c>
      <c r="D239" s="80">
        <f>('Analisis Inputs Grales'!$D$77+'Analisis Inputs Grales'!$D$78)*D221/'Analisis Inputs Grales'!$D$50</f>
        <v>0.26089891975308643</v>
      </c>
      <c r="E239" s="80">
        <f>('Analisis Inputs Grales'!$D$77+'Analisis Inputs Grales'!$D$78)*E221/'Analisis Inputs Grales'!$D$50</f>
        <v>0.26089891975308643</v>
      </c>
      <c r="F239" s="80">
        <f>('Analisis Inputs Grales'!$D$77+'Analisis Inputs Grales'!$D$78)*F221/'Analisis Inputs Grales'!$D$50</f>
        <v>0.26089891975308643</v>
      </c>
      <c r="G239" s="80">
        <f>('Analisis Inputs Grales'!$D$77+'Analisis Inputs Grales'!$D$78)*G221/'Analisis Inputs Grales'!$D$50</f>
        <v>0.26089891975308643</v>
      </c>
      <c r="H239" s="80">
        <f>('Analisis Inputs Grales'!$D$77+'Analisis Inputs Grales'!$D$78)*H221/'Analisis Inputs Grales'!$D$50</f>
        <v>0.26089891975308643</v>
      </c>
      <c r="I239" s="80">
        <f>('Analisis Inputs Grales'!$D$77+'Analisis Inputs Grales'!$D$78)*I221/'Analisis Inputs Grales'!$D$50</f>
        <v>0.26089891975308643</v>
      </c>
      <c r="J239" s="80">
        <f>('Analisis Inputs Grales'!$D$77+'Analisis Inputs Grales'!$D$78)*J221/'Analisis Inputs Grales'!$D$50</f>
        <v>0.26089891975308643</v>
      </c>
      <c r="K239" s="80">
        <f>('Analisis Inputs Grales'!$D$77+'Analisis Inputs Grales'!$D$78)*K221/'Analisis Inputs Grales'!$D$50</f>
        <v>0.26089891975308643</v>
      </c>
      <c r="L239" s="80">
        <f>('Analisis Inputs Grales'!$D$77+'Analisis Inputs Grales'!$D$78)*L221/'Analisis Inputs Grales'!$D$50</f>
        <v>0.26089891975308643</v>
      </c>
      <c r="M239" s="80">
        <f>('Analisis Inputs Grales'!$D$77+'Analisis Inputs Grales'!$D$78)*M221/'Analisis Inputs Grales'!$D$50</f>
        <v>0.26089891975308643</v>
      </c>
      <c r="N239" s="80">
        <f>('Analisis Inputs Grales'!$D$77+'Analisis Inputs Grales'!$D$78)*N221/'Analisis Inputs Grales'!$D$50</f>
        <v>0.26089891975308643</v>
      </c>
      <c r="O239" s="80">
        <f>('Analisis Inputs Grales'!$D$77+'Analisis Inputs Grales'!$D$78)*O221/'Analisis Inputs Grales'!$D$50</f>
        <v>0.26089891975308643</v>
      </c>
      <c r="P239" s="80">
        <f>('Analisis Inputs Grales'!$D$77+'Analisis Inputs Grales'!$D$78)*P221/'Analisis Inputs Grales'!$D$50</f>
        <v>0.26089891975308643</v>
      </c>
      <c r="Q239" s="80">
        <f>('Analisis Inputs Grales'!$D$77+'Analisis Inputs Grales'!$D$78)*Q221/'Analisis Inputs Grales'!$D$50</f>
        <v>0.26089891975308643</v>
      </c>
      <c r="R239" s="80">
        <f>('Analisis Inputs Grales'!$D$77+'Analisis Inputs Grales'!$D$78)*R221/'Analisis Inputs Grales'!$D$50</f>
        <v>0.26089891975308643</v>
      </c>
    </row>
    <row r="241" spans="2:23" x14ac:dyDescent="0.2">
      <c r="B241" s="39" t="s">
        <v>146</v>
      </c>
      <c r="C241" s="36" t="s">
        <v>147</v>
      </c>
      <c r="D241" s="80">
        <f>(D237*'Analisis Inputs Grales'!$D$34/60)+D239</f>
        <v>0.27750090187590187</v>
      </c>
      <c r="E241" s="80">
        <f>(E237*'Analisis Inputs Grales'!$D$34/60)+E239</f>
        <v>0.27750090187590187</v>
      </c>
      <c r="F241" s="80">
        <f>(F237*'Analisis Inputs Grales'!$D$34/60)+F239</f>
        <v>0.27750090187590187</v>
      </c>
      <c r="G241" s="80">
        <f>(G237*'Analisis Inputs Grales'!$D$34/60)+G239</f>
        <v>0.27750090187590187</v>
      </c>
      <c r="H241" s="80">
        <f>(H237*'Analisis Inputs Grales'!$D$34/60)+H239</f>
        <v>0.27750090187590187</v>
      </c>
      <c r="I241" s="80">
        <f>(I237*'Analisis Inputs Grales'!$D$34/60)+I239</f>
        <v>0.27750090187590187</v>
      </c>
      <c r="J241" s="80">
        <f>(J237*'Analisis Inputs Grales'!$D$34/60)+J239</f>
        <v>0.27750090187590187</v>
      </c>
      <c r="K241" s="80">
        <f>(K237*'Analisis Inputs Grales'!$D$34/60)+K239</f>
        <v>0.27750090187590187</v>
      </c>
      <c r="L241" s="80">
        <f>(L237*'Analisis Inputs Grales'!$D$34/60)+L239</f>
        <v>0.27750090187590187</v>
      </c>
      <c r="M241" s="80">
        <f>(M237*'Analisis Inputs Grales'!$D$34/60)+M239</f>
        <v>0.27750090187590187</v>
      </c>
      <c r="N241" s="80">
        <f>(N237*'Analisis Inputs Grales'!$D$34/60)+N239</f>
        <v>0.27750090187590187</v>
      </c>
      <c r="O241" s="80">
        <f>(O237*'Analisis Inputs Grales'!$D$34/60)+O239</f>
        <v>0.27750090187590187</v>
      </c>
      <c r="P241" s="80">
        <f>(P237*'Analisis Inputs Grales'!$D$34/60)+P239</f>
        <v>0.27750090187590187</v>
      </c>
      <c r="Q241" s="80">
        <f>(Q237*'Analisis Inputs Grales'!$D$34/60)+Q239</f>
        <v>0.27750090187590187</v>
      </c>
      <c r="R241" s="80">
        <f>(R237*'Analisis Inputs Grales'!$D$34/60)+R239</f>
        <v>0.27750090187590187</v>
      </c>
    </row>
    <row r="242" spans="2:23" x14ac:dyDescent="0.2">
      <c r="B242" s="70" t="s">
        <v>148</v>
      </c>
      <c r="C242" s="71" t="s">
        <v>23</v>
      </c>
      <c r="D242" s="80">
        <f>(1+'Analisis Inputs Grales'!$D$117)^'Analisis 20Años'!D$3</f>
        <v>1</v>
      </c>
      <c r="E242" s="80">
        <f>(1+'Analisis Inputs Grales'!$D$117)^'Analisis 20Años'!E$3</f>
        <v>1.1200000000000001</v>
      </c>
      <c r="F242" s="80">
        <f>(1+'Analisis Inputs Grales'!$D$117)^'Analisis 20Años'!F$3</f>
        <v>1.2544000000000002</v>
      </c>
      <c r="G242" s="80">
        <f>(1+'Analisis Inputs Grales'!$D$117)^'Analisis 20Años'!G$3</f>
        <v>1.4049280000000004</v>
      </c>
      <c r="H242" s="80">
        <f>(1+'Analisis Inputs Grales'!$D$117)^'Analisis 20Años'!H$3</f>
        <v>1.5735193600000004</v>
      </c>
      <c r="I242" s="80">
        <f>(1+'Analisis Inputs Grales'!$D$117)^'Analisis 20Años'!I$3</f>
        <v>1.7623416832000005</v>
      </c>
      <c r="J242" s="80">
        <f>(1+'Analisis Inputs Grales'!$D$117)^'Analisis 20Años'!J$3</f>
        <v>1.9738226851840008</v>
      </c>
      <c r="K242" s="80">
        <f>(1+'Analisis Inputs Grales'!$D$117)^'Analisis 20Años'!K$3</f>
        <v>2.210681407406081</v>
      </c>
      <c r="L242" s="80">
        <f>(1+'Analisis Inputs Grales'!$D$117)^'Analisis 20Años'!L$3</f>
        <v>2.4759631762948109</v>
      </c>
      <c r="M242" s="80">
        <f>(1+'Analisis Inputs Grales'!$D$117)^'Analisis 20Años'!M$3</f>
        <v>2.7730787574501883</v>
      </c>
      <c r="N242" s="80">
        <f>(1+'Analisis Inputs Grales'!$D$117)^'Analisis 20Años'!N$3</f>
        <v>3.1058482083442112</v>
      </c>
      <c r="O242" s="80">
        <f>(1+'Analisis Inputs Grales'!$D$117)^'Analisis 20Años'!O$3</f>
        <v>3.4785499933455171</v>
      </c>
      <c r="P242" s="80">
        <f>(1+'Analisis Inputs Grales'!$D$117)^'Analisis 20Años'!P$3</f>
        <v>3.8959759925469788</v>
      </c>
      <c r="Q242" s="80">
        <f>(1+'Analisis Inputs Grales'!$D$117)^'Analisis 20Años'!Q$3</f>
        <v>4.363493111652617</v>
      </c>
      <c r="R242" s="80">
        <f>(1+'Analisis Inputs Grales'!$D$117)^'Analisis 20Años'!R$3</f>
        <v>4.8871122850509314</v>
      </c>
    </row>
    <row r="243" spans="2:23" x14ac:dyDescent="0.2">
      <c r="B243" s="70" t="s">
        <v>149</v>
      </c>
      <c r="C243" s="71" t="s">
        <v>147</v>
      </c>
      <c r="D243" s="80">
        <f>D241*D242</f>
        <v>0.27750090187590187</v>
      </c>
      <c r="E243" s="80">
        <f t="shared" ref="E243:R243" si="54">E241*E242</f>
        <v>0.31080101010101013</v>
      </c>
      <c r="F243" s="80">
        <f t="shared" si="54"/>
        <v>0.34809713131313136</v>
      </c>
      <c r="G243" s="80">
        <f t="shared" si="54"/>
        <v>0.38986878707070716</v>
      </c>
      <c r="H243" s="80">
        <f t="shared" si="54"/>
        <v>0.43665304151919204</v>
      </c>
      <c r="I243" s="80">
        <f t="shared" si="54"/>
        <v>0.48905140650149509</v>
      </c>
      <c r="J243" s="80">
        <f t="shared" si="54"/>
        <v>0.54773757528167455</v>
      </c>
      <c r="K243" s="80">
        <f t="shared" si="54"/>
        <v>0.61346608431547556</v>
      </c>
      <c r="L243" s="80">
        <f t="shared" si="54"/>
        <v>0.68708201443333261</v>
      </c>
      <c r="M243" s="80">
        <f t="shared" si="54"/>
        <v>0.7695318561653326</v>
      </c>
      <c r="N243" s="80">
        <f t="shared" si="54"/>
        <v>0.86187567890517258</v>
      </c>
      <c r="O243" s="80">
        <f t="shared" si="54"/>
        <v>0.96530076037379342</v>
      </c>
      <c r="P243" s="80">
        <f t="shared" si="54"/>
        <v>1.0811368516186486</v>
      </c>
      <c r="Q243" s="80">
        <f t="shared" si="54"/>
        <v>1.2108732738128867</v>
      </c>
      <c r="R243" s="80">
        <f t="shared" si="54"/>
        <v>1.3561780666704331</v>
      </c>
    </row>
    <row r="244" spans="2:23" ht="15" x14ac:dyDescent="0.25">
      <c r="B244" s="72" t="s">
        <v>152</v>
      </c>
      <c r="C244" s="71" t="s">
        <v>147</v>
      </c>
      <c r="D244" s="80">
        <f>SUM(D243:R243)</f>
        <v>10.345154439958188</v>
      </c>
    </row>
    <row r="246" spans="2:23" ht="15" thickBot="1" x14ac:dyDescent="0.25"/>
    <row r="247" spans="2:23" ht="16.5" thickBot="1" x14ac:dyDescent="0.3">
      <c r="B247" s="69" t="s">
        <v>81</v>
      </c>
      <c r="C247" s="68">
        <v>20</v>
      </c>
      <c r="D247" s="57"/>
    </row>
    <row r="248" spans="2:23" ht="15.75" x14ac:dyDescent="0.25">
      <c r="B248" s="66" t="s">
        <v>104</v>
      </c>
      <c r="D248" s="57"/>
    </row>
    <row r="249" spans="2:23" x14ac:dyDescent="0.2">
      <c r="B249" s="33" t="s">
        <v>105</v>
      </c>
      <c r="C249" s="34" t="s">
        <v>106</v>
      </c>
      <c r="D249" s="80">
        <f>'Analisis Inputs Grales'!$D$66*('Analisis Inputs Grales'!$D$117/12)/'Analisis Inputs Grales'!$D$65</f>
        <v>0.11342592592592593</v>
      </c>
      <c r="E249" s="80">
        <f>'Analisis Inputs Grales'!$D$66*('Analisis Inputs Grales'!$D$117/12)/'Analisis Inputs Grales'!$D$65</f>
        <v>0.11342592592592593</v>
      </c>
      <c r="F249" s="80">
        <f>'Analisis Inputs Grales'!$D$66*('Analisis Inputs Grales'!$D$117/12)/'Analisis Inputs Grales'!$D$65</f>
        <v>0.11342592592592593</v>
      </c>
      <c r="G249" s="80">
        <f>'Analisis Inputs Grales'!$D$66*('Analisis Inputs Grales'!$D$117/12)/'Analisis Inputs Grales'!$D$65</f>
        <v>0.11342592592592593</v>
      </c>
      <c r="H249" s="80">
        <f>'Analisis Inputs Grales'!$D$66*('Analisis Inputs Grales'!$D$117/12)/'Analisis Inputs Grales'!$D$65</f>
        <v>0.11342592592592593</v>
      </c>
      <c r="I249" s="80">
        <f>'Analisis Inputs Grales'!$D$66*('Analisis Inputs Grales'!$D$117/12)/'Analisis Inputs Grales'!$D$65</f>
        <v>0.11342592592592593</v>
      </c>
      <c r="J249" s="80">
        <f>'Analisis Inputs Grales'!$D$66*('Analisis Inputs Grales'!$D$117/12)/'Analisis Inputs Grales'!$D$65</f>
        <v>0.11342592592592593</v>
      </c>
      <c r="K249" s="80">
        <f>'Analisis Inputs Grales'!$D$66*('Analisis Inputs Grales'!$D$117/12)/'Analisis Inputs Grales'!$D$65</f>
        <v>0.11342592592592593</v>
      </c>
      <c r="L249" s="80">
        <f>'Analisis Inputs Grales'!$D$66*('Analisis Inputs Grales'!$D$117/12)/'Analisis Inputs Grales'!$D$65</f>
        <v>0.11342592592592593</v>
      </c>
      <c r="M249" s="80">
        <f>'Analisis Inputs Grales'!$D$66*('Analisis Inputs Grales'!$D$117/12)/'Analisis Inputs Grales'!$D$65</f>
        <v>0.11342592592592593</v>
      </c>
      <c r="N249" s="80">
        <f>'Analisis Inputs Grales'!$D$66*('Analisis Inputs Grales'!$D$117/12)/'Analisis Inputs Grales'!$D$65</f>
        <v>0.11342592592592593</v>
      </c>
      <c r="O249" s="80">
        <f>'Analisis Inputs Grales'!$D$66*('Analisis Inputs Grales'!$D$117/12)/'Analisis Inputs Grales'!$D$65</f>
        <v>0.11342592592592593</v>
      </c>
      <c r="P249" s="80">
        <f>'Analisis Inputs Grales'!$D$66*('Analisis Inputs Grales'!$D$117/12)/'Analisis Inputs Grales'!$D$65</f>
        <v>0.11342592592592593</v>
      </c>
      <c r="Q249" s="80">
        <f>'Analisis Inputs Grales'!$D$66*('Analisis Inputs Grales'!$D$117/12)/'Analisis Inputs Grales'!$D$65</f>
        <v>0.11342592592592593</v>
      </c>
      <c r="R249" s="80">
        <f>'Analisis Inputs Grales'!$D$66*('Analisis Inputs Grales'!$D$117/12)/'Analisis Inputs Grales'!$D$65</f>
        <v>0.11342592592592593</v>
      </c>
      <c r="S249" s="80">
        <f>'Analisis Inputs Grales'!$D$66*('Analisis Inputs Grales'!$D$117/12)/'Analisis Inputs Grales'!$D$65</f>
        <v>0.11342592592592593</v>
      </c>
      <c r="T249" s="80">
        <f>'Analisis Inputs Grales'!$D$66*('Analisis Inputs Grales'!$D$117/12)/'Analisis Inputs Grales'!$D$65</f>
        <v>0.11342592592592593</v>
      </c>
      <c r="U249" s="80">
        <f>'Analisis Inputs Grales'!$D$66*('Analisis Inputs Grales'!$D$117/12)/'Analisis Inputs Grales'!$D$65</f>
        <v>0.11342592592592593</v>
      </c>
      <c r="V249" s="80">
        <f>'Analisis Inputs Grales'!$D$66*('Analisis Inputs Grales'!$D$117/12)/'Analisis Inputs Grales'!$D$65</f>
        <v>0.11342592592592593</v>
      </c>
      <c r="W249" s="80">
        <f>'Analisis Inputs Grales'!$D$66*('Analisis Inputs Grales'!$D$117/12)/'Analisis Inputs Grales'!$D$65</f>
        <v>0.11342592592592593</v>
      </c>
    </row>
    <row r="250" spans="2:23" x14ac:dyDescent="0.2">
      <c r="B250" s="35" t="s">
        <v>105</v>
      </c>
      <c r="C250" s="36" t="s">
        <v>68</v>
      </c>
      <c r="D250" s="57">
        <f>D249*12*'Analisis Inputs Grales'!$D$65</f>
        <v>17640</v>
      </c>
      <c r="E250" s="57">
        <f>E249*12*'Analisis Inputs Grales'!$D$65</f>
        <v>17640</v>
      </c>
      <c r="F250" s="57">
        <f>F249*12*'Analisis Inputs Grales'!$D$65</f>
        <v>17640</v>
      </c>
      <c r="G250" s="57">
        <f>G249*12*'Analisis Inputs Grales'!$D$65</f>
        <v>17640</v>
      </c>
      <c r="H250" s="57">
        <f>H249*12*'Analisis Inputs Grales'!$D$65</f>
        <v>17640</v>
      </c>
      <c r="I250" s="57">
        <f>I249*12*'Analisis Inputs Grales'!$D$65</f>
        <v>17640</v>
      </c>
      <c r="J250" s="57">
        <f>J249*12*'Analisis Inputs Grales'!$D$65</f>
        <v>17640</v>
      </c>
      <c r="K250" s="57">
        <f>K249*12*'Analisis Inputs Grales'!$D$65</f>
        <v>17640</v>
      </c>
      <c r="L250" s="57">
        <f>L249*12*'Analisis Inputs Grales'!$D$65</f>
        <v>17640</v>
      </c>
      <c r="M250" s="57">
        <f>M249*12*'Analisis Inputs Grales'!$D$65</f>
        <v>17640</v>
      </c>
      <c r="N250" s="57">
        <f>N249*12*'Analisis Inputs Grales'!$D$65</f>
        <v>17640</v>
      </c>
      <c r="O250" s="57">
        <f>O249*12*'Analisis Inputs Grales'!$D$65</f>
        <v>17640</v>
      </c>
      <c r="P250" s="57">
        <f>P249*12*'Analisis Inputs Grales'!$D$65</f>
        <v>17640</v>
      </c>
      <c r="Q250" s="57">
        <f>Q249*12*'Analisis Inputs Grales'!$D$65</f>
        <v>17640</v>
      </c>
      <c r="R250" s="57">
        <f>R249*12*'Analisis Inputs Grales'!$D$65</f>
        <v>17640</v>
      </c>
      <c r="S250" s="57">
        <f>S249*12*'Analisis Inputs Grales'!$D$65</f>
        <v>17640</v>
      </c>
      <c r="T250" s="57">
        <f>T249*12*'Analisis Inputs Grales'!$D$65</f>
        <v>17640</v>
      </c>
      <c r="U250" s="57">
        <f>U249*12*'Analisis Inputs Grales'!$D$65</f>
        <v>17640</v>
      </c>
      <c r="V250" s="57">
        <f>V249*12*'Analisis Inputs Grales'!$D$65</f>
        <v>17640</v>
      </c>
      <c r="W250" s="57">
        <f>W249*12*'Analisis Inputs Grales'!$D$65</f>
        <v>17640</v>
      </c>
    </row>
    <row r="251" spans="2:23" x14ac:dyDescent="0.2">
      <c r="B251" s="33" t="s">
        <v>107</v>
      </c>
      <c r="C251" s="34" t="s">
        <v>106</v>
      </c>
      <c r="D251" s="80">
        <f>('Analisis Inputs Grales'!$D$66-'Analisis Inputs Grales'!$D$69*'Analisis Inputs Grales'!$D$66)/('Analisis Inputs Grales'!$D$65*12*$C$247)</f>
        <v>4.2534722222222224E-2</v>
      </c>
      <c r="E251" s="80">
        <f>('Analisis Inputs Grales'!$D$66-'Analisis Inputs Grales'!$D$69*'Analisis Inputs Grales'!$D$66)/('Analisis Inputs Grales'!$D$65*12*$C$247)</f>
        <v>4.2534722222222224E-2</v>
      </c>
      <c r="F251" s="80">
        <f>('Analisis Inputs Grales'!$D$66-'Analisis Inputs Grales'!$D$69*'Analisis Inputs Grales'!$D$66)/('Analisis Inputs Grales'!$D$65*12*$C$247)</f>
        <v>4.2534722222222224E-2</v>
      </c>
      <c r="G251" s="80">
        <f>('Analisis Inputs Grales'!$D$66-'Analisis Inputs Grales'!$D$69*'Analisis Inputs Grales'!$D$66)/('Analisis Inputs Grales'!$D$65*12*$C$247)</f>
        <v>4.2534722222222224E-2</v>
      </c>
      <c r="H251" s="80">
        <f>('Analisis Inputs Grales'!$D$66-'Analisis Inputs Grales'!$D$69*'Analisis Inputs Grales'!$D$66)/('Analisis Inputs Grales'!$D$65*12*$C$247)</f>
        <v>4.2534722222222224E-2</v>
      </c>
      <c r="I251" s="80">
        <f>('Analisis Inputs Grales'!$D$66-'Analisis Inputs Grales'!$D$69*'Analisis Inputs Grales'!$D$66)/('Analisis Inputs Grales'!$D$65*12*$C$247)</f>
        <v>4.2534722222222224E-2</v>
      </c>
      <c r="J251" s="80">
        <f>('Analisis Inputs Grales'!$D$66-'Analisis Inputs Grales'!$D$69*'Analisis Inputs Grales'!$D$66)/('Analisis Inputs Grales'!$D$65*12*$C$247)</f>
        <v>4.2534722222222224E-2</v>
      </c>
      <c r="K251" s="80">
        <f>('Analisis Inputs Grales'!$D$66-'Analisis Inputs Grales'!$D$69*'Analisis Inputs Grales'!$D$66)/('Analisis Inputs Grales'!$D$65*12*$C$247)</f>
        <v>4.2534722222222224E-2</v>
      </c>
      <c r="L251" s="80">
        <f>('Analisis Inputs Grales'!$D$66-'Analisis Inputs Grales'!$D$69*'Analisis Inputs Grales'!$D$66)/('Analisis Inputs Grales'!$D$65*12*$C$247)</f>
        <v>4.2534722222222224E-2</v>
      </c>
      <c r="M251" s="80">
        <f>('Analisis Inputs Grales'!$D$66-'Analisis Inputs Grales'!$D$69*'Analisis Inputs Grales'!$D$66)/('Analisis Inputs Grales'!$D$65*12*$C$247)</f>
        <v>4.2534722222222224E-2</v>
      </c>
      <c r="N251" s="80">
        <f>('Analisis Inputs Grales'!$D$66-'Analisis Inputs Grales'!$D$69*'Analisis Inputs Grales'!$D$66)/('Analisis Inputs Grales'!$D$65*12*$C$247)</f>
        <v>4.2534722222222224E-2</v>
      </c>
      <c r="O251" s="80">
        <f>('Analisis Inputs Grales'!$D$66-'Analisis Inputs Grales'!$D$69*'Analisis Inputs Grales'!$D$66)/('Analisis Inputs Grales'!$D$65*12*$C$247)</f>
        <v>4.2534722222222224E-2</v>
      </c>
      <c r="P251" s="80">
        <f>('Analisis Inputs Grales'!$D$66-'Analisis Inputs Grales'!$D$69*'Analisis Inputs Grales'!$D$66)/('Analisis Inputs Grales'!$D$65*12*$C$247)</f>
        <v>4.2534722222222224E-2</v>
      </c>
      <c r="Q251" s="80">
        <f>('Analisis Inputs Grales'!$D$66-'Analisis Inputs Grales'!$D$69*'Analisis Inputs Grales'!$D$66)/('Analisis Inputs Grales'!$D$65*12*$C$247)</f>
        <v>4.2534722222222224E-2</v>
      </c>
      <c r="R251" s="80">
        <f>('Analisis Inputs Grales'!$D$66-'Analisis Inputs Grales'!$D$69*'Analisis Inputs Grales'!$D$66)/('Analisis Inputs Grales'!$D$65*12*$C$247)</f>
        <v>4.2534722222222224E-2</v>
      </c>
      <c r="S251" s="80">
        <f>('Analisis Inputs Grales'!$D$66-'Analisis Inputs Grales'!$D$69*'Analisis Inputs Grales'!$D$66)/('Analisis Inputs Grales'!$D$65*12*$C$247)</f>
        <v>4.2534722222222224E-2</v>
      </c>
      <c r="T251" s="80">
        <f>('Analisis Inputs Grales'!$D$66-'Analisis Inputs Grales'!$D$69*'Analisis Inputs Grales'!$D$66)/('Analisis Inputs Grales'!$D$65*12*$C$247)</f>
        <v>4.2534722222222224E-2</v>
      </c>
      <c r="U251" s="80">
        <f>('Analisis Inputs Grales'!$D$66-'Analisis Inputs Grales'!$D$69*'Analisis Inputs Grales'!$D$66)/('Analisis Inputs Grales'!$D$65*12*$C$247)</f>
        <v>4.2534722222222224E-2</v>
      </c>
      <c r="V251" s="80">
        <f>('Analisis Inputs Grales'!$D$66-'Analisis Inputs Grales'!$D$69*'Analisis Inputs Grales'!$D$66)/('Analisis Inputs Grales'!$D$65*12*$C$247)</f>
        <v>4.2534722222222224E-2</v>
      </c>
      <c r="W251" s="80">
        <f>('Analisis Inputs Grales'!$D$66-'Analisis Inputs Grales'!$D$69*'Analisis Inputs Grales'!$D$66)/('Analisis Inputs Grales'!$D$65*12*$C$247)</f>
        <v>4.2534722222222224E-2</v>
      </c>
    </row>
    <row r="252" spans="2:23" x14ac:dyDescent="0.2">
      <c r="B252" s="35" t="s">
        <v>107</v>
      </c>
      <c r="C252" s="36" t="s">
        <v>68</v>
      </c>
      <c r="D252" s="57">
        <f>D251*12*'Analisis Inputs Grales'!$D$65</f>
        <v>6615.0000000000009</v>
      </c>
      <c r="E252" s="57">
        <f>E251*12*'Analisis Inputs Grales'!$D$65</f>
        <v>6615.0000000000009</v>
      </c>
      <c r="F252" s="57">
        <f>F251*12*'Analisis Inputs Grales'!$D$65</f>
        <v>6615.0000000000009</v>
      </c>
      <c r="G252" s="57">
        <f>G251*12*'Analisis Inputs Grales'!$D$65</f>
        <v>6615.0000000000009</v>
      </c>
      <c r="H252" s="57">
        <f>H251*12*'Analisis Inputs Grales'!$D$65</f>
        <v>6615.0000000000009</v>
      </c>
      <c r="I252" s="57">
        <f>I251*12*'Analisis Inputs Grales'!$D$65</f>
        <v>6615.0000000000009</v>
      </c>
      <c r="J252" s="57">
        <f>J251*12*'Analisis Inputs Grales'!$D$65</f>
        <v>6615.0000000000009</v>
      </c>
      <c r="K252" s="57">
        <f>K251*12*'Analisis Inputs Grales'!$D$65</f>
        <v>6615.0000000000009</v>
      </c>
      <c r="L252" s="57">
        <f>L251*12*'Analisis Inputs Grales'!$D$65</f>
        <v>6615.0000000000009</v>
      </c>
      <c r="M252" s="57">
        <f>M251*12*'Analisis Inputs Grales'!$D$65</f>
        <v>6615.0000000000009</v>
      </c>
      <c r="N252" s="57">
        <f>N251*12*'Analisis Inputs Grales'!$D$65</f>
        <v>6615.0000000000009</v>
      </c>
      <c r="O252" s="57">
        <f>O251*12*'Analisis Inputs Grales'!$D$65</f>
        <v>6615.0000000000009</v>
      </c>
      <c r="P252" s="57">
        <f>P251*12*'Analisis Inputs Grales'!$D$65</f>
        <v>6615.0000000000009</v>
      </c>
      <c r="Q252" s="57">
        <f>Q251*12*'Analisis Inputs Grales'!$D$65</f>
        <v>6615.0000000000009</v>
      </c>
      <c r="R252" s="57">
        <f>R251*12*'Analisis Inputs Grales'!$D$65</f>
        <v>6615.0000000000009</v>
      </c>
      <c r="S252" s="57">
        <f>S251*12*'Analisis Inputs Grales'!$D$65</f>
        <v>6615.0000000000009</v>
      </c>
      <c r="T252" s="57">
        <f>T251*12*'Analisis Inputs Grales'!$D$65</f>
        <v>6615.0000000000009</v>
      </c>
      <c r="U252" s="57">
        <f>U251*12*'Analisis Inputs Grales'!$D$65</f>
        <v>6615.0000000000009</v>
      </c>
      <c r="V252" s="57">
        <f>V251*12*'Analisis Inputs Grales'!$D$65</f>
        <v>6615.0000000000009</v>
      </c>
      <c r="W252" s="57">
        <f>W251*12*'Analisis Inputs Grales'!$D$65</f>
        <v>6615.0000000000009</v>
      </c>
    </row>
    <row r="253" spans="2:23" x14ac:dyDescent="0.2">
      <c r="B253" s="33" t="s">
        <v>108</v>
      </c>
      <c r="C253" s="34" t="s">
        <v>106</v>
      </c>
      <c r="D253" s="80">
        <f>'Analisis Inputs Grales'!$D$58/'Analisis Inputs Grales'!$D$65</f>
        <v>3.8580246913580245E-2</v>
      </c>
      <c r="E253" s="80">
        <f>'Analisis Inputs Grales'!$D$58/'Analisis Inputs Grales'!$D$65</f>
        <v>3.8580246913580245E-2</v>
      </c>
      <c r="F253" s="80">
        <f>'Analisis Inputs Grales'!$D$58/'Analisis Inputs Grales'!$D$65</f>
        <v>3.8580246913580245E-2</v>
      </c>
      <c r="G253" s="80">
        <f>'Analisis Inputs Grales'!$D$58/'Analisis Inputs Grales'!$D$65</f>
        <v>3.8580246913580245E-2</v>
      </c>
      <c r="H253" s="80">
        <f>'Analisis Inputs Grales'!$D$58/'Analisis Inputs Grales'!$D$65</f>
        <v>3.8580246913580245E-2</v>
      </c>
      <c r="I253" s="80">
        <f>'Analisis Inputs Grales'!$D$58/'Analisis Inputs Grales'!$D$65</f>
        <v>3.8580246913580245E-2</v>
      </c>
      <c r="J253" s="80">
        <f>'Analisis Inputs Grales'!$D$58/'Analisis Inputs Grales'!$D$65</f>
        <v>3.8580246913580245E-2</v>
      </c>
      <c r="K253" s="80">
        <f>'Analisis Inputs Grales'!$D$58/'Analisis Inputs Grales'!$D$65</f>
        <v>3.8580246913580245E-2</v>
      </c>
      <c r="L253" s="80">
        <f>'Analisis Inputs Grales'!$D$58/'Analisis Inputs Grales'!$D$65</f>
        <v>3.8580246913580245E-2</v>
      </c>
      <c r="M253" s="80">
        <f>'Analisis Inputs Grales'!$D$58/'Analisis Inputs Grales'!$D$65</f>
        <v>3.8580246913580245E-2</v>
      </c>
      <c r="N253" s="80">
        <f>'Analisis Inputs Grales'!$D$58/'Analisis Inputs Grales'!$D$65</f>
        <v>3.8580246913580245E-2</v>
      </c>
      <c r="O253" s="80">
        <f>'Analisis Inputs Grales'!$D$58/'Analisis Inputs Grales'!$D$65</f>
        <v>3.8580246913580245E-2</v>
      </c>
      <c r="P253" s="80">
        <f>'Analisis Inputs Grales'!$D$58/'Analisis Inputs Grales'!$D$65</f>
        <v>3.8580246913580245E-2</v>
      </c>
      <c r="Q253" s="80">
        <f>'Analisis Inputs Grales'!$D$58/'Analisis Inputs Grales'!$D$65</f>
        <v>3.8580246913580245E-2</v>
      </c>
      <c r="R253" s="80">
        <f>'Analisis Inputs Grales'!$D$58/'Analisis Inputs Grales'!$D$65</f>
        <v>3.8580246913580245E-2</v>
      </c>
      <c r="S253" s="80">
        <f>'Analisis Inputs Grales'!$D$58/'Analisis Inputs Grales'!$D$65</f>
        <v>3.8580246913580245E-2</v>
      </c>
      <c r="T253" s="80">
        <f>'Analisis Inputs Grales'!$D$58/'Analisis Inputs Grales'!$D$65</f>
        <v>3.8580246913580245E-2</v>
      </c>
      <c r="U253" s="80">
        <f>'Analisis Inputs Grales'!$D$58/'Analisis Inputs Grales'!$D$65</f>
        <v>3.8580246913580245E-2</v>
      </c>
      <c r="V253" s="80">
        <f>'Analisis Inputs Grales'!$D$58/'Analisis Inputs Grales'!$D$65</f>
        <v>3.8580246913580245E-2</v>
      </c>
      <c r="W253" s="80">
        <f>'Analisis Inputs Grales'!$D$58/'Analisis Inputs Grales'!$D$65</f>
        <v>3.8580246913580245E-2</v>
      </c>
    </row>
    <row r="254" spans="2:23" x14ac:dyDescent="0.2">
      <c r="B254" s="37" t="s">
        <v>108</v>
      </c>
      <c r="C254" s="38" t="s">
        <v>68</v>
      </c>
      <c r="D254" s="57">
        <f>D253*12*'Analisis Inputs Grales'!$D$65</f>
        <v>5999.9999999999991</v>
      </c>
      <c r="E254" s="57">
        <f>E253*12*'Analisis Inputs Grales'!$D$65</f>
        <v>5999.9999999999991</v>
      </c>
      <c r="F254" s="57">
        <f>F253*12*'Analisis Inputs Grales'!$D$65</f>
        <v>5999.9999999999991</v>
      </c>
      <c r="G254" s="57">
        <f>G253*12*'Analisis Inputs Grales'!$D$65</f>
        <v>5999.9999999999991</v>
      </c>
      <c r="H254" s="57">
        <f>H253*12*'Analisis Inputs Grales'!$D$65</f>
        <v>5999.9999999999991</v>
      </c>
      <c r="I254" s="57">
        <f>I253*12*'Analisis Inputs Grales'!$D$65</f>
        <v>5999.9999999999991</v>
      </c>
      <c r="J254" s="57">
        <f>J253*12*'Analisis Inputs Grales'!$D$65</f>
        <v>5999.9999999999991</v>
      </c>
      <c r="K254" s="57">
        <f>K253*12*'Analisis Inputs Grales'!$D$65</f>
        <v>5999.9999999999991</v>
      </c>
      <c r="L254" s="57">
        <f>L253*12*'Analisis Inputs Grales'!$D$65</f>
        <v>5999.9999999999991</v>
      </c>
      <c r="M254" s="57">
        <f>M253*12*'Analisis Inputs Grales'!$D$65</f>
        <v>5999.9999999999991</v>
      </c>
      <c r="N254" s="57">
        <f>N253*12*'Analisis Inputs Grales'!$D$65</f>
        <v>5999.9999999999991</v>
      </c>
      <c r="O254" s="57">
        <f>O253*12*'Analisis Inputs Grales'!$D$65</f>
        <v>5999.9999999999991</v>
      </c>
      <c r="P254" s="57">
        <f>P253*12*'Analisis Inputs Grales'!$D$65</f>
        <v>5999.9999999999991</v>
      </c>
      <c r="Q254" s="57">
        <f>Q253*12*'Analisis Inputs Grales'!$D$65</f>
        <v>5999.9999999999991</v>
      </c>
      <c r="R254" s="57">
        <f>R253*12*'Analisis Inputs Grales'!$D$65</f>
        <v>5999.9999999999991</v>
      </c>
      <c r="S254" s="57">
        <f>S253*12*'Analisis Inputs Grales'!$D$65</f>
        <v>5999.9999999999991</v>
      </c>
      <c r="T254" s="57">
        <f>T253*12*'Analisis Inputs Grales'!$D$65</f>
        <v>5999.9999999999991</v>
      </c>
      <c r="U254" s="57">
        <f>U253*12*'Analisis Inputs Grales'!$D$65</f>
        <v>5999.9999999999991</v>
      </c>
      <c r="V254" s="57">
        <f>V253*12*'Analisis Inputs Grales'!$D$65</f>
        <v>5999.9999999999991</v>
      </c>
      <c r="W254" s="57">
        <f>W253*12*'Analisis Inputs Grales'!$D$65</f>
        <v>5999.9999999999991</v>
      </c>
    </row>
    <row r="255" spans="2:23" x14ac:dyDescent="0.2">
      <c r="B255" s="33" t="s">
        <v>109</v>
      </c>
      <c r="C255" s="34" t="s">
        <v>106</v>
      </c>
      <c r="D255" s="80">
        <f>D253+D251+D249</f>
        <v>0.19454089506172839</v>
      </c>
      <c r="E255" s="80">
        <f t="shared" ref="E255:W255" si="55">E253+E251+E249</f>
        <v>0.19454089506172839</v>
      </c>
      <c r="F255" s="80">
        <f t="shared" si="55"/>
        <v>0.19454089506172839</v>
      </c>
      <c r="G255" s="80">
        <f t="shared" si="55"/>
        <v>0.19454089506172839</v>
      </c>
      <c r="H255" s="80">
        <f t="shared" si="55"/>
        <v>0.19454089506172839</v>
      </c>
      <c r="I255" s="80">
        <f t="shared" si="55"/>
        <v>0.19454089506172839</v>
      </c>
      <c r="J255" s="80">
        <f t="shared" si="55"/>
        <v>0.19454089506172839</v>
      </c>
      <c r="K255" s="80">
        <f t="shared" si="55"/>
        <v>0.19454089506172839</v>
      </c>
      <c r="L255" s="80">
        <f t="shared" si="55"/>
        <v>0.19454089506172839</v>
      </c>
      <c r="M255" s="80">
        <f t="shared" si="55"/>
        <v>0.19454089506172839</v>
      </c>
      <c r="N255" s="80">
        <f t="shared" si="55"/>
        <v>0.19454089506172839</v>
      </c>
      <c r="O255" s="80">
        <f t="shared" si="55"/>
        <v>0.19454089506172839</v>
      </c>
      <c r="P255" s="80">
        <f t="shared" si="55"/>
        <v>0.19454089506172839</v>
      </c>
      <c r="Q255" s="80">
        <f t="shared" si="55"/>
        <v>0.19454089506172839</v>
      </c>
      <c r="R255" s="80">
        <f t="shared" si="55"/>
        <v>0.19454089506172839</v>
      </c>
      <c r="S255" s="80">
        <f t="shared" si="55"/>
        <v>0.19454089506172839</v>
      </c>
      <c r="T255" s="80">
        <f t="shared" si="55"/>
        <v>0.19454089506172839</v>
      </c>
      <c r="U255" s="80">
        <f t="shared" si="55"/>
        <v>0.19454089506172839</v>
      </c>
      <c r="V255" s="80">
        <f t="shared" si="55"/>
        <v>0.19454089506172839</v>
      </c>
      <c r="W255" s="80">
        <f t="shared" si="55"/>
        <v>0.19454089506172839</v>
      </c>
    </row>
    <row r="256" spans="2:23" x14ac:dyDescent="0.2">
      <c r="B256" s="35" t="s">
        <v>109</v>
      </c>
      <c r="C256" s="36" t="s">
        <v>68</v>
      </c>
      <c r="D256" s="57">
        <f>D255*12*'Analisis Inputs Grales'!$D$65</f>
        <v>30254.999999999996</v>
      </c>
      <c r="E256" s="57">
        <f>E255*12*'Analisis Inputs Grales'!$D$65</f>
        <v>30254.999999999996</v>
      </c>
      <c r="F256" s="57">
        <f>F255*12*'Analisis Inputs Grales'!$D$65</f>
        <v>30254.999999999996</v>
      </c>
      <c r="G256" s="57">
        <f>G255*12*'Analisis Inputs Grales'!$D$65</f>
        <v>30254.999999999996</v>
      </c>
      <c r="H256" s="57">
        <f>H255*12*'Analisis Inputs Grales'!$D$65</f>
        <v>30254.999999999996</v>
      </c>
      <c r="I256" s="57">
        <f>I255*12*'Analisis Inputs Grales'!$D$65</f>
        <v>30254.999999999996</v>
      </c>
      <c r="J256" s="57">
        <f>J255*12*'Analisis Inputs Grales'!$D$65</f>
        <v>30254.999999999996</v>
      </c>
      <c r="K256" s="57">
        <f>K255*12*'Analisis Inputs Grales'!$D$65</f>
        <v>30254.999999999996</v>
      </c>
      <c r="L256" s="57">
        <f>L255*12*'Analisis Inputs Grales'!$D$65</f>
        <v>30254.999999999996</v>
      </c>
      <c r="M256" s="57">
        <f>M255*12*'Analisis Inputs Grales'!$D$65</f>
        <v>30254.999999999996</v>
      </c>
      <c r="N256" s="57">
        <f>N255*12*'Analisis Inputs Grales'!$D$65</f>
        <v>30254.999999999996</v>
      </c>
      <c r="O256" s="57">
        <f>O255*12*'Analisis Inputs Grales'!$D$65</f>
        <v>30254.999999999996</v>
      </c>
      <c r="P256" s="57">
        <f>P255*12*'Analisis Inputs Grales'!$D$65</f>
        <v>30254.999999999996</v>
      </c>
      <c r="Q256" s="57">
        <f>Q255*12*'Analisis Inputs Grales'!$D$65</f>
        <v>30254.999999999996</v>
      </c>
      <c r="R256" s="57">
        <f>R255*12*'Analisis Inputs Grales'!$D$65</f>
        <v>30254.999999999996</v>
      </c>
      <c r="S256" s="57">
        <f>S255*12*'Analisis Inputs Grales'!$D$65</f>
        <v>30254.999999999996</v>
      </c>
      <c r="T256" s="57">
        <f>T255*12*'Analisis Inputs Grales'!$D$65</f>
        <v>30254.999999999996</v>
      </c>
      <c r="U256" s="57">
        <f>U255*12*'Analisis Inputs Grales'!$D$65</f>
        <v>30254.999999999996</v>
      </c>
      <c r="V256" s="57">
        <f>V255*12*'Analisis Inputs Grales'!$D$65</f>
        <v>30254.999999999996</v>
      </c>
      <c r="W256" s="57">
        <f>W255*12*'Analisis Inputs Grales'!$D$65</f>
        <v>30254.999999999996</v>
      </c>
    </row>
    <row r="257" spans="2:23" x14ac:dyDescent="0.2">
      <c r="C257" s="36"/>
    </row>
    <row r="258" spans="2:23" ht="15" x14ac:dyDescent="0.25">
      <c r="B258" s="32" t="s">
        <v>110</v>
      </c>
      <c r="C258" s="36"/>
    </row>
    <row r="259" spans="2:23" x14ac:dyDescent="0.2">
      <c r="B259" s="33" t="s">
        <v>111</v>
      </c>
      <c r="C259" s="34" t="s">
        <v>106</v>
      </c>
      <c r="D259" s="80">
        <f>'Analisis Inputs Grales'!$D$72/('Analisis Inputs Grales'!$D$70*'Analisis Inputs Grales'!$D$71/60)</f>
        <v>0.15909090909090906</v>
      </c>
      <c r="E259" s="80">
        <f>'Analisis Inputs Grales'!$D$72/('Analisis Inputs Grales'!$D$70*'Analisis Inputs Grales'!$D$71/60)</f>
        <v>0.15909090909090906</v>
      </c>
      <c r="F259" s="80">
        <f>'Analisis Inputs Grales'!$D$72/('Analisis Inputs Grales'!$D$70*'Analisis Inputs Grales'!$D$71/60)</f>
        <v>0.15909090909090906</v>
      </c>
      <c r="G259" s="80">
        <f>'Analisis Inputs Grales'!$D$72/('Analisis Inputs Grales'!$D$70*'Analisis Inputs Grales'!$D$71/60)</f>
        <v>0.15909090909090906</v>
      </c>
      <c r="H259" s="80">
        <f>'Analisis Inputs Grales'!$D$72/('Analisis Inputs Grales'!$D$70*'Analisis Inputs Grales'!$D$71/60)</f>
        <v>0.15909090909090906</v>
      </c>
      <c r="I259" s="80">
        <f>'Analisis Inputs Grales'!$D$72/('Analisis Inputs Grales'!$D$70*'Analisis Inputs Grales'!$D$71/60)</f>
        <v>0.15909090909090906</v>
      </c>
      <c r="J259" s="80">
        <f>'Analisis Inputs Grales'!$D$72/('Analisis Inputs Grales'!$D$70*'Analisis Inputs Grales'!$D$71/60)</f>
        <v>0.15909090909090906</v>
      </c>
      <c r="K259" s="80">
        <f>'Analisis Inputs Grales'!$D$72/('Analisis Inputs Grales'!$D$70*'Analisis Inputs Grales'!$D$71/60)</f>
        <v>0.15909090909090906</v>
      </c>
      <c r="L259" s="80">
        <f>'Analisis Inputs Grales'!$D$72/('Analisis Inputs Grales'!$D$70*'Analisis Inputs Grales'!$D$71/60)</f>
        <v>0.15909090909090906</v>
      </c>
      <c r="M259" s="80">
        <f>'Analisis Inputs Grales'!$D$72/('Analisis Inputs Grales'!$D$70*'Analisis Inputs Grales'!$D$71/60)</f>
        <v>0.15909090909090906</v>
      </c>
      <c r="N259" s="80">
        <f>'Analisis Inputs Grales'!$D$72/('Analisis Inputs Grales'!$D$70*'Analisis Inputs Grales'!$D$71/60)</f>
        <v>0.15909090909090906</v>
      </c>
      <c r="O259" s="80">
        <f>'Analisis Inputs Grales'!$D$72/('Analisis Inputs Grales'!$D$70*'Analisis Inputs Grales'!$D$71/60)</f>
        <v>0.15909090909090906</v>
      </c>
      <c r="P259" s="80">
        <f>'Analisis Inputs Grales'!$D$72/('Analisis Inputs Grales'!$D$70*'Analisis Inputs Grales'!$D$71/60)</f>
        <v>0.15909090909090906</v>
      </c>
      <c r="Q259" s="80">
        <f>'Analisis Inputs Grales'!$D$72/('Analisis Inputs Grales'!$D$70*'Analisis Inputs Grales'!$D$71/60)</f>
        <v>0.15909090909090906</v>
      </c>
      <c r="R259" s="80">
        <f>'Analisis Inputs Grales'!$D$72/('Analisis Inputs Grales'!$D$70*'Analisis Inputs Grales'!$D$71/60)</f>
        <v>0.15909090909090906</v>
      </c>
      <c r="S259" s="80">
        <f>'Analisis Inputs Grales'!$D$72/('Analisis Inputs Grales'!$D$70*'Analisis Inputs Grales'!$D$71/60)</f>
        <v>0.15909090909090906</v>
      </c>
      <c r="T259" s="80">
        <f>'Analisis Inputs Grales'!$D$72/('Analisis Inputs Grales'!$D$70*'Analisis Inputs Grales'!$D$71/60)</f>
        <v>0.15909090909090906</v>
      </c>
      <c r="U259" s="80">
        <f>'Analisis Inputs Grales'!$D$72/('Analisis Inputs Grales'!$D$70*'Analisis Inputs Grales'!$D$71/60)</f>
        <v>0.15909090909090906</v>
      </c>
      <c r="V259" s="80">
        <f>'Analisis Inputs Grales'!$D$72/('Analisis Inputs Grales'!$D$70*'Analisis Inputs Grales'!$D$71/60)</f>
        <v>0.15909090909090906</v>
      </c>
      <c r="W259" s="80">
        <f>'Analisis Inputs Grales'!$D$72/('Analisis Inputs Grales'!$D$70*'Analisis Inputs Grales'!$D$71/60)</f>
        <v>0.15909090909090906</v>
      </c>
    </row>
    <row r="260" spans="2:23" x14ac:dyDescent="0.2">
      <c r="B260" s="35" t="s">
        <v>111</v>
      </c>
      <c r="C260" s="36" t="s">
        <v>68</v>
      </c>
      <c r="D260" s="57">
        <f>D259*12*'Analisis Inputs Grales'!$D$65</f>
        <v>24741.818181818177</v>
      </c>
      <c r="E260" s="57">
        <f>E259*12*'Analisis Inputs Grales'!$D$65</f>
        <v>24741.818181818177</v>
      </c>
      <c r="F260" s="57">
        <f>F259*12*'Analisis Inputs Grales'!$D$65</f>
        <v>24741.818181818177</v>
      </c>
      <c r="G260" s="57">
        <f>G259*12*'Analisis Inputs Grales'!$D$65</f>
        <v>24741.818181818177</v>
      </c>
      <c r="H260" s="57">
        <f>H259*12*'Analisis Inputs Grales'!$D$65</f>
        <v>24741.818181818177</v>
      </c>
      <c r="I260" s="57">
        <f>I259*12*'Analisis Inputs Grales'!$D$65</f>
        <v>24741.818181818177</v>
      </c>
      <c r="J260" s="57">
        <f>J259*12*'Analisis Inputs Grales'!$D$65</f>
        <v>24741.818181818177</v>
      </c>
      <c r="K260" s="57">
        <f>K259*12*'Analisis Inputs Grales'!$D$65</f>
        <v>24741.818181818177</v>
      </c>
      <c r="L260" s="57">
        <f>L259*12*'Analisis Inputs Grales'!$D$65</f>
        <v>24741.818181818177</v>
      </c>
      <c r="M260" s="57">
        <f>M259*12*'Analisis Inputs Grales'!$D$65</f>
        <v>24741.818181818177</v>
      </c>
      <c r="N260" s="57">
        <f>N259*12*'Analisis Inputs Grales'!$D$65</f>
        <v>24741.818181818177</v>
      </c>
      <c r="O260" s="57">
        <f>O259*12*'Analisis Inputs Grales'!$D$65</f>
        <v>24741.818181818177</v>
      </c>
      <c r="P260" s="57">
        <f>P259*12*'Analisis Inputs Grales'!$D$65</f>
        <v>24741.818181818177</v>
      </c>
      <c r="Q260" s="57">
        <f>Q259*12*'Analisis Inputs Grales'!$D$65</f>
        <v>24741.818181818177</v>
      </c>
      <c r="R260" s="57">
        <f>R259*12*'Analisis Inputs Grales'!$D$65</f>
        <v>24741.818181818177</v>
      </c>
      <c r="S260" s="57">
        <f>S259*12*'Analisis Inputs Grales'!$D$65</f>
        <v>24741.818181818177</v>
      </c>
      <c r="T260" s="57">
        <f>T259*12*'Analisis Inputs Grales'!$D$65</f>
        <v>24741.818181818177</v>
      </c>
      <c r="U260" s="57">
        <f>U259*12*'Analisis Inputs Grales'!$D$65</f>
        <v>24741.818181818177</v>
      </c>
      <c r="V260" s="57">
        <f>V259*12*'Analisis Inputs Grales'!$D$65</f>
        <v>24741.818181818177</v>
      </c>
      <c r="W260" s="57">
        <f>W259*12*'Analisis Inputs Grales'!$D$65</f>
        <v>24741.818181818177</v>
      </c>
    </row>
    <row r="261" spans="2:23" x14ac:dyDescent="0.2">
      <c r="B261" s="33" t="s">
        <v>112</v>
      </c>
      <c r="C261" s="34" t="s">
        <v>106</v>
      </c>
      <c r="D261" s="80">
        <f>'Analisis Inputs Grales'!$D$73*'Analisis 20Años'!D259</f>
        <v>2.3863636363636358E-2</v>
      </c>
      <c r="E261" s="80">
        <f>'Analisis Inputs Grales'!$D$73*'Analisis 20Años'!E259</f>
        <v>2.3863636363636358E-2</v>
      </c>
      <c r="F261" s="80">
        <f>'Analisis Inputs Grales'!$D$73*'Analisis 20Años'!F259</f>
        <v>2.3863636363636358E-2</v>
      </c>
      <c r="G261" s="80">
        <f>'Analisis Inputs Grales'!$D$73*'Analisis 20Años'!G259</f>
        <v>2.3863636363636358E-2</v>
      </c>
      <c r="H261" s="80">
        <f>'Analisis Inputs Grales'!$D$73*'Analisis 20Años'!H259</f>
        <v>2.3863636363636358E-2</v>
      </c>
      <c r="I261" s="80">
        <f>'Analisis Inputs Grales'!$D$73*'Analisis 20Años'!I259</f>
        <v>2.3863636363636358E-2</v>
      </c>
      <c r="J261" s="80">
        <f>'Analisis Inputs Grales'!$D$73*'Analisis 20Años'!J259</f>
        <v>2.3863636363636358E-2</v>
      </c>
      <c r="K261" s="80">
        <f>'Analisis Inputs Grales'!$D$73*'Analisis 20Años'!K259</f>
        <v>2.3863636363636358E-2</v>
      </c>
      <c r="L261" s="80">
        <f>'Analisis Inputs Grales'!$D$73*'Analisis 20Años'!L259</f>
        <v>2.3863636363636358E-2</v>
      </c>
      <c r="M261" s="80">
        <f>'Analisis Inputs Grales'!$D$73*'Analisis 20Años'!M259</f>
        <v>2.3863636363636358E-2</v>
      </c>
      <c r="N261" s="80">
        <f>'Analisis Inputs Grales'!$D$73*'Analisis 20Años'!N259</f>
        <v>2.3863636363636358E-2</v>
      </c>
      <c r="O261" s="80">
        <f>'Analisis Inputs Grales'!$D$73*'Analisis 20Años'!O259</f>
        <v>2.3863636363636358E-2</v>
      </c>
      <c r="P261" s="80">
        <f>'Analisis Inputs Grales'!$D$73*'Analisis 20Años'!P259</f>
        <v>2.3863636363636358E-2</v>
      </c>
      <c r="Q261" s="80">
        <f>'Analisis Inputs Grales'!$D$73*'Analisis 20Años'!Q259</f>
        <v>2.3863636363636358E-2</v>
      </c>
      <c r="R261" s="80">
        <f>'Analisis Inputs Grales'!$D$73*'Analisis 20Años'!R259</f>
        <v>2.3863636363636358E-2</v>
      </c>
      <c r="S261" s="80">
        <f>'Analisis Inputs Grales'!$D$73*'Analisis 20Años'!S259</f>
        <v>2.3863636363636358E-2</v>
      </c>
      <c r="T261" s="80">
        <f>'Analisis Inputs Grales'!$D$73*'Analisis 20Años'!T259</f>
        <v>2.3863636363636358E-2</v>
      </c>
      <c r="U261" s="80">
        <f>'Analisis Inputs Grales'!$D$73*'Analisis 20Años'!U259</f>
        <v>2.3863636363636358E-2</v>
      </c>
      <c r="V261" s="80">
        <f>'Analisis Inputs Grales'!$D$73*'Analisis 20Años'!V259</f>
        <v>2.3863636363636358E-2</v>
      </c>
      <c r="W261" s="80">
        <f>'Analisis Inputs Grales'!$D$73*'Analisis 20Años'!W259</f>
        <v>2.3863636363636358E-2</v>
      </c>
    </row>
    <row r="262" spans="2:23" x14ac:dyDescent="0.2">
      <c r="B262" s="35" t="s">
        <v>112</v>
      </c>
      <c r="C262" s="36" t="s">
        <v>68</v>
      </c>
      <c r="D262" s="57">
        <f>D261*12*'Analisis Inputs Grales'!$D$65</f>
        <v>3711.2727272727261</v>
      </c>
      <c r="E262" s="57">
        <f>E261*12*'Analisis Inputs Grales'!$D$65</f>
        <v>3711.2727272727261</v>
      </c>
      <c r="F262" s="57">
        <f>F261*12*'Analisis Inputs Grales'!$D$65</f>
        <v>3711.2727272727261</v>
      </c>
      <c r="G262" s="57">
        <f>G261*12*'Analisis Inputs Grales'!$D$65</f>
        <v>3711.2727272727261</v>
      </c>
      <c r="H262" s="57">
        <f>H261*12*'Analisis Inputs Grales'!$D$65</f>
        <v>3711.2727272727261</v>
      </c>
      <c r="I262" s="57">
        <f>I261*12*'Analisis Inputs Grales'!$D$65</f>
        <v>3711.2727272727261</v>
      </c>
      <c r="J262" s="57">
        <f>J261*12*'Analisis Inputs Grales'!$D$65</f>
        <v>3711.2727272727261</v>
      </c>
      <c r="K262" s="57">
        <f>K261*12*'Analisis Inputs Grales'!$D$65</f>
        <v>3711.2727272727261</v>
      </c>
      <c r="L262" s="57">
        <f>L261*12*'Analisis Inputs Grales'!$D$65</f>
        <v>3711.2727272727261</v>
      </c>
      <c r="M262" s="57">
        <f>M261*12*'Analisis Inputs Grales'!$D$65</f>
        <v>3711.2727272727261</v>
      </c>
      <c r="N262" s="57">
        <f>N261*12*'Analisis Inputs Grales'!$D$65</f>
        <v>3711.2727272727261</v>
      </c>
      <c r="O262" s="57">
        <f>O261*12*'Analisis Inputs Grales'!$D$65</f>
        <v>3711.2727272727261</v>
      </c>
      <c r="P262" s="57">
        <f>P261*12*'Analisis Inputs Grales'!$D$65</f>
        <v>3711.2727272727261</v>
      </c>
      <c r="Q262" s="57">
        <f>Q261*12*'Analisis Inputs Grales'!$D$65</f>
        <v>3711.2727272727261</v>
      </c>
      <c r="R262" s="57">
        <f>R261*12*'Analisis Inputs Grales'!$D$65</f>
        <v>3711.2727272727261</v>
      </c>
      <c r="S262" s="57">
        <f>S261*12*'Analisis Inputs Grales'!$D$65</f>
        <v>3711.2727272727261</v>
      </c>
      <c r="T262" s="57">
        <f>T261*12*'Analisis Inputs Grales'!$D$65</f>
        <v>3711.2727272727261</v>
      </c>
      <c r="U262" s="57">
        <f>U261*12*'Analisis Inputs Grales'!$D$65</f>
        <v>3711.2727272727261</v>
      </c>
      <c r="V262" s="57">
        <f>V261*12*'Analisis Inputs Grales'!$D$65</f>
        <v>3711.2727272727261</v>
      </c>
      <c r="W262" s="57">
        <f>W261*12*'Analisis Inputs Grales'!$D$65</f>
        <v>3711.2727272727261</v>
      </c>
    </row>
    <row r="263" spans="2:23" x14ac:dyDescent="0.2">
      <c r="B263" s="33" t="s">
        <v>113</v>
      </c>
      <c r="C263" s="34" t="s">
        <v>106</v>
      </c>
      <c r="D263" s="80">
        <f>'Analisis Inputs Grales'!$D$74*('Analisis 20Años'!D259+'Analisis 20Años'!D261)</f>
        <v>7.3181818181818167E-2</v>
      </c>
      <c r="E263" s="80">
        <f>'Analisis Inputs Grales'!$D$74*('Analisis 20Años'!E259+'Analisis 20Años'!E261)</f>
        <v>7.3181818181818167E-2</v>
      </c>
      <c r="F263" s="80">
        <f>'Analisis Inputs Grales'!$D$74*('Analisis 20Años'!F259+'Analisis 20Años'!F261)</f>
        <v>7.3181818181818167E-2</v>
      </c>
      <c r="G263" s="80">
        <f>'Analisis Inputs Grales'!$D$74*('Analisis 20Años'!G259+'Analisis 20Años'!G261)</f>
        <v>7.3181818181818167E-2</v>
      </c>
      <c r="H263" s="80">
        <f>'Analisis Inputs Grales'!$D$74*('Analisis 20Años'!H259+'Analisis 20Años'!H261)</f>
        <v>7.3181818181818167E-2</v>
      </c>
      <c r="I263" s="80">
        <f>'Analisis Inputs Grales'!$D$74*('Analisis 20Años'!I259+'Analisis 20Años'!I261)</f>
        <v>7.3181818181818167E-2</v>
      </c>
      <c r="J263" s="80">
        <f>'Analisis Inputs Grales'!$D$74*('Analisis 20Años'!J259+'Analisis 20Años'!J261)</f>
        <v>7.3181818181818167E-2</v>
      </c>
      <c r="K263" s="80">
        <f>'Analisis Inputs Grales'!$D$74*('Analisis 20Años'!K259+'Analisis 20Años'!K261)</f>
        <v>7.3181818181818167E-2</v>
      </c>
      <c r="L263" s="80">
        <f>'Analisis Inputs Grales'!$D$74*('Analisis 20Años'!L259+'Analisis 20Años'!L261)</f>
        <v>7.3181818181818167E-2</v>
      </c>
      <c r="M263" s="80">
        <f>'Analisis Inputs Grales'!$D$74*('Analisis 20Años'!M259+'Analisis 20Años'!M261)</f>
        <v>7.3181818181818167E-2</v>
      </c>
      <c r="N263" s="80">
        <f>'Analisis Inputs Grales'!$D$74*('Analisis 20Años'!N259+'Analisis 20Años'!N261)</f>
        <v>7.3181818181818167E-2</v>
      </c>
      <c r="O263" s="80">
        <f>'Analisis Inputs Grales'!$D$74*('Analisis 20Años'!O259+'Analisis 20Años'!O261)</f>
        <v>7.3181818181818167E-2</v>
      </c>
      <c r="P263" s="80">
        <f>'Analisis Inputs Grales'!$D$74*('Analisis 20Años'!P259+'Analisis 20Años'!P261)</f>
        <v>7.3181818181818167E-2</v>
      </c>
      <c r="Q263" s="80">
        <f>'Analisis Inputs Grales'!$D$74*('Analisis 20Años'!Q259+'Analisis 20Años'!Q261)</f>
        <v>7.3181818181818167E-2</v>
      </c>
      <c r="R263" s="80">
        <f>'Analisis Inputs Grales'!$D$74*('Analisis 20Años'!R259+'Analisis 20Años'!R261)</f>
        <v>7.3181818181818167E-2</v>
      </c>
      <c r="S263" s="80">
        <f>'Analisis Inputs Grales'!$D$74*('Analisis 20Años'!S259+'Analisis 20Años'!S261)</f>
        <v>7.3181818181818167E-2</v>
      </c>
      <c r="T263" s="80">
        <f>'Analisis Inputs Grales'!$D$74*('Analisis 20Años'!T259+'Analisis 20Años'!T261)</f>
        <v>7.3181818181818167E-2</v>
      </c>
      <c r="U263" s="80">
        <f>'Analisis Inputs Grales'!$D$74*('Analisis 20Años'!U259+'Analisis 20Años'!U261)</f>
        <v>7.3181818181818167E-2</v>
      </c>
      <c r="V263" s="80">
        <f>'Analisis Inputs Grales'!$D$74*('Analisis 20Años'!V259+'Analisis 20Años'!V261)</f>
        <v>7.3181818181818167E-2</v>
      </c>
      <c r="W263" s="80">
        <f>'Analisis Inputs Grales'!$D$74*('Analisis 20Años'!W259+'Analisis 20Años'!W261)</f>
        <v>7.3181818181818167E-2</v>
      </c>
    </row>
    <row r="264" spans="2:23" x14ac:dyDescent="0.2">
      <c r="B264" s="35" t="s">
        <v>113</v>
      </c>
      <c r="C264" s="36" t="s">
        <v>68</v>
      </c>
      <c r="D264" s="57">
        <f>D263*12*'Analisis Inputs Grales'!$D$65</f>
        <v>11381.236363636361</v>
      </c>
      <c r="E264" s="57">
        <f>E263*12*'Analisis Inputs Grales'!$D$65</f>
        <v>11381.236363636361</v>
      </c>
      <c r="F264" s="57">
        <f>F263*12*'Analisis Inputs Grales'!$D$65</f>
        <v>11381.236363636361</v>
      </c>
      <c r="G264" s="57">
        <f>G263*12*'Analisis Inputs Grales'!$D$65</f>
        <v>11381.236363636361</v>
      </c>
      <c r="H264" s="57">
        <f>H263*12*'Analisis Inputs Grales'!$D$65</f>
        <v>11381.236363636361</v>
      </c>
      <c r="I264" s="57">
        <f>I263*12*'Analisis Inputs Grales'!$D$65</f>
        <v>11381.236363636361</v>
      </c>
      <c r="J264" s="57">
        <f>J263*12*'Analisis Inputs Grales'!$D$65</f>
        <v>11381.236363636361</v>
      </c>
      <c r="K264" s="57">
        <f>K263*12*'Analisis Inputs Grales'!$D$65</f>
        <v>11381.236363636361</v>
      </c>
      <c r="L264" s="57">
        <f>L263*12*'Analisis Inputs Grales'!$D$65</f>
        <v>11381.236363636361</v>
      </c>
      <c r="M264" s="57">
        <f>M263*12*'Analisis Inputs Grales'!$D$65</f>
        <v>11381.236363636361</v>
      </c>
      <c r="N264" s="57">
        <f>N263*12*'Analisis Inputs Grales'!$D$65</f>
        <v>11381.236363636361</v>
      </c>
      <c r="O264" s="57">
        <f>O263*12*'Analisis Inputs Grales'!$D$65</f>
        <v>11381.236363636361</v>
      </c>
      <c r="P264" s="57">
        <f>P263*12*'Analisis Inputs Grales'!$D$65</f>
        <v>11381.236363636361</v>
      </c>
      <c r="Q264" s="57">
        <f>Q263*12*'Analisis Inputs Grales'!$D$65</f>
        <v>11381.236363636361</v>
      </c>
      <c r="R264" s="57">
        <f>R263*12*'Analisis Inputs Grales'!$D$65</f>
        <v>11381.236363636361</v>
      </c>
      <c r="S264" s="57">
        <f>S263*12*'Analisis Inputs Grales'!$D$65</f>
        <v>11381.236363636361</v>
      </c>
      <c r="T264" s="57">
        <f>T263*12*'Analisis Inputs Grales'!$D$65</f>
        <v>11381.236363636361</v>
      </c>
      <c r="U264" s="57">
        <f>U263*12*'Analisis Inputs Grales'!$D$65</f>
        <v>11381.236363636361</v>
      </c>
      <c r="V264" s="57">
        <f>V263*12*'Analisis Inputs Grales'!$D$65</f>
        <v>11381.236363636361</v>
      </c>
      <c r="W264" s="57">
        <f>W263*12*'Analisis Inputs Grales'!$D$65</f>
        <v>11381.236363636361</v>
      </c>
    </row>
    <row r="265" spans="2:23" x14ac:dyDescent="0.2">
      <c r="B265" s="33" t="s">
        <v>114</v>
      </c>
      <c r="C265" s="34" t="s">
        <v>106</v>
      </c>
      <c r="D265" s="80">
        <f>D263+D261+D259</f>
        <v>0.25613636363636361</v>
      </c>
      <c r="E265" s="80">
        <f t="shared" ref="E265:W265" si="56">E263+E261+E259</f>
        <v>0.25613636363636361</v>
      </c>
      <c r="F265" s="80">
        <f t="shared" si="56"/>
        <v>0.25613636363636361</v>
      </c>
      <c r="G265" s="80">
        <f t="shared" si="56"/>
        <v>0.25613636363636361</v>
      </c>
      <c r="H265" s="80">
        <f t="shared" si="56"/>
        <v>0.25613636363636361</v>
      </c>
      <c r="I265" s="80">
        <f t="shared" si="56"/>
        <v>0.25613636363636361</v>
      </c>
      <c r="J265" s="80">
        <f t="shared" si="56"/>
        <v>0.25613636363636361</v>
      </c>
      <c r="K265" s="80">
        <f t="shared" si="56"/>
        <v>0.25613636363636361</v>
      </c>
      <c r="L265" s="80">
        <f t="shared" si="56"/>
        <v>0.25613636363636361</v>
      </c>
      <c r="M265" s="80">
        <f t="shared" si="56"/>
        <v>0.25613636363636361</v>
      </c>
      <c r="N265" s="80">
        <f t="shared" si="56"/>
        <v>0.25613636363636361</v>
      </c>
      <c r="O265" s="80">
        <f t="shared" si="56"/>
        <v>0.25613636363636361</v>
      </c>
      <c r="P265" s="80">
        <f t="shared" si="56"/>
        <v>0.25613636363636361</v>
      </c>
      <c r="Q265" s="80">
        <f t="shared" si="56"/>
        <v>0.25613636363636361</v>
      </c>
      <c r="R265" s="80">
        <f t="shared" si="56"/>
        <v>0.25613636363636361</v>
      </c>
      <c r="S265" s="80">
        <f t="shared" si="56"/>
        <v>0.25613636363636361</v>
      </c>
      <c r="T265" s="80">
        <f t="shared" si="56"/>
        <v>0.25613636363636361</v>
      </c>
      <c r="U265" s="80">
        <f t="shared" si="56"/>
        <v>0.25613636363636361</v>
      </c>
      <c r="V265" s="80">
        <f t="shared" si="56"/>
        <v>0.25613636363636361</v>
      </c>
      <c r="W265" s="80">
        <f t="shared" si="56"/>
        <v>0.25613636363636361</v>
      </c>
    </row>
    <row r="266" spans="2:23" x14ac:dyDescent="0.2">
      <c r="B266" s="37" t="s">
        <v>114</v>
      </c>
      <c r="C266" s="36" t="s">
        <v>68</v>
      </c>
      <c r="D266" s="57">
        <f>D265*12*'Analisis Inputs Grales'!$D$65</f>
        <v>39834.327272727271</v>
      </c>
      <c r="E266" s="57">
        <f>E265*12*'Analisis Inputs Grales'!$D$65</f>
        <v>39834.327272727271</v>
      </c>
      <c r="F266" s="57">
        <f>F265*12*'Analisis Inputs Grales'!$D$65</f>
        <v>39834.327272727271</v>
      </c>
      <c r="G266" s="57">
        <f>G265*12*'Analisis Inputs Grales'!$D$65</f>
        <v>39834.327272727271</v>
      </c>
      <c r="H266" s="57">
        <f>H265*12*'Analisis Inputs Grales'!$D$65</f>
        <v>39834.327272727271</v>
      </c>
      <c r="I266" s="57">
        <f>I265*12*'Analisis Inputs Grales'!$D$65</f>
        <v>39834.327272727271</v>
      </c>
      <c r="J266" s="57">
        <f>J265*12*'Analisis Inputs Grales'!$D$65</f>
        <v>39834.327272727271</v>
      </c>
      <c r="K266" s="57">
        <f>K265*12*'Analisis Inputs Grales'!$D$65</f>
        <v>39834.327272727271</v>
      </c>
      <c r="L266" s="57">
        <f>L265*12*'Analisis Inputs Grales'!$D$65</f>
        <v>39834.327272727271</v>
      </c>
      <c r="M266" s="57">
        <f>M265*12*'Analisis Inputs Grales'!$D$65</f>
        <v>39834.327272727271</v>
      </c>
      <c r="N266" s="57">
        <f>N265*12*'Analisis Inputs Grales'!$D$65</f>
        <v>39834.327272727271</v>
      </c>
      <c r="O266" s="57">
        <f>O265*12*'Analisis Inputs Grales'!$D$65</f>
        <v>39834.327272727271</v>
      </c>
      <c r="P266" s="57">
        <f>P265*12*'Analisis Inputs Grales'!$D$65</f>
        <v>39834.327272727271</v>
      </c>
      <c r="Q266" s="57">
        <f>Q265*12*'Analisis Inputs Grales'!$D$65</f>
        <v>39834.327272727271</v>
      </c>
      <c r="R266" s="57">
        <f>R265*12*'Analisis Inputs Grales'!$D$65</f>
        <v>39834.327272727271</v>
      </c>
      <c r="S266" s="57">
        <f>S265*12*'Analisis Inputs Grales'!$D$65</f>
        <v>39834.327272727271</v>
      </c>
      <c r="T266" s="57">
        <f>T265*12*'Analisis Inputs Grales'!$D$65</f>
        <v>39834.327272727271</v>
      </c>
      <c r="U266" s="57">
        <f>U265*12*'Analisis Inputs Grales'!$D$65</f>
        <v>39834.327272727271</v>
      </c>
      <c r="V266" s="57">
        <f>V265*12*'Analisis Inputs Grales'!$D$65</f>
        <v>39834.327272727271</v>
      </c>
      <c r="W266" s="57">
        <f>W265*12*'Analisis Inputs Grales'!$D$65</f>
        <v>39834.327272727271</v>
      </c>
    </row>
    <row r="267" spans="2:23" x14ac:dyDescent="0.2">
      <c r="B267" s="39"/>
    </row>
    <row r="268" spans="2:23" x14ac:dyDescent="0.2">
      <c r="B268" s="40" t="s">
        <v>115</v>
      </c>
      <c r="C268" s="41" t="s">
        <v>106</v>
      </c>
      <c r="D268" s="80">
        <f>+D255+D265</f>
        <v>0.450677258698092</v>
      </c>
      <c r="E268" s="80">
        <f t="shared" ref="E268:W268" si="57">+E255+E265</f>
        <v>0.450677258698092</v>
      </c>
      <c r="F268" s="80">
        <f t="shared" si="57"/>
        <v>0.450677258698092</v>
      </c>
      <c r="G268" s="80">
        <f t="shared" si="57"/>
        <v>0.450677258698092</v>
      </c>
      <c r="H268" s="80">
        <f t="shared" si="57"/>
        <v>0.450677258698092</v>
      </c>
      <c r="I268" s="80">
        <f t="shared" si="57"/>
        <v>0.450677258698092</v>
      </c>
      <c r="J268" s="80">
        <f t="shared" si="57"/>
        <v>0.450677258698092</v>
      </c>
      <c r="K268" s="80">
        <f t="shared" si="57"/>
        <v>0.450677258698092</v>
      </c>
      <c r="L268" s="80">
        <f t="shared" si="57"/>
        <v>0.450677258698092</v>
      </c>
      <c r="M268" s="80">
        <f t="shared" si="57"/>
        <v>0.450677258698092</v>
      </c>
      <c r="N268" s="80">
        <f t="shared" si="57"/>
        <v>0.450677258698092</v>
      </c>
      <c r="O268" s="80">
        <f t="shared" si="57"/>
        <v>0.450677258698092</v>
      </c>
      <c r="P268" s="80">
        <f t="shared" si="57"/>
        <v>0.450677258698092</v>
      </c>
      <c r="Q268" s="80">
        <f t="shared" si="57"/>
        <v>0.450677258698092</v>
      </c>
      <c r="R268" s="80">
        <f t="shared" si="57"/>
        <v>0.450677258698092</v>
      </c>
      <c r="S268" s="80">
        <f t="shared" si="57"/>
        <v>0.450677258698092</v>
      </c>
      <c r="T268" s="80">
        <f t="shared" si="57"/>
        <v>0.450677258698092</v>
      </c>
      <c r="U268" s="80">
        <f t="shared" si="57"/>
        <v>0.450677258698092</v>
      </c>
      <c r="V268" s="80">
        <f t="shared" si="57"/>
        <v>0.450677258698092</v>
      </c>
      <c r="W268" s="80">
        <f t="shared" si="57"/>
        <v>0.450677258698092</v>
      </c>
    </row>
    <row r="269" spans="2:23" x14ac:dyDescent="0.2">
      <c r="B269" s="42" t="s">
        <v>115</v>
      </c>
      <c r="C269" s="43" t="s">
        <v>68</v>
      </c>
      <c r="D269" s="57">
        <f>D268*12*'Analisis Inputs Grales'!$D$65</f>
        <v>70089.327272727271</v>
      </c>
      <c r="E269" s="57">
        <f>E268*12*'Analisis Inputs Grales'!$D$65</f>
        <v>70089.327272727271</v>
      </c>
      <c r="F269" s="57">
        <f>F268*12*'Analisis Inputs Grales'!$D$65</f>
        <v>70089.327272727271</v>
      </c>
      <c r="G269" s="57">
        <f>G268*12*'Analisis Inputs Grales'!$D$65</f>
        <v>70089.327272727271</v>
      </c>
      <c r="H269" s="57">
        <f>H268*12*'Analisis Inputs Grales'!$D$65</f>
        <v>70089.327272727271</v>
      </c>
      <c r="I269" s="57">
        <f>I268*12*'Analisis Inputs Grales'!$D$65</f>
        <v>70089.327272727271</v>
      </c>
      <c r="J269" s="57">
        <f>J268*12*'Analisis Inputs Grales'!$D$65</f>
        <v>70089.327272727271</v>
      </c>
      <c r="K269" s="57">
        <f>K268*12*'Analisis Inputs Grales'!$D$65</f>
        <v>70089.327272727271</v>
      </c>
      <c r="L269" s="57">
        <f>L268*12*'Analisis Inputs Grales'!$D$65</f>
        <v>70089.327272727271</v>
      </c>
      <c r="M269" s="57">
        <f>M268*12*'Analisis Inputs Grales'!$D$65</f>
        <v>70089.327272727271</v>
      </c>
      <c r="N269" s="57">
        <f>N268*12*'Analisis Inputs Grales'!$D$65</f>
        <v>70089.327272727271</v>
      </c>
      <c r="O269" s="57">
        <f>O268*12*'Analisis Inputs Grales'!$D$65</f>
        <v>70089.327272727271</v>
      </c>
      <c r="P269" s="57">
        <f>P268*12*'Analisis Inputs Grales'!$D$65</f>
        <v>70089.327272727271</v>
      </c>
      <c r="Q269" s="57">
        <f>Q268*12*'Analisis Inputs Grales'!$D$65</f>
        <v>70089.327272727271</v>
      </c>
      <c r="R269" s="57">
        <f>R268*12*'Analisis Inputs Grales'!$D$65</f>
        <v>70089.327272727271</v>
      </c>
      <c r="S269" s="57">
        <f>S268*12*'Analisis Inputs Grales'!$D$65</f>
        <v>70089.327272727271</v>
      </c>
      <c r="T269" s="57">
        <f>T268*12*'Analisis Inputs Grales'!$D$65</f>
        <v>70089.327272727271</v>
      </c>
      <c r="U269" s="57">
        <f>U268*12*'Analisis Inputs Grales'!$D$65</f>
        <v>70089.327272727271</v>
      </c>
      <c r="V269" s="57">
        <f>V268*12*'Analisis Inputs Grales'!$D$65</f>
        <v>70089.327272727271</v>
      </c>
      <c r="W269" s="57">
        <f>W268*12*'Analisis Inputs Grales'!$D$65</f>
        <v>70089.327272727271</v>
      </c>
    </row>
    <row r="270" spans="2:23" x14ac:dyDescent="0.2">
      <c r="B270" s="44"/>
      <c r="C270" s="45"/>
    </row>
    <row r="271" spans="2:23" x14ac:dyDescent="0.2">
      <c r="B271" s="46" t="s">
        <v>116</v>
      </c>
      <c r="C271" s="41" t="s">
        <v>117</v>
      </c>
      <c r="D271" s="80">
        <f>D268/('Analisis Inputs Grales'!$D$50)</f>
        <v>1.6095616382074716E-2</v>
      </c>
      <c r="E271" s="80">
        <f>E268/('Analisis Inputs Grales'!$D$50)</f>
        <v>1.6095616382074716E-2</v>
      </c>
      <c r="F271" s="80">
        <f>F268/('Analisis Inputs Grales'!$D$50)</f>
        <v>1.6095616382074716E-2</v>
      </c>
      <c r="G271" s="80">
        <f>G268/('Analisis Inputs Grales'!$D$50)</f>
        <v>1.6095616382074716E-2</v>
      </c>
      <c r="H271" s="80">
        <f>H268/('Analisis Inputs Grales'!$D$50)</f>
        <v>1.6095616382074716E-2</v>
      </c>
      <c r="I271" s="80">
        <f>I268/('Analisis Inputs Grales'!$D$50)</f>
        <v>1.6095616382074716E-2</v>
      </c>
      <c r="J271" s="80">
        <f>J268/('Analisis Inputs Grales'!$D$50)</f>
        <v>1.6095616382074716E-2</v>
      </c>
      <c r="K271" s="80">
        <f>K268/('Analisis Inputs Grales'!$D$50)</f>
        <v>1.6095616382074716E-2</v>
      </c>
      <c r="L271" s="80">
        <f>L268/('Analisis Inputs Grales'!$D$50)</f>
        <v>1.6095616382074716E-2</v>
      </c>
      <c r="M271" s="80">
        <f>M268/('Analisis Inputs Grales'!$D$50)</f>
        <v>1.6095616382074716E-2</v>
      </c>
      <c r="N271" s="80">
        <f>N268/('Analisis Inputs Grales'!$D$50)</f>
        <v>1.6095616382074716E-2</v>
      </c>
      <c r="O271" s="80">
        <f>O268/('Analisis Inputs Grales'!$D$50)</f>
        <v>1.6095616382074716E-2</v>
      </c>
      <c r="P271" s="80">
        <f>P268/('Analisis Inputs Grales'!$D$50)</f>
        <v>1.6095616382074716E-2</v>
      </c>
      <c r="Q271" s="80">
        <f>Q268/('Analisis Inputs Grales'!$D$50)</f>
        <v>1.6095616382074716E-2</v>
      </c>
      <c r="R271" s="80">
        <f>R268/('Analisis Inputs Grales'!$D$50)</f>
        <v>1.6095616382074716E-2</v>
      </c>
      <c r="S271" s="80">
        <f>S268/('Analisis Inputs Grales'!$D$50)</f>
        <v>1.6095616382074716E-2</v>
      </c>
      <c r="T271" s="80">
        <f>T268/('Analisis Inputs Grales'!$D$50)</f>
        <v>1.6095616382074716E-2</v>
      </c>
      <c r="U271" s="80">
        <f>U268/('Analisis Inputs Grales'!$D$50)</f>
        <v>1.6095616382074716E-2</v>
      </c>
      <c r="V271" s="80">
        <f>V268/('Analisis Inputs Grales'!$D$50)</f>
        <v>1.6095616382074716E-2</v>
      </c>
      <c r="W271" s="80">
        <f>W268/('Analisis Inputs Grales'!$D$50)</f>
        <v>1.6095616382074716E-2</v>
      </c>
    </row>
    <row r="272" spans="2:23" x14ac:dyDescent="0.2">
      <c r="B272" s="39" t="s">
        <v>118</v>
      </c>
      <c r="C272" s="36" t="s">
        <v>119</v>
      </c>
      <c r="D272" s="57">
        <f>D271*12*'Analisis Inputs Grales'!$D$65</f>
        <v>2503.19025974026</v>
      </c>
      <c r="E272" s="57">
        <f>E271*12*'Analisis Inputs Grales'!$D$65</f>
        <v>2503.19025974026</v>
      </c>
      <c r="F272" s="57">
        <f>F271*12*'Analisis Inputs Grales'!$D$65</f>
        <v>2503.19025974026</v>
      </c>
      <c r="G272" s="57">
        <f>G271*12*'Analisis Inputs Grales'!$D$65</f>
        <v>2503.19025974026</v>
      </c>
      <c r="H272" s="57">
        <f>H271*12*'Analisis Inputs Grales'!$D$65</f>
        <v>2503.19025974026</v>
      </c>
      <c r="I272" s="57">
        <f>I271*12*'Analisis Inputs Grales'!$D$65</f>
        <v>2503.19025974026</v>
      </c>
      <c r="J272" s="57">
        <f>J271*12*'Analisis Inputs Grales'!$D$65</f>
        <v>2503.19025974026</v>
      </c>
      <c r="K272" s="57">
        <f>K271*12*'Analisis Inputs Grales'!$D$65</f>
        <v>2503.19025974026</v>
      </c>
      <c r="L272" s="57">
        <f>L271*12*'Analisis Inputs Grales'!$D$65</f>
        <v>2503.19025974026</v>
      </c>
      <c r="M272" s="57">
        <f>M271*12*'Analisis Inputs Grales'!$D$65</f>
        <v>2503.19025974026</v>
      </c>
      <c r="N272" s="57">
        <f>N271*12*'Analisis Inputs Grales'!$D$65</f>
        <v>2503.19025974026</v>
      </c>
      <c r="O272" s="57">
        <f>O271*12*'Analisis Inputs Grales'!$D$65</f>
        <v>2503.19025974026</v>
      </c>
      <c r="P272" s="57">
        <f>P271*12*'Analisis Inputs Grales'!$D$65</f>
        <v>2503.19025974026</v>
      </c>
      <c r="Q272" s="57">
        <f>Q271*12*'Analisis Inputs Grales'!$D$65</f>
        <v>2503.19025974026</v>
      </c>
      <c r="R272" s="57">
        <f>R271*12*'Analisis Inputs Grales'!$D$65</f>
        <v>2503.19025974026</v>
      </c>
      <c r="S272" s="57">
        <f>S271*12*'Analisis Inputs Grales'!$D$65</f>
        <v>2503.19025974026</v>
      </c>
      <c r="T272" s="57">
        <f>T271*12*'Analisis Inputs Grales'!$D$65</f>
        <v>2503.19025974026</v>
      </c>
      <c r="U272" s="57">
        <f>U271*12*'Analisis Inputs Grales'!$D$65</f>
        <v>2503.19025974026</v>
      </c>
      <c r="V272" s="57">
        <f>V271*12*'Analisis Inputs Grales'!$D$65</f>
        <v>2503.19025974026</v>
      </c>
      <c r="W272" s="57">
        <f>W271*12*'Analisis Inputs Grales'!$D$65</f>
        <v>2503.19025974026</v>
      </c>
    </row>
    <row r="273" spans="2:23" ht="28.5" x14ac:dyDescent="0.2">
      <c r="B273" s="42" t="s">
        <v>120</v>
      </c>
      <c r="C273" s="43" t="s">
        <v>121</v>
      </c>
      <c r="D273" s="80">
        <f>('Analisis Inputs Grales'!$D$77+'Analisis Inputs Grales'!$D$78)*D255/'Analisis Inputs Grales'!$D$50</f>
        <v>0.24317611882716048</v>
      </c>
      <c r="E273" s="80">
        <f>('Analisis Inputs Grales'!$D$77+'Analisis Inputs Grales'!$D$78)*E255/'Analisis Inputs Grales'!$D$50</f>
        <v>0.24317611882716048</v>
      </c>
      <c r="F273" s="80">
        <f>('Analisis Inputs Grales'!$D$77+'Analisis Inputs Grales'!$D$78)*F255/'Analisis Inputs Grales'!$D$50</f>
        <v>0.24317611882716048</v>
      </c>
      <c r="G273" s="80">
        <f>('Analisis Inputs Grales'!$D$77+'Analisis Inputs Grales'!$D$78)*G255/'Analisis Inputs Grales'!$D$50</f>
        <v>0.24317611882716048</v>
      </c>
      <c r="H273" s="80">
        <f>('Analisis Inputs Grales'!$D$77+'Analisis Inputs Grales'!$D$78)*H255/'Analisis Inputs Grales'!$D$50</f>
        <v>0.24317611882716048</v>
      </c>
      <c r="I273" s="80">
        <f>('Analisis Inputs Grales'!$D$77+'Analisis Inputs Grales'!$D$78)*I255/'Analisis Inputs Grales'!$D$50</f>
        <v>0.24317611882716048</v>
      </c>
      <c r="J273" s="80">
        <f>('Analisis Inputs Grales'!$D$77+'Analisis Inputs Grales'!$D$78)*J255/'Analisis Inputs Grales'!$D$50</f>
        <v>0.24317611882716048</v>
      </c>
      <c r="K273" s="80">
        <f>('Analisis Inputs Grales'!$D$77+'Analisis Inputs Grales'!$D$78)*K255/'Analisis Inputs Grales'!$D$50</f>
        <v>0.24317611882716048</v>
      </c>
      <c r="L273" s="80">
        <f>('Analisis Inputs Grales'!$D$77+'Analisis Inputs Grales'!$D$78)*L255/'Analisis Inputs Grales'!$D$50</f>
        <v>0.24317611882716048</v>
      </c>
      <c r="M273" s="80">
        <f>('Analisis Inputs Grales'!$D$77+'Analisis Inputs Grales'!$D$78)*M255/'Analisis Inputs Grales'!$D$50</f>
        <v>0.24317611882716048</v>
      </c>
      <c r="N273" s="80">
        <f>('Analisis Inputs Grales'!$D$77+'Analisis Inputs Grales'!$D$78)*N255/'Analisis Inputs Grales'!$D$50</f>
        <v>0.24317611882716048</v>
      </c>
      <c r="O273" s="80">
        <f>('Analisis Inputs Grales'!$D$77+'Analisis Inputs Grales'!$D$78)*O255/'Analisis Inputs Grales'!$D$50</f>
        <v>0.24317611882716048</v>
      </c>
      <c r="P273" s="80">
        <f>('Analisis Inputs Grales'!$D$77+'Analisis Inputs Grales'!$D$78)*P255/'Analisis Inputs Grales'!$D$50</f>
        <v>0.24317611882716048</v>
      </c>
      <c r="Q273" s="80">
        <f>('Analisis Inputs Grales'!$D$77+'Analisis Inputs Grales'!$D$78)*Q255/'Analisis Inputs Grales'!$D$50</f>
        <v>0.24317611882716048</v>
      </c>
      <c r="R273" s="80">
        <f>('Analisis Inputs Grales'!$D$77+'Analisis Inputs Grales'!$D$78)*R255/'Analisis Inputs Grales'!$D$50</f>
        <v>0.24317611882716048</v>
      </c>
      <c r="S273" s="80">
        <f>('Analisis Inputs Grales'!$D$77+'Analisis Inputs Grales'!$D$78)*S255/'Analisis Inputs Grales'!$D$50</f>
        <v>0.24317611882716048</v>
      </c>
      <c r="T273" s="80">
        <f>('Analisis Inputs Grales'!$D$77+'Analisis Inputs Grales'!$D$78)*T255/'Analisis Inputs Grales'!$D$50</f>
        <v>0.24317611882716048</v>
      </c>
      <c r="U273" s="80">
        <f>('Analisis Inputs Grales'!$D$77+'Analisis Inputs Grales'!$D$78)*U255/'Analisis Inputs Grales'!$D$50</f>
        <v>0.24317611882716048</v>
      </c>
      <c r="V273" s="80">
        <f>('Analisis Inputs Grales'!$D$77+'Analisis Inputs Grales'!$D$78)*V255/'Analisis Inputs Grales'!$D$50</f>
        <v>0.24317611882716048</v>
      </c>
      <c r="W273" s="80">
        <f>('Analisis Inputs Grales'!$D$77+'Analisis Inputs Grales'!$D$78)*W255/'Analisis Inputs Grales'!$D$50</f>
        <v>0.24317611882716048</v>
      </c>
    </row>
    <row r="275" spans="2:23" x14ac:dyDescent="0.2">
      <c r="B275" s="39" t="s">
        <v>146</v>
      </c>
      <c r="C275" s="36" t="s">
        <v>147</v>
      </c>
      <c r="D275" s="80">
        <f>(D271*'Analisis Inputs Grales'!$D$34/60)+D273</f>
        <v>0.25927173520923519</v>
      </c>
      <c r="E275" s="80">
        <f>(E271*'Analisis Inputs Grales'!$D$34/60)+E273</f>
        <v>0.25927173520923519</v>
      </c>
      <c r="F275" s="80">
        <f>(F271*'Analisis Inputs Grales'!$D$34/60)+F273</f>
        <v>0.25927173520923519</v>
      </c>
      <c r="G275" s="80">
        <f>(G271*'Analisis Inputs Grales'!$D$34/60)+G273</f>
        <v>0.25927173520923519</v>
      </c>
      <c r="H275" s="80">
        <f>(H271*'Analisis Inputs Grales'!$D$34/60)+H273</f>
        <v>0.25927173520923519</v>
      </c>
      <c r="I275" s="80">
        <f>(I271*'Analisis Inputs Grales'!$D$34/60)+I273</f>
        <v>0.25927173520923519</v>
      </c>
      <c r="J275" s="80">
        <f>(J271*'Analisis Inputs Grales'!$D$34/60)+J273</f>
        <v>0.25927173520923519</v>
      </c>
      <c r="K275" s="80">
        <f>(K271*'Analisis Inputs Grales'!$D$34/60)+K273</f>
        <v>0.25927173520923519</v>
      </c>
      <c r="L275" s="80">
        <f>(L271*'Analisis Inputs Grales'!$D$34/60)+L273</f>
        <v>0.25927173520923519</v>
      </c>
      <c r="M275" s="80">
        <f>(M271*'Analisis Inputs Grales'!$D$34/60)+M273</f>
        <v>0.25927173520923519</v>
      </c>
      <c r="N275" s="80">
        <f>(N271*'Analisis Inputs Grales'!$D$34/60)+N273</f>
        <v>0.25927173520923519</v>
      </c>
      <c r="O275" s="80">
        <f>(O271*'Analisis Inputs Grales'!$D$34/60)+O273</f>
        <v>0.25927173520923519</v>
      </c>
      <c r="P275" s="80">
        <f>(P271*'Analisis Inputs Grales'!$D$34/60)+P273</f>
        <v>0.25927173520923519</v>
      </c>
      <c r="Q275" s="80">
        <f>(Q271*'Analisis Inputs Grales'!$D$34/60)+Q273</f>
        <v>0.25927173520923519</v>
      </c>
      <c r="R275" s="80">
        <f>(R271*'Analisis Inputs Grales'!$D$34/60)+R273</f>
        <v>0.25927173520923519</v>
      </c>
      <c r="S275" s="80">
        <f>(S271*'Analisis Inputs Grales'!$D$34/60)+S273</f>
        <v>0.25927173520923519</v>
      </c>
      <c r="T275" s="80">
        <f>(T271*'Analisis Inputs Grales'!$D$34/60)+T273</f>
        <v>0.25927173520923519</v>
      </c>
      <c r="U275" s="80">
        <f>(U271*'Analisis Inputs Grales'!$D$34/60)+U273</f>
        <v>0.25927173520923519</v>
      </c>
      <c r="V275" s="80">
        <f>(V271*'Analisis Inputs Grales'!$D$34/60)+V273</f>
        <v>0.25927173520923519</v>
      </c>
      <c r="W275" s="80">
        <f>(W271*'Analisis Inputs Grales'!$D$34/60)+W273</f>
        <v>0.25927173520923519</v>
      </c>
    </row>
    <row r="276" spans="2:23" x14ac:dyDescent="0.2">
      <c r="B276" s="70" t="s">
        <v>148</v>
      </c>
      <c r="C276" s="71" t="s">
        <v>23</v>
      </c>
      <c r="D276" s="80">
        <f>(1+'Analisis Inputs Grales'!$D$117)^'Analisis 20Años'!D$3</f>
        <v>1</v>
      </c>
      <c r="E276" s="80">
        <f>(1+'Analisis Inputs Grales'!$D$117)^'Analisis 20Años'!E$3</f>
        <v>1.1200000000000001</v>
      </c>
      <c r="F276" s="80">
        <f>(1+'Analisis Inputs Grales'!$D$117)^'Analisis 20Años'!F$3</f>
        <v>1.2544000000000002</v>
      </c>
      <c r="G276" s="80">
        <f>(1+'Analisis Inputs Grales'!$D$117)^'Analisis 20Años'!G$3</f>
        <v>1.4049280000000004</v>
      </c>
      <c r="H276" s="80">
        <f>(1+'Analisis Inputs Grales'!$D$117)^'Analisis 20Años'!H$3</f>
        <v>1.5735193600000004</v>
      </c>
      <c r="I276" s="80">
        <f>(1+'Analisis Inputs Grales'!$D$117)^'Analisis 20Años'!I$3</f>
        <v>1.7623416832000005</v>
      </c>
      <c r="J276" s="80">
        <f>(1+'Analisis Inputs Grales'!$D$117)^'Analisis 20Años'!J$3</f>
        <v>1.9738226851840008</v>
      </c>
      <c r="K276" s="80">
        <f>(1+'Analisis Inputs Grales'!$D$117)^'Analisis 20Años'!K$3</f>
        <v>2.210681407406081</v>
      </c>
      <c r="L276" s="80">
        <f>(1+'Analisis Inputs Grales'!$D$117)^'Analisis 20Años'!L$3</f>
        <v>2.4759631762948109</v>
      </c>
      <c r="M276" s="80">
        <f>(1+'Analisis Inputs Grales'!$D$117)^'Analisis 20Años'!M$3</f>
        <v>2.7730787574501883</v>
      </c>
      <c r="N276" s="80">
        <f>(1+'Analisis Inputs Grales'!$D$117)^'Analisis 20Años'!N$3</f>
        <v>3.1058482083442112</v>
      </c>
      <c r="O276" s="80">
        <f>(1+'Analisis Inputs Grales'!$D$117)^'Analisis 20Años'!O$3</f>
        <v>3.4785499933455171</v>
      </c>
      <c r="P276" s="80">
        <f>(1+'Analisis Inputs Grales'!$D$117)^'Analisis 20Años'!P$3</f>
        <v>3.8959759925469788</v>
      </c>
      <c r="Q276" s="80">
        <f>(1+'Analisis Inputs Grales'!$D$117)^'Analisis 20Años'!Q$3</f>
        <v>4.363493111652617</v>
      </c>
      <c r="R276" s="80">
        <f>(1+'Analisis Inputs Grales'!$D$117)^'Analisis 20Años'!R$3</f>
        <v>4.8871122850509314</v>
      </c>
      <c r="S276" s="80">
        <f>(1+'Analisis Inputs Grales'!$D$117)^'Analisis 20Años'!S$3</f>
        <v>5.4735657592570428</v>
      </c>
      <c r="T276" s="80">
        <f>(1+'Analisis Inputs Grales'!$D$117)^'Analisis 20Años'!T$3</f>
        <v>6.1303936503678891</v>
      </c>
      <c r="U276" s="80">
        <f>(1+'Analisis Inputs Grales'!$D$117)^'Analisis 20Años'!U$3</f>
        <v>6.8660408884120363</v>
      </c>
      <c r="V276" s="80">
        <f>(1+'Analisis Inputs Grales'!$D$117)^'Analisis 20Años'!V$3</f>
        <v>7.6899657950214815</v>
      </c>
      <c r="W276" s="80">
        <f>(1+'Analisis Inputs Grales'!$D$117)^'Analisis 20Años'!W$3</f>
        <v>8.61276169042406</v>
      </c>
    </row>
    <row r="277" spans="2:23" x14ac:dyDescent="0.2">
      <c r="B277" s="70" t="s">
        <v>149</v>
      </c>
      <c r="C277" s="71" t="s">
        <v>147</v>
      </c>
      <c r="D277" s="80">
        <f>D275*D276</f>
        <v>0.25927173520923519</v>
      </c>
      <c r="E277" s="80">
        <f t="shared" ref="E277:W277" si="58">E275*E276</f>
        <v>0.29038434343434344</v>
      </c>
      <c r="F277" s="80">
        <f t="shared" si="58"/>
        <v>0.32523046464646466</v>
      </c>
      <c r="G277" s="80">
        <f t="shared" si="58"/>
        <v>0.36425812040404049</v>
      </c>
      <c r="H277" s="80">
        <f t="shared" si="58"/>
        <v>0.4079690948525253</v>
      </c>
      <c r="I277" s="80">
        <f t="shared" si="58"/>
        <v>0.45692538623482837</v>
      </c>
      <c r="J277" s="80">
        <f t="shared" si="58"/>
        <v>0.51175643258300785</v>
      </c>
      <c r="K277" s="80">
        <f t="shared" si="58"/>
        <v>0.57316720449296876</v>
      </c>
      <c r="L277" s="80">
        <f t="shared" si="58"/>
        <v>0.64194726903212507</v>
      </c>
      <c r="M277" s="80">
        <f t="shared" si="58"/>
        <v>0.71898094131598012</v>
      </c>
      <c r="N277" s="80">
        <f t="shared" si="58"/>
        <v>0.80525865427389787</v>
      </c>
      <c r="O277" s="80">
        <f t="shared" si="58"/>
        <v>0.90188969278676567</v>
      </c>
      <c r="P277" s="80">
        <f t="shared" si="58"/>
        <v>1.0101164559211775</v>
      </c>
      <c r="Q277" s="80">
        <f t="shared" si="58"/>
        <v>1.1313304306317191</v>
      </c>
      <c r="R277" s="80">
        <f t="shared" si="58"/>
        <v>1.2670900823075255</v>
      </c>
      <c r="S277" s="80">
        <f t="shared" si="58"/>
        <v>1.4191408921844284</v>
      </c>
      <c r="T277" s="80">
        <f t="shared" si="58"/>
        <v>1.58943779924656</v>
      </c>
      <c r="U277" s="80">
        <f t="shared" si="58"/>
        <v>1.7801703351561473</v>
      </c>
      <c r="V277" s="80">
        <f t="shared" si="58"/>
        <v>1.9937907753748854</v>
      </c>
      <c r="W277" s="80">
        <f t="shared" si="58"/>
        <v>2.2330456684198716</v>
      </c>
    </row>
    <row r="278" spans="2:23" ht="15" x14ac:dyDescent="0.25">
      <c r="B278" s="72" t="s">
        <v>151</v>
      </c>
      <c r="C278" s="71" t="s">
        <v>147</v>
      </c>
      <c r="D278" s="80">
        <f>SUM(D277:W277)</f>
        <v>18.6811617785085</v>
      </c>
    </row>
    <row r="280" spans="2:23" ht="15" thickBot="1" x14ac:dyDescent="0.25"/>
    <row r="281" spans="2:23" x14ac:dyDescent="0.2">
      <c r="B281" s="147" t="s">
        <v>153</v>
      </c>
      <c r="C281" s="74">
        <v>5</v>
      </c>
      <c r="D281" s="76">
        <f>D173</f>
        <v>0.42333423520923519</v>
      </c>
    </row>
    <row r="282" spans="2:23" x14ac:dyDescent="0.2">
      <c r="B282" s="148"/>
      <c r="C282" s="73">
        <v>10</v>
      </c>
      <c r="D282" s="77">
        <f>D207</f>
        <v>0.31395923520923524</v>
      </c>
    </row>
    <row r="283" spans="2:23" x14ac:dyDescent="0.2">
      <c r="B283" s="148"/>
      <c r="C283" s="73">
        <v>15</v>
      </c>
      <c r="D283" s="77">
        <f>D241</f>
        <v>0.27750090187590187</v>
      </c>
    </row>
    <row r="284" spans="2:23" ht="15" thickBot="1" x14ac:dyDescent="0.25">
      <c r="B284" s="149"/>
      <c r="C284" s="75">
        <v>20</v>
      </c>
      <c r="D284" s="78">
        <f>D275</f>
        <v>0.25927173520923519</v>
      </c>
      <c r="I284" s="91"/>
    </row>
    <row r="287" spans="2:23" ht="18" x14ac:dyDescent="0.25">
      <c r="B287" s="96" t="s">
        <v>97</v>
      </c>
    </row>
    <row r="288" spans="2:23" ht="15.75" x14ac:dyDescent="0.25">
      <c r="B288" s="97"/>
      <c r="C288" s="98"/>
    </row>
    <row r="289" spans="2:7" x14ac:dyDescent="0.2">
      <c r="B289" s="27" t="s">
        <v>105</v>
      </c>
      <c r="C289" s="36" t="s">
        <v>184</v>
      </c>
      <c r="D289" s="99">
        <f>('Analisis Inputs Grales'!D103*('Analisis Inputs Grales'!D100)/'Analisis Inputs Grales'!D98)</f>
        <v>407.40740740740739</v>
      </c>
    </row>
    <row r="290" spans="2:7" x14ac:dyDescent="0.2">
      <c r="B290" s="27" t="s">
        <v>185</v>
      </c>
      <c r="C290" s="36" t="s">
        <v>184</v>
      </c>
      <c r="D290" s="99">
        <f>'Analisis Inputs Grales'!D103/('Analisis Inputs Grales'!D102*'Analisis Inputs Grales'!D99*'Analisis Inputs Grales'!D96)</f>
        <v>176.28205128205127</v>
      </c>
    </row>
    <row r="291" spans="2:7" x14ac:dyDescent="0.2">
      <c r="B291" s="27" t="s">
        <v>98</v>
      </c>
      <c r="C291" s="36" t="s">
        <v>184</v>
      </c>
      <c r="D291" s="99">
        <f>'Analisis Inputs Grales'!D104/'Analisis Inputs Grales'!D98</f>
        <v>370.37037037037038</v>
      </c>
    </row>
    <row r="293" spans="2:7" x14ac:dyDescent="0.2">
      <c r="B293" s="100" t="s">
        <v>186</v>
      </c>
      <c r="C293" s="101" t="s">
        <v>121</v>
      </c>
      <c r="D293" s="102">
        <f>(D289+D290+D291)/'Analisis Inputs Grales'!D94</f>
        <v>1.9081196581196582</v>
      </c>
    </row>
    <row r="297" spans="2:7" ht="15" thickBot="1" x14ac:dyDescent="0.25"/>
    <row r="298" spans="2:7" ht="72" thickBot="1" x14ac:dyDescent="0.25">
      <c r="E298" s="103" t="s">
        <v>187</v>
      </c>
      <c r="F298" s="104" t="s">
        <v>188</v>
      </c>
      <c r="G298" s="105" t="s">
        <v>189</v>
      </c>
    </row>
    <row r="299" spans="2:7" x14ac:dyDescent="0.2">
      <c r="E299" s="106">
        <v>0</v>
      </c>
      <c r="F299" s="107">
        <f>$D$31*E299</f>
        <v>0</v>
      </c>
      <c r="G299" s="108">
        <f>$D$169*E299+($D$293+$D$171)</f>
        <v>2.3108009852801521</v>
      </c>
    </row>
    <row r="300" spans="2:7" x14ac:dyDescent="0.2">
      <c r="E300" s="109">
        <v>10</v>
      </c>
      <c r="F300" s="110">
        <f>$D$31*E300</f>
        <v>0.7128600823045268</v>
      </c>
      <c r="G300" s="111">
        <f t="shared" ref="G300:G312" si="59">$D$169*E300+($D$293+$D$171)</f>
        <v>2.5173300657675659</v>
      </c>
    </row>
    <row r="301" spans="2:7" x14ac:dyDescent="0.2">
      <c r="E301" s="109">
        <v>15</v>
      </c>
      <c r="F301" s="110">
        <f>$D$31*E301</f>
        <v>1.0692901234567902</v>
      </c>
      <c r="G301" s="111">
        <f t="shared" si="59"/>
        <v>2.6205946060112728</v>
      </c>
    </row>
    <row r="302" spans="2:7" x14ac:dyDescent="0.2">
      <c r="E302" s="109">
        <v>20</v>
      </c>
      <c r="F302" s="110">
        <f t="shared" ref="F302:F312" si="60">$D$31*E302</f>
        <v>1.4257201646090536</v>
      </c>
      <c r="G302" s="111">
        <f t="shared" si="59"/>
        <v>2.7238591462549797</v>
      </c>
    </row>
    <row r="303" spans="2:7" x14ac:dyDescent="0.2">
      <c r="E303" s="109">
        <v>30</v>
      </c>
      <c r="F303" s="110">
        <f t="shared" si="60"/>
        <v>2.1385802469135804</v>
      </c>
      <c r="G303" s="111">
        <f t="shared" si="59"/>
        <v>2.9303882267423935</v>
      </c>
    </row>
    <row r="304" spans="2:7" x14ac:dyDescent="0.2">
      <c r="E304" s="109">
        <v>40</v>
      </c>
      <c r="F304" s="110">
        <f t="shared" si="60"/>
        <v>2.8514403292181072</v>
      </c>
      <c r="G304" s="111">
        <f t="shared" si="59"/>
        <v>3.1369173072298073</v>
      </c>
    </row>
    <row r="305" spans="5:7" x14ac:dyDescent="0.2">
      <c r="E305" s="112">
        <v>45</v>
      </c>
      <c r="F305" s="113">
        <f t="shared" si="60"/>
        <v>3.2078703703703706</v>
      </c>
      <c r="G305" s="114">
        <f t="shared" si="59"/>
        <v>3.2401818474735142</v>
      </c>
    </row>
    <row r="306" spans="5:7" x14ac:dyDescent="0.2">
      <c r="E306" s="109">
        <v>50</v>
      </c>
      <c r="F306" s="110">
        <f t="shared" si="60"/>
        <v>3.564300411522634</v>
      </c>
      <c r="G306" s="111">
        <f t="shared" si="59"/>
        <v>3.3434463877172211</v>
      </c>
    </row>
    <row r="307" spans="5:7" x14ac:dyDescent="0.2">
      <c r="E307" s="109">
        <v>60</v>
      </c>
      <c r="F307" s="110">
        <f t="shared" si="60"/>
        <v>4.2771604938271608</v>
      </c>
      <c r="G307" s="111">
        <f t="shared" si="59"/>
        <v>3.5499754682046349</v>
      </c>
    </row>
    <row r="308" spans="5:7" x14ac:dyDescent="0.2">
      <c r="E308" s="109">
        <v>70</v>
      </c>
      <c r="F308" s="110">
        <f t="shared" si="60"/>
        <v>4.9900205761316876</v>
      </c>
      <c r="G308" s="111">
        <f t="shared" si="59"/>
        <v>3.7565045486920488</v>
      </c>
    </row>
    <row r="309" spans="5:7" x14ac:dyDescent="0.2">
      <c r="E309" s="109">
        <v>80</v>
      </c>
      <c r="F309" s="110">
        <f t="shared" si="60"/>
        <v>5.7028806584362144</v>
      </c>
      <c r="G309" s="111">
        <f t="shared" si="59"/>
        <v>3.9630336291794626</v>
      </c>
    </row>
    <row r="310" spans="5:7" x14ac:dyDescent="0.2">
      <c r="E310" s="109">
        <v>90</v>
      </c>
      <c r="F310" s="110">
        <f t="shared" si="60"/>
        <v>6.4157407407407412</v>
      </c>
      <c r="G310" s="111">
        <f t="shared" si="59"/>
        <v>4.1695627096668764</v>
      </c>
    </row>
    <row r="311" spans="5:7" x14ac:dyDescent="0.2">
      <c r="E311" s="109">
        <v>100</v>
      </c>
      <c r="F311" s="110">
        <f t="shared" si="60"/>
        <v>7.128600823045268</v>
      </c>
      <c r="G311" s="111">
        <f t="shared" si="59"/>
        <v>4.3760917901542902</v>
      </c>
    </row>
    <row r="312" spans="5:7" ht="15" thickBot="1" x14ac:dyDescent="0.25">
      <c r="E312" s="115">
        <v>110</v>
      </c>
      <c r="F312" s="116">
        <f t="shared" si="60"/>
        <v>7.8414609053497948</v>
      </c>
      <c r="G312" s="117">
        <f t="shared" si="59"/>
        <v>4.582620870641704</v>
      </c>
    </row>
    <row r="316" spans="5:7" x14ac:dyDescent="0.2">
      <c r="G316" s="56"/>
    </row>
    <row r="318" spans="5:7" ht="15" thickBot="1" x14ac:dyDescent="0.25"/>
    <row r="319" spans="5:7" ht="72" thickBot="1" x14ac:dyDescent="0.25">
      <c r="E319" s="121" t="s">
        <v>187</v>
      </c>
      <c r="F319" s="118" t="s">
        <v>188</v>
      </c>
      <c r="G319" s="122" t="s">
        <v>189</v>
      </c>
    </row>
    <row r="320" spans="5:7" x14ac:dyDescent="0.2">
      <c r="E320" s="119">
        <v>0</v>
      </c>
      <c r="F320" s="123">
        <f>$D$31*E320</f>
        <v>0</v>
      </c>
      <c r="G320" s="120">
        <f>$D$169*E320+('[1]Analisis Inputs Grales'!$D$78+$D$171)</f>
        <v>7.0871897714872008</v>
      </c>
    </row>
    <row r="321" spans="5:7" x14ac:dyDescent="0.2">
      <c r="E321" s="109">
        <v>10</v>
      </c>
      <c r="F321" s="110">
        <f t="shared" ref="F321:F338" si="61">$D$31*E321</f>
        <v>0.7128600823045268</v>
      </c>
      <c r="G321" s="108">
        <f>$D$169*E321+('[1]Analisis Inputs Grales'!$D$78+$D$171)</f>
        <v>7.2937188519746146</v>
      </c>
    </row>
    <row r="322" spans="5:7" x14ac:dyDescent="0.2">
      <c r="E322" s="109">
        <v>15</v>
      </c>
      <c r="F322" s="110">
        <f t="shared" si="61"/>
        <v>1.0692901234567902</v>
      </c>
      <c r="G322" s="108">
        <f>$D$169*E322+('[1]Analisis Inputs Grales'!$D$78+$D$171)</f>
        <v>7.3969833922183215</v>
      </c>
    </row>
    <row r="323" spans="5:7" x14ac:dyDescent="0.2">
      <c r="E323" s="109">
        <v>20</v>
      </c>
      <c r="F323" s="110">
        <f t="shared" si="61"/>
        <v>1.4257201646090536</v>
      </c>
      <c r="G323" s="108">
        <f>$D$169*E323+('[1]Analisis Inputs Grales'!$D$78+$D$171)</f>
        <v>7.5002479324620284</v>
      </c>
    </row>
    <row r="324" spans="5:7" x14ac:dyDescent="0.2">
      <c r="E324" s="109">
        <v>30</v>
      </c>
      <c r="F324" s="110">
        <f t="shared" si="61"/>
        <v>2.1385802469135804</v>
      </c>
      <c r="G324" s="108">
        <f>$D$169*E324+('[1]Analisis Inputs Grales'!$D$78+$D$171)</f>
        <v>7.7067770129494422</v>
      </c>
    </row>
    <row r="325" spans="5:7" x14ac:dyDescent="0.2">
      <c r="E325" s="109">
        <v>40</v>
      </c>
      <c r="F325" s="110">
        <f t="shared" si="61"/>
        <v>2.8514403292181072</v>
      </c>
      <c r="G325" s="108">
        <f>$D$169*E325+('[1]Analisis Inputs Grales'!$D$78+$D$171)</f>
        <v>7.913306093436856</v>
      </c>
    </row>
    <row r="326" spans="5:7" x14ac:dyDescent="0.2">
      <c r="E326" s="109">
        <v>45</v>
      </c>
      <c r="F326" s="110">
        <f t="shared" si="61"/>
        <v>3.2078703703703706</v>
      </c>
      <c r="G326" s="108">
        <f>$D$169*E326+('[1]Analisis Inputs Grales'!$D$78+$D$171)</f>
        <v>8.016570633680562</v>
      </c>
    </row>
    <row r="327" spans="5:7" x14ac:dyDescent="0.2">
      <c r="E327" s="109">
        <v>50</v>
      </c>
      <c r="F327" s="110">
        <f t="shared" si="61"/>
        <v>3.564300411522634</v>
      </c>
      <c r="G327" s="108">
        <f>$D$169*E327+('[1]Analisis Inputs Grales'!$D$78+$D$171)</f>
        <v>8.1198351739242689</v>
      </c>
    </row>
    <row r="328" spans="5:7" x14ac:dyDescent="0.2">
      <c r="E328" s="109">
        <v>60</v>
      </c>
      <c r="F328" s="110">
        <f t="shared" si="61"/>
        <v>4.2771604938271608</v>
      </c>
      <c r="G328" s="108">
        <f>$D$169*E328+('[1]Analisis Inputs Grales'!$D$78+$D$171)</f>
        <v>8.3263642544116827</v>
      </c>
    </row>
    <row r="329" spans="5:7" x14ac:dyDescent="0.2">
      <c r="E329" s="109">
        <v>70</v>
      </c>
      <c r="F329" s="110">
        <f t="shared" si="61"/>
        <v>4.9900205761316876</v>
      </c>
      <c r="G329" s="108">
        <f>$D$169*E329+('[1]Analisis Inputs Grales'!$D$78+$D$171)</f>
        <v>8.5328933348990965</v>
      </c>
    </row>
    <row r="330" spans="5:7" x14ac:dyDescent="0.2">
      <c r="E330" s="109">
        <v>80</v>
      </c>
      <c r="F330" s="110">
        <f t="shared" si="61"/>
        <v>5.7028806584362144</v>
      </c>
      <c r="G330" s="108">
        <f>$D$169*E330+('[1]Analisis Inputs Grales'!$D$78+$D$171)</f>
        <v>8.7394224153865103</v>
      </c>
    </row>
    <row r="331" spans="5:7" x14ac:dyDescent="0.2">
      <c r="E331" s="109">
        <v>90</v>
      </c>
      <c r="F331" s="110">
        <f t="shared" si="61"/>
        <v>6.4157407407407412</v>
      </c>
      <c r="G331" s="108">
        <f>$D$169*E331+('[1]Analisis Inputs Grales'!$D$78+$D$171)</f>
        <v>8.9459514958739241</v>
      </c>
    </row>
    <row r="332" spans="5:7" x14ac:dyDescent="0.2">
      <c r="E332" s="109">
        <v>100</v>
      </c>
      <c r="F332" s="110">
        <f t="shared" si="61"/>
        <v>7.128600823045268</v>
      </c>
      <c r="G332" s="108">
        <f>$D$169*E332+('[1]Analisis Inputs Grales'!$D$78+$D$171)</f>
        <v>9.1524805763613379</v>
      </c>
    </row>
    <row r="333" spans="5:7" x14ac:dyDescent="0.2">
      <c r="E333" s="109">
        <v>110</v>
      </c>
      <c r="F333" s="110">
        <f t="shared" si="61"/>
        <v>7.8414609053497948</v>
      </c>
      <c r="G333" s="111">
        <f>$D$169*E333+('[1]Analisis Inputs Grales'!$D$78+$D$171)</f>
        <v>9.3590096568487517</v>
      </c>
    </row>
    <row r="334" spans="5:7" x14ac:dyDescent="0.2">
      <c r="E334" s="109">
        <v>120</v>
      </c>
      <c r="F334" s="110">
        <f t="shared" si="61"/>
        <v>8.5543209876543216</v>
      </c>
      <c r="G334" s="111">
        <f>$D$169*E334+('[1]Analisis Inputs Grales'!$D$78+$D$171)</f>
        <v>9.5655387373361656</v>
      </c>
    </row>
    <row r="335" spans="5:7" x14ac:dyDescent="0.2">
      <c r="E335" s="109">
        <v>130</v>
      </c>
      <c r="F335" s="110">
        <f t="shared" si="61"/>
        <v>9.2671810699588484</v>
      </c>
      <c r="G335" s="111">
        <f>$D$169*E335+('[1]Analisis Inputs Grales'!$D$78+$D$171)</f>
        <v>9.7720678178235794</v>
      </c>
    </row>
    <row r="336" spans="5:7" x14ac:dyDescent="0.2">
      <c r="E336" s="112">
        <v>140</v>
      </c>
      <c r="F336" s="113">
        <f t="shared" si="61"/>
        <v>9.9800411522633752</v>
      </c>
      <c r="G336" s="114">
        <f>$D$169*E336+('[1]Analisis Inputs Grales'!$D$78+$D$171)</f>
        <v>9.9785968983109932</v>
      </c>
    </row>
    <row r="337" spans="5:7" x14ac:dyDescent="0.2">
      <c r="E337" s="109">
        <v>150</v>
      </c>
      <c r="F337" s="110">
        <f t="shared" si="61"/>
        <v>10.692901234567902</v>
      </c>
      <c r="G337" s="111">
        <f>$D$169*E337+('[1]Analisis Inputs Grales'!$D$78+$D$171)</f>
        <v>10.185125978798407</v>
      </c>
    </row>
    <row r="338" spans="5:7" ht="15" thickBot="1" x14ac:dyDescent="0.25">
      <c r="E338" s="115">
        <v>160</v>
      </c>
      <c r="F338" s="116">
        <f t="shared" si="61"/>
        <v>11.405761316872429</v>
      </c>
      <c r="G338" s="117">
        <f>$D$169*E338+('[1]Analisis Inputs Grales'!$D$78+$D$171)</f>
        <v>10.391655059285821</v>
      </c>
    </row>
  </sheetData>
  <mergeCells count="2">
    <mergeCell ref="B138:B141"/>
    <mergeCell ref="B281:B284"/>
  </mergeCells>
  <pageMargins left="0.7" right="0.7" top="0.75" bottom="0.75" header="0.3" footer="0.3"/>
  <ignoredErrors>
    <ignoredError sqref="D11:Y30 D279:Y283 E278:Y278 E277:Y277 D276:Y276 E275:Y275 D34:Y274 E33:Y33 D32:Y32 E31:Y3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>
    <tabColor rgb="FFFF0000"/>
  </sheetPr>
  <dimension ref="A3:I25"/>
  <sheetViews>
    <sheetView topLeftCell="A28"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7"/>
  </cols>
  <sheetData>
    <row r="3" spans="2:9" ht="60" x14ac:dyDescent="0.2">
      <c r="B3" s="47" t="s">
        <v>122</v>
      </c>
      <c r="C3" s="47" t="s">
        <v>123</v>
      </c>
      <c r="D3" s="47" t="s">
        <v>124</v>
      </c>
      <c r="E3" s="47" t="s">
        <v>125</v>
      </c>
      <c r="F3" s="47" t="s">
        <v>126</v>
      </c>
      <c r="G3" s="47" t="s">
        <v>127</v>
      </c>
      <c r="H3" s="47"/>
    </row>
    <row r="4" spans="2:9" x14ac:dyDescent="0.2">
      <c r="B4" s="48">
        <v>1</v>
      </c>
      <c r="C4" s="27" t="s">
        <v>128</v>
      </c>
      <c r="D4" s="27">
        <v>10</v>
      </c>
      <c r="E4" s="27">
        <v>15</v>
      </c>
      <c r="I4" s="27" t="s">
        <v>129</v>
      </c>
    </row>
    <row r="5" spans="2:9" x14ac:dyDescent="0.2">
      <c r="B5" s="48">
        <v>2</v>
      </c>
      <c r="C5" s="27" t="s">
        <v>130</v>
      </c>
      <c r="D5" s="27">
        <v>200</v>
      </c>
      <c r="E5" s="27">
        <v>216</v>
      </c>
    </row>
    <row r="6" spans="2:9" x14ac:dyDescent="0.2">
      <c r="B6" s="48">
        <v>3</v>
      </c>
      <c r="C6" s="27" t="s">
        <v>131</v>
      </c>
      <c r="D6" s="27">
        <v>220</v>
      </c>
      <c r="E6" s="27">
        <v>269</v>
      </c>
    </row>
    <row r="7" spans="2:9" x14ac:dyDescent="0.2">
      <c r="B7" s="48">
        <v>4</v>
      </c>
    </row>
    <row r="8" spans="2:9" x14ac:dyDescent="0.2">
      <c r="B8" s="48">
        <v>5</v>
      </c>
    </row>
    <row r="9" spans="2:9" x14ac:dyDescent="0.2">
      <c r="B9" s="48">
        <v>6</v>
      </c>
    </row>
    <row r="10" spans="2:9" x14ac:dyDescent="0.2">
      <c r="B10" s="48">
        <v>7</v>
      </c>
    </row>
    <row r="11" spans="2:9" x14ac:dyDescent="0.2">
      <c r="B11" s="48">
        <v>8</v>
      </c>
    </row>
    <row r="12" spans="2:9" x14ac:dyDescent="0.2">
      <c r="B12" s="48">
        <v>9</v>
      </c>
    </row>
    <row r="13" spans="2:9" x14ac:dyDescent="0.2">
      <c r="B13" s="48">
        <v>10</v>
      </c>
    </row>
    <row r="14" spans="2:9" x14ac:dyDescent="0.2">
      <c r="B14" s="48">
        <v>11</v>
      </c>
    </row>
    <row r="15" spans="2:9" x14ac:dyDescent="0.2">
      <c r="B15" s="48">
        <v>12</v>
      </c>
    </row>
    <row r="16" spans="2:9" x14ac:dyDescent="0.2">
      <c r="B16" s="48">
        <v>13</v>
      </c>
    </row>
    <row r="17" spans="1:5" x14ac:dyDescent="0.2">
      <c r="B17" s="48">
        <v>14</v>
      </c>
    </row>
    <row r="18" spans="1:5" x14ac:dyDescent="0.2">
      <c r="B18" s="48">
        <v>15</v>
      </c>
    </row>
    <row r="19" spans="1:5" x14ac:dyDescent="0.2">
      <c r="B19" s="48">
        <v>16</v>
      </c>
    </row>
    <row r="20" spans="1:5" x14ac:dyDescent="0.2">
      <c r="B20" s="48">
        <v>17</v>
      </c>
    </row>
    <row r="21" spans="1:5" x14ac:dyDescent="0.2">
      <c r="B21" s="48">
        <v>18</v>
      </c>
    </row>
    <row r="22" spans="1:5" x14ac:dyDescent="0.2">
      <c r="B22" s="48">
        <v>19</v>
      </c>
    </row>
    <row r="23" spans="1:5" x14ac:dyDescent="0.2">
      <c r="B23" s="48">
        <v>20</v>
      </c>
    </row>
    <row r="25" spans="1:5" ht="15" x14ac:dyDescent="0.25">
      <c r="A25" s="31" t="s">
        <v>132</v>
      </c>
      <c r="B25" s="31"/>
      <c r="C25" s="31"/>
      <c r="D25" s="31">
        <f>SUM(D4:D23)</f>
        <v>430</v>
      </c>
      <c r="E25" s="31">
        <f>SUM(E4:E23)</f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INPUTS_Generales</vt:lpstr>
      <vt:lpstr>Gen-Cap</vt:lpstr>
      <vt:lpstr>Datos_Loc_ETs</vt:lpstr>
      <vt:lpstr>Datos_ETs_CAs</vt:lpstr>
      <vt:lpstr>Datos_Loc_CAs</vt:lpstr>
      <vt:lpstr>Analisis Inputs Grales</vt:lpstr>
      <vt:lpstr>Analisis 20Años</vt:lpstr>
      <vt:lpstr>Análisis Generación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2024-01-08T19:33:44Z</dcterms:modified>
</cp:coreProperties>
</file>