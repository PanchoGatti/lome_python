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drawings/drawing16.xml" ContentType="application/vnd.openxmlformats-officedocument.drawing+xml"/>
  <Override PartName="/xl/ctrlProps/ctrlProp15.xml" ContentType="application/vnd.ms-excel.controlproperties+xml"/>
  <Override PartName="/xl/drawings/drawing17.xml" ContentType="application/vnd.openxmlformats-officedocument.drawing+xml"/>
  <Override PartName="/xl/ctrlProps/ctrlProp16.xml" ContentType="application/vnd.ms-excel.controlproperties+xml"/>
  <Override PartName="/xl/drawings/drawing18.xml" ContentType="application/vnd.openxmlformats-officedocument.drawing+xml"/>
  <Override PartName="/xl/ctrlProps/ctrlProp17.xml" ContentType="application/vnd.ms-excel.controlproperties+xml"/>
  <Override PartName="/xl/drawings/drawing19.xml" ContentType="application/vnd.openxmlformats-officedocument.drawing+xml"/>
  <Override PartName="/xl/ctrlProps/ctrlProp18.xml" ContentType="application/vnd.ms-excel.controlproperties+xml"/>
  <Override PartName="/xl/drawings/drawing20.xml" ContentType="application/vnd.openxmlformats-officedocument.drawing+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drawings/drawing24.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25.xml" ContentType="application/vnd.openxmlformats-officedocument.drawing+xml"/>
  <Override PartName="/xl/ctrlProps/ctrlProp22.xml" ContentType="application/vnd.ms-excel.controlproperties+xml"/>
  <Override PartName="/xl/drawings/drawing26.xml" ContentType="application/vnd.openxmlformats-officedocument.drawing+xml"/>
  <Override PartName="/xl/ctrlProps/ctrlProp23.xml" ContentType="application/vnd.ms-excel.controlproperties+xml"/>
  <Override PartName="/xl/drawings/drawing27.xml" ContentType="application/vnd.openxmlformats-officedocument.drawing+xml"/>
  <Override PartName="/xl/ctrlProps/ctrlProp24.xml" ContentType="application/vnd.ms-excel.controlproperties+xml"/>
  <Override PartName="/xl/drawings/drawing28.xml" ContentType="application/vnd.openxmlformats-officedocument.drawing+xml"/>
  <Override PartName="/xl/ctrlProps/ctrlProp25.xml" ContentType="application/vnd.ms-excel.controlproperties+xml"/>
  <Override PartName="/xl/drawings/drawing29.xml" ContentType="application/vnd.openxmlformats-officedocument.drawing+xml"/>
  <Override PartName="/xl/ctrlProps/ctrlProp26.xml" ContentType="application/vnd.ms-excel.controlproperties+xml"/>
  <Override PartName="/xl/drawings/drawing30.xml" ContentType="application/vnd.openxmlformats-officedocument.drawing+xml"/>
  <Override PartName="/xl/ctrlProps/ctrlProp27.xml" ContentType="application/vnd.ms-excel.controlproperties+xml"/>
  <Override PartName="/xl/drawings/drawing31.xml" ContentType="application/vnd.openxmlformats-officedocument.drawing+xml"/>
  <Override PartName="/xl/ctrlProps/ctrlProp28.xml" ContentType="application/vnd.ms-excel.controlproperties+xml"/>
  <Override PartName="/xl/drawings/drawing32.xml" ContentType="application/vnd.openxmlformats-officedocument.drawing+xml"/>
  <Override PartName="/xl/ctrlProps/ctrlProp29.xml" ContentType="application/vnd.ms-excel.controlproperties+xml"/>
  <Override PartName="/xl/drawings/drawing33.xml" ContentType="application/vnd.openxmlformats-officedocument.drawing+xml"/>
  <Override PartName="/xl/ctrlProps/ctrlProp30.xml" ContentType="application/vnd.ms-excel.controlproperties+xml"/>
  <Override PartName="/xl/drawings/drawing34.xml" ContentType="application/vnd.openxmlformats-officedocument.drawing+xml"/>
  <Override PartName="/xl/ctrlProps/ctrlProp31.xml" ContentType="application/vnd.ms-excel.controlproperties+xml"/>
  <Override PartName="/xl/drawings/drawing35.xml" ContentType="application/vnd.openxmlformats-officedocument.drawing+xml"/>
  <Override PartName="/xl/ctrlProps/ctrlProp32.xml" ContentType="application/vnd.ms-excel.controlproperties+xml"/>
  <Override PartName="/xl/drawings/drawing36.xml" ContentType="application/vnd.openxmlformats-officedocument.drawing+xml"/>
  <Override PartName="/xl/ctrlProps/ctrlProp33.xml" ContentType="application/vnd.ms-excel.controlproperties+xml"/>
  <Override PartName="/xl/drawings/drawing37.xml" ContentType="application/vnd.openxmlformats-officedocument.drawing+xml"/>
  <Override PartName="/xl/ctrlProps/ctrlProp34.xml" ContentType="application/vnd.ms-excel.controlproperties+xml"/>
  <Override PartName="/xl/drawings/drawing38.xml" ContentType="application/vnd.openxmlformats-officedocument.drawing+xml"/>
  <Override PartName="/xl/ctrlProps/ctrlProp35.xml" ContentType="application/vnd.ms-excel.controlproperties+xml"/>
  <Override PartName="/xl/drawings/drawing39.xml" ContentType="application/vnd.openxmlformats-officedocument.drawing+xml"/>
  <Override PartName="/xl/ctrlProps/ctrlProp36.xml" ContentType="application/vnd.ms-excel.controlproperties+xml"/>
  <Override PartName="/xl/drawings/drawing40.xml" ContentType="application/vnd.openxmlformats-officedocument.drawing+xml"/>
  <Override PartName="/xl/ctrlProps/ctrlProp37.xml" ContentType="application/vnd.ms-excel.controlproperties+xml"/>
  <Override PartName="/xl/drawings/drawing41.xml" ContentType="application/vnd.openxmlformats-officedocument.drawing+xml"/>
  <Override PartName="/xl/ctrlProps/ctrlProp38.xml" ContentType="application/vnd.ms-excel.controlproperties+xml"/>
  <Override PartName="/xl/drawings/drawing42.xml" ContentType="application/vnd.openxmlformats-officedocument.drawing+xml"/>
  <Override PartName="/xl/ctrlProps/ctrlProp39.xml" ContentType="application/vnd.ms-excel.controlproperties+xml"/>
  <Override PartName="/xl/drawings/drawing43.xml" ContentType="application/vnd.openxmlformats-officedocument.drawing+xml"/>
  <Override PartName="/xl/ctrlProps/ctrlProp40.xml" ContentType="application/vnd.ms-excel.controlproperties+xml"/>
  <Override PartName="/xl/drawings/drawing44.xml" ContentType="application/vnd.openxmlformats-officedocument.drawing+xml"/>
  <Override PartName="/xl/ctrlProps/ctrlProp41.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drawings/drawing47.xml" ContentType="application/vnd.openxmlformats-officedocument.drawing+xml"/>
  <Override PartName="/xl/ctrlProps/ctrlProp42.xml" ContentType="application/vnd.ms-excel.controlproperties+xml"/>
  <Override PartName="/xl/drawings/drawing48.xml" ContentType="application/vnd.openxmlformats-officedocument.drawing+xml"/>
  <Override PartName="/xl/ctrlProps/ctrlProp43.xml" ContentType="application/vnd.ms-excel.controlproperties+xml"/>
  <Override PartName="/xl/drawings/drawing49.xml" ContentType="application/vnd.openxmlformats-officedocument.drawing+xml"/>
  <Override PartName="/xl/ctrlProps/ctrlProp44.xml" ContentType="application/vnd.ms-excel.controlproperties+xml"/>
  <Override PartName="/xl/drawings/drawing50.xml" ContentType="application/vnd.openxmlformats-officedocument.drawing+xml"/>
  <Override PartName="/xl/ctrlProps/ctrlProp45.xml" ContentType="application/vnd.ms-excel.controlproperties+xml"/>
  <Override PartName="/xl/drawings/drawing51.xml" ContentType="application/vnd.openxmlformats-officedocument.drawing+xml"/>
  <Override PartName="/xl/ctrlProps/ctrlProp46.xml" ContentType="application/vnd.ms-excel.controlproperties+xml"/>
  <Override PartName="/xl/drawings/drawing52.xml" ContentType="application/vnd.openxmlformats-officedocument.drawing+xml"/>
  <Override PartName="/xl/ctrlProps/ctrlProp47.xml" ContentType="application/vnd.ms-excel.controlproperties+xml"/>
  <Override PartName="/xl/drawings/drawing53.xml" ContentType="application/vnd.openxmlformats-officedocument.drawing+xml"/>
  <Override PartName="/xl/ctrlProps/ctrlProp48.xml" ContentType="application/vnd.ms-excel.controlproperties+xml"/>
  <Override PartName="/xl/drawings/drawing54.xml" ContentType="application/vnd.openxmlformats-officedocument.drawing+xml"/>
  <Override PartName="/xl/ctrlProps/ctrlProp49.xml" ContentType="application/vnd.ms-excel.controlproperties+xml"/>
  <Override PartName="/xl/drawings/drawing55.xml" ContentType="application/vnd.openxmlformats-officedocument.drawing+xml"/>
  <Override PartName="/xl/ctrlProps/ctrlProp50.xml" ContentType="application/vnd.ms-excel.controlproperties+xml"/>
  <Override PartName="/xl/comments4.xml" ContentType="application/vnd.openxmlformats-officedocument.spreadsheetml.comments+xml"/>
  <Override PartName="/xl/drawings/drawing56.xml" ContentType="application/vnd.openxmlformats-officedocument.drawing+xml"/>
  <Override PartName="/xl/ctrlProps/ctrlProp51.xml" ContentType="application/vnd.ms-excel.controlproperties+xml"/>
  <Override PartName="/xl/drawings/drawing57.xml" ContentType="application/vnd.openxmlformats-officedocument.drawing+xml"/>
  <Override PartName="/xl/ctrlProps/ctrlProp52.xml" ContentType="application/vnd.ms-excel.controlproperties+xml"/>
  <Override PartName="/xl/drawings/drawing58.xml" ContentType="application/vnd.openxmlformats-officedocument.drawing+xml"/>
  <Override PartName="/xl/ctrlProps/ctrlProp53.xml" ContentType="application/vnd.ms-excel.controlproperties+xml"/>
  <Override PartName="/xl/drawings/drawing59.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PC\Desktop\Python\Github\lome_python\"/>
    </mc:Choice>
  </mc:AlternateContent>
  <xr:revisionPtr revIDLastSave="0" documentId="13_ncr:1_{A971743E-ACD7-4A07-A30C-5055106D6717}" xr6:coauthVersionLast="47" xr6:coauthVersionMax="47" xr10:uidLastSave="{00000000-0000-0000-0000-000000000000}"/>
  <bookViews>
    <workbookView xWindow="-120" yWindow="-120" windowWidth="20730" windowHeight="11160" tabRatio="917" firstSheet="6" activeTab="8" xr2:uid="{00000000-000D-0000-FFFF-FFFF00000000}"/>
  </bookViews>
  <sheets>
    <sheet name="Inversion rec-TA" sheetId="93" r:id="rId1"/>
    <sheet name="Costos Operativos Rec-TA" sheetId="94" r:id="rId2"/>
    <sheet name="Evaluacion Economica" sheetId="3" r:id="rId3"/>
    <sheet name="P_Evaluacion Economica" sheetId="48" r:id="rId4"/>
    <sheet name="TA_Evaluacion Economica" sheetId="96" r:id="rId5"/>
    <sheet name="INPUTS" sheetId="134" r:id="rId6"/>
    <sheet name="Datos" sheetId="16" r:id="rId7"/>
    <sheet name="P_Datos" sheetId="47" r:id="rId8"/>
    <sheet name="TA_Datos" sheetId="95" r:id="rId9"/>
    <sheet name="P_Barrenderos" sheetId="49" r:id="rId10"/>
    <sheet name="TR_1" sheetId="123" r:id="rId11"/>
    <sheet name="Mano de Obra" sheetId="133" r:id="rId12"/>
    <sheet name="CONVENIOJULIO-2014" sheetId="128" r:id="rId13"/>
    <sheet name="OF. ESPECIALIZADO" sheetId="129" r:id="rId14"/>
    <sheet name="OFICIAL" sheetId="130" r:id="rId15"/>
    <sheet name="MEDIO OFICIAL" sheetId="131" r:id="rId16"/>
    <sheet name="AYUDANTE" sheetId="132" r:id="rId17"/>
    <sheet name="CoeficientePase" sheetId="127" r:id="rId18"/>
    <sheet name="Costos unitarios ET" sheetId="124" r:id="rId19"/>
    <sheet name="9m3-2T" sheetId="43" r:id="rId20"/>
    <sheet name="9m3-1T" sheetId="44" r:id="rId21"/>
    <sheet name="12m3-2T" sheetId="1" r:id="rId22"/>
    <sheet name="12m3-1T" sheetId="9" r:id="rId23"/>
    <sheet name="15m3-2T" sheetId="25" r:id="rId24"/>
    <sheet name="15m3-1T" sheetId="18" r:id="rId25"/>
    <sheet name="16m3-2T" sheetId="17" r:id="rId26"/>
    <sheet name="16m3-1T" sheetId="23" r:id="rId27"/>
    <sheet name="17m3-2T" sheetId="27" r:id="rId28"/>
    <sheet name="17m3-1T" sheetId="28" r:id="rId29"/>
    <sheet name="18m3-2T" sheetId="13" r:id="rId30"/>
    <sheet name="18m3-1T" sheetId="14" r:id="rId31"/>
    <sheet name="19m3-2T" sheetId="31" r:id="rId32"/>
    <sheet name="19m3-1T" sheetId="32" r:id="rId33"/>
    <sheet name="21m3-2T" sheetId="35" r:id="rId34"/>
    <sheet name="21m3-1T" sheetId="36" r:id="rId35"/>
    <sheet name="24m3-2T" sheetId="10" r:id="rId36"/>
    <sheet name="24m3-1T" sheetId="12" r:id="rId37"/>
    <sheet name="Generación crítica " sheetId="2" r:id="rId38"/>
    <sheet name="Costos 9m3-2T" sheetId="45" r:id="rId39"/>
    <sheet name="Costos 9m3-1T" sheetId="46" r:id="rId40"/>
    <sheet name="Costos 12m3-2T" sheetId="7" r:id="rId41"/>
    <sheet name="Costos 12m3-1T" sheetId="20" r:id="rId42"/>
    <sheet name="Costos 15m3-2T" sheetId="19" r:id="rId43"/>
    <sheet name="Costos 15m3-1T" sheetId="21" r:id="rId44"/>
    <sheet name="Costos 16m3-2T" sheetId="24" r:id="rId45"/>
    <sheet name="Costos 16m3-1T" sheetId="26" r:id="rId46"/>
    <sheet name="Costos 17m3-2T" sheetId="29" r:id="rId47"/>
    <sheet name="Costos 17m3-1T" sheetId="30" r:id="rId48"/>
    <sheet name="Costos 18m3-2T" sheetId="15" r:id="rId49"/>
    <sheet name="Costos 18m3-1T" sheetId="22" r:id="rId50"/>
    <sheet name="Costos 19m3-2T" sheetId="33" r:id="rId51"/>
    <sheet name="Costos 19m3-1T" sheetId="34" r:id="rId52"/>
    <sheet name="Costos 21m3-2T" sheetId="37" r:id="rId53"/>
    <sheet name="Costos 21m3-1T" sheetId="38" r:id="rId54"/>
    <sheet name="Costos 24m3-2T" sheetId="39" r:id="rId55"/>
    <sheet name="Costos 24m3-1T" sheetId="11" r:id="rId56"/>
    <sheet name="Gráficos" sheetId="40" r:id="rId57"/>
    <sheet name="P_6m3-2T" sheetId="50" r:id="rId58"/>
    <sheet name="P_6m3-1T" sheetId="51" r:id="rId59"/>
    <sheet name="P_9m3-2T" sheetId="52" r:id="rId60"/>
    <sheet name="P_9m3-1T" sheetId="53" r:id="rId61"/>
    <sheet name="P_12m3-2T" sheetId="54" r:id="rId62"/>
    <sheet name="P_12m3-1T" sheetId="55" r:id="rId63"/>
    <sheet name="P_15m3-2T" sheetId="56" r:id="rId64"/>
    <sheet name="P_15m3-1T" sheetId="57" r:id="rId65"/>
    <sheet name="P_16m3-2T" sheetId="58" r:id="rId66"/>
    <sheet name="P_16m3-1T" sheetId="59" r:id="rId67"/>
    <sheet name="P_17m3-2T" sheetId="60" r:id="rId68"/>
    <sheet name="P_17m3-1T" sheetId="61" r:id="rId69"/>
    <sheet name="P_18m3-2T" sheetId="62" r:id="rId70"/>
    <sheet name="P_18m3-1T" sheetId="63" r:id="rId71"/>
    <sheet name="P_19m3-2T" sheetId="64" r:id="rId72"/>
    <sheet name="P_19m3-1T" sheetId="65" r:id="rId73"/>
    <sheet name="P_21m3-2T" sheetId="66" r:id="rId74"/>
    <sheet name="P_21m3-1T" sheetId="67" r:id="rId75"/>
    <sheet name="P_24m3-2T" sheetId="68" r:id="rId76"/>
    <sheet name="P_24m3-1T" sheetId="69" r:id="rId77"/>
    <sheet name="P_Generación crítica " sheetId="70" r:id="rId78"/>
    <sheet name="P_Costos 6m3-2T" sheetId="71" r:id="rId79"/>
    <sheet name="P_Costos 6m3-1T" sheetId="72" r:id="rId80"/>
    <sheet name="P_Costos 9m3-2T" sheetId="73" r:id="rId81"/>
    <sheet name="P_Costos 9m3-1T" sheetId="74" r:id="rId82"/>
    <sheet name="P_Costos 12m3-2T" sheetId="75" r:id="rId83"/>
    <sheet name="P_Costos 12m3-1T" sheetId="76" r:id="rId84"/>
    <sheet name="P_Costos 15m3-2T" sheetId="77" r:id="rId85"/>
    <sheet name="P_Costos 15m3-1T" sheetId="78" r:id="rId86"/>
    <sheet name="P_Costos 16m3-2T" sheetId="79" r:id="rId87"/>
    <sheet name="P_Costos 16m3-1T" sheetId="80" r:id="rId88"/>
    <sheet name="P_Costos 17m3-2T" sheetId="81" r:id="rId89"/>
    <sheet name="P_Costos 17m3-1T" sheetId="82" r:id="rId90"/>
    <sheet name="P_Costos 18m3-2T" sheetId="83" r:id="rId91"/>
    <sheet name="P_Costos 18m3-1T" sheetId="84" r:id="rId92"/>
    <sheet name="P_Costos 19m3-2T" sheetId="85" r:id="rId93"/>
    <sheet name="P_Costos 19m3-1T" sheetId="86" r:id="rId94"/>
    <sheet name="P_Costos 21m3-2T" sheetId="87" r:id="rId95"/>
    <sheet name="P_Costos 21m3-1T" sheetId="88" r:id="rId96"/>
    <sheet name="P_Costos 24m3-2T" sheetId="89" r:id="rId97"/>
    <sheet name="P_Costos 24m3-1T" sheetId="90" r:id="rId98"/>
    <sheet name="P_Gráficos" sheetId="92" r:id="rId99"/>
    <sheet name="TA_25m3-2T" sheetId="97" r:id="rId100"/>
    <sheet name="TA_25m3-1T" sheetId="98" r:id="rId101"/>
    <sheet name="TA_30m3-2T" sheetId="99" r:id="rId102"/>
    <sheet name="TA_30m3-1T" sheetId="100" r:id="rId103"/>
    <sheet name="TA_35m3-2T" sheetId="101" r:id="rId104"/>
    <sheet name="TA_35m3-1T" sheetId="102" r:id="rId105"/>
    <sheet name="TA_40m3-2T" sheetId="103" r:id="rId106"/>
    <sheet name="TA_40m3-1T" sheetId="104" r:id="rId107"/>
    <sheet name="TA_45m3-2T" sheetId="105" r:id="rId108"/>
    <sheet name="TA_45m3-1T" sheetId="106" r:id="rId109"/>
    <sheet name="TA_50m3-2T" sheetId="107" r:id="rId110"/>
    <sheet name="TA_50m3-1T" sheetId="108" r:id="rId111"/>
    <sheet name="TA_Costos 25m3-2T" sheetId="109" r:id="rId112"/>
    <sheet name="TA_Costos 25m3-1T" sheetId="110" r:id="rId113"/>
    <sheet name="TA_Costos 30m3-2T" sheetId="111" r:id="rId114"/>
    <sheet name="TA_Costos 30m3-1T" sheetId="112" r:id="rId115"/>
    <sheet name="TA_Costos 35m3-2T" sheetId="113" r:id="rId116"/>
    <sheet name="TA_Costos 35m3-1T" sheetId="114" r:id="rId117"/>
    <sheet name="TA_Costos 40m3-2T" sheetId="115" r:id="rId118"/>
    <sheet name="TA_Costos 40m3-1T" sheetId="116" r:id="rId119"/>
    <sheet name="TA_Costos 45m3-2T" sheetId="117" r:id="rId120"/>
    <sheet name="TA_Costos 45m3-1T" sheetId="118" r:id="rId121"/>
    <sheet name="TA_Costos 50m3-2T" sheetId="119" r:id="rId122"/>
    <sheet name="TA_Costos 50m3-1T" sheetId="120" r:id="rId123"/>
    <sheet name="TA_Gráficos" sheetId="122" r:id="rId124"/>
  </sheets>
  <externalReferences>
    <externalReference r:id="rId125"/>
    <externalReference r:id="rId126"/>
    <externalReference r:id="rId127"/>
    <externalReference r:id="rId128"/>
  </externalReferences>
  <definedNames>
    <definedName name="_Order1" hidden="1">0</definedName>
    <definedName name="A.AP.1">[1]EquipoAgua!$R$19</definedName>
    <definedName name="A.AP.2">[2]EquipoAgua!$R$21</definedName>
    <definedName name="A.CA.1">[1]EquipoAgua!$R$25</definedName>
    <definedName name="A.CR">[1]EquipoAgua!$R$27</definedName>
    <definedName name="A.CV.3">[2]EquipoAgua!$R$30</definedName>
    <definedName name="A.MA.1">[1]EquipoAgua!$R$54</definedName>
    <definedName name="A.men">[1]EquipoAgua!$R$118</definedName>
    <definedName name="A.MN.2">[1]EquipoAgua!$R$69</definedName>
    <definedName name="A.PS.1">[2]EquipoAgua!$R$17</definedName>
    <definedName name="A.re.11">[2]EquipoAgua!$R$90</definedName>
    <definedName name="A.RE.6">[3]EquipoAgua!$R$85</definedName>
    <definedName name="A.RN">[1]EquipoAgua!$R$91</definedName>
    <definedName name="A.RV">[1]EquipoAgua!$R$79</definedName>
    <definedName name="A.SE.2">[1]EquipoAgua!$R$48</definedName>
    <definedName name="A.TA">[1]EquipoAgua!$R$93</definedName>
    <definedName name="A.VB">[2]EquipoAgua!$R$101</definedName>
    <definedName name="ap_patr" localSheetId="20">#REF!</definedName>
    <definedName name="ap_patr" localSheetId="19">#REF!</definedName>
    <definedName name="ap_patr" localSheetId="39">#REF!</definedName>
    <definedName name="ap_patr" localSheetId="38">#REF!</definedName>
    <definedName name="ap_patr" localSheetId="11">#REF!</definedName>
    <definedName name="ap_patr" localSheetId="58">#REF!</definedName>
    <definedName name="ap_patr" localSheetId="57">#REF!</definedName>
    <definedName name="ap_patr" localSheetId="60">#REF!</definedName>
    <definedName name="ap_patr" localSheetId="59">#REF!</definedName>
    <definedName name="ap_patr" localSheetId="79">#REF!</definedName>
    <definedName name="ap_patr" localSheetId="78">#REF!</definedName>
    <definedName name="ap_patr" localSheetId="81">#REF!</definedName>
    <definedName name="ap_patr" localSheetId="80">#REF!</definedName>
    <definedName name="ap_patr" localSheetId="102">#REF!</definedName>
    <definedName name="ap_patr" localSheetId="101">#REF!</definedName>
    <definedName name="ap_patr" localSheetId="104">#REF!</definedName>
    <definedName name="ap_patr" localSheetId="103">#REF!</definedName>
    <definedName name="ap_patr" localSheetId="106">#REF!</definedName>
    <definedName name="ap_patr" localSheetId="105">#REF!</definedName>
    <definedName name="ap_patr" localSheetId="108">#REF!</definedName>
    <definedName name="ap_patr" localSheetId="107">#REF!</definedName>
    <definedName name="ap_patr" localSheetId="110">#REF!</definedName>
    <definedName name="ap_patr" localSheetId="109">#REF!</definedName>
    <definedName name="ap_patr" localSheetId="114">#REF!</definedName>
    <definedName name="ap_patr" localSheetId="113">#REF!</definedName>
    <definedName name="ap_patr" localSheetId="116">#REF!</definedName>
    <definedName name="ap_patr" localSheetId="115">#REF!</definedName>
    <definedName name="ap_patr" localSheetId="118">#REF!</definedName>
    <definedName name="ap_patr" localSheetId="117">#REF!</definedName>
    <definedName name="ap_patr" localSheetId="120">#REF!</definedName>
    <definedName name="ap_patr" localSheetId="119">#REF!</definedName>
    <definedName name="ap_patr" localSheetId="122">#REF!</definedName>
    <definedName name="ap_patr" localSheetId="121">#REF!</definedName>
    <definedName name="ap_patr">#REF!</definedName>
    <definedName name="_xlnm.Print_Area" localSheetId="22">'12m3-1T'!$A$1:$E$73</definedName>
    <definedName name="_xlnm.Print_Area" localSheetId="21">'12m3-2T'!$A$1:$E$73</definedName>
    <definedName name="_xlnm.Print_Area" localSheetId="24">'15m3-1T'!$A$1:$E$73</definedName>
    <definedName name="_xlnm.Print_Area" localSheetId="23">'15m3-2T'!$A$1:$E$73</definedName>
    <definedName name="_xlnm.Print_Area" localSheetId="26">'16m3-1T'!$A$1:$E$73</definedName>
    <definedName name="_xlnm.Print_Area" localSheetId="25">'16m3-2T'!$A$1:$E$73</definedName>
    <definedName name="_xlnm.Print_Area" localSheetId="28">'17m3-1T'!$A$1:$E$73</definedName>
    <definedName name="_xlnm.Print_Area" localSheetId="27">'17m3-2T'!$A$1:$E$73</definedName>
    <definedName name="_xlnm.Print_Area" localSheetId="30">'18m3-1T'!$A$1:$E$73</definedName>
    <definedName name="_xlnm.Print_Area" localSheetId="29">'18m3-2T'!$A$1:$E$73</definedName>
    <definedName name="_xlnm.Print_Area" localSheetId="32">'19m3-1T'!$A$1:$E$73</definedName>
    <definedName name="_xlnm.Print_Area" localSheetId="31">'19m3-2T'!$A$1:$E$73</definedName>
    <definedName name="_xlnm.Print_Area" localSheetId="34">'21m3-1T'!$A$1:$E$73</definedName>
    <definedName name="_xlnm.Print_Area" localSheetId="33">'21m3-2T'!$A$1:$E$73</definedName>
    <definedName name="_xlnm.Print_Area" localSheetId="36">'24m3-1T'!$A$1:$E$73</definedName>
    <definedName name="_xlnm.Print_Area" localSheetId="35">'24m3-2T'!$A$1:$E$73</definedName>
    <definedName name="_xlnm.Print_Area" localSheetId="20">'9m3-1T'!$A$1:$E$73</definedName>
    <definedName name="_xlnm.Print_Area" localSheetId="19">'9m3-2T'!$A$1:$E$73</definedName>
    <definedName name="_xlnm.Print_Area" localSheetId="16">AYUDANTE!$A$1:$I$46</definedName>
    <definedName name="_xlnm.Print_Area" localSheetId="41">'Costos 12m3-1T'!$A$1:$D$55</definedName>
    <definedName name="_xlnm.Print_Area" localSheetId="40">'Costos 12m3-2T'!$A$1:$D$55</definedName>
    <definedName name="_xlnm.Print_Area" localSheetId="43">'Costos 15m3-1T'!$A$1:$D$55</definedName>
    <definedName name="_xlnm.Print_Area" localSheetId="42">'Costos 15m3-2T'!$A$1:$D$55</definedName>
    <definedName name="_xlnm.Print_Area" localSheetId="45">'Costos 16m3-1T'!$A$1:$D$55</definedName>
    <definedName name="_xlnm.Print_Area" localSheetId="44">'Costos 16m3-2T'!$A$1:$D$55</definedName>
    <definedName name="_xlnm.Print_Area" localSheetId="47">'Costos 17m3-1T'!$A$1:$D$55</definedName>
    <definedName name="_xlnm.Print_Area" localSheetId="46">'Costos 17m3-2T'!$A$1:$D$55</definedName>
    <definedName name="_xlnm.Print_Area" localSheetId="49">'Costos 18m3-1T'!$A$1:$D$55</definedName>
    <definedName name="_xlnm.Print_Area" localSheetId="48">'Costos 18m3-2T'!$A$1:$D$55</definedName>
    <definedName name="_xlnm.Print_Area" localSheetId="51">'Costos 19m3-1T'!$A$1:$D$55</definedName>
    <definedName name="_xlnm.Print_Area" localSheetId="50">'Costos 19m3-2T'!$A$1:$D$55</definedName>
    <definedName name="_xlnm.Print_Area" localSheetId="53">'Costos 21m3-1T'!$A$1:$D$55</definedName>
    <definedName name="_xlnm.Print_Area" localSheetId="52">'Costos 21m3-2T'!$A$1:$D$55</definedName>
    <definedName name="_xlnm.Print_Area" localSheetId="55">'Costos 24m3-1T'!$A$1:$D$55</definedName>
    <definedName name="_xlnm.Print_Area" localSheetId="54">'Costos 24m3-2T'!$A$1:$D$55</definedName>
    <definedName name="_xlnm.Print_Area" localSheetId="39">'Costos 9m3-1T'!$A$1:$D$55</definedName>
    <definedName name="_xlnm.Print_Area" localSheetId="38">'Costos 9m3-2T'!$A$1:$D$55</definedName>
    <definedName name="_xlnm.Print_Area" localSheetId="1">'Costos Operativos Rec-TA'!$A$1:$G$49</definedName>
    <definedName name="_xlnm.Print_Area" localSheetId="6">Datos!$A$1:$E$127</definedName>
    <definedName name="_xlnm.Print_Area" localSheetId="2">'Evaluacion Economica'!$A$1:$J$24</definedName>
    <definedName name="_xlnm.Print_Area" localSheetId="0">'Inversion rec-TA'!$B$2:$G$48</definedName>
    <definedName name="_xlnm.Print_Area" localSheetId="11">'Mano de Obra'!$A$3:$H$76</definedName>
    <definedName name="_xlnm.Print_Area" localSheetId="15">'MEDIO OFICIAL'!$A$1:$I$46</definedName>
    <definedName name="_xlnm.Print_Area" localSheetId="13">'OF. ESPECIALIZADO'!$A$1:$I$46</definedName>
    <definedName name="_xlnm.Print_Area" localSheetId="14">OFICIAL!$A$1:$I$46</definedName>
    <definedName name="_xlnm.Print_Area" localSheetId="62">'P_12m3-1T'!$A$1:$E$73</definedName>
    <definedName name="_xlnm.Print_Area" localSheetId="61">'P_12m3-2T'!$A$1:$E$73</definedName>
    <definedName name="_xlnm.Print_Area" localSheetId="64">'P_15m3-1T'!$A$1:$E$73</definedName>
    <definedName name="_xlnm.Print_Area" localSheetId="63">'P_15m3-2T'!$A$1:$E$73</definedName>
    <definedName name="_xlnm.Print_Area" localSheetId="66">'P_16m3-1T'!$A$1:$E$73</definedName>
    <definedName name="_xlnm.Print_Area" localSheetId="65">'P_16m3-2T'!$A$1:$E$73</definedName>
    <definedName name="_xlnm.Print_Area" localSheetId="68">'P_17m3-1T'!$A$1:$E$73</definedName>
    <definedName name="_xlnm.Print_Area" localSheetId="67">'P_17m3-2T'!$A$1:$E$73</definedName>
    <definedName name="_xlnm.Print_Area" localSheetId="70">'P_18m3-1T'!$A$1:$E$73</definedName>
    <definedName name="_xlnm.Print_Area" localSheetId="69">'P_18m3-2T'!$A$1:$E$73</definedName>
    <definedName name="_xlnm.Print_Area" localSheetId="72">'P_19m3-1T'!$A$1:$E$73</definedName>
    <definedName name="_xlnm.Print_Area" localSheetId="71">'P_19m3-2T'!$A$1:$E$73</definedName>
    <definedName name="_xlnm.Print_Area" localSheetId="74">'P_21m3-1T'!$A$1:$E$73</definedName>
    <definedName name="_xlnm.Print_Area" localSheetId="73">'P_21m3-2T'!$A$1:$E$73</definedName>
    <definedName name="_xlnm.Print_Area" localSheetId="76">'P_24m3-1T'!$A$1:$E$73</definedName>
    <definedName name="_xlnm.Print_Area" localSheetId="75">'P_24m3-2T'!$A$1:$E$73</definedName>
    <definedName name="_xlnm.Print_Area" localSheetId="58">'P_6m3-1T'!$A$1:$E$73</definedName>
    <definedName name="_xlnm.Print_Area" localSheetId="57">'P_6m3-2T'!$A$1:$E$73</definedName>
    <definedName name="_xlnm.Print_Area" localSheetId="60">'P_9m3-1T'!$A$1:$E$73</definedName>
    <definedName name="_xlnm.Print_Area" localSheetId="59">'P_9m3-2T'!$A$1:$E$73</definedName>
    <definedName name="_xlnm.Print_Area" localSheetId="9">P_Barrenderos!$B$1:$J$29</definedName>
    <definedName name="_xlnm.Print_Area" localSheetId="83">'P_Costos 12m3-1T'!$A$1:$D$55</definedName>
    <definedName name="_xlnm.Print_Area" localSheetId="82">'P_Costos 12m3-2T'!$A$1:$D$55</definedName>
    <definedName name="_xlnm.Print_Area" localSheetId="85">'P_Costos 15m3-1T'!$A$1:$D$55</definedName>
    <definedName name="_xlnm.Print_Area" localSheetId="84">'P_Costos 15m3-2T'!$A$1:$D$55</definedName>
    <definedName name="_xlnm.Print_Area" localSheetId="87">'P_Costos 16m3-1T'!$A$1:$D$55</definedName>
    <definedName name="_xlnm.Print_Area" localSheetId="86">'P_Costos 16m3-2T'!$A$1:$D$55</definedName>
    <definedName name="_xlnm.Print_Area" localSheetId="89">'P_Costos 17m3-1T'!$A$1:$D$55</definedName>
    <definedName name="_xlnm.Print_Area" localSheetId="88">'P_Costos 17m3-2T'!$A$1:$D$55</definedName>
    <definedName name="_xlnm.Print_Area" localSheetId="91">'P_Costos 18m3-1T'!$A$1:$D$55</definedName>
    <definedName name="_xlnm.Print_Area" localSheetId="90">'P_Costos 18m3-2T'!$A$1:$D$55</definedName>
    <definedName name="_xlnm.Print_Area" localSheetId="93">'P_Costos 19m3-1T'!$A$1:$D$55</definedName>
    <definedName name="_xlnm.Print_Area" localSheetId="92">'P_Costos 19m3-2T'!$A$1:$D$55</definedName>
    <definedName name="_xlnm.Print_Area" localSheetId="95">'P_Costos 21m3-1T'!$A$1:$D$55</definedName>
    <definedName name="_xlnm.Print_Area" localSheetId="94">'P_Costos 21m3-2T'!$A$1:$D$55</definedName>
    <definedName name="_xlnm.Print_Area" localSheetId="97">'P_Costos 24m3-1T'!$A$1:$D$55</definedName>
    <definedName name="_xlnm.Print_Area" localSheetId="96">'P_Costos 24m3-2T'!$A$1:$D$55</definedName>
    <definedName name="_xlnm.Print_Area" localSheetId="79">'P_Costos 6m3-1T'!$A$1:$D$55</definedName>
    <definedName name="_xlnm.Print_Area" localSheetId="78">'P_Costos 6m3-2T'!$A$1:$D$55</definedName>
    <definedName name="_xlnm.Print_Area" localSheetId="81">'P_Costos 9m3-1T'!$A$1:$D$55</definedName>
    <definedName name="_xlnm.Print_Area" localSheetId="80">'P_Costos 9m3-2T'!$A$1:$D$55</definedName>
    <definedName name="_xlnm.Print_Area" localSheetId="7">P_Datos!$A$1:$E$114</definedName>
    <definedName name="_xlnm.Print_Area" localSheetId="3">'P_Evaluacion Economica'!$B$1:$J$27</definedName>
    <definedName name="_xlnm.Print_Area" localSheetId="100">'TA_25m3-1T'!$A$1:$F$55</definedName>
    <definedName name="_xlnm.Print_Area" localSheetId="99">'TA_25m3-2T'!$A$1:$F$55</definedName>
    <definedName name="_xlnm.Print_Area" localSheetId="102">'TA_30m3-1T'!$A$1:$F$55</definedName>
    <definedName name="_xlnm.Print_Area" localSheetId="101">'TA_30m3-2T'!$A$1:$F$55</definedName>
    <definedName name="_xlnm.Print_Area" localSheetId="104">'TA_35m3-1T'!$A$1:$F$55</definedName>
    <definedName name="_xlnm.Print_Area" localSheetId="103">'TA_35m3-2T'!$A$1:$F$55</definedName>
    <definedName name="_xlnm.Print_Area" localSheetId="106">'TA_40m3-1T'!$A$1:$F$55</definedName>
    <definedName name="_xlnm.Print_Area" localSheetId="105">'TA_40m3-2T'!$A$1:$F$55</definedName>
    <definedName name="_xlnm.Print_Area" localSheetId="108">'TA_45m3-1T'!$A$1:$F$55</definedName>
    <definedName name="_xlnm.Print_Area" localSheetId="107">'TA_45m3-2T'!$A$1:$F$55</definedName>
    <definedName name="_xlnm.Print_Area" localSheetId="110">'TA_50m3-1T'!$A$1:$F$55</definedName>
    <definedName name="_xlnm.Print_Area" localSheetId="109">'TA_50m3-2T'!$A$1:$F$55</definedName>
    <definedName name="_xlnm.Print_Area" localSheetId="112">'TA_Costos 25m3-1T'!$A$1:$D$55</definedName>
    <definedName name="_xlnm.Print_Area" localSheetId="111">'TA_Costos 25m3-2T'!$A$1:$D$55</definedName>
    <definedName name="_xlnm.Print_Area" localSheetId="114">'TA_Costos 30m3-1T'!$A$1:$D$55</definedName>
    <definedName name="_xlnm.Print_Area" localSheetId="113">'TA_Costos 30m3-2T'!$A$1:$D$55</definedName>
    <definedName name="_xlnm.Print_Area" localSheetId="116">'TA_Costos 35m3-1T'!$A$1:$D$55</definedName>
    <definedName name="_xlnm.Print_Area" localSheetId="115">'TA_Costos 35m3-2T'!$A$1:$D$55</definedName>
    <definedName name="_xlnm.Print_Area" localSheetId="118">'TA_Costos 40m3-1T'!$A$1:$D$55</definedName>
    <definedName name="_xlnm.Print_Area" localSheetId="117">'TA_Costos 40m3-2T'!$A$1:$D$55</definedName>
    <definedName name="_xlnm.Print_Area" localSheetId="120">'TA_Costos 45m3-1T'!$A$1:$D$55</definedName>
    <definedName name="_xlnm.Print_Area" localSheetId="119">'TA_Costos 45m3-2T'!$A$1:$D$55</definedName>
    <definedName name="_xlnm.Print_Area" localSheetId="122">'TA_Costos 50m3-1T'!$A$1:$D$55</definedName>
    <definedName name="_xlnm.Print_Area" localSheetId="121">'TA_Costos 50m3-2T'!$A$1:$D$55</definedName>
    <definedName name="_xlnm.Print_Area" localSheetId="8">TA_Datos!$A$1:$E$73</definedName>
    <definedName name="_xlnm.Print_Area" localSheetId="4">'TA_Evaluacion Economica'!$A$1:$J$20</definedName>
    <definedName name="_xlnm.Print_Area" localSheetId="10">TR_1!$A$1:$H$184</definedName>
    <definedName name="ay">'[2]M.deO.'!$J$22</definedName>
    <definedName name="c.accpvc200">[1]Material!$I$70</definedName>
    <definedName name="c.accpvc250">[1]Material!$I$72</definedName>
    <definedName name="c.acero">[2]Material!$I$111</definedName>
    <definedName name="c.arena">[1]Material!$I$114</definedName>
    <definedName name="c.cruce160">[1]Material!$I$162</definedName>
    <definedName name="c.crucecentro">[1]Material!$I$161</definedName>
    <definedName name="c.hor250">[2]Material!$I$100</definedName>
    <definedName name="c.hor300">[3]Material!$I$98</definedName>
    <definedName name="c.hpobre">[1]Material!$I$101</definedName>
    <definedName name="c.relleno">[1]Material!$I$103</definedName>
    <definedName name="c.repgran">[2]Material!$I$106</definedName>
    <definedName name="GO">[2]EquipoAgua!$AD$12</definedName>
    <definedName name="H.AP.1">[1]EquipoAgua!$H$19</definedName>
    <definedName name="H.AP.2">[2]EquipoAgua!$H$21</definedName>
    <definedName name="H.CA.1">[1]EquipoAgua!$H$25</definedName>
    <definedName name="H.CP.3">[1]EquipoAgua!$H$41</definedName>
    <definedName name="H.CR">[1]EquipoAgua!$H$27</definedName>
    <definedName name="H.CV.3">[2]EquipoAgua!$H$30</definedName>
    <definedName name="H.MN.2">[1]EquipoAgua!$H$69</definedName>
    <definedName name="H.PS.2">[2]EquipoAgua!$H$18</definedName>
    <definedName name="H.re.11">[2]EquipoAgua!$H$90</definedName>
    <definedName name="H.RE.9">[3]EquipoAgua!$H$88</definedName>
    <definedName name="H.RN">[1]EquipoAgua!$H$91</definedName>
    <definedName name="H.RV">[1]EquipoAgua!$H$79</definedName>
    <definedName name="H.TA">[1]EquipoAgua!$H$93</definedName>
    <definedName name="H.VB">[2]EquipoAgua!$H$101</definedName>
    <definedName name="iva" localSheetId="20">#REF!</definedName>
    <definedName name="iva" localSheetId="19">#REF!</definedName>
    <definedName name="iva" localSheetId="39">#REF!</definedName>
    <definedName name="iva" localSheetId="38">#REF!</definedName>
    <definedName name="iva" localSheetId="11">#REF!</definedName>
    <definedName name="iva" localSheetId="58">#REF!</definedName>
    <definedName name="iva" localSheetId="57">#REF!</definedName>
    <definedName name="iva" localSheetId="60">#REF!</definedName>
    <definedName name="iva" localSheetId="59">#REF!</definedName>
    <definedName name="iva" localSheetId="79">#REF!</definedName>
    <definedName name="iva" localSheetId="78">#REF!</definedName>
    <definedName name="iva" localSheetId="81">#REF!</definedName>
    <definedName name="iva" localSheetId="80">#REF!</definedName>
    <definedName name="iva" localSheetId="102">#REF!</definedName>
    <definedName name="iva" localSheetId="101">#REF!</definedName>
    <definedName name="iva" localSheetId="104">#REF!</definedName>
    <definedName name="iva" localSheetId="103">#REF!</definedName>
    <definedName name="iva" localSheetId="106">#REF!</definedName>
    <definedName name="iva" localSheetId="105">#REF!</definedName>
    <definedName name="iva" localSheetId="108">#REF!</definedName>
    <definedName name="iva" localSheetId="107">#REF!</definedName>
    <definedName name="iva" localSheetId="110">#REF!</definedName>
    <definedName name="iva" localSheetId="109">#REF!</definedName>
    <definedName name="iva" localSheetId="114">#REF!</definedName>
    <definedName name="iva" localSheetId="113">#REF!</definedName>
    <definedName name="iva" localSheetId="116">#REF!</definedName>
    <definedName name="iva" localSheetId="115">#REF!</definedName>
    <definedName name="iva" localSheetId="118">#REF!</definedName>
    <definedName name="iva" localSheetId="117">#REF!</definedName>
    <definedName name="iva" localSheetId="120">#REF!</definedName>
    <definedName name="iva" localSheetId="119">#REF!</definedName>
    <definedName name="iva" localSheetId="122">#REF!</definedName>
    <definedName name="iva" localSheetId="121">#REF!</definedName>
    <definedName name="iva">#REF!</definedName>
    <definedName name="Kc" localSheetId="11">'[4]Bocas de Registro Planta'!#REF!</definedName>
    <definedName name="Kc">'[4]Bocas de Registro Planta'!#REF!</definedName>
    <definedName name="meof">'[2]M.deO.'!$J$21</definedName>
    <definedName name="of">'[2]M.deO.'!$J$20</definedName>
    <definedName name="ofesp">'[2]M.deO.'!$J$19</definedName>
    <definedName name="solver_adj" localSheetId="22" hidden="1">'12m3-1T'!$J$48</definedName>
    <definedName name="solver_adj" localSheetId="21" hidden="1">'12m3-2T'!$J$48</definedName>
    <definedName name="solver_adj" localSheetId="24" hidden="1">'15m3-1T'!$J$48</definedName>
    <definedName name="solver_adj" localSheetId="23" hidden="1">'15m3-2T'!$J$48</definedName>
    <definedName name="solver_adj" localSheetId="26" hidden="1">'16m3-1T'!$J$48</definedName>
    <definedName name="solver_adj" localSheetId="25" hidden="1">'16m3-2T'!$J$48</definedName>
    <definedName name="solver_adj" localSheetId="28" hidden="1">'17m3-1T'!$J$48</definedName>
    <definedName name="solver_adj" localSheetId="27" hidden="1">'17m3-2T'!$J$48</definedName>
    <definedName name="solver_adj" localSheetId="30" hidden="1">'18m3-1T'!$J$48</definedName>
    <definedName name="solver_adj" localSheetId="29" hidden="1">'18m3-2T'!$J$48</definedName>
    <definedName name="solver_adj" localSheetId="32" hidden="1">'19m3-1T'!$J$48</definedName>
    <definedName name="solver_adj" localSheetId="31" hidden="1">'19m3-2T'!$J$48</definedName>
    <definedName name="solver_adj" localSheetId="34" hidden="1">'21m3-1T'!$J$48</definedName>
    <definedName name="solver_adj" localSheetId="33" hidden="1">'21m3-2T'!$J$48</definedName>
    <definedName name="solver_adj" localSheetId="36" hidden="1">'24m3-1T'!$J$48</definedName>
    <definedName name="solver_adj" localSheetId="35" hidden="1">'24m3-2T'!$J$48</definedName>
    <definedName name="solver_adj" localSheetId="20" hidden="1">'9m3-1T'!$J$48</definedName>
    <definedName name="solver_adj" localSheetId="19" hidden="1">'9m3-2T'!$J$48</definedName>
    <definedName name="solver_adj" localSheetId="62" hidden="1">'P_12m3-1T'!$J$48</definedName>
    <definedName name="solver_adj" localSheetId="61" hidden="1">'P_12m3-2T'!$J$48</definedName>
    <definedName name="solver_adj" localSheetId="64" hidden="1">'P_15m3-1T'!$J$48</definedName>
    <definedName name="solver_adj" localSheetId="63" hidden="1">'P_15m3-2T'!$J$48</definedName>
    <definedName name="solver_adj" localSheetId="66" hidden="1">'P_16m3-1T'!$J$48</definedName>
    <definedName name="solver_adj" localSheetId="65" hidden="1">'P_16m3-2T'!$J$48</definedName>
    <definedName name="solver_adj" localSheetId="68" hidden="1">'P_17m3-1T'!$J$48</definedName>
    <definedName name="solver_adj" localSheetId="67" hidden="1">'P_17m3-2T'!$J$48</definedName>
    <definedName name="solver_adj" localSheetId="70" hidden="1">'P_18m3-1T'!$J$48</definedName>
    <definedName name="solver_adj" localSheetId="69" hidden="1">'P_18m3-2T'!$J$48</definedName>
    <definedName name="solver_adj" localSheetId="72" hidden="1">'P_19m3-1T'!$J$48</definedName>
    <definedName name="solver_adj" localSheetId="71" hidden="1">'P_19m3-2T'!$J$48</definedName>
    <definedName name="solver_adj" localSheetId="74" hidden="1">'P_21m3-1T'!$J$48</definedName>
    <definedName name="solver_adj" localSheetId="73" hidden="1">'P_21m3-2T'!$J$48</definedName>
    <definedName name="solver_adj" localSheetId="76" hidden="1">'P_24m3-1T'!$J$48</definedName>
    <definedName name="solver_adj" localSheetId="75" hidden="1">'P_24m3-2T'!$J$48</definedName>
    <definedName name="solver_adj" localSheetId="58" hidden="1">'P_6m3-1T'!$J$48</definedName>
    <definedName name="solver_adj" localSheetId="57" hidden="1">'P_6m3-2T'!$J$48</definedName>
    <definedName name="solver_adj" localSheetId="60" hidden="1">'P_9m3-1T'!$J$48</definedName>
    <definedName name="solver_adj" localSheetId="59" hidden="1">'P_9m3-2T'!$J$48</definedName>
    <definedName name="solver_adj" localSheetId="100" hidden="1">'TA_25m3-1T'!$J$30</definedName>
    <definedName name="solver_adj" localSheetId="99" hidden="1">'TA_25m3-2T'!$J$30</definedName>
    <definedName name="solver_adj" localSheetId="102" hidden="1">'TA_30m3-1T'!$J$30</definedName>
    <definedName name="solver_adj" localSheetId="101" hidden="1">'TA_30m3-2T'!$J$30</definedName>
    <definedName name="solver_adj" localSheetId="104" hidden="1">'TA_35m3-1T'!$J$30</definedName>
    <definedName name="solver_adj" localSheetId="103" hidden="1">'TA_35m3-2T'!$J$30</definedName>
    <definedName name="solver_adj" localSheetId="106" hidden="1">'TA_40m3-1T'!$J$30</definedName>
    <definedName name="solver_adj" localSheetId="105" hidden="1">'TA_40m3-2T'!$J$30</definedName>
    <definedName name="solver_adj" localSheetId="108" hidden="1">'TA_45m3-1T'!$J$30</definedName>
    <definedName name="solver_adj" localSheetId="107" hidden="1">'TA_45m3-2T'!$J$30</definedName>
    <definedName name="solver_adj" localSheetId="110" hidden="1">'TA_50m3-1T'!$J$30</definedName>
    <definedName name="solver_adj" localSheetId="109" hidden="1">'TA_50m3-2T'!$J$30</definedName>
    <definedName name="solver_cvg" localSheetId="22" hidden="1">0.0001</definedName>
    <definedName name="solver_cvg" localSheetId="21" hidden="1">0.0001</definedName>
    <definedName name="solver_cvg" localSheetId="24" hidden="1">0.0001</definedName>
    <definedName name="solver_cvg" localSheetId="23" hidden="1">0.0001</definedName>
    <definedName name="solver_cvg" localSheetId="26" hidden="1">0.0001</definedName>
    <definedName name="solver_cvg" localSheetId="25" hidden="1">0.0001</definedName>
    <definedName name="solver_cvg" localSheetId="28" hidden="1">0.0001</definedName>
    <definedName name="solver_cvg" localSheetId="27" hidden="1">0.0001</definedName>
    <definedName name="solver_cvg" localSheetId="30" hidden="1">0.0001</definedName>
    <definedName name="solver_cvg" localSheetId="29" hidden="1">0.0001</definedName>
    <definedName name="solver_cvg" localSheetId="32" hidden="1">0.0001</definedName>
    <definedName name="solver_cvg" localSheetId="31" hidden="1">0.0001</definedName>
    <definedName name="solver_cvg" localSheetId="34" hidden="1">0.0001</definedName>
    <definedName name="solver_cvg" localSheetId="33" hidden="1">0.0001</definedName>
    <definedName name="solver_cvg" localSheetId="36" hidden="1">0.0001</definedName>
    <definedName name="solver_cvg" localSheetId="35" hidden="1">0.0001</definedName>
    <definedName name="solver_cvg" localSheetId="20" hidden="1">0.0001</definedName>
    <definedName name="solver_cvg" localSheetId="19" hidden="1">0.0001</definedName>
    <definedName name="solver_cvg" localSheetId="62" hidden="1">0.0001</definedName>
    <definedName name="solver_cvg" localSheetId="61" hidden="1">0.0001</definedName>
    <definedName name="solver_cvg" localSheetId="64" hidden="1">0.0001</definedName>
    <definedName name="solver_cvg" localSheetId="63" hidden="1">0.0001</definedName>
    <definedName name="solver_cvg" localSheetId="66" hidden="1">0.0001</definedName>
    <definedName name="solver_cvg" localSheetId="65" hidden="1">0.0001</definedName>
    <definedName name="solver_cvg" localSheetId="68" hidden="1">0.0001</definedName>
    <definedName name="solver_cvg" localSheetId="67" hidden="1">0.0001</definedName>
    <definedName name="solver_cvg" localSheetId="70" hidden="1">0.0001</definedName>
    <definedName name="solver_cvg" localSheetId="69" hidden="1">0.0001</definedName>
    <definedName name="solver_cvg" localSheetId="72" hidden="1">0.0001</definedName>
    <definedName name="solver_cvg" localSheetId="71" hidden="1">0.0001</definedName>
    <definedName name="solver_cvg" localSheetId="74" hidden="1">0.0001</definedName>
    <definedName name="solver_cvg" localSheetId="73" hidden="1">0.0001</definedName>
    <definedName name="solver_cvg" localSheetId="76" hidden="1">0.0001</definedName>
    <definedName name="solver_cvg" localSheetId="75" hidden="1">0.0001</definedName>
    <definedName name="solver_cvg" localSheetId="58" hidden="1">0.0001</definedName>
    <definedName name="solver_cvg" localSheetId="57" hidden="1">0.0001</definedName>
    <definedName name="solver_cvg" localSheetId="60" hidden="1">0.0001</definedName>
    <definedName name="solver_cvg" localSheetId="59" hidden="1">0.0001</definedName>
    <definedName name="solver_cvg" localSheetId="100" hidden="1">0.0001</definedName>
    <definedName name="solver_cvg" localSheetId="99" hidden="1">0.0001</definedName>
    <definedName name="solver_cvg" localSheetId="102" hidden="1">0.0001</definedName>
    <definedName name="solver_cvg" localSheetId="101" hidden="1">0.0001</definedName>
    <definedName name="solver_cvg" localSheetId="104" hidden="1">0.0001</definedName>
    <definedName name="solver_cvg" localSheetId="103" hidden="1">0.0001</definedName>
    <definedName name="solver_cvg" localSheetId="106" hidden="1">0.0001</definedName>
    <definedName name="solver_cvg" localSheetId="105" hidden="1">0.0001</definedName>
    <definedName name="solver_cvg" localSheetId="108" hidden="1">0.0001</definedName>
    <definedName name="solver_cvg" localSheetId="107" hidden="1">0.0001</definedName>
    <definedName name="solver_cvg" localSheetId="110" hidden="1">0.0001</definedName>
    <definedName name="solver_cvg" localSheetId="109" hidden="1">0.0001</definedName>
    <definedName name="solver_drv" localSheetId="22" hidden="1">2</definedName>
    <definedName name="solver_drv" localSheetId="21" hidden="1">2</definedName>
    <definedName name="solver_drv" localSheetId="24" hidden="1">2</definedName>
    <definedName name="solver_drv" localSheetId="23" hidden="1">2</definedName>
    <definedName name="solver_drv" localSheetId="26" hidden="1">2</definedName>
    <definedName name="solver_drv" localSheetId="25" hidden="1">2</definedName>
    <definedName name="solver_drv" localSheetId="28" hidden="1">2</definedName>
    <definedName name="solver_drv" localSheetId="27" hidden="1">2</definedName>
    <definedName name="solver_drv" localSheetId="30" hidden="1">2</definedName>
    <definedName name="solver_drv" localSheetId="29" hidden="1">2</definedName>
    <definedName name="solver_drv" localSheetId="32" hidden="1">2</definedName>
    <definedName name="solver_drv" localSheetId="31" hidden="1">2</definedName>
    <definedName name="solver_drv" localSheetId="34" hidden="1">2</definedName>
    <definedName name="solver_drv" localSheetId="33" hidden="1">2</definedName>
    <definedName name="solver_drv" localSheetId="36" hidden="1">2</definedName>
    <definedName name="solver_drv" localSheetId="35" hidden="1">2</definedName>
    <definedName name="solver_drv" localSheetId="20" hidden="1">2</definedName>
    <definedName name="solver_drv" localSheetId="19" hidden="1">2</definedName>
    <definedName name="solver_drv" localSheetId="62" hidden="1">2</definedName>
    <definedName name="solver_drv" localSheetId="61" hidden="1">2</definedName>
    <definedName name="solver_drv" localSheetId="64" hidden="1">2</definedName>
    <definedName name="solver_drv" localSheetId="63" hidden="1">2</definedName>
    <definedName name="solver_drv" localSheetId="66" hidden="1">2</definedName>
    <definedName name="solver_drv" localSheetId="65" hidden="1">2</definedName>
    <definedName name="solver_drv" localSheetId="68" hidden="1">2</definedName>
    <definedName name="solver_drv" localSheetId="67" hidden="1">2</definedName>
    <definedName name="solver_drv" localSheetId="70" hidden="1">2</definedName>
    <definedName name="solver_drv" localSheetId="69" hidden="1">2</definedName>
    <definedName name="solver_drv" localSheetId="72" hidden="1">2</definedName>
    <definedName name="solver_drv" localSheetId="71" hidden="1">2</definedName>
    <definedName name="solver_drv" localSheetId="74" hidden="1">2</definedName>
    <definedName name="solver_drv" localSheetId="73" hidden="1">2</definedName>
    <definedName name="solver_drv" localSheetId="76" hidden="1">2</definedName>
    <definedName name="solver_drv" localSheetId="75" hidden="1">2</definedName>
    <definedName name="solver_drv" localSheetId="58" hidden="1">2</definedName>
    <definedName name="solver_drv" localSheetId="57" hidden="1">2</definedName>
    <definedName name="solver_drv" localSheetId="60" hidden="1">2</definedName>
    <definedName name="solver_drv" localSheetId="59" hidden="1">2</definedName>
    <definedName name="solver_drv" localSheetId="100" hidden="1">2</definedName>
    <definedName name="solver_drv" localSheetId="99" hidden="1">2</definedName>
    <definedName name="solver_drv" localSheetId="102" hidden="1">2</definedName>
    <definedName name="solver_drv" localSheetId="101" hidden="1">2</definedName>
    <definedName name="solver_drv" localSheetId="104" hidden="1">2</definedName>
    <definedName name="solver_drv" localSheetId="103" hidden="1">2</definedName>
    <definedName name="solver_drv" localSheetId="106" hidden="1">2</definedName>
    <definedName name="solver_drv" localSheetId="105" hidden="1">2</definedName>
    <definedName name="solver_drv" localSheetId="108" hidden="1">2</definedName>
    <definedName name="solver_drv" localSheetId="107" hidden="1">2</definedName>
    <definedName name="solver_drv" localSheetId="110" hidden="1">2</definedName>
    <definedName name="solver_drv" localSheetId="109" hidden="1">2</definedName>
    <definedName name="solver_eng" localSheetId="22" hidden="1">1</definedName>
    <definedName name="solver_eng" localSheetId="21" hidden="1">1</definedName>
    <definedName name="solver_eng" localSheetId="24" hidden="1">1</definedName>
    <definedName name="solver_eng" localSheetId="23" hidden="1">1</definedName>
    <definedName name="solver_eng" localSheetId="26" hidden="1">1</definedName>
    <definedName name="solver_eng" localSheetId="25" hidden="1">1</definedName>
    <definedName name="solver_eng" localSheetId="28" hidden="1">1</definedName>
    <definedName name="solver_eng" localSheetId="27" hidden="1">1</definedName>
    <definedName name="solver_eng" localSheetId="30" hidden="1">1</definedName>
    <definedName name="solver_eng" localSheetId="29" hidden="1">1</definedName>
    <definedName name="solver_eng" localSheetId="32" hidden="1">1</definedName>
    <definedName name="solver_eng" localSheetId="31" hidden="1">1</definedName>
    <definedName name="solver_eng" localSheetId="34" hidden="1">1</definedName>
    <definedName name="solver_eng" localSheetId="33" hidden="1">1</definedName>
    <definedName name="solver_eng" localSheetId="36" hidden="1">1</definedName>
    <definedName name="solver_eng" localSheetId="35" hidden="1">1</definedName>
    <definedName name="solver_eng" localSheetId="20" hidden="1">1</definedName>
    <definedName name="solver_eng" localSheetId="19" hidden="1">1</definedName>
    <definedName name="solver_eng" localSheetId="62" hidden="1">1</definedName>
    <definedName name="solver_eng" localSheetId="61" hidden="1">1</definedName>
    <definedName name="solver_eng" localSheetId="64" hidden="1">1</definedName>
    <definedName name="solver_eng" localSheetId="63" hidden="1">1</definedName>
    <definedName name="solver_eng" localSheetId="66" hidden="1">1</definedName>
    <definedName name="solver_eng" localSheetId="65" hidden="1">1</definedName>
    <definedName name="solver_eng" localSheetId="68" hidden="1">1</definedName>
    <definedName name="solver_eng" localSheetId="67" hidden="1">1</definedName>
    <definedName name="solver_eng" localSheetId="70" hidden="1">1</definedName>
    <definedName name="solver_eng" localSheetId="69" hidden="1">1</definedName>
    <definedName name="solver_eng" localSheetId="72" hidden="1">1</definedName>
    <definedName name="solver_eng" localSheetId="71" hidden="1">1</definedName>
    <definedName name="solver_eng" localSheetId="74" hidden="1">1</definedName>
    <definedName name="solver_eng" localSheetId="73" hidden="1">1</definedName>
    <definedName name="solver_eng" localSheetId="76" hidden="1">1</definedName>
    <definedName name="solver_eng" localSheetId="75" hidden="1">1</definedName>
    <definedName name="solver_eng" localSheetId="58" hidden="1">1</definedName>
    <definedName name="solver_eng" localSheetId="57" hidden="1">1</definedName>
    <definedName name="solver_eng" localSheetId="60" hidden="1">1</definedName>
    <definedName name="solver_eng" localSheetId="59" hidden="1">1</definedName>
    <definedName name="solver_eng" localSheetId="100" hidden="1">1</definedName>
    <definedName name="solver_eng" localSheetId="99" hidden="1">1</definedName>
    <definedName name="solver_eng" localSheetId="102" hidden="1">1</definedName>
    <definedName name="solver_eng" localSheetId="101" hidden="1">1</definedName>
    <definedName name="solver_eng" localSheetId="104" hidden="1">1</definedName>
    <definedName name="solver_eng" localSheetId="103" hidden="1">1</definedName>
    <definedName name="solver_eng" localSheetId="106" hidden="1">1</definedName>
    <definedName name="solver_eng" localSheetId="105" hidden="1">1</definedName>
    <definedName name="solver_eng" localSheetId="108" hidden="1">1</definedName>
    <definedName name="solver_eng" localSheetId="107" hidden="1">1</definedName>
    <definedName name="solver_eng" localSheetId="110" hidden="1">1</definedName>
    <definedName name="solver_eng" localSheetId="109" hidden="1">1</definedName>
    <definedName name="solver_est" localSheetId="22" hidden="1">1</definedName>
    <definedName name="solver_est" localSheetId="21" hidden="1">1</definedName>
    <definedName name="solver_est" localSheetId="24" hidden="1">1</definedName>
    <definedName name="solver_est" localSheetId="23" hidden="1">1</definedName>
    <definedName name="solver_est" localSheetId="26" hidden="1">1</definedName>
    <definedName name="solver_est" localSheetId="25" hidden="1">1</definedName>
    <definedName name="solver_est" localSheetId="28" hidden="1">1</definedName>
    <definedName name="solver_est" localSheetId="27" hidden="1">1</definedName>
    <definedName name="solver_est" localSheetId="30" hidden="1">1</definedName>
    <definedName name="solver_est" localSheetId="29" hidden="1">1</definedName>
    <definedName name="solver_est" localSheetId="32" hidden="1">1</definedName>
    <definedName name="solver_est" localSheetId="31" hidden="1">1</definedName>
    <definedName name="solver_est" localSheetId="34" hidden="1">1</definedName>
    <definedName name="solver_est" localSheetId="33" hidden="1">1</definedName>
    <definedName name="solver_est" localSheetId="36" hidden="1">1</definedName>
    <definedName name="solver_est" localSheetId="35" hidden="1">1</definedName>
    <definedName name="solver_est" localSheetId="20" hidden="1">1</definedName>
    <definedName name="solver_est" localSheetId="19" hidden="1">1</definedName>
    <definedName name="solver_est" localSheetId="62" hidden="1">1</definedName>
    <definedName name="solver_est" localSheetId="61" hidden="1">1</definedName>
    <definedName name="solver_est" localSheetId="64" hidden="1">1</definedName>
    <definedName name="solver_est" localSheetId="63" hidden="1">1</definedName>
    <definedName name="solver_est" localSheetId="66" hidden="1">1</definedName>
    <definedName name="solver_est" localSheetId="65" hidden="1">1</definedName>
    <definedName name="solver_est" localSheetId="68" hidden="1">1</definedName>
    <definedName name="solver_est" localSheetId="67" hidden="1">1</definedName>
    <definedName name="solver_est" localSheetId="70" hidden="1">1</definedName>
    <definedName name="solver_est" localSheetId="69" hidden="1">1</definedName>
    <definedName name="solver_est" localSheetId="72" hidden="1">1</definedName>
    <definedName name="solver_est" localSheetId="71" hidden="1">1</definedName>
    <definedName name="solver_est" localSheetId="74" hidden="1">1</definedName>
    <definedName name="solver_est" localSheetId="73" hidden="1">1</definedName>
    <definedName name="solver_est" localSheetId="76" hidden="1">1</definedName>
    <definedName name="solver_est" localSheetId="75" hidden="1">1</definedName>
    <definedName name="solver_est" localSheetId="58" hidden="1">1</definedName>
    <definedName name="solver_est" localSheetId="57" hidden="1">1</definedName>
    <definedName name="solver_est" localSheetId="60" hidden="1">1</definedName>
    <definedName name="solver_est" localSheetId="59" hidden="1">1</definedName>
    <definedName name="solver_est" localSheetId="100" hidden="1">1</definedName>
    <definedName name="solver_est" localSheetId="99" hidden="1">1</definedName>
    <definedName name="solver_est" localSheetId="102" hidden="1">1</definedName>
    <definedName name="solver_est" localSheetId="101" hidden="1">1</definedName>
    <definedName name="solver_est" localSheetId="104" hidden="1">1</definedName>
    <definedName name="solver_est" localSheetId="103" hidden="1">1</definedName>
    <definedName name="solver_est" localSheetId="106" hidden="1">1</definedName>
    <definedName name="solver_est" localSheetId="105" hidden="1">1</definedName>
    <definedName name="solver_est" localSheetId="108" hidden="1">1</definedName>
    <definedName name="solver_est" localSheetId="107" hidden="1">1</definedName>
    <definedName name="solver_est" localSheetId="110" hidden="1">1</definedName>
    <definedName name="solver_est" localSheetId="109" hidden="1">1</definedName>
    <definedName name="solver_itr" localSheetId="22" hidden="1">2147483647</definedName>
    <definedName name="solver_itr" localSheetId="21" hidden="1">2147483647</definedName>
    <definedName name="solver_itr" localSheetId="24" hidden="1">2147483647</definedName>
    <definedName name="solver_itr" localSheetId="23" hidden="1">2147483647</definedName>
    <definedName name="solver_itr" localSheetId="26" hidden="1">2147483647</definedName>
    <definedName name="solver_itr" localSheetId="25" hidden="1">2147483647</definedName>
    <definedName name="solver_itr" localSheetId="28" hidden="1">2147483647</definedName>
    <definedName name="solver_itr" localSheetId="27" hidden="1">2147483647</definedName>
    <definedName name="solver_itr" localSheetId="30" hidden="1">2147483647</definedName>
    <definedName name="solver_itr" localSheetId="29" hidden="1">2147483647</definedName>
    <definedName name="solver_itr" localSheetId="32" hidden="1">2147483647</definedName>
    <definedName name="solver_itr" localSheetId="31" hidden="1">2147483647</definedName>
    <definedName name="solver_itr" localSheetId="34" hidden="1">2147483647</definedName>
    <definedName name="solver_itr" localSheetId="33" hidden="1">2147483647</definedName>
    <definedName name="solver_itr" localSheetId="36" hidden="1">2147483647</definedName>
    <definedName name="solver_itr" localSheetId="35" hidden="1">2147483647</definedName>
    <definedName name="solver_itr" localSheetId="20" hidden="1">2147483647</definedName>
    <definedName name="solver_itr" localSheetId="19" hidden="1">2147483647</definedName>
    <definedName name="solver_itr" localSheetId="62" hidden="1">2147483647</definedName>
    <definedName name="solver_itr" localSheetId="61" hidden="1">2147483647</definedName>
    <definedName name="solver_itr" localSheetId="64" hidden="1">2147483647</definedName>
    <definedName name="solver_itr" localSheetId="63" hidden="1">2147483647</definedName>
    <definedName name="solver_itr" localSheetId="66" hidden="1">2147483647</definedName>
    <definedName name="solver_itr" localSheetId="65" hidden="1">2147483647</definedName>
    <definedName name="solver_itr" localSheetId="68" hidden="1">2147483647</definedName>
    <definedName name="solver_itr" localSheetId="67" hidden="1">2147483647</definedName>
    <definedName name="solver_itr" localSheetId="70" hidden="1">2147483647</definedName>
    <definedName name="solver_itr" localSheetId="69" hidden="1">2147483647</definedName>
    <definedName name="solver_itr" localSheetId="72" hidden="1">2147483647</definedName>
    <definedName name="solver_itr" localSheetId="71" hidden="1">2147483647</definedName>
    <definedName name="solver_itr" localSheetId="74" hidden="1">2147483647</definedName>
    <definedName name="solver_itr" localSheetId="73" hidden="1">2147483647</definedName>
    <definedName name="solver_itr" localSheetId="76" hidden="1">2147483647</definedName>
    <definedName name="solver_itr" localSheetId="75" hidden="1">2147483647</definedName>
    <definedName name="solver_itr" localSheetId="58" hidden="1">2147483647</definedName>
    <definedName name="solver_itr" localSheetId="57" hidden="1">2147483647</definedName>
    <definedName name="solver_itr" localSheetId="60" hidden="1">2147483647</definedName>
    <definedName name="solver_itr" localSheetId="59" hidden="1">2147483647</definedName>
    <definedName name="solver_itr" localSheetId="100" hidden="1">2147483647</definedName>
    <definedName name="solver_itr" localSheetId="99" hidden="1">2147483647</definedName>
    <definedName name="solver_itr" localSheetId="102" hidden="1">2147483647</definedName>
    <definedName name="solver_itr" localSheetId="101" hidden="1">2147483647</definedName>
    <definedName name="solver_itr" localSheetId="104" hidden="1">2147483647</definedName>
    <definedName name="solver_itr" localSheetId="103" hidden="1">2147483647</definedName>
    <definedName name="solver_itr" localSheetId="106" hidden="1">2147483647</definedName>
    <definedName name="solver_itr" localSheetId="105" hidden="1">2147483647</definedName>
    <definedName name="solver_itr" localSheetId="108" hidden="1">2147483647</definedName>
    <definedName name="solver_itr" localSheetId="107" hidden="1">2147483647</definedName>
    <definedName name="solver_itr" localSheetId="110" hidden="1">2147483647</definedName>
    <definedName name="solver_itr" localSheetId="109" hidden="1">2147483647</definedName>
    <definedName name="solver_lhs0" localSheetId="22" hidden="1">'12m3-1T'!$D$55</definedName>
    <definedName name="solver_lhs0" localSheetId="21" hidden="1">'12m3-2T'!$D$55</definedName>
    <definedName name="solver_lhs0" localSheetId="24" hidden="1">'15m3-1T'!$D$55</definedName>
    <definedName name="solver_lhs0" localSheetId="23" hidden="1">'15m3-2T'!$D$55</definedName>
    <definedName name="solver_lhs0" localSheetId="26" hidden="1">'16m3-1T'!$D$55</definedName>
    <definedName name="solver_lhs0" localSheetId="25" hidden="1">'16m3-2T'!$D$55</definedName>
    <definedName name="solver_lhs0" localSheetId="28" hidden="1">'17m3-1T'!$D$55</definedName>
    <definedName name="solver_lhs0" localSheetId="27" hidden="1">'17m3-2T'!$D$55</definedName>
    <definedName name="solver_lhs0" localSheetId="30" hidden="1">'18m3-1T'!$D$55</definedName>
    <definedName name="solver_lhs0" localSheetId="29" hidden="1">'18m3-2T'!$D$55</definedName>
    <definedName name="solver_lhs0" localSheetId="32" hidden="1">'19m3-1T'!$D$55</definedName>
    <definedName name="solver_lhs0" localSheetId="31" hidden="1">'19m3-2T'!$D$55</definedName>
    <definedName name="solver_lhs0" localSheetId="34" hidden="1">'21m3-1T'!$D$55</definedName>
    <definedName name="solver_lhs0" localSheetId="33" hidden="1">'21m3-2T'!$D$55</definedName>
    <definedName name="solver_lhs0" localSheetId="36" hidden="1">'24m3-1T'!$D$55</definedName>
    <definedName name="solver_lhs0" localSheetId="35" hidden="1">'24m3-2T'!$D$55</definedName>
    <definedName name="solver_lhs0" localSheetId="20" hidden="1">'9m3-1T'!$D$55</definedName>
    <definedName name="solver_lhs0" localSheetId="19" hidden="1">'9m3-2T'!$D$55</definedName>
    <definedName name="solver_lhs0" localSheetId="62" hidden="1">'P_12m3-1T'!$D$55</definedName>
    <definedName name="solver_lhs0" localSheetId="61" hidden="1">'P_12m3-2T'!$D$55</definedName>
    <definedName name="solver_lhs0" localSheetId="64" hidden="1">'P_15m3-1T'!$D$55</definedName>
    <definedName name="solver_lhs0" localSheetId="63" hidden="1">'P_15m3-2T'!$D$55</definedName>
    <definedName name="solver_lhs0" localSheetId="66" hidden="1">'P_16m3-1T'!$D$55</definedName>
    <definedName name="solver_lhs0" localSheetId="65" hidden="1">'P_16m3-2T'!$D$55</definedName>
    <definedName name="solver_lhs0" localSheetId="68" hidden="1">'P_17m3-1T'!$D$55</definedName>
    <definedName name="solver_lhs0" localSheetId="67" hidden="1">'P_17m3-2T'!$D$55</definedName>
    <definedName name="solver_lhs0" localSheetId="70" hidden="1">'P_18m3-1T'!$D$55</definedName>
    <definedName name="solver_lhs0" localSheetId="69" hidden="1">'P_18m3-2T'!$D$55</definedName>
    <definedName name="solver_lhs0" localSheetId="72" hidden="1">'P_19m3-1T'!$D$55</definedName>
    <definedName name="solver_lhs0" localSheetId="71" hidden="1">'P_19m3-2T'!$D$55</definedName>
    <definedName name="solver_lhs0" localSheetId="74" hidden="1">'P_21m3-1T'!$D$55</definedName>
    <definedName name="solver_lhs0" localSheetId="73" hidden="1">'P_21m3-2T'!$D$55</definedName>
    <definedName name="solver_lhs0" localSheetId="76" hidden="1">'P_24m3-1T'!$D$55</definedName>
    <definedName name="solver_lhs0" localSheetId="75" hidden="1">'P_24m3-2T'!$D$55</definedName>
    <definedName name="solver_lhs0" localSheetId="58" hidden="1">'P_6m3-1T'!$D$55</definedName>
    <definedName name="solver_lhs0" localSheetId="57" hidden="1">'P_6m3-2T'!$D$55</definedName>
    <definedName name="solver_lhs0" localSheetId="60" hidden="1">'P_9m3-1T'!$D$55</definedName>
    <definedName name="solver_lhs0" localSheetId="59" hidden="1">'P_9m3-2T'!$D$55</definedName>
    <definedName name="solver_lhs0" localSheetId="100" hidden="1">'TA_25m3-1T'!$D$37</definedName>
    <definedName name="solver_lhs0" localSheetId="99" hidden="1">'TA_25m3-2T'!$D$37</definedName>
    <definedName name="solver_lhs0" localSheetId="102" hidden="1">'TA_30m3-1T'!$D$37</definedName>
    <definedName name="solver_lhs0" localSheetId="101" hidden="1">'TA_30m3-2T'!$D$37</definedName>
    <definedName name="solver_lhs0" localSheetId="104" hidden="1">'TA_35m3-1T'!$D$37</definedName>
    <definedName name="solver_lhs0" localSheetId="103" hidden="1">'TA_35m3-2T'!$D$37</definedName>
    <definedName name="solver_lhs0" localSheetId="106" hidden="1">'TA_40m3-1T'!$D$37</definedName>
    <definedName name="solver_lhs0" localSheetId="105" hidden="1">'TA_40m3-2T'!$D$37</definedName>
    <definedName name="solver_lhs0" localSheetId="108" hidden="1">'TA_45m3-1T'!$D$37</definedName>
    <definedName name="solver_lhs0" localSheetId="107" hidden="1">'TA_45m3-2T'!$D$37</definedName>
    <definedName name="solver_lhs0" localSheetId="110" hidden="1">'TA_50m3-1T'!$D$37</definedName>
    <definedName name="solver_lhs0" localSheetId="109" hidden="1">'TA_50m3-2T'!$D$37</definedName>
    <definedName name="solver_lhs1" localSheetId="22" hidden="1">'12m3-1T'!$D$54</definedName>
    <definedName name="solver_lhs1" localSheetId="21" hidden="1">'12m3-2T'!$D$55</definedName>
    <definedName name="solver_lhs1" localSheetId="24" hidden="1">'15m3-1T'!$D$54</definedName>
    <definedName name="solver_lhs1" localSheetId="23" hidden="1">'15m3-2T'!$D$55</definedName>
    <definedName name="solver_lhs1" localSheetId="26" hidden="1">'16m3-1T'!$D$54</definedName>
    <definedName name="solver_lhs1" localSheetId="25" hidden="1">'16m3-2T'!$D$55</definedName>
    <definedName name="solver_lhs1" localSheetId="28" hidden="1">'17m3-1T'!$D$54</definedName>
    <definedName name="solver_lhs1" localSheetId="27" hidden="1">'17m3-2T'!$D$55</definedName>
    <definedName name="solver_lhs1" localSheetId="30" hidden="1">'18m3-1T'!$D$54</definedName>
    <definedName name="solver_lhs1" localSheetId="29" hidden="1">'18m3-2T'!$D$55</definedName>
    <definedName name="solver_lhs1" localSheetId="32" hidden="1">'19m3-1T'!$D$54</definedName>
    <definedName name="solver_lhs1" localSheetId="31" hidden="1">'19m3-2T'!$D$55</definedName>
    <definedName name="solver_lhs1" localSheetId="34" hidden="1">'21m3-1T'!$D$54</definedName>
    <definedName name="solver_lhs1" localSheetId="33" hidden="1">'21m3-2T'!$D$55</definedName>
    <definedName name="solver_lhs1" localSheetId="36" hidden="1">'24m3-1T'!$D$61</definedName>
    <definedName name="solver_lhs1" localSheetId="35" hidden="1">'24m3-2T'!$D$55</definedName>
    <definedName name="solver_lhs1" localSheetId="20" hidden="1">'9m3-1T'!$D$54</definedName>
    <definedName name="solver_lhs1" localSheetId="19" hidden="1">'9m3-2T'!$D$55</definedName>
    <definedName name="solver_lhs1" localSheetId="62" hidden="1">'P_12m3-1T'!$D$54</definedName>
    <definedName name="solver_lhs1" localSheetId="61" hidden="1">'P_12m3-2T'!$D$55</definedName>
    <definedName name="solver_lhs1" localSheetId="64" hidden="1">'P_15m3-1T'!$D$54</definedName>
    <definedName name="solver_lhs1" localSheetId="63" hidden="1">'P_15m3-2T'!$D$55</definedName>
    <definedName name="solver_lhs1" localSheetId="66" hidden="1">'P_16m3-1T'!$D$54</definedName>
    <definedName name="solver_lhs1" localSheetId="65" hidden="1">'P_16m3-2T'!$D$55</definedName>
    <definedName name="solver_lhs1" localSheetId="68" hidden="1">'P_17m3-1T'!$D$54</definedName>
    <definedName name="solver_lhs1" localSheetId="67" hidden="1">'P_17m3-2T'!$D$55</definedName>
    <definedName name="solver_lhs1" localSheetId="70" hidden="1">'P_18m3-1T'!$D$54</definedName>
    <definedName name="solver_lhs1" localSheetId="69" hidden="1">'P_18m3-2T'!$D$55</definedName>
    <definedName name="solver_lhs1" localSheetId="72" hidden="1">'P_19m3-1T'!$D$54</definedName>
    <definedName name="solver_lhs1" localSheetId="71" hidden="1">'P_19m3-2T'!$D$55</definedName>
    <definedName name="solver_lhs1" localSheetId="74" hidden="1">'P_21m3-1T'!$D$54</definedName>
    <definedName name="solver_lhs1" localSheetId="73" hidden="1">'P_21m3-2T'!$D$55</definedName>
    <definedName name="solver_lhs1" localSheetId="76" hidden="1">'P_24m3-1T'!$D$61</definedName>
    <definedName name="solver_lhs1" localSheetId="75" hidden="1">'P_24m3-2T'!$D$55</definedName>
    <definedName name="solver_lhs1" localSheetId="58" hidden="1">'P_6m3-1T'!$D$54</definedName>
    <definedName name="solver_lhs1" localSheetId="57" hidden="1">'P_6m3-2T'!$D$55</definedName>
    <definedName name="solver_lhs1" localSheetId="60" hidden="1">'P_9m3-1T'!$D$54</definedName>
    <definedName name="solver_lhs1" localSheetId="59" hidden="1">'P_9m3-2T'!$D$55</definedName>
    <definedName name="solver_lhs1" localSheetId="100" hidden="1">'TA_25m3-1T'!$D$43</definedName>
    <definedName name="solver_lhs1" localSheetId="99" hidden="1">'TA_25m3-2T'!$D$37</definedName>
    <definedName name="solver_lhs1" localSheetId="102" hidden="1">'TA_30m3-1T'!$D$43</definedName>
    <definedName name="solver_lhs1" localSheetId="101" hidden="1">'TA_30m3-2T'!$D$37</definedName>
    <definedName name="solver_lhs1" localSheetId="104" hidden="1">'TA_35m3-1T'!$D$43</definedName>
    <definedName name="solver_lhs1" localSheetId="103" hidden="1">'TA_35m3-2T'!$D$37</definedName>
    <definedName name="solver_lhs1" localSheetId="106" hidden="1">'TA_40m3-1T'!$D$43</definedName>
    <definedName name="solver_lhs1" localSheetId="105" hidden="1">'TA_40m3-2T'!$D$37</definedName>
    <definedName name="solver_lhs1" localSheetId="108" hidden="1">'TA_45m3-1T'!$D$43</definedName>
    <definedName name="solver_lhs1" localSheetId="107" hidden="1">'TA_45m3-2T'!$D$37</definedName>
    <definedName name="solver_lhs1" localSheetId="110" hidden="1">'TA_50m3-1T'!$D$43</definedName>
    <definedName name="solver_lhs1" localSheetId="109" hidden="1">'TA_50m3-2T'!$D$37</definedName>
    <definedName name="solver_lhs2" localSheetId="22" hidden="1">'12m3-1T'!$D$66</definedName>
    <definedName name="solver_lhs2" localSheetId="21" hidden="1">'12m3-2T'!$D$66</definedName>
    <definedName name="solver_lhs2" localSheetId="24" hidden="1">'15m3-1T'!$D$66</definedName>
    <definedName name="solver_lhs2" localSheetId="23" hidden="1">'15m3-2T'!$D$66</definedName>
    <definedName name="solver_lhs2" localSheetId="26" hidden="1">'16m3-1T'!$D$66</definedName>
    <definedName name="solver_lhs2" localSheetId="25" hidden="1">'16m3-2T'!$D$66</definedName>
    <definedName name="solver_lhs2" localSheetId="28" hidden="1">'17m3-1T'!$D$66</definedName>
    <definedName name="solver_lhs2" localSheetId="27" hidden="1">'17m3-2T'!$D$66</definedName>
    <definedName name="solver_lhs2" localSheetId="30" hidden="1">'18m3-1T'!$D$66</definedName>
    <definedName name="solver_lhs2" localSheetId="29" hidden="1">'18m3-2T'!$D$66</definedName>
    <definedName name="solver_lhs2" localSheetId="32" hidden="1">'19m3-1T'!$D$66</definedName>
    <definedName name="solver_lhs2" localSheetId="31" hidden="1">'19m3-2T'!$D$66</definedName>
    <definedName name="solver_lhs2" localSheetId="34" hidden="1">'21m3-1T'!$D$66</definedName>
    <definedName name="solver_lhs2" localSheetId="33" hidden="1">'21m3-2T'!$D$66</definedName>
    <definedName name="solver_lhs2" localSheetId="36" hidden="1">'24m3-1T'!$D$66</definedName>
    <definedName name="solver_lhs2" localSheetId="35" hidden="1">'24m3-2T'!$D$66</definedName>
    <definedName name="solver_lhs2" localSheetId="20" hidden="1">'9m3-1T'!$D$66</definedName>
    <definedName name="solver_lhs2" localSheetId="19" hidden="1">'9m3-2T'!$D$66</definedName>
    <definedName name="solver_lhs2" localSheetId="62" hidden="1">'P_12m3-1T'!$D$66</definedName>
    <definedName name="solver_lhs2" localSheetId="61" hidden="1">'P_12m3-2T'!$D$66</definedName>
    <definedName name="solver_lhs2" localSheetId="64" hidden="1">'P_15m3-1T'!$D$66</definedName>
    <definedName name="solver_lhs2" localSheetId="63" hidden="1">'P_15m3-2T'!$D$66</definedName>
    <definedName name="solver_lhs2" localSheetId="66" hidden="1">'P_16m3-1T'!$D$66</definedName>
    <definedName name="solver_lhs2" localSheetId="65" hidden="1">'P_16m3-2T'!$D$66</definedName>
    <definedName name="solver_lhs2" localSheetId="68" hidden="1">'P_17m3-1T'!$D$66</definedName>
    <definedName name="solver_lhs2" localSheetId="67" hidden="1">'P_17m3-2T'!$D$66</definedName>
    <definedName name="solver_lhs2" localSheetId="70" hidden="1">'P_18m3-1T'!$D$66</definedName>
    <definedName name="solver_lhs2" localSheetId="69" hidden="1">'P_18m3-2T'!$D$66</definedName>
    <definedName name="solver_lhs2" localSheetId="72" hidden="1">'P_19m3-1T'!$D$66</definedName>
    <definedName name="solver_lhs2" localSheetId="71" hidden="1">'P_19m3-2T'!$D$66</definedName>
    <definedName name="solver_lhs2" localSheetId="74" hidden="1">'P_21m3-1T'!$D$66</definedName>
    <definedName name="solver_lhs2" localSheetId="73" hidden="1">'P_21m3-2T'!$D$66</definedName>
    <definedName name="solver_lhs2" localSheetId="76" hidden="1">'P_24m3-1T'!$D$66</definedName>
    <definedName name="solver_lhs2" localSheetId="75" hidden="1">'P_24m3-2T'!$D$66</definedName>
    <definedName name="solver_lhs2" localSheetId="58" hidden="1">'P_6m3-1T'!$D$66</definedName>
    <definedName name="solver_lhs2" localSheetId="57" hidden="1">'P_6m3-2T'!$D$66</definedName>
    <definedName name="solver_lhs2" localSheetId="60" hidden="1">'P_9m3-1T'!$D$66</definedName>
    <definedName name="solver_lhs2" localSheetId="59" hidden="1">'P_9m3-2T'!$D$66</definedName>
    <definedName name="solver_lhs2" localSheetId="100" hidden="1">'TA_25m3-1T'!$D$48</definedName>
    <definedName name="solver_lhs2" localSheetId="99" hidden="1">'TA_25m3-2T'!$D$48</definedName>
    <definedName name="solver_lhs2" localSheetId="102" hidden="1">'TA_30m3-1T'!$D$48</definedName>
    <definedName name="solver_lhs2" localSheetId="101" hidden="1">'TA_30m3-2T'!$D$48</definedName>
    <definedName name="solver_lhs2" localSheetId="104" hidden="1">'TA_35m3-1T'!$D$48</definedName>
    <definedName name="solver_lhs2" localSheetId="103" hidden="1">'TA_35m3-2T'!$D$48</definedName>
    <definedName name="solver_lhs2" localSheetId="106" hidden="1">'TA_40m3-1T'!$D$48</definedName>
    <definedName name="solver_lhs2" localSheetId="105" hidden="1">'TA_40m3-2T'!$D$48</definedName>
    <definedName name="solver_lhs2" localSheetId="108" hidden="1">'TA_45m3-1T'!$D$48</definedName>
    <definedName name="solver_lhs2" localSheetId="107" hidden="1">'TA_45m3-2T'!$D$48</definedName>
    <definedName name="solver_lhs2" localSheetId="110" hidden="1">'TA_50m3-1T'!$D$48</definedName>
    <definedName name="solver_lhs2" localSheetId="109" hidden="1">'TA_50m3-2T'!$D$48</definedName>
    <definedName name="solver_lin" localSheetId="22" hidden="1">2</definedName>
    <definedName name="solver_lin" localSheetId="21" hidden="1">2</definedName>
    <definedName name="solver_lin" localSheetId="24" hidden="1">2</definedName>
    <definedName name="solver_lin" localSheetId="23" hidden="1">2</definedName>
    <definedName name="solver_lin" localSheetId="26" hidden="1">2</definedName>
    <definedName name="solver_lin" localSheetId="25" hidden="1">2</definedName>
    <definedName name="solver_lin" localSheetId="28" hidden="1">2</definedName>
    <definedName name="solver_lin" localSheetId="27" hidden="1">2</definedName>
    <definedName name="solver_lin" localSheetId="30" hidden="1">2</definedName>
    <definedName name="solver_lin" localSheetId="29" hidden="1">2</definedName>
    <definedName name="solver_lin" localSheetId="32" hidden="1">2</definedName>
    <definedName name="solver_lin" localSheetId="31" hidden="1">2</definedName>
    <definedName name="solver_lin" localSheetId="34" hidden="1">2</definedName>
    <definedName name="solver_lin" localSheetId="33" hidden="1">2</definedName>
    <definedName name="solver_lin" localSheetId="36" hidden="1">2</definedName>
    <definedName name="solver_lin" localSheetId="35" hidden="1">2</definedName>
    <definedName name="solver_lin" localSheetId="20" hidden="1">2</definedName>
    <definedName name="solver_lin" localSheetId="19" hidden="1">2</definedName>
    <definedName name="solver_lin" localSheetId="62" hidden="1">2</definedName>
    <definedName name="solver_lin" localSheetId="61" hidden="1">2</definedName>
    <definedName name="solver_lin" localSheetId="64" hidden="1">2</definedName>
    <definedName name="solver_lin" localSheetId="63" hidden="1">2</definedName>
    <definedName name="solver_lin" localSheetId="66" hidden="1">2</definedName>
    <definedName name="solver_lin" localSheetId="65" hidden="1">2</definedName>
    <definedName name="solver_lin" localSheetId="68" hidden="1">2</definedName>
    <definedName name="solver_lin" localSheetId="67" hidden="1">2</definedName>
    <definedName name="solver_lin" localSheetId="70" hidden="1">2</definedName>
    <definedName name="solver_lin" localSheetId="69" hidden="1">2</definedName>
    <definedName name="solver_lin" localSheetId="72" hidden="1">2</definedName>
    <definedName name="solver_lin" localSheetId="71" hidden="1">2</definedName>
    <definedName name="solver_lin" localSheetId="74" hidden="1">2</definedName>
    <definedName name="solver_lin" localSheetId="73" hidden="1">2</definedName>
    <definedName name="solver_lin" localSheetId="76" hidden="1">2</definedName>
    <definedName name="solver_lin" localSheetId="75" hidden="1">2</definedName>
    <definedName name="solver_lin" localSheetId="58" hidden="1">2</definedName>
    <definedName name="solver_lin" localSheetId="57" hidden="1">2</definedName>
    <definedName name="solver_lin" localSheetId="60" hidden="1">2</definedName>
    <definedName name="solver_lin" localSheetId="59" hidden="1">2</definedName>
    <definedName name="solver_lin" localSheetId="100" hidden="1">2</definedName>
    <definedName name="solver_lin" localSheetId="99" hidden="1">2</definedName>
    <definedName name="solver_lin" localSheetId="102" hidden="1">2</definedName>
    <definedName name="solver_lin" localSheetId="101" hidden="1">2</definedName>
    <definedName name="solver_lin" localSheetId="104" hidden="1">2</definedName>
    <definedName name="solver_lin" localSheetId="103" hidden="1">2</definedName>
    <definedName name="solver_lin" localSheetId="106" hidden="1">2</definedName>
    <definedName name="solver_lin" localSheetId="105" hidden="1">2</definedName>
    <definedName name="solver_lin" localSheetId="108" hidden="1">2</definedName>
    <definedName name="solver_lin" localSheetId="107" hidden="1">2</definedName>
    <definedName name="solver_lin" localSheetId="110" hidden="1">2</definedName>
    <definedName name="solver_lin" localSheetId="109" hidden="1">2</definedName>
    <definedName name="solver_mip" localSheetId="22" hidden="1">2147483647</definedName>
    <definedName name="solver_mip" localSheetId="21" hidden="1">2147483647</definedName>
    <definedName name="solver_mip" localSheetId="24" hidden="1">2147483647</definedName>
    <definedName name="solver_mip" localSheetId="23" hidden="1">2147483647</definedName>
    <definedName name="solver_mip" localSheetId="26" hidden="1">2147483647</definedName>
    <definedName name="solver_mip" localSheetId="25" hidden="1">2147483647</definedName>
    <definedName name="solver_mip" localSheetId="28" hidden="1">2147483647</definedName>
    <definedName name="solver_mip" localSheetId="27" hidden="1">2147483647</definedName>
    <definedName name="solver_mip" localSheetId="30" hidden="1">2147483647</definedName>
    <definedName name="solver_mip" localSheetId="29" hidden="1">2147483647</definedName>
    <definedName name="solver_mip" localSheetId="32" hidden="1">2147483647</definedName>
    <definedName name="solver_mip" localSheetId="31" hidden="1">2147483647</definedName>
    <definedName name="solver_mip" localSheetId="34" hidden="1">2147483647</definedName>
    <definedName name="solver_mip" localSheetId="33" hidden="1">2147483647</definedName>
    <definedName name="solver_mip" localSheetId="36" hidden="1">2147483647</definedName>
    <definedName name="solver_mip" localSheetId="35" hidden="1">2147483647</definedName>
    <definedName name="solver_mip" localSheetId="20" hidden="1">2147483647</definedName>
    <definedName name="solver_mip" localSheetId="19" hidden="1">2147483647</definedName>
    <definedName name="solver_mip" localSheetId="62" hidden="1">2147483647</definedName>
    <definedName name="solver_mip" localSheetId="61" hidden="1">2147483647</definedName>
    <definedName name="solver_mip" localSheetId="64" hidden="1">2147483647</definedName>
    <definedName name="solver_mip" localSheetId="63" hidden="1">2147483647</definedName>
    <definedName name="solver_mip" localSheetId="66" hidden="1">2147483647</definedName>
    <definedName name="solver_mip" localSheetId="65" hidden="1">2147483647</definedName>
    <definedName name="solver_mip" localSheetId="68" hidden="1">2147483647</definedName>
    <definedName name="solver_mip" localSheetId="67" hidden="1">2147483647</definedName>
    <definedName name="solver_mip" localSheetId="70" hidden="1">2147483647</definedName>
    <definedName name="solver_mip" localSheetId="69" hidden="1">2147483647</definedName>
    <definedName name="solver_mip" localSheetId="72" hidden="1">2147483647</definedName>
    <definedName name="solver_mip" localSheetId="71" hidden="1">2147483647</definedName>
    <definedName name="solver_mip" localSheetId="74" hidden="1">2147483647</definedName>
    <definedName name="solver_mip" localSheetId="73" hidden="1">2147483647</definedName>
    <definedName name="solver_mip" localSheetId="76" hidden="1">2147483647</definedName>
    <definedName name="solver_mip" localSheetId="75" hidden="1">2147483647</definedName>
    <definedName name="solver_mip" localSheetId="58" hidden="1">2147483647</definedName>
    <definedName name="solver_mip" localSheetId="57" hidden="1">2147483647</definedName>
    <definedName name="solver_mip" localSheetId="60" hidden="1">2147483647</definedName>
    <definedName name="solver_mip" localSheetId="59" hidden="1">2147483647</definedName>
    <definedName name="solver_mip" localSheetId="100" hidden="1">2147483647</definedName>
    <definedName name="solver_mip" localSheetId="99" hidden="1">2147483647</definedName>
    <definedName name="solver_mip" localSheetId="102" hidden="1">2147483647</definedName>
    <definedName name="solver_mip" localSheetId="101" hidden="1">2147483647</definedName>
    <definedName name="solver_mip" localSheetId="104" hidden="1">2147483647</definedName>
    <definedName name="solver_mip" localSheetId="103" hidden="1">2147483647</definedName>
    <definedName name="solver_mip" localSheetId="106" hidden="1">2147483647</definedName>
    <definedName name="solver_mip" localSheetId="105" hidden="1">2147483647</definedName>
    <definedName name="solver_mip" localSheetId="108" hidden="1">2147483647</definedName>
    <definedName name="solver_mip" localSheetId="107" hidden="1">2147483647</definedName>
    <definedName name="solver_mip" localSheetId="110" hidden="1">2147483647</definedName>
    <definedName name="solver_mip" localSheetId="109" hidden="1">2147483647</definedName>
    <definedName name="solver_mni" localSheetId="22" hidden="1">30</definedName>
    <definedName name="solver_mni" localSheetId="21" hidden="1">30</definedName>
    <definedName name="solver_mni" localSheetId="24" hidden="1">30</definedName>
    <definedName name="solver_mni" localSheetId="23" hidden="1">30</definedName>
    <definedName name="solver_mni" localSheetId="26" hidden="1">30</definedName>
    <definedName name="solver_mni" localSheetId="25" hidden="1">30</definedName>
    <definedName name="solver_mni" localSheetId="28" hidden="1">30</definedName>
    <definedName name="solver_mni" localSheetId="27" hidden="1">30</definedName>
    <definedName name="solver_mni" localSheetId="30" hidden="1">30</definedName>
    <definedName name="solver_mni" localSheetId="29" hidden="1">30</definedName>
    <definedName name="solver_mni" localSheetId="32" hidden="1">30</definedName>
    <definedName name="solver_mni" localSheetId="31" hidden="1">30</definedName>
    <definedName name="solver_mni" localSheetId="34" hidden="1">30</definedName>
    <definedName name="solver_mni" localSheetId="33" hidden="1">30</definedName>
    <definedName name="solver_mni" localSheetId="36" hidden="1">30</definedName>
    <definedName name="solver_mni" localSheetId="35" hidden="1">30</definedName>
    <definedName name="solver_mni" localSheetId="20" hidden="1">30</definedName>
    <definedName name="solver_mni" localSheetId="19" hidden="1">30</definedName>
    <definedName name="solver_mni" localSheetId="62" hidden="1">30</definedName>
    <definedName name="solver_mni" localSheetId="61" hidden="1">30</definedName>
    <definedName name="solver_mni" localSheetId="64" hidden="1">30</definedName>
    <definedName name="solver_mni" localSheetId="63" hidden="1">30</definedName>
    <definedName name="solver_mni" localSheetId="66" hidden="1">30</definedName>
    <definedName name="solver_mni" localSheetId="65" hidden="1">30</definedName>
    <definedName name="solver_mni" localSheetId="68" hidden="1">30</definedName>
    <definedName name="solver_mni" localSheetId="67" hidden="1">30</definedName>
    <definedName name="solver_mni" localSheetId="70" hidden="1">30</definedName>
    <definedName name="solver_mni" localSheetId="69" hidden="1">30</definedName>
    <definedName name="solver_mni" localSheetId="72" hidden="1">30</definedName>
    <definedName name="solver_mni" localSheetId="71" hidden="1">30</definedName>
    <definedName name="solver_mni" localSheetId="74" hidden="1">30</definedName>
    <definedName name="solver_mni" localSheetId="73" hidden="1">30</definedName>
    <definedName name="solver_mni" localSheetId="76" hidden="1">30</definedName>
    <definedName name="solver_mni" localSheetId="75" hidden="1">30</definedName>
    <definedName name="solver_mni" localSheetId="58" hidden="1">30</definedName>
    <definedName name="solver_mni" localSheetId="57" hidden="1">30</definedName>
    <definedName name="solver_mni" localSheetId="60" hidden="1">30</definedName>
    <definedName name="solver_mni" localSheetId="59" hidden="1">30</definedName>
    <definedName name="solver_mni" localSheetId="100" hidden="1">30</definedName>
    <definedName name="solver_mni" localSheetId="99" hidden="1">30</definedName>
    <definedName name="solver_mni" localSheetId="102" hidden="1">30</definedName>
    <definedName name="solver_mni" localSheetId="101" hidden="1">30</definedName>
    <definedName name="solver_mni" localSheetId="104" hidden="1">30</definedName>
    <definedName name="solver_mni" localSheetId="103" hidden="1">30</definedName>
    <definedName name="solver_mni" localSheetId="106" hidden="1">30</definedName>
    <definedName name="solver_mni" localSheetId="105" hidden="1">30</definedName>
    <definedName name="solver_mni" localSheetId="108" hidden="1">30</definedName>
    <definedName name="solver_mni" localSheetId="107" hidden="1">30</definedName>
    <definedName name="solver_mni" localSheetId="110" hidden="1">30</definedName>
    <definedName name="solver_mni" localSheetId="109" hidden="1">30</definedName>
    <definedName name="solver_mrt" localSheetId="22" hidden="1">0.075</definedName>
    <definedName name="solver_mrt" localSheetId="21" hidden="1">0.075</definedName>
    <definedName name="solver_mrt" localSheetId="24" hidden="1">0.075</definedName>
    <definedName name="solver_mrt" localSheetId="23" hidden="1">0.075</definedName>
    <definedName name="solver_mrt" localSheetId="26" hidden="1">0.075</definedName>
    <definedName name="solver_mrt" localSheetId="25" hidden="1">0.075</definedName>
    <definedName name="solver_mrt" localSheetId="28" hidden="1">0.075</definedName>
    <definedName name="solver_mrt" localSheetId="27" hidden="1">0.075</definedName>
    <definedName name="solver_mrt" localSheetId="30" hidden="1">0.075</definedName>
    <definedName name="solver_mrt" localSheetId="29" hidden="1">0.075</definedName>
    <definedName name="solver_mrt" localSheetId="32" hidden="1">0.075</definedName>
    <definedName name="solver_mrt" localSheetId="31" hidden="1">0.075</definedName>
    <definedName name="solver_mrt" localSheetId="34" hidden="1">0.075</definedName>
    <definedName name="solver_mrt" localSheetId="33" hidden="1">0.075</definedName>
    <definedName name="solver_mrt" localSheetId="36" hidden="1">0.075</definedName>
    <definedName name="solver_mrt" localSheetId="35" hidden="1">0.075</definedName>
    <definedName name="solver_mrt" localSheetId="20" hidden="1">0.075</definedName>
    <definedName name="solver_mrt" localSheetId="19" hidden="1">0.075</definedName>
    <definedName name="solver_mrt" localSheetId="62" hidden="1">0.075</definedName>
    <definedName name="solver_mrt" localSheetId="61" hidden="1">0.075</definedName>
    <definedName name="solver_mrt" localSheetId="64" hidden="1">0.075</definedName>
    <definedName name="solver_mrt" localSheetId="63" hidden="1">0.075</definedName>
    <definedName name="solver_mrt" localSheetId="66" hidden="1">0.075</definedName>
    <definedName name="solver_mrt" localSheetId="65" hidden="1">0.075</definedName>
    <definedName name="solver_mrt" localSheetId="68" hidden="1">0.075</definedName>
    <definedName name="solver_mrt" localSheetId="67" hidden="1">0.075</definedName>
    <definedName name="solver_mrt" localSheetId="70" hidden="1">0.075</definedName>
    <definedName name="solver_mrt" localSheetId="69" hidden="1">0.075</definedName>
    <definedName name="solver_mrt" localSheetId="72" hidden="1">0.075</definedName>
    <definedName name="solver_mrt" localSheetId="71" hidden="1">0.075</definedName>
    <definedName name="solver_mrt" localSheetId="74" hidden="1">0.075</definedName>
    <definedName name="solver_mrt" localSheetId="73" hidden="1">0.075</definedName>
    <definedName name="solver_mrt" localSheetId="76" hidden="1">0.075</definedName>
    <definedName name="solver_mrt" localSheetId="75" hidden="1">0.075</definedName>
    <definedName name="solver_mrt" localSheetId="58" hidden="1">0.075</definedName>
    <definedName name="solver_mrt" localSheetId="57" hidden="1">0.075</definedName>
    <definedName name="solver_mrt" localSheetId="60" hidden="1">0.075</definedName>
    <definedName name="solver_mrt" localSheetId="59" hidden="1">0.075</definedName>
    <definedName name="solver_mrt" localSheetId="100" hidden="1">0.075</definedName>
    <definedName name="solver_mrt" localSheetId="99" hidden="1">0.075</definedName>
    <definedName name="solver_mrt" localSheetId="102" hidden="1">0.075</definedName>
    <definedName name="solver_mrt" localSheetId="101" hidden="1">0.075</definedName>
    <definedName name="solver_mrt" localSheetId="104" hidden="1">0.075</definedName>
    <definedName name="solver_mrt" localSheetId="103" hidden="1">0.075</definedName>
    <definedName name="solver_mrt" localSheetId="106" hidden="1">0.075</definedName>
    <definedName name="solver_mrt" localSheetId="105" hidden="1">0.075</definedName>
    <definedName name="solver_mrt" localSheetId="108" hidden="1">0.075</definedName>
    <definedName name="solver_mrt" localSheetId="107" hidden="1">0.075</definedName>
    <definedName name="solver_mrt" localSheetId="110" hidden="1">0.075</definedName>
    <definedName name="solver_mrt" localSheetId="109" hidden="1">0.075</definedName>
    <definedName name="solver_msl" localSheetId="22" hidden="1">2</definedName>
    <definedName name="solver_msl" localSheetId="21" hidden="1">2</definedName>
    <definedName name="solver_msl" localSheetId="24" hidden="1">2</definedName>
    <definedName name="solver_msl" localSheetId="23" hidden="1">2</definedName>
    <definedName name="solver_msl" localSheetId="26" hidden="1">2</definedName>
    <definedName name="solver_msl" localSheetId="25" hidden="1">2</definedName>
    <definedName name="solver_msl" localSheetId="28" hidden="1">2</definedName>
    <definedName name="solver_msl" localSheetId="27" hidden="1">2</definedName>
    <definedName name="solver_msl" localSheetId="30" hidden="1">2</definedName>
    <definedName name="solver_msl" localSheetId="29" hidden="1">2</definedName>
    <definedName name="solver_msl" localSheetId="32" hidden="1">2</definedName>
    <definedName name="solver_msl" localSheetId="31" hidden="1">2</definedName>
    <definedName name="solver_msl" localSheetId="34" hidden="1">2</definedName>
    <definedName name="solver_msl" localSheetId="33" hidden="1">2</definedName>
    <definedName name="solver_msl" localSheetId="36" hidden="1">2</definedName>
    <definedName name="solver_msl" localSheetId="35" hidden="1">2</definedName>
    <definedName name="solver_msl" localSheetId="20" hidden="1">2</definedName>
    <definedName name="solver_msl" localSheetId="19" hidden="1">2</definedName>
    <definedName name="solver_msl" localSheetId="62" hidden="1">2</definedName>
    <definedName name="solver_msl" localSheetId="61" hidden="1">2</definedName>
    <definedName name="solver_msl" localSheetId="64" hidden="1">2</definedName>
    <definedName name="solver_msl" localSheetId="63" hidden="1">2</definedName>
    <definedName name="solver_msl" localSheetId="66" hidden="1">2</definedName>
    <definedName name="solver_msl" localSheetId="65" hidden="1">2</definedName>
    <definedName name="solver_msl" localSheetId="68" hidden="1">2</definedName>
    <definedName name="solver_msl" localSheetId="67" hidden="1">2</definedName>
    <definedName name="solver_msl" localSheetId="70" hidden="1">2</definedName>
    <definedName name="solver_msl" localSheetId="69" hidden="1">2</definedName>
    <definedName name="solver_msl" localSheetId="72" hidden="1">2</definedName>
    <definedName name="solver_msl" localSheetId="71" hidden="1">2</definedName>
    <definedName name="solver_msl" localSheetId="74" hidden="1">2</definedName>
    <definedName name="solver_msl" localSheetId="73" hidden="1">2</definedName>
    <definedName name="solver_msl" localSheetId="76" hidden="1">2</definedName>
    <definedName name="solver_msl" localSheetId="75" hidden="1">2</definedName>
    <definedName name="solver_msl" localSheetId="58" hidden="1">2</definedName>
    <definedName name="solver_msl" localSheetId="57" hidden="1">2</definedName>
    <definedName name="solver_msl" localSheetId="60" hidden="1">2</definedName>
    <definedName name="solver_msl" localSheetId="59" hidden="1">2</definedName>
    <definedName name="solver_msl" localSheetId="100" hidden="1">2</definedName>
    <definedName name="solver_msl" localSheetId="99" hidden="1">2</definedName>
    <definedName name="solver_msl" localSheetId="102" hidden="1">2</definedName>
    <definedName name="solver_msl" localSheetId="101" hidden="1">2</definedName>
    <definedName name="solver_msl" localSheetId="104" hidden="1">2</definedName>
    <definedName name="solver_msl" localSheetId="103" hidden="1">2</definedName>
    <definedName name="solver_msl" localSheetId="106" hidden="1">2</definedName>
    <definedName name="solver_msl" localSheetId="105" hidden="1">2</definedName>
    <definedName name="solver_msl" localSheetId="108" hidden="1">2</definedName>
    <definedName name="solver_msl" localSheetId="107" hidden="1">2</definedName>
    <definedName name="solver_msl" localSheetId="110" hidden="1">2</definedName>
    <definedName name="solver_msl" localSheetId="109" hidden="1">2</definedName>
    <definedName name="solver_neg" localSheetId="22" hidden="1">1</definedName>
    <definedName name="solver_neg" localSheetId="21" hidden="1">1</definedName>
    <definedName name="solver_neg" localSheetId="24" hidden="1">1</definedName>
    <definedName name="solver_neg" localSheetId="23" hidden="1">1</definedName>
    <definedName name="solver_neg" localSheetId="26" hidden="1">1</definedName>
    <definedName name="solver_neg" localSheetId="25" hidden="1">1</definedName>
    <definedName name="solver_neg" localSheetId="28" hidden="1">1</definedName>
    <definedName name="solver_neg" localSheetId="27" hidden="1">1</definedName>
    <definedName name="solver_neg" localSheetId="30" hidden="1">1</definedName>
    <definedName name="solver_neg" localSheetId="29" hidden="1">1</definedName>
    <definedName name="solver_neg" localSheetId="32" hidden="1">1</definedName>
    <definedName name="solver_neg" localSheetId="31" hidden="1">1</definedName>
    <definedName name="solver_neg" localSheetId="34" hidden="1">1</definedName>
    <definedName name="solver_neg" localSheetId="33" hidden="1">1</definedName>
    <definedName name="solver_neg" localSheetId="36" hidden="1">1</definedName>
    <definedName name="solver_neg" localSheetId="35" hidden="1">1</definedName>
    <definedName name="solver_neg" localSheetId="20" hidden="1">1</definedName>
    <definedName name="solver_neg" localSheetId="19" hidden="1">1</definedName>
    <definedName name="solver_neg" localSheetId="62" hidden="1">1</definedName>
    <definedName name="solver_neg" localSheetId="61" hidden="1">1</definedName>
    <definedName name="solver_neg" localSheetId="64" hidden="1">1</definedName>
    <definedName name="solver_neg" localSheetId="63" hidden="1">1</definedName>
    <definedName name="solver_neg" localSheetId="66" hidden="1">1</definedName>
    <definedName name="solver_neg" localSheetId="65" hidden="1">1</definedName>
    <definedName name="solver_neg" localSheetId="68" hidden="1">1</definedName>
    <definedName name="solver_neg" localSheetId="67" hidden="1">1</definedName>
    <definedName name="solver_neg" localSheetId="70" hidden="1">1</definedName>
    <definedName name="solver_neg" localSheetId="69" hidden="1">1</definedName>
    <definedName name="solver_neg" localSheetId="72" hidden="1">1</definedName>
    <definedName name="solver_neg" localSheetId="71" hidden="1">1</definedName>
    <definedName name="solver_neg" localSheetId="74" hidden="1">1</definedName>
    <definedName name="solver_neg" localSheetId="73" hidden="1">1</definedName>
    <definedName name="solver_neg" localSheetId="76" hidden="1">1</definedName>
    <definedName name="solver_neg" localSheetId="75" hidden="1">1</definedName>
    <definedName name="solver_neg" localSheetId="58" hidden="1">1</definedName>
    <definedName name="solver_neg" localSheetId="57" hidden="1">1</definedName>
    <definedName name="solver_neg" localSheetId="60" hidden="1">1</definedName>
    <definedName name="solver_neg" localSheetId="59" hidden="1">1</definedName>
    <definedName name="solver_neg" localSheetId="100" hidden="1">1</definedName>
    <definedName name="solver_neg" localSheetId="99" hidden="1">1</definedName>
    <definedName name="solver_neg" localSheetId="102" hidden="1">1</definedName>
    <definedName name="solver_neg" localSheetId="101" hidden="1">1</definedName>
    <definedName name="solver_neg" localSheetId="104" hidden="1">1</definedName>
    <definedName name="solver_neg" localSheetId="103" hidden="1">1</definedName>
    <definedName name="solver_neg" localSheetId="106" hidden="1">1</definedName>
    <definedName name="solver_neg" localSheetId="105" hidden="1">1</definedName>
    <definedName name="solver_neg" localSheetId="108" hidden="1">1</definedName>
    <definedName name="solver_neg" localSheetId="107" hidden="1">1</definedName>
    <definedName name="solver_neg" localSheetId="110" hidden="1">1</definedName>
    <definedName name="solver_neg" localSheetId="109" hidden="1">1</definedName>
    <definedName name="solver_nod" localSheetId="22" hidden="1">2147483647</definedName>
    <definedName name="solver_nod" localSheetId="21" hidden="1">2147483647</definedName>
    <definedName name="solver_nod" localSheetId="24" hidden="1">2147483647</definedName>
    <definedName name="solver_nod" localSheetId="23" hidden="1">2147483647</definedName>
    <definedName name="solver_nod" localSheetId="26" hidden="1">2147483647</definedName>
    <definedName name="solver_nod" localSheetId="25" hidden="1">2147483647</definedName>
    <definedName name="solver_nod" localSheetId="28" hidden="1">2147483647</definedName>
    <definedName name="solver_nod" localSheetId="27" hidden="1">2147483647</definedName>
    <definedName name="solver_nod" localSheetId="30" hidden="1">2147483647</definedName>
    <definedName name="solver_nod" localSheetId="29" hidden="1">2147483647</definedName>
    <definedName name="solver_nod" localSheetId="32" hidden="1">2147483647</definedName>
    <definedName name="solver_nod" localSheetId="31" hidden="1">2147483647</definedName>
    <definedName name="solver_nod" localSheetId="34" hidden="1">2147483647</definedName>
    <definedName name="solver_nod" localSheetId="33" hidden="1">2147483647</definedName>
    <definedName name="solver_nod" localSheetId="36" hidden="1">2147483647</definedName>
    <definedName name="solver_nod" localSheetId="35" hidden="1">2147483647</definedName>
    <definedName name="solver_nod" localSheetId="20" hidden="1">2147483647</definedName>
    <definedName name="solver_nod" localSheetId="19" hidden="1">2147483647</definedName>
    <definedName name="solver_nod" localSheetId="62" hidden="1">2147483647</definedName>
    <definedName name="solver_nod" localSheetId="61" hidden="1">2147483647</definedName>
    <definedName name="solver_nod" localSheetId="64" hidden="1">2147483647</definedName>
    <definedName name="solver_nod" localSheetId="63" hidden="1">2147483647</definedName>
    <definedName name="solver_nod" localSheetId="66" hidden="1">2147483647</definedName>
    <definedName name="solver_nod" localSheetId="65" hidden="1">2147483647</definedName>
    <definedName name="solver_nod" localSheetId="68" hidden="1">2147483647</definedName>
    <definedName name="solver_nod" localSheetId="67" hidden="1">2147483647</definedName>
    <definedName name="solver_nod" localSheetId="70" hidden="1">2147483647</definedName>
    <definedName name="solver_nod" localSheetId="69" hidden="1">2147483647</definedName>
    <definedName name="solver_nod" localSheetId="72" hidden="1">2147483647</definedName>
    <definedName name="solver_nod" localSheetId="71" hidden="1">2147483647</definedName>
    <definedName name="solver_nod" localSheetId="74" hidden="1">2147483647</definedName>
    <definedName name="solver_nod" localSheetId="73" hidden="1">2147483647</definedName>
    <definedName name="solver_nod" localSheetId="76" hidden="1">2147483647</definedName>
    <definedName name="solver_nod" localSheetId="75" hidden="1">2147483647</definedName>
    <definedName name="solver_nod" localSheetId="58" hidden="1">2147483647</definedName>
    <definedName name="solver_nod" localSheetId="57" hidden="1">2147483647</definedName>
    <definedName name="solver_nod" localSheetId="60" hidden="1">2147483647</definedName>
    <definedName name="solver_nod" localSheetId="59" hidden="1">2147483647</definedName>
    <definedName name="solver_nod" localSheetId="100" hidden="1">2147483647</definedName>
    <definedName name="solver_nod" localSheetId="99" hidden="1">2147483647</definedName>
    <definedName name="solver_nod" localSheetId="102" hidden="1">2147483647</definedName>
    <definedName name="solver_nod" localSheetId="101" hidden="1">2147483647</definedName>
    <definedName name="solver_nod" localSheetId="104" hidden="1">2147483647</definedName>
    <definedName name="solver_nod" localSheetId="103" hidden="1">2147483647</definedName>
    <definedName name="solver_nod" localSheetId="106" hidden="1">2147483647</definedName>
    <definedName name="solver_nod" localSheetId="105" hidden="1">2147483647</definedName>
    <definedName name="solver_nod" localSheetId="108" hidden="1">2147483647</definedName>
    <definedName name="solver_nod" localSheetId="107" hidden="1">2147483647</definedName>
    <definedName name="solver_nod" localSheetId="110" hidden="1">2147483647</definedName>
    <definedName name="solver_nod" localSheetId="109" hidden="1">2147483647</definedName>
    <definedName name="solver_num" localSheetId="22" hidden="1">0</definedName>
    <definedName name="solver_num" localSheetId="21" hidden="1">0</definedName>
    <definedName name="solver_num" localSheetId="24" hidden="1">0</definedName>
    <definedName name="solver_num" localSheetId="23" hidden="1">0</definedName>
    <definedName name="solver_num" localSheetId="26" hidden="1">0</definedName>
    <definedName name="solver_num" localSheetId="25" hidden="1">0</definedName>
    <definedName name="solver_num" localSheetId="28" hidden="1">0</definedName>
    <definedName name="solver_num" localSheetId="27" hidden="1">0</definedName>
    <definedName name="solver_num" localSheetId="30" hidden="1">0</definedName>
    <definedName name="solver_num" localSheetId="29" hidden="1">0</definedName>
    <definedName name="solver_num" localSheetId="32" hidden="1">0</definedName>
    <definedName name="solver_num" localSheetId="31" hidden="1">0</definedName>
    <definedName name="solver_num" localSheetId="34" hidden="1">0</definedName>
    <definedName name="solver_num" localSheetId="33" hidden="1">0</definedName>
    <definedName name="solver_num" localSheetId="36" hidden="1">0</definedName>
    <definedName name="solver_num" localSheetId="35" hidden="1">0</definedName>
    <definedName name="solver_num" localSheetId="20" hidden="1">0</definedName>
    <definedName name="solver_num" localSheetId="19" hidden="1">0</definedName>
    <definedName name="solver_num" localSheetId="62" hidden="1">0</definedName>
    <definedName name="solver_num" localSheetId="61" hidden="1">0</definedName>
    <definedName name="solver_num" localSheetId="64" hidden="1">0</definedName>
    <definedName name="solver_num" localSheetId="63" hidden="1">0</definedName>
    <definedName name="solver_num" localSheetId="66" hidden="1">0</definedName>
    <definedName name="solver_num" localSheetId="65" hidden="1">0</definedName>
    <definedName name="solver_num" localSheetId="68" hidden="1">0</definedName>
    <definedName name="solver_num" localSheetId="67" hidden="1">0</definedName>
    <definedName name="solver_num" localSheetId="70" hidden="1">0</definedName>
    <definedName name="solver_num" localSheetId="69" hidden="1">0</definedName>
    <definedName name="solver_num" localSheetId="72" hidden="1">0</definedName>
    <definedName name="solver_num" localSheetId="71" hidden="1">0</definedName>
    <definedName name="solver_num" localSheetId="74" hidden="1">0</definedName>
    <definedName name="solver_num" localSheetId="73" hidden="1">0</definedName>
    <definedName name="solver_num" localSheetId="76" hidden="1">0</definedName>
    <definedName name="solver_num" localSheetId="75" hidden="1">0</definedName>
    <definedName name="solver_num" localSheetId="58" hidden="1">0</definedName>
    <definedName name="solver_num" localSheetId="57" hidden="1">0</definedName>
    <definedName name="solver_num" localSheetId="60" hidden="1">0</definedName>
    <definedName name="solver_num" localSheetId="59" hidden="1">0</definedName>
    <definedName name="solver_num" localSheetId="100" hidden="1">0</definedName>
    <definedName name="solver_num" localSheetId="99" hidden="1">0</definedName>
    <definedName name="solver_num" localSheetId="102" hidden="1">0</definedName>
    <definedName name="solver_num" localSheetId="101" hidden="1">0</definedName>
    <definedName name="solver_num" localSheetId="104" hidden="1">0</definedName>
    <definedName name="solver_num" localSheetId="103" hidden="1">0</definedName>
    <definedName name="solver_num" localSheetId="106" hidden="1">0</definedName>
    <definedName name="solver_num" localSheetId="105" hidden="1">0</definedName>
    <definedName name="solver_num" localSheetId="108" hidden="1">0</definedName>
    <definedName name="solver_num" localSheetId="107" hidden="1">0</definedName>
    <definedName name="solver_num" localSheetId="110" hidden="1">0</definedName>
    <definedName name="solver_num" localSheetId="109" hidden="1">0</definedName>
    <definedName name="solver_nwt" localSheetId="22" hidden="1">1</definedName>
    <definedName name="solver_nwt" localSheetId="21" hidden="1">1</definedName>
    <definedName name="solver_nwt" localSheetId="24" hidden="1">1</definedName>
    <definedName name="solver_nwt" localSheetId="23" hidden="1">1</definedName>
    <definedName name="solver_nwt" localSheetId="26" hidden="1">1</definedName>
    <definedName name="solver_nwt" localSheetId="25" hidden="1">1</definedName>
    <definedName name="solver_nwt" localSheetId="28" hidden="1">1</definedName>
    <definedName name="solver_nwt" localSheetId="27" hidden="1">1</definedName>
    <definedName name="solver_nwt" localSheetId="30" hidden="1">1</definedName>
    <definedName name="solver_nwt" localSheetId="29" hidden="1">1</definedName>
    <definedName name="solver_nwt" localSheetId="32" hidden="1">1</definedName>
    <definedName name="solver_nwt" localSheetId="31" hidden="1">1</definedName>
    <definedName name="solver_nwt" localSheetId="34" hidden="1">1</definedName>
    <definedName name="solver_nwt" localSheetId="33" hidden="1">1</definedName>
    <definedName name="solver_nwt" localSheetId="36" hidden="1">1</definedName>
    <definedName name="solver_nwt" localSheetId="35" hidden="1">1</definedName>
    <definedName name="solver_nwt" localSheetId="20" hidden="1">1</definedName>
    <definedName name="solver_nwt" localSheetId="19" hidden="1">1</definedName>
    <definedName name="solver_nwt" localSheetId="62" hidden="1">1</definedName>
    <definedName name="solver_nwt" localSheetId="61" hidden="1">1</definedName>
    <definedName name="solver_nwt" localSheetId="64" hidden="1">1</definedName>
    <definedName name="solver_nwt" localSheetId="63" hidden="1">1</definedName>
    <definedName name="solver_nwt" localSheetId="66" hidden="1">1</definedName>
    <definedName name="solver_nwt" localSheetId="65" hidden="1">1</definedName>
    <definedName name="solver_nwt" localSheetId="68" hidden="1">1</definedName>
    <definedName name="solver_nwt" localSheetId="67" hidden="1">1</definedName>
    <definedName name="solver_nwt" localSheetId="70" hidden="1">1</definedName>
    <definedName name="solver_nwt" localSheetId="69" hidden="1">1</definedName>
    <definedName name="solver_nwt" localSheetId="72" hidden="1">1</definedName>
    <definedName name="solver_nwt" localSheetId="71" hidden="1">1</definedName>
    <definedName name="solver_nwt" localSheetId="74" hidden="1">1</definedName>
    <definedName name="solver_nwt" localSheetId="73" hidden="1">1</definedName>
    <definedName name="solver_nwt" localSheetId="76" hidden="1">1</definedName>
    <definedName name="solver_nwt" localSheetId="75" hidden="1">1</definedName>
    <definedName name="solver_nwt" localSheetId="58" hidden="1">1</definedName>
    <definedName name="solver_nwt" localSheetId="57" hidden="1">1</definedName>
    <definedName name="solver_nwt" localSheetId="60" hidden="1">1</definedName>
    <definedName name="solver_nwt" localSheetId="59" hidden="1">1</definedName>
    <definedName name="solver_nwt" localSheetId="100" hidden="1">1</definedName>
    <definedName name="solver_nwt" localSheetId="99" hidden="1">1</definedName>
    <definedName name="solver_nwt" localSheetId="102" hidden="1">1</definedName>
    <definedName name="solver_nwt" localSheetId="101" hidden="1">1</definedName>
    <definedName name="solver_nwt" localSheetId="104" hidden="1">1</definedName>
    <definedName name="solver_nwt" localSheetId="103" hidden="1">1</definedName>
    <definedName name="solver_nwt" localSheetId="106" hidden="1">1</definedName>
    <definedName name="solver_nwt" localSheetId="105" hidden="1">1</definedName>
    <definedName name="solver_nwt" localSheetId="108" hidden="1">1</definedName>
    <definedName name="solver_nwt" localSheetId="107" hidden="1">1</definedName>
    <definedName name="solver_nwt" localSheetId="110" hidden="1">1</definedName>
    <definedName name="solver_nwt" localSheetId="109" hidden="1">1</definedName>
    <definedName name="solver_opt" localSheetId="22" hidden="1">'12m3-1T'!$D$54</definedName>
    <definedName name="solver_opt" localSheetId="21" hidden="1">'12m3-2T'!$D$55</definedName>
    <definedName name="solver_opt" localSheetId="24" hidden="1">'15m3-1T'!$D$54</definedName>
    <definedName name="solver_opt" localSheetId="23" hidden="1">'15m3-2T'!$D$55</definedName>
    <definedName name="solver_opt" localSheetId="26" hidden="1">'16m3-1T'!$D$54</definedName>
    <definedName name="solver_opt" localSheetId="25" hidden="1">'16m3-2T'!$D$55</definedName>
    <definedName name="solver_opt" localSheetId="28" hidden="1">'17m3-1T'!$D$54</definedName>
    <definedName name="solver_opt" localSheetId="27" hidden="1">'17m3-2T'!$D$55</definedName>
    <definedName name="solver_opt" localSheetId="30" hidden="1">'18m3-1T'!$D$54</definedName>
    <definedName name="solver_opt" localSheetId="29" hidden="1">'18m3-2T'!$D$55</definedName>
    <definedName name="solver_opt" localSheetId="32" hidden="1">'19m3-1T'!$D$54</definedName>
    <definedName name="solver_opt" localSheetId="31" hidden="1">'19m3-2T'!$D$55</definedName>
    <definedName name="solver_opt" localSheetId="34" hidden="1">'21m3-1T'!$D$54</definedName>
    <definedName name="solver_opt" localSheetId="33" hidden="1">'21m3-2T'!$D$55</definedName>
    <definedName name="solver_opt" localSheetId="36" hidden="1">'24m3-1T'!$D$54</definedName>
    <definedName name="solver_opt" localSheetId="35" hidden="1">'24m3-2T'!$D$55</definedName>
    <definedName name="solver_opt" localSheetId="20" hidden="1">'9m3-1T'!$D$54</definedName>
    <definedName name="solver_opt" localSheetId="19" hidden="1">'9m3-2T'!$D$55</definedName>
    <definedName name="solver_opt" localSheetId="62" hidden="1">'P_12m3-1T'!$D$54</definedName>
    <definedName name="solver_opt" localSheetId="61" hidden="1">'P_12m3-2T'!$D$55</definedName>
    <definedName name="solver_opt" localSheetId="64" hidden="1">'P_15m3-1T'!$D$54</definedName>
    <definedName name="solver_opt" localSheetId="63" hidden="1">'P_15m3-2T'!$D$55</definedName>
    <definedName name="solver_opt" localSheetId="66" hidden="1">'P_16m3-1T'!$D$54</definedName>
    <definedName name="solver_opt" localSheetId="65" hidden="1">'P_16m3-2T'!$D$55</definedName>
    <definedName name="solver_opt" localSheetId="68" hidden="1">'P_17m3-1T'!$D$54</definedName>
    <definedName name="solver_opt" localSheetId="67" hidden="1">'P_17m3-2T'!$D$55</definedName>
    <definedName name="solver_opt" localSheetId="70" hidden="1">'P_18m3-1T'!$D$54</definedName>
    <definedName name="solver_opt" localSheetId="69" hidden="1">'P_18m3-2T'!$D$55</definedName>
    <definedName name="solver_opt" localSheetId="72" hidden="1">'P_19m3-1T'!$D$54</definedName>
    <definedName name="solver_opt" localSheetId="71" hidden="1">'P_19m3-2T'!$D$55</definedName>
    <definedName name="solver_opt" localSheetId="74" hidden="1">'P_21m3-1T'!$D$54</definedName>
    <definedName name="solver_opt" localSheetId="73" hidden="1">'P_21m3-2T'!$D$55</definedName>
    <definedName name="solver_opt" localSheetId="76" hidden="1">'P_24m3-1T'!$D$54</definedName>
    <definedName name="solver_opt" localSheetId="75" hidden="1">'P_24m3-2T'!$D$55</definedName>
    <definedName name="solver_opt" localSheetId="58" hidden="1">'P_6m3-1T'!$D$54</definedName>
    <definedName name="solver_opt" localSheetId="57" hidden="1">'P_6m3-2T'!$D$55</definedName>
    <definedName name="solver_opt" localSheetId="60" hidden="1">'P_9m3-1T'!$D$54</definedName>
    <definedName name="solver_opt" localSheetId="59" hidden="1">'P_9m3-2T'!$D$55</definedName>
    <definedName name="solver_opt" localSheetId="100" hidden="1">'TA_25m3-1T'!$D$36</definedName>
    <definedName name="solver_opt" localSheetId="99" hidden="1">'TA_25m3-2T'!$D$37</definedName>
    <definedName name="solver_opt" localSheetId="102" hidden="1">'TA_30m3-1T'!$D$36</definedName>
    <definedName name="solver_opt" localSheetId="101" hidden="1">'TA_30m3-2T'!$D$37</definedName>
    <definedName name="solver_opt" localSheetId="104" hidden="1">'TA_35m3-1T'!$D$36</definedName>
    <definedName name="solver_opt" localSheetId="103" hidden="1">'TA_35m3-2T'!$D$37</definedName>
    <definedName name="solver_opt" localSheetId="106" hidden="1">'TA_40m3-1T'!$D$36</definedName>
    <definedName name="solver_opt" localSheetId="105" hidden="1">'TA_40m3-2T'!$D$37</definedName>
    <definedName name="solver_opt" localSheetId="108" hidden="1">'TA_45m3-1T'!$D$36</definedName>
    <definedName name="solver_opt" localSheetId="107" hidden="1">'TA_45m3-2T'!$D$37</definedName>
    <definedName name="solver_opt" localSheetId="110" hidden="1">'TA_50m3-1T'!$D$36</definedName>
    <definedName name="solver_opt" localSheetId="109" hidden="1">'TA_50m3-2T'!$D$37</definedName>
    <definedName name="solver_pre" localSheetId="22" hidden="1">0.000001</definedName>
    <definedName name="solver_pre" localSheetId="21" hidden="1">0.000001</definedName>
    <definedName name="solver_pre" localSheetId="24" hidden="1">0.000001</definedName>
    <definedName name="solver_pre" localSheetId="23" hidden="1">0.000001</definedName>
    <definedName name="solver_pre" localSheetId="26" hidden="1">0.000001</definedName>
    <definedName name="solver_pre" localSheetId="25" hidden="1">0.000001</definedName>
    <definedName name="solver_pre" localSheetId="28" hidden="1">0.000001</definedName>
    <definedName name="solver_pre" localSheetId="27" hidden="1">0.000001</definedName>
    <definedName name="solver_pre" localSheetId="30" hidden="1">0.000001</definedName>
    <definedName name="solver_pre" localSheetId="29" hidden="1">0.000001</definedName>
    <definedName name="solver_pre" localSheetId="32" hidden="1">0.000001</definedName>
    <definedName name="solver_pre" localSheetId="31" hidden="1">0.000001</definedName>
    <definedName name="solver_pre" localSheetId="34" hidden="1">0.000001</definedName>
    <definedName name="solver_pre" localSheetId="33" hidden="1">0.000001</definedName>
    <definedName name="solver_pre" localSheetId="36" hidden="1">0.000001</definedName>
    <definedName name="solver_pre" localSheetId="35" hidden="1">0.000001</definedName>
    <definedName name="solver_pre" localSheetId="20" hidden="1">0.000001</definedName>
    <definedName name="solver_pre" localSheetId="19" hidden="1">0.000001</definedName>
    <definedName name="solver_pre" localSheetId="62" hidden="1">0.000001</definedName>
    <definedName name="solver_pre" localSheetId="61" hidden="1">0.000001</definedName>
    <definedName name="solver_pre" localSheetId="64" hidden="1">0.000001</definedName>
    <definedName name="solver_pre" localSheetId="63" hidden="1">0.000001</definedName>
    <definedName name="solver_pre" localSheetId="66" hidden="1">0.000001</definedName>
    <definedName name="solver_pre" localSheetId="65" hidden="1">0.000001</definedName>
    <definedName name="solver_pre" localSheetId="68" hidden="1">0.000001</definedName>
    <definedName name="solver_pre" localSheetId="67" hidden="1">0.000001</definedName>
    <definedName name="solver_pre" localSheetId="70" hidden="1">0.000001</definedName>
    <definedName name="solver_pre" localSheetId="69" hidden="1">0.000001</definedName>
    <definedName name="solver_pre" localSheetId="72" hidden="1">0.000001</definedName>
    <definedName name="solver_pre" localSheetId="71" hidden="1">0.000001</definedName>
    <definedName name="solver_pre" localSheetId="74" hidden="1">0.000001</definedName>
    <definedName name="solver_pre" localSheetId="73" hidden="1">0.000001</definedName>
    <definedName name="solver_pre" localSheetId="76" hidden="1">0.000001</definedName>
    <definedName name="solver_pre" localSheetId="75" hidden="1">0.000001</definedName>
    <definedName name="solver_pre" localSheetId="58" hidden="1">0.000001</definedName>
    <definedName name="solver_pre" localSheetId="57" hidden="1">0.000001</definedName>
    <definedName name="solver_pre" localSheetId="60" hidden="1">0.000001</definedName>
    <definedName name="solver_pre" localSheetId="59" hidden="1">0.000001</definedName>
    <definedName name="solver_pre" localSheetId="100" hidden="1">0.000001</definedName>
    <definedName name="solver_pre" localSheetId="99" hidden="1">0.000001</definedName>
    <definedName name="solver_pre" localSheetId="102" hidden="1">0.000001</definedName>
    <definedName name="solver_pre" localSheetId="101" hidden="1">0.000001</definedName>
    <definedName name="solver_pre" localSheetId="104" hidden="1">0.000001</definedName>
    <definedName name="solver_pre" localSheetId="103" hidden="1">0.000001</definedName>
    <definedName name="solver_pre" localSheetId="106" hidden="1">0.000001</definedName>
    <definedName name="solver_pre" localSheetId="105" hidden="1">0.000001</definedName>
    <definedName name="solver_pre" localSheetId="108" hidden="1">0.000001</definedName>
    <definedName name="solver_pre" localSheetId="107" hidden="1">0.000001</definedName>
    <definedName name="solver_pre" localSheetId="110" hidden="1">0.000001</definedName>
    <definedName name="solver_pre" localSheetId="109" hidden="1">0.000001</definedName>
    <definedName name="solver_rbv" localSheetId="22" hidden="1">2</definedName>
    <definedName name="solver_rbv" localSheetId="21" hidden="1">2</definedName>
    <definedName name="solver_rbv" localSheetId="24" hidden="1">2</definedName>
    <definedName name="solver_rbv" localSheetId="23" hidden="1">2</definedName>
    <definedName name="solver_rbv" localSheetId="26" hidden="1">2</definedName>
    <definedName name="solver_rbv" localSheetId="25" hidden="1">2</definedName>
    <definedName name="solver_rbv" localSheetId="28" hidden="1">2</definedName>
    <definedName name="solver_rbv" localSheetId="27" hidden="1">2</definedName>
    <definedName name="solver_rbv" localSheetId="30" hidden="1">2</definedName>
    <definedName name="solver_rbv" localSheetId="29" hidden="1">2</definedName>
    <definedName name="solver_rbv" localSheetId="32" hidden="1">2</definedName>
    <definedName name="solver_rbv" localSheetId="31" hidden="1">2</definedName>
    <definedName name="solver_rbv" localSheetId="34" hidden="1">2</definedName>
    <definedName name="solver_rbv" localSheetId="33" hidden="1">2</definedName>
    <definedName name="solver_rbv" localSheetId="36" hidden="1">2</definedName>
    <definedName name="solver_rbv" localSheetId="35" hidden="1">2</definedName>
    <definedName name="solver_rbv" localSheetId="20" hidden="1">2</definedName>
    <definedName name="solver_rbv" localSheetId="19" hidden="1">2</definedName>
    <definedName name="solver_rbv" localSheetId="62" hidden="1">2</definedName>
    <definedName name="solver_rbv" localSheetId="61" hidden="1">2</definedName>
    <definedName name="solver_rbv" localSheetId="64" hidden="1">2</definedName>
    <definedName name="solver_rbv" localSheetId="63" hidden="1">2</definedName>
    <definedName name="solver_rbv" localSheetId="66" hidden="1">2</definedName>
    <definedName name="solver_rbv" localSheetId="65" hidden="1">2</definedName>
    <definedName name="solver_rbv" localSheetId="68" hidden="1">2</definedName>
    <definedName name="solver_rbv" localSheetId="67" hidden="1">2</definedName>
    <definedName name="solver_rbv" localSheetId="70" hidden="1">2</definedName>
    <definedName name="solver_rbv" localSheetId="69" hidden="1">2</definedName>
    <definedName name="solver_rbv" localSheetId="72" hidden="1">2</definedName>
    <definedName name="solver_rbv" localSheetId="71" hidden="1">2</definedName>
    <definedName name="solver_rbv" localSheetId="74" hidden="1">2</definedName>
    <definedName name="solver_rbv" localSheetId="73" hidden="1">2</definedName>
    <definedName name="solver_rbv" localSheetId="76" hidden="1">2</definedName>
    <definedName name="solver_rbv" localSheetId="75" hidden="1">2</definedName>
    <definedName name="solver_rbv" localSheetId="58" hidden="1">2</definedName>
    <definedName name="solver_rbv" localSheetId="57" hidden="1">2</definedName>
    <definedName name="solver_rbv" localSheetId="60" hidden="1">2</definedName>
    <definedName name="solver_rbv" localSheetId="59" hidden="1">2</definedName>
    <definedName name="solver_rbv" localSheetId="100" hidden="1">2</definedName>
    <definedName name="solver_rbv" localSheetId="99" hidden="1">2</definedName>
    <definedName name="solver_rbv" localSheetId="102" hidden="1">2</definedName>
    <definedName name="solver_rbv" localSheetId="101" hidden="1">2</definedName>
    <definedName name="solver_rbv" localSheetId="104" hidden="1">2</definedName>
    <definedName name="solver_rbv" localSheetId="103" hidden="1">2</definedName>
    <definedName name="solver_rbv" localSheetId="106" hidden="1">2</definedName>
    <definedName name="solver_rbv" localSheetId="105" hidden="1">2</definedName>
    <definedName name="solver_rbv" localSheetId="108" hidden="1">2</definedName>
    <definedName name="solver_rbv" localSheetId="107" hidden="1">2</definedName>
    <definedName name="solver_rbv" localSheetId="110" hidden="1">2</definedName>
    <definedName name="solver_rbv" localSheetId="109" hidden="1">2</definedName>
    <definedName name="solver_rel0" localSheetId="22" hidden="1">1</definedName>
    <definedName name="solver_rel0" localSheetId="21" hidden="1">1</definedName>
    <definedName name="solver_rel0" localSheetId="24" hidden="1">1</definedName>
    <definedName name="solver_rel0" localSheetId="23" hidden="1">1</definedName>
    <definedName name="solver_rel0" localSheetId="26" hidden="1">1</definedName>
    <definedName name="solver_rel0" localSheetId="25" hidden="1">1</definedName>
    <definedName name="solver_rel0" localSheetId="28" hidden="1">1</definedName>
    <definedName name="solver_rel0" localSheetId="27" hidden="1">1</definedName>
    <definedName name="solver_rel0" localSheetId="30" hidden="1">1</definedName>
    <definedName name="solver_rel0" localSheetId="29" hidden="1">1</definedName>
    <definedName name="solver_rel0" localSheetId="32" hidden="1">1</definedName>
    <definedName name="solver_rel0" localSheetId="31" hidden="1">1</definedName>
    <definedName name="solver_rel0" localSheetId="34" hidden="1">1</definedName>
    <definedName name="solver_rel0" localSheetId="33" hidden="1">1</definedName>
    <definedName name="solver_rel0" localSheetId="36" hidden="1">1</definedName>
    <definedName name="solver_rel0" localSheetId="35" hidden="1">1</definedName>
    <definedName name="solver_rel0" localSheetId="20" hidden="1">1</definedName>
    <definedName name="solver_rel0" localSheetId="19" hidden="1">1</definedName>
    <definedName name="solver_rel0" localSheetId="62" hidden="1">1</definedName>
    <definedName name="solver_rel0" localSheetId="61" hidden="1">1</definedName>
    <definedName name="solver_rel0" localSheetId="64" hidden="1">1</definedName>
    <definedName name="solver_rel0" localSheetId="63" hidden="1">1</definedName>
    <definedName name="solver_rel0" localSheetId="66" hidden="1">1</definedName>
    <definedName name="solver_rel0" localSheetId="65" hidden="1">1</definedName>
    <definedName name="solver_rel0" localSheetId="68" hidden="1">1</definedName>
    <definedName name="solver_rel0" localSheetId="67" hidden="1">1</definedName>
    <definedName name="solver_rel0" localSheetId="70" hidden="1">1</definedName>
    <definedName name="solver_rel0" localSheetId="69" hidden="1">1</definedName>
    <definedName name="solver_rel0" localSheetId="72" hidden="1">1</definedName>
    <definedName name="solver_rel0" localSheetId="71" hidden="1">1</definedName>
    <definedName name="solver_rel0" localSheetId="74" hidden="1">1</definedName>
    <definedName name="solver_rel0" localSheetId="73" hidden="1">1</definedName>
    <definedName name="solver_rel0" localSheetId="76" hidden="1">1</definedName>
    <definedName name="solver_rel0" localSheetId="75" hidden="1">1</definedName>
    <definedName name="solver_rel0" localSheetId="58" hidden="1">1</definedName>
    <definedName name="solver_rel0" localSheetId="57" hidden="1">1</definedName>
    <definedName name="solver_rel0" localSheetId="60" hidden="1">1</definedName>
    <definedName name="solver_rel0" localSheetId="59" hidden="1">1</definedName>
    <definedName name="solver_rel0" localSheetId="100" hidden="1">1</definedName>
    <definedName name="solver_rel0" localSheetId="99" hidden="1">1</definedName>
    <definedName name="solver_rel0" localSheetId="102" hidden="1">1</definedName>
    <definedName name="solver_rel0" localSheetId="101" hidden="1">1</definedName>
    <definedName name="solver_rel0" localSheetId="104" hidden="1">1</definedName>
    <definedName name="solver_rel0" localSheetId="103" hidden="1">1</definedName>
    <definedName name="solver_rel0" localSheetId="106" hidden="1">1</definedName>
    <definedName name="solver_rel0" localSheetId="105" hidden="1">1</definedName>
    <definedName name="solver_rel0" localSheetId="108" hidden="1">1</definedName>
    <definedName name="solver_rel0" localSheetId="107" hidden="1">1</definedName>
    <definedName name="solver_rel0" localSheetId="110" hidden="1">1</definedName>
    <definedName name="solver_rel0" localSheetId="109" hidden="1">1</definedName>
    <definedName name="solver_rel1" localSheetId="22" hidden="1">1</definedName>
    <definedName name="solver_rel1" localSheetId="21" hidden="1">1</definedName>
    <definedName name="solver_rel1" localSheetId="24" hidden="1">1</definedName>
    <definedName name="solver_rel1" localSheetId="23" hidden="1">1</definedName>
    <definedName name="solver_rel1" localSheetId="26" hidden="1">1</definedName>
    <definedName name="solver_rel1" localSheetId="25" hidden="1">1</definedName>
    <definedName name="solver_rel1" localSheetId="28" hidden="1">1</definedName>
    <definedName name="solver_rel1" localSheetId="27" hidden="1">1</definedName>
    <definedName name="solver_rel1" localSheetId="30" hidden="1">1</definedName>
    <definedName name="solver_rel1" localSheetId="29" hidden="1">1</definedName>
    <definedName name="solver_rel1" localSheetId="32" hidden="1">1</definedName>
    <definedName name="solver_rel1" localSheetId="31" hidden="1">1</definedName>
    <definedName name="solver_rel1" localSheetId="34" hidden="1">1</definedName>
    <definedName name="solver_rel1" localSheetId="33" hidden="1">1</definedName>
    <definedName name="solver_rel1" localSheetId="36" hidden="1">1</definedName>
    <definedName name="solver_rel1" localSheetId="35" hidden="1">1</definedName>
    <definedName name="solver_rel1" localSheetId="20" hidden="1">1</definedName>
    <definedName name="solver_rel1" localSheetId="19" hidden="1">1</definedName>
    <definedName name="solver_rel1" localSheetId="62" hidden="1">1</definedName>
    <definedName name="solver_rel1" localSheetId="61" hidden="1">1</definedName>
    <definedName name="solver_rel1" localSheetId="64" hidden="1">1</definedName>
    <definedName name="solver_rel1" localSheetId="63" hidden="1">1</definedName>
    <definedName name="solver_rel1" localSheetId="66" hidden="1">1</definedName>
    <definedName name="solver_rel1" localSheetId="65" hidden="1">1</definedName>
    <definedName name="solver_rel1" localSheetId="68" hidden="1">1</definedName>
    <definedName name="solver_rel1" localSheetId="67" hidden="1">1</definedName>
    <definedName name="solver_rel1" localSheetId="70" hidden="1">1</definedName>
    <definedName name="solver_rel1" localSheetId="69" hidden="1">1</definedName>
    <definedName name="solver_rel1" localSheetId="72" hidden="1">1</definedName>
    <definedName name="solver_rel1" localSheetId="71" hidden="1">1</definedName>
    <definedName name="solver_rel1" localSheetId="74" hidden="1">1</definedName>
    <definedName name="solver_rel1" localSheetId="73" hidden="1">1</definedName>
    <definedName name="solver_rel1" localSheetId="76" hidden="1">1</definedName>
    <definedName name="solver_rel1" localSheetId="75" hidden="1">1</definedName>
    <definedName name="solver_rel1" localSheetId="58" hidden="1">1</definedName>
    <definedName name="solver_rel1" localSheetId="57" hidden="1">1</definedName>
    <definedName name="solver_rel1" localSheetId="60" hidden="1">1</definedName>
    <definedName name="solver_rel1" localSheetId="59" hidden="1">1</definedName>
    <definedName name="solver_rel1" localSheetId="100" hidden="1">1</definedName>
    <definedName name="solver_rel1" localSheetId="99" hidden="1">1</definedName>
    <definedName name="solver_rel1" localSheetId="102" hidden="1">1</definedName>
    <definedName name="solver_rel1" localSheetId="101" hidden="1">1</definedName>
    <definedName name="solver_rel1" localSheetId="104" hidden="1">1</definedName>
    <definedName name="solver_rel1" localSheetId="103" hidden="1">1</definedName>
    <definedName name="solver_rel1" localSheetId="106" hidden="1">1</definedName>
    <definedName name="solver_rel1" localSheetId="105" hidden="1">1</definedName>
    <definedName name="solver_rel1" localSheetId="108" hidden="1">1</definedName>
    <definedName name="solver_rel1" localSheetId="107" hidden="1">1</definedName>
    <definedName name="solver_rel1" localSheetId="110" hidden="1">1</definedName>
    <definedName name="solver_rel1" localSheetId="109" hidden="1">1</definedName>
    <definedName name="solver_rel2" localSheetId="22" hidden="1">3</definedName>
    <definedName name="solver_rel2" localSheetId="21" hidden="1">3</definedName>
    <definedName name="solver_rel2" localSheetId="24" hidden="1">3</definedName>
    <definedName name="solver_rel2" localSheetId="23" hidden="1">3</definedName>
    <definedName name="solver_rel2" localSheetId="26" hidden="1">3</definedName>
    <definedName name="solver_rel2" localSheetId="25" hidden="1">3</definedName>
    <definedName name="solver_rel2" localSheetId="28" hidden="1">3</definedName>
    <definedName name="solver_rel2" localSheetId="27" hidden="1">3</definedName>
    <definedName name="solver_rel2" localSheetId="30" hidden="1">3</definedName>
    <definedName name="solver_rel2" localSheetId="29" hidden="1">3</definedName>
    <definedName name="solver_rel2" localSheetId="32" hidden="1">3</definedName>
    <definedName name="solver_rel2" localSheetId="31" hidden="1">3</definedName>
    <definedName name="solver_rel2" localSheetId="34" hidden="1">3</definedName>
    <definedName name="solver_rel2" localSheetId="33" hidden="1">3</definedName>
    <definedName name="solver_rel2" localSheetId="36" hidden="1">3</definedName>
    <definedName name="solver_rel2" localSheetId="35" hidden="1">3</definedName>
    <definedName name="solver_rel2" localSheetId="20" hidden="1">3</definedName>
    <definedName name="solver_rel2" localSheetId="19" hidden="1">3</definedName>
    <definedName name="solver_rel2" localSheetId="62" hidden="1">3</definedName>
    <definedName name="solver_rel2" localSheetId="61" hidden="1">3</definedName>
    <definedName name="solver_rel2" localSheetId="64" hidden="1">3</definedName>
    <definedName name="solver_rel2" localSheetId="63" hidden="1">3</definedName>
    <definedName name="solver_rel2" localSheetId="66" hidden="1">3</definedName>
    <definedName name="solver_rel2" localSheetId="65" hidden="1">3</definedName>
    <definedName name="solver_rel2" localSheetId="68" hidden="1">3</definedName>
    <definedName name="solver_rel2" localSheetId="67" hidden="1">3</definedName>
    <definedName name="solver_rel2" localSheetId="70" hidden="1">3</definedName>
    <definedName name="solver_rel2" localSheetId="69" hidden="1">3</definedName>
    <definedName name="solver_rel2" localSheetId="72" hidden="1">3</definedName>
    <definedName name="solver_rel2" localSheetId="71" hidden="1">3</definedName>
    <definedName name="solver_rel2" localSheetId="74" hidden="1">3</definedName>
    <definedName name="solver_rel2" localSheetId="73" hidden="1">3</definedName>
    <definedName name="solver_rel2" localSheetId="76" hidden="1">3</definedName>
    <definedName name="solver_rel2" localSheetId="75" hidden="1">3</definedName>
    <definedName name="solver_rel2" localSheetId="58" hidden="1">3</definedName>
    <definedName name="solver_rel2" localSheetId="57" hidden="1">3</definedName>
    <definedName name="solver_rel2" localSheetId="60" hidden="1">3</definedName>
    <definedName name="solver_rel2" localSheetId="59" hidden="1">3</definedName>
    <definedName name="solver_rel2" localSheetId="100" hidden="1">3</definedName>
    <definedName name="solver_rel2" localSheetId="99" hidden="1">3</definedName>
    <definedName name="solver_rel2" localSheetId="102" hidden="1">3</definedName>
    <definedName name="solver_rel2" localSheetId="101" hidden="1">3</definedName>
    <definedName name="solver_rel2" localSheetId="104" hidden="1">3</definedName>
    <definedName name="solver_rel2" localSheetId="103" hidden="1">3</definedName>
    <definedName name="solver_rel2" localSheetId="106" hidden="1">3</definedName>
    <definedName name="solver_rel2" localSheetId="105" hidden="1">3</definedName>
    <definedName name="solver_rel2" localSheetId="108" hidden="1">3</definedName>
    <definedName name="solver_rel2" localSheetId="107" hidden="1">3</definedName>
    <definedName name="solver_rel2" localSheetId="110" hidden="1">3</definedName>
    <definedName name="solver_rel2" localSheetId="109" hidden="1">3</definedName>
    <definedName name="solver_rhs0" localSheetId="22" hidden="1">"="</definedName>
    <definedName name="solver_rhs0" localSheetId="21" hidden="1">"="</definedName>
    <definedName name="solver_rhs0" localSheetId="24" hidden="1">"="</definedName>
    <definedName name="solver_rhs0" localSheetId="23" hidden="1">"="</definedName>
    <definedName name="solver_rhs0" localSheetId="26" hidden="1">"="</definedName>
    <definedName name="solver_rhs0" localSheetId="25" hidden="1">"="</definedName>
    <definedName name="solver_rhs0" localSheetId="28" hidden="1">"="</definedName>
    <definedName name="solver_rhs0" localSheetId="27" hidden="1">"="</definedName>
    <definedName name="solver_rhs0" localSheetId="30" hidden="1">"="</definedName>
    <definedName name="solver_rhs0" localSheetId="29" hidden="1">"="</definedName>
    <definedName name="solver_rhs0" localSheetId="32" hidden="1">"="</definedName>
    <definedName name="solver_rhs0" localSheetId="31" hidden="1">"="</definedName>
    <definedName name="solver_rhs0" localSheetId="34" hidden="1">"="</definedName>
    <definedName name="solver_rhs0" localSheetId="33" hidden="1">"="</definedName>
    <definedName name="solver_rhs0" localSheetId="36" hidden="1">"="</definedName>
    <definedName name="solver_rhs0" localSheetId="35" hidden="1">"="</definedName>
    <definedName name="solver_rhs0" localSheetId="20" hidden="1">"="</definedName>
    <definedName name="solver_rhs0" localSheetId="19" hidden="1">"="</definedName>
    <definedName name="solver_rhs0" localSheetId="62" hidden="1">"="</definedName>
    <definedName name="solver_rhs0" localSheetId="61" hidden="1">"="</definedName>
    <definedName name="solver_rhs0" localSheetId="64" hidden="1">"="</definedName>
    <definedName name="solver_rhs0" localSheetId="63" hidden="1">"="</definedName>
    <definedName name="solver_rhs0" localSheetId="66" hidden="1">"="</definedName>
    <definedName name="solver_rhs0" localSheetId="65" hidden="1">"="</definedName>
    <definedName name="solver_rhs0" localSheetId="68" hidden="1">"="</definedName>
    <definedName name="solver_rhs0" localSheetId="67" hidden="1">"="</definedName>
    <definedName name="solver_rhs0" localSheetId="70" hidden="1">"="</definedName>
    <definedName name="solver_rhs0" localSheetId="69" hidden="1">"="</definedName>
    <definedName name="solver_rhs0" localSheetId="72" hidden="1">"="</definedName>
    <definedName name="solver_rhs0" localSheetId="71" hidden="1">"="</definedName>
    <definedName name="solver_rhs0" localSheetId="74" hidden="1">"="</definedName>
    <definedName name="solver_rhs0" localSheetId="73" hidden="1">"="</definedName>
    <definedName name="solver_rhs0" localSheetId="76" hidden="1">"="</definedName>
    <definedName name="solver_rhs0" localSheetId="75" hidden="1">"="</definedName>
    <definedName name="solver_rhs0" localSheetId="58" hidden="1">"="</definedName>
    <definedName name="solver_rhs0" localSheetId="57" hidden="1">"="</definedName>
    <definedName name="solver_rhs0" localSheetId="60" hidden="1">"="</definedName>
    <definedName name="solver_rhs0" localSheetId="59" hidden="1">"="</definedName>
    <definedName name="solver_rhs0" localSheetId="100" hidden="1">"="</definedName>
    <definedName name="solver_rhs0" localSheetId="99" hidden="1">"="</definedName>
    <definedName name="solver_rhs0" localSheetId="102" hidden="1">"="</definedName>
    <definedName name="solver_rhs0" localSheetId="101" hidden="1">"="</definedName>
    <definedName name="solver_rhs0" localSheetId="104" hidden="1">"="</definedName>
    <definedName name="solver_rhs0" localSheetId="103" hidden="1">"="</definedName>
    <definedName name="solver_rhs0" localSheetId="106" hidden="1">"="</definedName>
    <definedName name="solver_rhs0" localSheetId="105" hidden="1">"="</definedName>
    <definedName name="solver_rhs0" localSheetId="108" hidden="1">"="</definedName>
    <definedName name="solver_rhs0" localSheetId="107" hidden="1">"="</definedName>
    <definedName name="solver_rhs0" localSheetId="110" hidden="1">"="</definedName>
    <definedName name="solver_rhs0" localSheetId="109" hidden="1">"="</definedName>
    <definedName name="solver_rhs1" localSheetId="22" hidden="1">0</definedName>
    <definedName name="solver_rhs1" localSheetId="21" hidden="1">0</definedName>
    <definedName name="solver_rhs1" localSheetId="24" hidden="1">0</definedName>
    <definedName name="solver_rhs1" localSheetId="23" hidden="1">0</definedName>
    <definedName name="solver_rhs1" localSheetId="26" hidden="1">0</definedName>
    <definedName name="solver_rhs1" localSheetId="25" hidden="1">0</definedName>
    <definedName name="solver_rhs1" localSheetId="28" hidden="1">0</definedName>
    <definedName name="solver_rhs1" localSheetId="27" hidden="1">0</definedName>
    <definedName name="solver_rhs1" localSheetId="30" hidden="1">0</definedName>
    <definedName name="solver_rhs1" localSheetId="29" hidden="1">0</definedName>
    <definedName name="solver_rhs1" localSheetId="32" hidden="1">0</definedName>
    <definedName name="solver_rhs1" localSheetId="31" hidden="1">0</definedName>
    <definedName name="solver_rhs1" localSheetId="34" hidden="1">0</definedName>
    <definedName name="solver_rhs1" localSheetId="33" hidden="1">0</definedName>
    <definedName name="solver_rhs1" localSheetId="36" hidden="1">0</definedName>
    <definedName name="solver_rhs1" localSheetId="35" hidden="1">0</definedName>
    <definedName name="solver_rhs1" localSheetId="20" hidden="1">0</definedName>
    <definedName name="solver_rhs1" localSheetId="19" hidden="1">0</definedName>
    <definedName name="solver_rhs1" localSheetId="62" hidden="1">0</definedName>
    <definedName name="solver_rhs1" localSheetId="61" hidden="1">0</definedName>
    <definedName name="solver_rhs1" localSheetId="64" hidden="1">0</definedName>
    <definedName name="solver_rhs1" localSheetId="63" hidden="1">0</definedName>
    <definedName name="solver_rhs1" localSheetId="66" hidden="1">0</definedName>
    <definedName name="solver_rhs1" localSheetId="65" hidden="1">0</definedName>
    <definedName name="solver_rhs1" localSheetId="68" hidden="1">0</definedName>
    <definedName name="solver_rhs1" localSheetId="67" hidden="1">0</definedName>
    <definedName name="solver_rhs1" localSheetId="70" hidden="1">0</definedName>
    <definedName name="solver_rhs1" localSheetId="69" hidden="1">0</definedName>
    <definedName name="solver_rhs1" localSheetId="72" hidden="1">0</definedName>
    <definedName name="solver_rhs1" localSheetId="71" hidden="1">0</definedName>
    <definedName name="solver_rhs1" localSheetId="74" hidden="1">0</definedName>
    <definedName name="solver_rhs1" localSheetId="73" hidden="1">0</definedName>
    <definedName name="solver_rhs1" localSheetId="76" hidden="1">0</definedName>
    <definedName name="solver_rhs1" localSheetId="75" hidden="1">0</definedName>
    <definedName name="solver_rhs1" localSheetId="58" hidden="1">0</definedName>
    <definedName name="solver_rhs1" localSheetId="57" hidden="1">0</definedName>
    <definedName name="solver_rhs1" localSheetId="60" hidden="1">0</definedName>
    <definedName name="solver_rhs1" localSheetId="59" hidden="1">0</definedName>
    <definedName name="solver_rhs1" localSheetId="100" hidden="1">0</definedName>
    <definedName name="solver_rhs1" localSheetId="99" hidden="1">0</definedName>
    <definedName name="solver_rhs1" localSheetId="102" hidden="1">0</definedName>
    <definedName name="solver_rhs1" localSheetId="101" hidden="1">0</definedName>
    <definedName name="solver_rhs1" localSheetId="104" hidden="1">0</definedName>
    <definedName name="solver_rhs1" localSheetId="103" hidden="1">0</definedName>
    <definedName name="solver_rhs1" localSheetId="106" hidden="1">0</definedName>
    <definedName name="solver_rhs1" localSheetId="105" hidden="1">0</definedName>
    <definedName name="solver_rhs1" localSheetId="108" hidden="1">0</definedName>
    <definedName name="solver_rhs1" localSheetId="107" hidden="1">0</definedName>
    <definedName name="solver_rhs1" localSheetId="110" hidden="1">0</definedName>
    <definedName name="solver_rhs1" localSheetId="109" hidden="1">0</definedName>
    <definedName name="solver_rhs2" localSheetId="22" hidden="1">1</definedName>
    <definedName name="solver_rhs2" localSheetId="21" hidden="1">1</definedName>
    <definedName name="solver_rhs2" localSheetId="24" hidden="1">1</definedName>
    <definedName name="solver_rhs2" localSheetId="23" hidden="1">1</definedName>
    <definedName name="solver_rhs2" localSheetId="26" hidden="1">1</definedName>
    <definedName name="solver_rhs2" localSheetId="25" hidden="1">1</definedName>
    <definedName name="solver_rhs2" localSheetId="28" hidden="1">1</definedName>
    <definedName name="solver_rhs2" localSheetId="27" hidden="1">1</definedName>
    <definedName name="solver_rhs2" localSheetId="30" hidden="1">1</definedName>
    <definedName name="solver_rhs2" localSheetId="29" hidden="1">1</definedName>
    <definedName name="solver_rhs2" localSheetId="32" hidden="1">1</definedName>
    <definedName name="solver_rhs2" localSheetId="31" hidden="1">1</definedName>
    <definedName name="solver_rhs2" localSheetId="34" hidden="1">1</definedName>
    <definedName name="solver_rhs2" localSheetId="33" hidden="1">1</definedName>
    <definedName name="solver_rhs2" localSheetId="36" hidden="1">1</definedName>
    <definedName name="solver_rhs2" localSheetId="35" hidden="1">1</definedName>
    <definedName name="solver_rhs2" localSheetId="20" hidden="1">1</definedName>
    <definedName name="solver_rhs2" localSheetId="19" hidden="1">1</definedName>
    <definedName name="solver_rhs2" localSheetId="62" hidden="1">1</definedName>
    <definedName name="solver_rhs2" localSheetId="61" hidden="1">1</definedName>
    <definedName name="solver_rhs2" localSheetId="64" hidden="1">1</definedName>
    <definedName name="solver_rhs2" localSheetId="63" hidden="1">1</definedName>
    <definedName name="solver_rhs2" localSheetId="66" hidden="1">1</definedName>
    <definedName name="solver_rhs2" localSheetId="65" hidden="1">1</definedName>
    <definedName name="solver_rhs2" localSheetId="68" hidden="1">1</definedName>
    <definedName name="solver_rhs2" localSheetId="67" hidden="1">1</definedName>
    <definedName name="solver_rhs2" localSheetId="70" hidden="1">1</definedName>
    <definedName name="solver_rhs2" localSheetId="69" hidden="1">1</definedName>
    <definedName name="solver_rhs2" localSheetId="72" hidden="1">1</definedName>
    <definedName name="solver_rhs2" localSheetId="71" hidden="1">1</definedName>
    <definedName name="solver_rhs2" localSheetId="74" hidden="1">1</definedName>
    <definedName name="solver_rhs2" localSheetId="73" hidden="1">1</definedName>
    <definedName name="solver_rhs2" localSheetId="76" hidden="1">1</definedName>
    <definedName name="solver_rhs2" localSheetId="75" hidden="1">1</definedName>
    <definedName name="solver_rhs2" localSheetId="58" hidden="1">1</definedName>
    <definedName name="solver_rhs2" localSheetId="57" hidden="1">1</definedName>
    <definedName name="solver_rhs2" localSheetId="60" hidden="1">1</definedName>
    <definedName name="solver_rhs2" localSheetId="59" hidden="1">1</definedName>
    <definedName name="solver_rhs2" localSheetId="100" hidden="1">1</definedName>
    <definedName name="solver_rhs2" localSheetId="99" hidden="1">1</definedName>
    <definedName name="solver_rhs2" localSheetId="102" hidden="1">1</definedName>
    <definedName name="solver_rhs2" localSheetId="101" hidden="1">1</definedName>
    <definedName name="solver_rhs2" localSheetId="104" hidden="1">1</definedName>
    <definedName name="solver_rhs2" localSheetId="103" hidden="1">1</definedName>
    <definedName name="solver_rhs2" localSheetId="106" hidden="1">1</definedName>
    <definedName name="solver_rhs2" localSheetId="105" hidden="1">1</definedName>
    <definedName name="solver_rhs2" localSheetId="108" hidden="1">1</definedName>
    <definedName name="solver_rhs2" localSheetId="107" hidden="1">1</definedName>
    <definedName name="solver_rhs2" localSheetId="110" hidden="1">1</definedName>
    <definedName name="solver_rhs2" localSheetId="109" hidden="1">1</definedName>
    <definedName name="solver_rlx" localSheetId="22" hidden="1">2</definedName>
    <definedName name="solver_rlx" localSheetId="21" hidden="1">2</definedName>
    <definedName name="solver_rlx" localSheetId="24" hidden="1">2</definedName>
    <definedName name="solver_rlx" localSheetId="23" hidden="1">2</definedName>
    <definedName name="solver_rlx" localSheetId="26" hidden="1">2</definedName>
    <definedName name="solver_rlx" localSheetId="25" hidden="1">2</definedName>
    <definedName name="solver_rlx" localSheetId="28" hidden="1">2</definedName>
    <definedName name="solver_rlx" localSheetId="27" hidden="1">2</definedName>
    <definedName name="solver_rlx" localSheetId="30" hidden="1">2</definedName>
    <definedName name="solver_rlx" localSheetId="29" hidden="1">2</definedName>
    <definedName name="solver_rlx" localSheetId="32" hidden="1">2</definedName>
    <definedName name="solver_rlx" localSheetId="31" hidden="1">2</definedName>
    <definedName name="solver_rlx" localSheetId="34" hidden="1">2</definedName>
    <definedName name="solver_rlx" localSheetId="33" hidden="1">2</definedName>
    <definedName name="solver_rlx" localSheetId="36" hidden="1">2</definedName>
    <definedName name="solver_rlx" localSheetId="35" hidden="1">2</definedName>
    <definedName name="solver_rlx" localSheetId="20" hidden="1">2</definedName>
    <definedName name="solver_rlx" localSheetId="19" hidden="1">2</definedName>
    <definedName name="solver_rlx" localSheetId="62" hidden="1">2</definedName>
    <definedName name="solver_rlx" localSheetId="61" hidden="1">2</definedName>
    <definedName name="solver_rlx" localSheetId="64" hidden="1">2</definedName>
    <definedName name="solver_rlx" localSheetId="63" hidden="1">2</definedName>
    <definedName name="solver_rlx" localSheetId="66" hidden="1">2</definedName>
    <definedName name="solver_rlx" localSheetId="65" hidden="1">2</definedName>
    <definedName name="solver_rlx" localSheetId="68" hidden="1">2</definedName>
    <definedName name="solver_rlx" localSheetId="67" hidden="1">2</definedName>
    <definedName name="solver_rlx" localSheetId="70" hidden="1">2</definedName>
    <definedName name="solver_rlx" localSheetId="69" hidden="1">2</definedName>
    <definedName name="solver_rlx" localSheetId="72" hidden="1">2</definedName>
    <definedName name="solver_rlx" localSheetId="71" hidden="1">2</definedName>
    <definedName name="solver_rlx" localSheetId="74" hidden="1">2</definedName>
    <definedName name="solver_rlx" localSheetId="73" hidden="1">2</definedName>
    <definedName name="solver_rlx" localSheetId="76" hidden="1">2</definedName>
    <definedName name="solver_rlx" localSheetId="75" hidden="1">2</definedName>
    <definedName name="solver_rlx" localSheetId="58" hidden="1">2</definedName>
    <definedName name="solver_rlx" localSheetId="57" hidden="1">2</definedName>
    <definedName name="solver_rlx" localSheetId="60" hidden="1">2</definedName>
    <definedName name="solver_rlx" localSheetId="59" hidden="1">2</definedName>
    <definedName name="solver_rlx" localSheetId="100" hidden="1">2</definedName>
    <definedName name="solver_rlx" localSheetId="99" hidden="1">2</definedName>
    <definedName name="solver_rlx" localSheetId="102" hidden="1">2</definedName>
    <definedName name="solver_rlx" localSheetId="101" hidden="1">2</definedName>
    <definedName name="solver_rlx" localSheetId="104" hidden="1">2</definedName>
    <definedName name="solver_rlx" localSheetId="103" hidden="1">2</definedName>
    <definedName name="solver_rlx" localSheetId="106" hidden="1">2</definedName>
    <definedName name="solver_rlx" localSheetId="105" hidden="1">2</definedName>
    <definedName name="solver_rlx" localSheetId="108" hidden="1">2</definedName>
    <definedName name="solver_rlx" localSheetId="107" hidden="1">2</definedName>
    <definedName name="solver_rlx" localSheetId="110" hidden="1">2</definedName>
    <definedName name="solver_rlx" localSheetId="109" hidden="1">2</definedName>
    <definedName name="solver_rsd" localSheetId="22" hidden="1">0</definedName>
    <definedName name="solver_rsd" localSheetId="21" hidden="1">0</definedName>
    <definedName name="solver_rsd" localSheetId="24" hidden="1">0</definedName>
    <definedName name="solver_rsd" localSheetId="23" hidden="1">0</definedName>
    <definedName name="solver_rsd" localSheetId="26" hidden="1">0</definedName>
    <definedName name="solver_rsd" localSheetId="25" hidden="1">0</definedName>
    <definedName name="solver_rsd" localSheetId="28" hidden="1">0</definedName>
    <definedName name="solver_rsd" localSheetId="27" hidden="1">0</definedName>
    <definedName name="solver_rsd" localSheetId="30" hidden="1">0</definedName>
    <definedName name="solver_rsd" localSheetId="29" hidden="1">0</definedName>
    <definedName name="solver_rsd" localSheetId="32" hidden="1">0</definedName>
    <definedName name="solver_rsd" localSheetId="31" hidden="1">0</definedName>
    <definedName name="solver_rsd" localSheetId="34" hidden="1">0</definedName>
    <definedName name="solver_rsd" localSheetId="33" hidden="1">0</definedName>
    <definedName name="solver_rsd" localSheetId="36" hidden="1">0</definedName>
    <definedName name="solver_rsd" localSheetId="35" hidden="1">0</definedName>
    <definedName name="solver_rsd" localSheetId="20" hidden="1">0</definedName>
    <definedName name="solver_rsd" localSheetId="19" hidden="1">0</definedName>
    <definedName name="solver_rsd" localSheetId="62" hidden="1">0</definedName>
    <definedName name="solver_rsd" localSheetId="61" hidden="1">0</definedName>
    <definedName name="solver_rsd" localSheetId="64" hidden="1">0</definedName>
    <definedName name="solver_rsd" localSheetId="63" hidden="1">0</definedName>
    <definedName name="solver_rsd" localSheetId="66" hidden="1">0</definedName>
    <definedName name="solver_rsd" localSheetId="65" hidden="1">0</definedName>
    <definedName name="solver_rsd" localSheetId="68" hidden="1">0</definedName>
    <definedName name="solver_rsd" localSheetId="67" hidden="1">0</definedName>
    <definedName name="solver_rsd" localSheetId="70" hidden="1">0</definedName>
    <definedName name="solver_rsd" localSheetId="69" hidden="1">0</definedName>
    <definedName name="solver_rsd" localSheetId="72" hidden="1">0</definedName>
    <definedName name="solver_rsd" localSheetId="71" hidden="1">0</definedName>
    <definedName name="solver_rsd" localSheetId="74" hidden="1">0</definedName>
    <definedName name="solver_rsd" localSheetId="73" hidden="1">0</definedName>
    <definedName name="solver_rsd" localSheetId="76" hidden="1">0</definedName>
    <definedName name="solver_rsd" localSheetId="75" hidden="1">0</definedName>
    <definedName name="solver_rsd" localSheetId="58" hidden="1">0</definedName>
    <definedName name="solver_rsd" localSheetId="57" hidden="1">0</definedName>
    <definedName name="solver_rsd" localSheetId="60" hidden="1">0</definedName>
    <definedName name="solver_rsd" localSheetId="59" hidden="1">0</definedName>
    <definedName name="solver_rsd" localSheetId="100" hidden="1">0</definedName>
    <definedName name="solver_rsd" localSheetId="99" hidden="1">0</definedName>
    <definedName name="solver_rsd" localSheetId="102" hidden="1">0</definedName>
    <definedName name="solver_rsd" localSheetId="101" hidden="1">0</definedName>
    <definedName name="solver_rsd" localSheetId="104" hidden="1">0</definedName>
    <definedName name="solver_rsd" localSheetId="103" hidden="1">0</definedName>
    <definedName name="solver_rsd" localSheetId="106" hidden="1">0</definedName>
    <definedName name="solver_rsd" localSheetId="105" hidden="1">0</definedName>
    <definedName name="solver_rsd" localSheetId="108" hidden="1">0</definedName>
    <definedName name="solver_rsd" localSheetId="107" hidden="1">0</definedName>
    <definedName name="solver_rsd" localSheetId="110" hidden="1">0</definedName>
    <definedName name="solver_rsd" localSheetId="109" hidden="1">0</definedName>
    <definedName name="solver_scl" localSheetId="22" hidden="1">2</definedName>
    <definedName name="solver_scl" localSheetId="21" hidden="1">2</definedName>
    <definedName name="solver_scl" localSheetId="24" hidden="1">2</definedName>
    <definedName name="solver_scl" localSheetId="23" hidden="1">2</definedName>
    <definedName name="solver_scl" localSheetId="26" hidden="1">2</definedName>
    <definedName name="solver_scl" localSheetId="25" hidden="1">2</definedName>
    <definedName name="solver_scl" localSheetId="28" hidden="1">2</definedName>
    <definedName name="solver_scl" localSheetId="27" hidden="1">2</definedName>
    <definedName name="solver_scl" localSheetId="30" hidden="1">2</definedName>
    <definedName name="solver_scl" localSheetId="29" hidden="1">2</definedName>
    <definedName name="solver_scl" localSheetId="32" hidden="1">2</definedName>
    <definedName name="solver_scl" localSheetId="31" hidden="1">2</definedName>
    <definedName name="solver_scl" localSheetId="34" hidden="1">2</definedName>
    <definedName name="solver_scl" localSheetId="33" hidden="1">2</definedName>
    <definedName name="solver_scl" localSheetId="36" hidden="1">2</definedName>
    <definedName name="solver_scl" localSheetId="35" hidden="1">2</definedName>
    <definedName name="solver_scl" localSheetId="20" hidden="1">2</definedName>
    <definedName name="solver_scl" localSheetId="19" hidden="1">2</definedName>
    <definedName name="solver_scl" localSheetId="62" hidden="1">2</definedName>
    <definedName name="solver_scl" localSheetId="61" hidden="1">2</definedName>
    <definedName name="solver_scl" localSheetId="64" hidden="1">2</definedName>
    <definedName name="solver_scl" localSheetId="63" hidden="1">2</definedName>
    <definedName name="solver_scl" localSheetId="66" hidden="1">2</definedName>
    <definedName name="solver_scl" localSheetId="65" hidden="1">2</definedName>
    <definedName name="solver_scl" localSheetId="68" hidden="1">2</definedName>
    <definedName name="solver_scl" localSheetId="67" hidden="1">2</definedName>
    <definedName name="solver_scl" localSheetId="70" hidden="1">2</definedName>
    <definedName name="solver_scl" localSheetId="69" hidden="1">2</definedName>
    <definedName name="solver_scl" localSheetId="72" hidden="1">2</definedName>
    <definedName name="solver_scl" localSheetId="71" hidden="1">2</definedName>
    <definedName name="solver_scl" localSheetId="74" hidden="1">2</definedName>
    <definedName name="solver_scl" localSheetId="73" hidden="1">2</definedName>
    <definedName name="solver_scl" localSheetId="76" hidden="1">2</definedName>
    <definedName name="solver_scl" localSheetId="75" hidden="1">2</definedName>
    <definedName name="solver_scl" localSheetId="58" hidden="1">2</definedName>
    <definedName name="solver_scl" localSheetId="57" hidden="1">2</definedName>
    <definedName name="solver_scl" localSheetId="60" hidden="1">2</definedName>
    <definedName name="solver_scl" localSheetId="59" hidden="1">2</definedName>
    <definedName name="solver_scl" localSheetId="100" hidden="1">2</definedName>
    <definedName name="solver_scl" localSheetId="99" hidden="1">2</definedName>
    <definedName name="solver_scl" localSheetId="102" hidden="1">2</definedName>
    <definedName name="solver_scl" localSheetId="101" hidden="1">2</definedName>
    <definedName name="solver_scl" localSheetId="104" hidden="1">2</definedName>
    <definedName name="solver_scl" localSheetId="103" hidden="1">2</definedName>
    <definedName name="solver_scl" localSheetId="106" hidden="1">2</definedName>
    <definedName name="solver_scl" localSheetId="105" hidden="1">2</definedName>
    <definedName name="solver_scl" localSheetId="108" hidden="1">2</definedName>
    <definedName name="solver_scl" localSheetId="107" hidden="1">2</definedName>
    <definedName name="solver_scl" localSheetId="110" hidden="1">2</definedName>
    <definedName name="solver_scl" localSheetId="109" hidden="1">2</definedName>
    <definedName name="solver_sho" localSheetId="22" hidden="1">2</definedName>
    <definedName name="solver_sho" localSheetId="21" hidden="1">2</definedName>
    <definedName name="solver_sho" localSheetId="24" hidden="1">2</definedName>
    <definedName name="solver_sho" localSheetId="23" hidden="1">2</definedName>
    <definedName name="solver_sho" localSheetId="26" hidden="1">2</definedName>
    <definedName name="solver_sho" localSheetId="25" hidden="1">2</definedName>
    <definedName name="solver_sho" localSheetId="28" hidden="1">2</definedName>
    <definedName name="solver_sho" localSheetId="27" hidden="1">2</definedName>
    <definedName name="solver_sho" localSheetId="30" hidden="1">2</definedName>
    <definedName name="solver_sho" localSheetId="29" hidden="1">2</definedName>
    <definedName name="solver_sho" localSheetId="32" hidden="1">2</definedName>
    <definedName name="solver_sho" localSheetId="31" hidden="1">2</definedName>
    <definedName name="solver_sho" localSheetId="34" hidden="1">2</definedName>
    <definedName name="solver_sho" localSheetId="33" hidden="1">2</definedName>
    <definedName name="solver_sho" localSheetId="36" hidden="1">2</definedName>
    <definedName name="solver_sho" localSheetId="35" hidden="1">2</definedName>
    <definedName name="solver_sho" localSheetId="20" hidden="1">2</definedName>
    <definedName name="solver_sho" localSheetId="19" hidden="1">2</definedName>
    <definedName name="solver_sho" localSheetId="62" hidden="1">2</definedName>
    <definedName name="solver_sho" localSheetId="61" hidden="1">2</definedName>
    <definedName name="solver_sho" localSheetId="64" hidden="1">2</definedName>
    <definedName name="solver_sho" localSheetId="63" hidden="1">2</definedName>
    <definedName name="solver_sho" localSheetId="66" hidden="1">2</definedName>
    <definedName name="solver_sho" localSheetId="65" hidden="1">2</definedName>
    <definedName name="solver_sho" localSheetId="68" hidden="1">2</definedName>
    <definedName name="solver_sho" localSheetId="67" hidden="1">2</definedName>
    <definedName name="solver_sho" localSheetId="70" hidden="1">2</definedName>
    <definedName name="solver_sho" localSheetId="69" hidden="1">2</definedName>
    <definedName name="solver_sho" localSheetId="72" hidden="1">2</definedName>
    <definedName name="solver_sho" localSheetId="71" hidden="1">2</definedName>
    <definedName name="solver_sho" localSheetId="74" hidden="1">2</definedName>
    <definedName name="solver_sho" localSheetId="73" hidden="1">2</definedName>
    <definedName name="solver_sho" localSheetId="76" hidden="1">2</definedName>
    <definedName name="solver_sho" localSheetId="75" hidden="1">2</definedName>
    <definedName name="solver_sho" localSheetId="58" hidden="1">2</definedName>
    <definedName name="solver_sho" localSheetId="57" hidden="1">2</definedName>
    <definedName name="solver_sho" localSheetId="60" hidden="1">2</definedName>
    <definedName name="solver_sho" localSheetId="59" hidden="1">2</definedName>
    <definedName name="solver_sho" localSheetId="100" hidden="1">2</definedName>
    <definedName name="solver_sho" localSheetId="99" hidden="1">2</definedName>
    <definedName name="solver_sho" localSheetId="102" hidden="1">2</definedName>
    <definedName name="solver_sho" localSheetId="101" hidden="1">2</definedName>
    <definedName name="solver_sho" localSheetId="104" hidden="1">2</definedName>
    <definedName name="solver_sho" localSheetId="103" hidden="1">2</definedName>
    <definedName name="solver_sho" localSheetId="106" hidden="1">2</definedName>
    <definedName name="solver_sho" localSheetId="105" hidden="1">2</definedName>
    <definedName name="solver_sho" localSheetId="108" hidden="1">2</definedName>
    <definedName name="solver_sho" localSheetId="107" hidden="1">2</definedName>
    <definedName name="solver_sho" localSheetId="110" hidden="1">2</definedName>
    <definedName name="solver_sho" localSheetId="109" hidden="1">2</definedName>
    <definedName name="solver_ssz" localSheetId="22" hidden="1">100</definedName>
    <definedName name="solver_ssz" localSheetId="21" hidden="1">100</definedName>
    <definedName name="solver_ssz" localSheetId="24" hidden="1">100</definedName>
    <definedName name="solver_ssz" localSheetId="23" hidden="1">100</definedName>
    <definedName name="solver_ssz" localSheetId="26" hidden="1">100</definedName>
    <definedName name="solver_ssz" localSheetId="25" hidden="1">100</definedName>
    <definedName name="solver_ssz" localSheetId="28" hidden="1">100</definedName>
    <definedName name="solver_ssz" localSheetId="27" hidden="1">100</definedName>
    <definedName name="solver_ssz" localSheetId="30" hidden="1">100</definedName>
    <definedName name="solver_ssz" localSheetId="29" hidden="1">100</definedName>
    <definedName name="solver_ssz" localSheetId="32" hidden="1">100</definedName>
    <definedName name="solver_ssz" localSheetId="31" hidden="1">100</definedName>
    <definedName name="solver_ssz" localSheetId="34" hidden="1">100</definedName>
    <definedName name="solver_ssz" localSheetId="33" hidden="1">100</definedName>
    <definedName name="solver_ssz" localSheetId="36" hidden="1">100</definedName>
    <definedName name="solver_ssz" localSheetId="35" hidden="1">100</definedName>
    <definedName name="solver_ssz" localSheetId="20" hidden="1">100</definedName>
    <definedName name="solver_ssz" localSheetId="19" hidden="1">100</definedName>
    <definedName name="solver_ssz" localSheetId="62" hidden="1">100</definedName>
    <definedName name="solver_ssz" localSheetId="61" hidden="1">100</definedName>
    <definedName name="solver_ssz" localSheetId="64" hidden="1">100</definedName>
    <definedName name="solver_ssz" localSheetId="63" hidden="1">100</definedName>
    <definedName name="solver_ssz" localSheetId="66" hidden="1">100</definedName>
    <definedName name="solver_ssz" localSheetId="65" hidden="1">100</definedName>
    <definedName name="solver_ssz" localSheetId="68" hidden="1">100</definedName>
    <definedName name="solver_ssz" localSheetId="67" hidden="1">100</definedName>
    <definedName name="solver_ssz" localSheetId="70" hidden="1">100</definedName>
    <definedName name="solver_ssz" localSheetId="69" hidden="1">100</definedName>
    <definedName name="solver_ssz" localSheetId="72" hidden="1">100</definedName>
    <definedName name="solver_ssz" localSheetId="71" hidden="1">100</definedName>
    <definedName name="solver_ssz" localSheetId="74" hidden="1">100</definedName>
    <definedName name="solver_ssz" localSheetId="73" hidden="1">100</definedName>
    <definedName name="solver_ssz" localSheetId="76" hidden="1">100</definedName>
    <definedName name="solver_ssz" localSheetId="75" hidden="1">100</definedName>
    <definedName name="solver_ssz" localSheetId="58" hidden="1">100</definedName>
    <definedName name="solver_ssz" localSheetId="57" hidden="1">100</definedName>
    <definedName name="solver_ssz" localSheetId="60" hidden="1">100</definedName>
    <definedName name="solver_ssz" localSheetId="59" hidden="1">100</definedName>
    <definedName name="solver_ssz" localSheetId="100" hidden="1">100</definedName>
    <definedName name="solver_ssz" localSheetId="99" hidden="1">100</definedName>
    <definedName name="solver_ssz" localSheetId="102" hidden="1">100</definedName>
    <definedName name="solver_ssz" localSheetId="101" hidden="1">100</definedName>
    <definedName name="solver_ssz" localSheetId="104" hidden="1">100</definedName>
    <definedName name="solver_ssz" localSheetId="103" hidden="1">100</definedName>
    <definedName name="solver_ssz" localSheetId="106" hidden="1">100</definedName>
    <definedName name="solver_ssz" localSheetId="105" hidden="1">100</definedName>
    <definedName name="solver_ssz" localSheetId="108" hidden="1">100</definedName>
    <definedName name="solver_ssz" localSheetId="107" hidden="1">100</definedName>
    <definedName name="solver_ssz" localSheetId="110" hidden="1">100</definedName>
    <definedName name="solver_ssz" localSheetId="109" hidden="1">100</definedName>
    <definedName name="solver_tim" localSheetId="22" hidden="1">2147483647</definedName>
    <definedName name="solver_tim" localSheetId="21" hidden="1">2147483647</definedName>
    <definedName name="solver_tim" localSheetId="24" hidden="1">2147483647</definedName>
    <definedName name="solver_tim" localSheetId="23" hidden="1">2147483647</definedName>
    <definedName name="solver_tim" localSheetId="26" hidden="1">2147483647</definedName>
    <definedName name="solver_tim" localSheetId="25" hidden="1">2147483647</definedName>
    <definedName name="solver_tim" localSheetId="28" hidden="1">2147483647</definedName>
    <definedName name="solver_tim" localSheetId="27" hidden="1">2147483647</definedName>
    <definedName name="solver_tim" localSheetId="30" hidden="1">2147483647</definedName>
    <definedName name="solver_tim" localSheetId="29" hidden="1">2147483647</definedName>
    <definedName name="solver_tim" localSheetId="32" hidden="1">2147483647</definedName>
    <definedName name="solver_tim" localSheetId="31" hidden="1">2147483647</definedName>
    <definedName name="solver_tim" localSheetId="34" hidden="1">2147483647</definedName>
    <definedName name="solver_tim" localSheetId="33" hidden="1">2147483647</definedName>
    <definedName name="solver_tim" localSheetId="36" hidden="1">2147483647</definedName>
    <definedName name="solver_tim" localSheetId="35" hidden="1">2147483647</definedName>
    <definedName name="solver_tim" localSheetId="20" hidden="1">2147483647</definedName>
    <definedName name="solver_tim" localSheetId="19" hidden="1">2147483647</definedName>
    <definedName name="solver_tim" localSheetId="62" hidden="1">2147483647</definedName>
    <definedName name="solver_tim" localSheetId="61" hidden="1">2147483647</definedName>
    <definedName name="solver_tim" localSheetId="64" hidden="1">2147483647</definedName>
    <definedName name="solver_tim" localSheetId="63" hidden="1">2147483647</definedName>
    <definedName name="solver_tim" localSheetId="66" hidden="1">2147483647</definedName>
    <definedName name="solver_tim" localSheetId="65" hidden="1">2147483647</definedName>
    <definedName name="solver_tim" localSheetId="68" hidden="1">2147483647</definedName>
    <definedName name="solver_tim" localSheetId="67" hidden="1">2147483647</definedName>
    <definedName name="solver_tim" localSheetId="70" hidden="1">2147483647</definedName>
    <definedName name="solver_tim" localSheetId="69" hidden="1">2147483647</definedName>
    <definedName name="solver_tim" localSheetId="72" hidden="1">2147483647</definedName>
    <definedName name="solver_tim" localSheetId="71" hidden="1">2147483647</definedName>
    <definedName name="solver_tim" localSheetId="74" hidden="1">2147483647</definedName>
    <definedName name="solver_tim" localSheetId="73" hidden="1">2147483647</definedName>
    <definedName name="solver_tim" localSheetId="76" hidden="1">2147483647</definedName>
    <definedName name="solver_tim" localSheetId="75" hidden="1">2147483647</definedName>
    <definedName name="solver_tim" localSheetId="58" hidden="1">2147483647</definedName>
    <definedName name="solver_tim" localSheetId="57" hidden="1">2147483647</definedName>
    <definedName name="solver_tim" localSheetId="60" hidden="1">2147483647</definedName>
    <definedName name="solver_tim" localSheetId="59" hidden="1">2147483647</definedName>
    <definedName name="solver_tim" localSheetId="100" hidden="1">2147483647</definedName>
    <definedName name="solver_tim" localSheetId="99" hidden="1">2147483647</definedName>
    <definedName name="solver_tim" localSheetId="102" hidden="1">2147483647</definedName>
    <definedName name="solver_tim" localSheetId="101" hidden="1">2147483647</definedName>
    <definedName name="solver_tim" localSheetId="104" hidden="1">2147483647</definedName>
    <definedName name="solver_tim" localSheetId="103" hidden="1">2147483647</definedName>
    <definedName name="solver_tim" localSheetId="106" hidden="1">2147483647</definedName>
    <definedName name="solver_tim" localSheetId="105" hidden="1">2147483647</definedName>
    <definedName name="solver_tim" localSheetId="108" hidden="1">2147483647</definedName>
    <definedName name="solver_tim" localSheetId="107" hidden="1">2147483647</definedName>
    <definedName name="solver_tim" localSheetId="110" hidden="1">2147483647</definedName>
    <definedName name="solver_tim" localSheetId="109" hidden="1">2147483647</definedName>
    <definedName name="solver_tol" localSheetId="22" hidden="1">0.01</definedName>
    <definedName name="solver_tol" localSheetId="21" hidden="1">0.01</definedName>
    <definedName name="solver_tol" localSheetId="24" hidden="1">0.01</definedName>
    <definedName name="solver_tol" localSheetId="23" hidden="1">0.01</definedName>
    <definedName name="solver_tol" localSheetId="26" hidden="1">0.01</definedName>
    <definedName name="solver_tol" localSheetId="25" hidden="1">0.01</definedName>
    <definedName name="solver_tol" localSheetId="28" hidden="1">0.01</definedName>
    <definedName name="solver_tol" localSheetId="27" hidden="1">0.01</definedName>
    <definedName name="solver_tol" localSheetId="30" hidden="1">0.01</definedName>
    <definedName name="solver_tol" localSheetId="29" hidden="1">0.01</definedName>
    <definedName name="solver_tol" localSheetId="32" hidden="1">0.01</definedName>
    <definedName name="solver_tol" localSheetId="31" hidden="1">0.01</definedName>
    <definedName name="solver_tol" localSheetId="34" hidden="1">0.01</definedName>
    <definedName name="solver_tol" localSheetId="33" hidden="1">0.01</definedName>
    <definedName name="solver_tol" localSheetId="36" hidden="1">0.01</definedName>
    <definedName name="solver_tol" localSheetId="35" hidden="1">0.01</definedName>
    <definedName name="solver_tol" localSheetId="20" hidden="1">0.01</definedName>
    <definedName name="solver_tol" localSheetId="19" hidden="1">0.01</definedName>
    <definedName name="solver_tol" localSheetId="62" hidden="1">0.01</definedName>
    <definedName name="solver_tol" localSheetId="61" hidden="1">0.01</definedName>
    <definedName name="solver_tol" localSheetId="64" hidden="1">0.01</definedName>
    <definedName name="solver_tol" localSheetId="63" hidden="1">0.01</definedName>
    <definedName name="solver_tol" localSheetId="66" hidden="1">0.01</definedName>
    <definedName name="solver_tol" localSheetId="65" hidden="1">0.01</definedName>
    <definedName name="solver_tol" localSheetId="68" hidden="1">0.01</definedName>
    <definedName name="solver_tol" localSheetId="67" hidden="1">0.01</definedName>
    <definedName name="solver_tol" localSheetId="70" hidden="1">0.01</definedName>
    <definedName name="solver_tol" localSheetId="69" hidden="1">0.01</definedName>
    <definedName name="solver_tol" localSheetId="72" hidden="1">0.01</definedName>
    <definedName name="solver_tol" localSheetId="71" hidden="1">0.01</definedName>
    <definedName name="solver_tol" localSheetId="74" hidden="1">0.01</definedName>
    <definedName name="solver_tol" localSheetId="73" hidden="1">0.01</definedName>
    <definedName name="solver_tol" localSheetId="76" hidden="1">0.01</definedName>
    <definedName name="solver_tol" localSheetId="75" hidden="1">0.01</definedName>
    <definedName name="solver_tol" localSheetId="58" hidden="1">0.01</definedName>
    <definedName name="solver_tol" localSheetId="57" hidden="1">0.01</definedName>
    <definedName name="solver_tol" localSheetId="60" hidden="1">0.01</definedName>
    <definedName name="solver_tol" localSheetId="59" hidden="1">0.01</definedName>
    <definedName name="solver_tol" localSheetId="100" hidden="1">0.01</definedName>
    <definedName name="solver_tol" localSheetId="99" hidden="1">0.01</definedName>
    <definedName name="solver_tol" localSheetId="102" hidden="1">0.01</definedName>
    <definedName name="solver_tol" localSheetId="101" hidden="1">0.01</definedName>
    <definedName name="solver_tol" localSheetId="104" hidden="1">0.01</definedName>
    <definedName name="solver_tol" localSheetId="103" hidden="1">0.01</definedName>
    <definedName name="solver_tol" localSheetId="106" hidden="1">0.01</definedName>
    <definedName name="solver_tol" localSheetId="105" hidden="1">0.01</definedName>
    <definedName name="solver_tol" localSheetId="108" hidden="1">0.01</definedName>
    <definedName name="solver_tol" localSheetId="107" hidden="1">0.01</definedName>
    <definedName name="solver_tol" localSheetId="110" hidden="1">0.01</definedName>
    <definedName name="solver_tol" localSheetId="109" hidden="1">0.01</definedName>
    <definedName name="solver_typ" localSheetId="22" hidden="1">3</definedName>
    <definedName name="solver_typ" localSheetId="21" hidden="1">3</definedName>
    <definedName name="solver_typ" localSheetId="24" hidden="1">3</definedName>
    <definedName name="solver_typ" localSheetId="23" hidden="1">3</definedName>
    <definedName name="solver_typ" localSheetId="26" hidden="1">3</definedName>
    <definedName name="solver_typ" localSheetId="25" hidden="1">3</definedName>
    <definedName name="solver_typ" localSheetId="28" hidden="1">3</definedName>
    <definedName name="solver_typ" localSheetId="27" hidden="1">3</definedName>
    <definedName name="solver_typ" localSheetId="30" hidden="1">3</definedName>
    <definedName name="solver_typ" localSheetId="29" hidden="1">3</definedName>
    <definedName name="solver_typ" localSheetId="32" hidden="1">3</definedName>
    <definedName name="solver_typ" localSheetId="31" hidden="1">3</definedName>
    <definedName name="solver_typ" localSheetId="34" hidden="1">3</definedName>
    <definedName name="solver_typ" localSheetId="33" hidden="1">3</definedName>
    <definedName name="solver_typ" localSheetId="36" hidden="1">3</definedName>
    <definedName name="solver_typ" localSheetId="35" hidden="1">3</definedName>
    <definedName name="solver_typ" localSheetId="20" hidden="1">3</definedName>
    <definedName name="solver_typ" localSheetId="19" hidden="1">3</definedName>
    <definedName name="solver_typ" localSheetId="62" hidden="1">3</definedName>
    <definedName name="solver_typ" localSheetId="61" hidden="1">3</definedName>
    <definedName name="solver_typ" localSheetId="64" hidden="1">3</definedName>
    <definedName name="solver_typ" localSheetId="63" hidden="1">3</definedName>
    <definedName name="solver_typ" localSheetId="66" hidden="1">3</definedName>
    <definedName name="solver_typ" localSheetId="65" hidden="1">3</definedName>
    <definedName name="solver_typ" localSheetId="68" hidden="1">3</definedName>
    <definedName name="solver_typ" localSheetId="67" hidden="1">3</definedName>
    <definedName name="solver_typ" localSheetId="70" hidden="1">3</definedName>
    <definedName name="solver_typ" localSheetId="69" hidden="1">3</definedName>
    <definedName name="solver_typ" localSheetId="72" hidden="1">3</definedName>
    <definedName name="solver_typ" localSheetId="71" hidden="1">3</definedName>
    <definedName name="solver_typ" localSheetId="74" hidden="1">3</definedName>
    <definedName name="solver_typ" localSheetId="73" hidden="1">3</definedName>
    <definedName name="solver_typ" localSheetId="76" hidden="1">3</definedName>
    <definedName name="solver_typ" localSheetId="75" hidden="1">3</definedName>
    <definedName name="solver_typ" localSheetId="58" hidden="1">3</definedName>
    <definedName name="solver_typ" localSheetId="57" hidden="1">3</definedName>
    <definedName name="solver_typ" localSheetId="60" hidden="1">3</definedName>
    <definedName name="solver_typ" localSheetId="59" hidden="1">3</definedName>
    <definedName name="solver_typ" localSheetId="100" hidden="1">3</definedName>
    <definedName name="solver_typ" localSheetId="99" hidden="1">3</definedName>
    <definedName name="solver_typ" localSheetId="102" hidden="1">3</definedName>
    <definedName name="solver_typ" localSheetId="101" hidden="1">3</definedName>
    <definedName name="solver_typ" localSheetId="104" hidden="1">3</definedName>
    <definedName name="solver_typ" localSheetId="103" hidden="1">3</definedName>
    <definedName name="solver_typ" localSheetId="106" hidden="1">3</definedName>
    <definedName name="solver_typ" localSheetId="105" hidden="1">3</definedName>
    <definedName name="solver_typ" localSheetId="108" hidden="1">3</definedName>
    <definedName name="solver_typ" localSheetId="107" hidden="1">3</definedName>
    <definedName name="solver_typ" localSheetId="110" hidden="1">3</definedName>
    <definedName name="solver_typ" localSheetId="109" hidden="1">3</definedName>
    <definedName name="solver_val" localSheetId="22" hidden="1">0</definedName>
    <definedName name="solver_val" localSheetId="21" hidden="1">0</definedName>
    <definedName name="solver_val" localSheetId="24" hidden="1">0</definedName>
    <definedName name="solver_val" localSheetId="23" hidden="1">0</definedName>
    <definedName name="solver_val" localSheetId="26" hidden="1">0</definedName>
    <definedName name="solver_val" localSheetId="25" hidden="1">0</definedName>
    <definedName name="solver_val" localSheetId="28" hidden="1">0</definedName>
    <definedName name="solver_val" localSheetId="27" hidden="1">0</definedName>
    <definedName name="solver_val" localSheetId="30" hidden="1">0</definedName>
    <definedName name="solver_val" localSheetId="29" hidden="1">0</definedName>
    <definedName name="solver_val" localSheetId="32" hidden="1">0</definedName>
    <definedName name="solver_val" localSheetId="31" hidden="1">0</definedName>
    <definedName name="solver_val" localSheetId="34" hidden="1">0</definedName>
    <definedName name="solver_val" localSheetId="33" hidden="1">0</definedName>
    <definedName name="solver_val" localSheetId="36" hidden="1">0</definedName>
    <definedName name="solver_val" localSheetId="35" hidden="1">0</definedName>
    <definedName name="solver_val" localSheetId="20" hidden="1">0</definedName>
    <definedName name="solver_val" localSheetId="19" hidden="1">0</definedName>
    <definedName name="solver_val" localSheetId="62" hidden="1">0</definedName>
    <definedName name="solver_val" localSheetId="61" hidden="1">0</definedName>
    <definedName name="solver_val" localSheetId="64" hidden="1">0</definedName>
    <definedName name="solver_val" localSheetId="63" hidden="1">0</definedName>
    <definedName name="solver_val" localSheetId="66" hidden="1">0</definedName>
    <definedName name="solver_val" localSheetId="65" hidden="1">0</definedName>
    <definedName name="solver_val" localSheetId="68" hidden="1">0</definedName>
    <definedName name="solver_val" localSheetId="67" hidden="1">0</definedName>
    <definedName name="solver_val" localSheetId="70" hidden="1">0</definedName>
    <definedName name="solver_val" localSheetId="69" hidden="1">0</definedName>
    <definedName name="solver_val" localSheetId="72" hidden="1">0</definedName>
    <definedName name="solver_val" localSheetId="71" hidden="1">0</definedName>
    <definedName name="solver_val" localSheetId="74" hidden="1">0</definedName>
    <definedName name="solver_val" localSheetId="73" hidden="1">0</definedName>
    <definedName name="solver_val" localSheetId="76" hidden="1">0</definedName>
    <definedName name="solver_val" localSheetId="75" hidden="1">0</definedName>
    <definedName name="solver_val" localSheetId="58" hidden="1">0</definedName>
    <definedName name="solver_val" localSheetId="57" hidden="1">0</definedName>
    <definedName name="solver_val" localSheetId="60" hidden="1">0</definedName>
    <definedName name="solver_val" localSheetId="59" hidden="1">0</definedName>
    <definedName name="solver_val" localSheetId="100" hidden="1">0</definedName>
    <definedName name="solver_val" localSheetId="99" hidden="1">0</definedName>
    <definedName name="solver_val" localSheetId="102" hidden="1">0</definedName>
    <definedName name="solver_val" localSheetId="101" hidden="1">0</definedName>
    <definedName name="solver_val" localSheetId="104" hidden="1">0</definedName>
    <definedName name="solver_val" localSheetId="103" hidden="1">0</definedName>
    <definedName name="solver_val" localSheetId="106" hidden="1">0</definedName>
    <definedName name="solver_val" localSheetId="105" hidden="1">0</definedName>
    <definedName name="solver_val" localSheetId="108" hidden="1">0</definedName>
    <definedName name="solver_val" localSheetId="107" hidden="1">0</definedName>
    <definedName name="solver_val" localSheetId="110" hidden="1">0</definedName>
    <definedName name="solver_val" localSheetId="109" hidden="1">0</definedName>
    <definedName name="solver_ver" localSheetId="22" hidden="1">3</definedName>
    <definedName name="solver_ver" localSheetId="21" hidden="1">3</definedName>
    <definedName name="solver_ver" localSheetId="24" hidden="1">3</definedName>
    <definedName name="solver_ver" localSheetId="23" hidden="1">3</definedName>
    <definedName name="solver_ver" localSheetId="26" hidden="1">3</definedName>
    <definedName name="solver_ver" localSheetId="25" hidden="1">3</definedName>
    <definedName name="solver_ver" localSheetId="28" hidden="1">3</definedName>
    <definedName name="solver_ver" localSheetId="27" hidden="1">3</definedName>
    <definedName name="solver_ver" localSheetId="30" hidden="1">3</definedName>
    <definedName name="solver_ver" localSheetId="29" hidden="1">3</definedName>
    <definedName name="solver_ver" localSheetId="32" hidden="1">3</definedName>
    <definedName name="solver_ver" localSheetId="31" hidden="1">3</definedName>
    <definedName name="solver_ver" localSheetId="34" hidden="1">3</definedName>
    <definedName name="solver_ver" localSheetId="33" hidden="1">3</definedName>
    <definedName name="solver_ver" localSheetId="36" hidden="1">3</definedName>
    <definedName name="solver_ver" localSheetId="35" hidden="1">3</definedName>
    <definedName name="solver_ver" localSheetId="20" hidden="1">3</definedName>
    <definedName name="solver_ver" localSheetId="19" hidden="1">3</definedName>
    <definedName name="solver_ver" localSheetId="62" hidden="1">3</definedName>
    <definedName name="solver_ver" localSheetId="61" hidden="1">3</definedName>
    <definedName name="solver_ver" localSheetId="64" hidden="1">3</definedName>
    <definedName name="solver_ver" localSheetId="63" hidden="1">3</definedName>
    <definedName name="solver_ver" localSheetId="66" hidden="1">3</definedName>
    <definedName name="solver_ver" localSheetId="65" hidden="1">3</definedName>
    <definedName name="solver_ver" localSheetId="68" hidden="1">3</definedName>
    <definedName name="solver_ver" localSheetId="67" hidden="1">3</definedName>
    <definedName name="solver_ver" localSheetId="70" hidden="1">3</definedName>
    <definedName name="solver_ver" localSheetId="69" hidden="1">3</definedName>
    <definedName name="solver_ver" localSheetId="72" hidden="1">3</definedName>
    <definedName name="solver_ver" localSheetId="71" hidden="1">3</definedName>
    <definedName name="solver_ver" localSheetId="74" hidden="1">3</definedName>
    <definedName name="solver_ver" localSheetId="73" hidden="1">3</definedName>
    <definedName name="solver_ver" localSheetId="76" hidden="1">3</definedName>
    <definedName name="solver_ver" localSheetId="75" hidden="1">3</definedName>
    <definedName name="solver_ver" localSheetId="58" hidden="1">3</definedName>
    <definedName name="solver_ver" localSheetId="57" hidden="1">3</definedName>
    <definedName name="solver_ver" localSheetId="60" hidden="1">3</definedName>
    <definedName name="solver_ver" localSheetId="59" hidden="1">3</definedName>
    <definedName name="solver_ver" localSheetId="100" hidden="1">3</definedName>
    <definedName name="solver_ver" localSheetId="99" hidden="1">3</definedName>
    <definedName name="solver_ver" localSheetId="102" hidden="1">3</definedName>
    <definedName name="solver_ver" localSheetId="101" hidden="1">3</definedName>
    <definedName name="solver_ver" localSheetId="104" hidden="1">3</definedName>
    <definedName name="solver_ver" localSheetId="103" hidden="1">3</definedName>
    <definedName name="solver_ver" localSheetId="106" hidden="1">3</definedName>
    <definedName name="solver_ver" localSheetId="105" hidden="1">3</definedName>
    <definedName name="solver_ver" localSheetId="108" hidden="1">3</definedName>
    <definedName name="solver_ver" localSheetId="107" hidden="1">3</definedName>
    <definedName name="solver_ver" localSheetId="110" hidden="1">3</definedName>
    <definedName name="solver_ver" localSheetId="109" hidden="1">3</definedName>
    <definedName name="usa" localSheetId="20">#REF!</definedName>
    <definedName name="usa" localSheetId="19">#REF!</definedName>
    <definedName name="usa" localSheetId="39">#REF!</definedName>
    <definedName name="usa" localSheetId="38">#REF!</definedName>
    <definedName name="usa" localSheetId="11">#REF!</definedName>
    <definedName name="usa" localSheetId="58">#REF!</definedName>
    <definedName name="usa" localSheetId="57">#REF!</definedName>
    <definedName name="usa" localSheetId="60">#REF!</definedName>
    <definedName name="usa" localSheetId="59">#REF!</definedName>
    <definedName name="usa" localSheetId="79">#REF!</definedName>
    <definedName name="usa" localSheetId="78">#REF!</definedName>
    <definedName name="usa" localSheetId="81">#REF!</definedName>
    <definedName name="usa" localSheetId="80">#REF!</definedName>
    <definedName name="usa" localSheetId="102">#REF!</definedName>
    <definedName name="usa" localSheetId="101">#REF!</definedName>
    <definedName name="usa" localSheetId="104">#REF!</definedName>
    <definedName name="usa" localSheetId="103">#REF!</definedName>
    <definedName name="usa" localSheetId="106">#REF!</definedName>
    <definedName name="usa" localSheetId="105">#REF!</definedName>
    <definedName name="usa" localSheetId="108">#REF!</definedName>
    <definedName name="usa" localSheetId="107">#REF!</definedName>
    <definedName name="usa" localSheetId="110">#REF!</definedName>
    <definedName name="usa" localSheetId="109">#REF!</definedName>
    <definedName name="usa" localSheetId="114">#REF!</definedName>
    <definedName name="usa" localSheetId="113">#REF!</definedName>
    <definedName name="usa" localSheetId="116">#REF!</definedName>
    <definedName name="usa" localSheetId="115">#REF!</definedName>
    <definedName name="usa" localSheetId="118">#REF!</definedName>
    <definedName name="usa" localSheetId="117">#REF!</definedName>
    <definedName name="usa" localSheetId="120">#REF!</definedName>
    <definedName name="usa" localSheetId="119">#REF!</definedName>
    <definedName name="usa" localSheetId="122">#REF!</definedName>
    <definedName name="usa" localSheetId="121">#REF!</definedName>
    <definedName name="us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16" l="1"/>
  <c r="D7" i="16"/>
  <c r="AC3" i="134"/>
  <c r="AC4" i="134"/>
  <c r="AC5" i="134"/>
  <c r="AC6" i="134"/>
  <c r="AC7" i="134"/>
  <c r="AC8" i="134"/>
  <c r="AC9" i="134"/>
  <c r="AC10" i="134"/>
  <c r="AC11" i="134"/>
  <c r="AC12" i="134"/>
  <c r="AC13" i="134"/>
  <c r="AC14" i="134"/>
  <c r="AC15" i="134"/>
  <c r="AC16" i="134"/>
  <c r="AC17" i="134"/>
  <c r="AC18" i="134"/>
  <c r="AC19" i="134"/>
  <c r="AC20" i="134"/>
  <c r="AC21" i="134"/>
  <c r="AC22" i="134"/>
  <c r="AC23" i="134"/>
  <c r="AC24" i="134"/>
  <c r="AC25" i="134"/>
  <c r="AC26" i="134"/>
  <c r="AC27" i="134"/>
  <c r="AC28" i="134"/>
  <c r="AC29" i="134"/>
  <c r="AC30" i="134"/>
  <c r="AC31" i="134"/>
  <c r="AC32" i="134"/>
  <c r="AC33" i="134"/>
  <c r="AC34" i="134"/>
  <c r="AC35" i="134"/>
  <c r="AC36" i="134"/>
  <c r="AC37" i="134"/>
  <c r="AC38" i="134"/>
  <c r="AC39" i="134"/>
  <c r="AC40" i="134"/>
  <c r="AC41" i="134"/>
  <c r="AC42" i="134"/>
  <c r="AC43" i="134"/>
  <c r="AC44" i="134"/>
  <c r="AC45" i="134"/>
  <c r="AC46" i="134"/>
  <c r="AC47" i="134"/>
  <c r="AC48" i="134"/>
  <c r="AC49" i="134"/>
  <c r="AC50" i="134"/>
  <c r="AC51" i="134"/>
  <c r="AC52" i="134"/>
  <c r="AC53" i="134"/>
  <c r="AC54" i="134"/>
  <c r="AC55" i="134"/>
  <c r="AC56" i="134"/>
  <c r="AC57" i="134"/>
  <c r="AC58" i="134"/>
  <c r="AC59" i="134"/>
  <c r="AC60" i="134"/>
  <c r="AC61" i="134"/>
  <c r="AC62" i="134"/>
  <c r="AC63" i="134"/>
  <c r="AC64" i="134"/>
  <c r="AC65" i="134"/>
  <c r="AC66" i="134"/>
  <c r="AC67" i="134"/>
  <c r="AC68" i="134"/>
  <c r="AC69" i="134"/>
  <c r="AC70" i="134"/>
  <c r="AC71" i="134"/>
  <c r="AC72" i="134"/>
  <c r="AC73" i="134"/>
  <c r="AC74" i="134"/>
  <c r="AC75" i="134"/>
  <c r="AC76" i="134"/>
  <c r="AC77" i="134"/>
  <c r="AC78" i="134"/>
  <c r="AC79" i="134"/>
  <c r="AC80" i="134"/>
  <c r="AC81" i="134"/>
  <c r="AC82" i="134"/>
  <c r="AC83" i="134"/>
  <c r="AC84" i="134"/>
  <c r="AC85" i="134"/>
  <c r="AC86" i="134"/>
  <c r="AC87" i="134"/>
  <c r="AC88" i="134"/>
  <c r="AC89" i="134"/>
  <c r="AC90" i="134"/>
  <c r="AC91" i="134"/>
  <c r="AC92" i="134"/>
  <c r="AC93" i="134"/>
  <c r="AC94" i="134"/>
  <c r="AC95" i="134"/>
  <c r="AC96" i="134"/>
  <c r="AC97" i="134"/>
  <c r="AC98" i="134"/>
  <c r="AC99" i="134"/>
  <c r="AC100" i="134"/>
  <c r="AC101" i="134"/>
  <c r="AC102" i="134"/>
  <c r="AC103" i="134"/>
  <c r="AC104" i="134"/>
  <c r="AC105" i="134"/>
  <c r="AC106" i="134"/>
  <c r="AC107" i="134"/>
  <c r="AC108" i="134"/>
  <c r="AC109" i="134"/>
  <c r="AC110" i="134"/>
  <c r="AC111" i="134"/>
  <c r="AC112" i="134"/>
  <c r="AC113" i="134"/>
  <c r="AC114" i="134"/>
  <c r="AC115" i="134"/>
  <c r="AC116" i="134"/>
  <c r="AC117" i="134"/>
  <c r="AC118" i="134"/>
  <c r="AC119" i="134"/>
  <c r="AC120" i="134"/>
  <c r="AC121" i="134"/>
  <c r="AC122" i="134"/>
  <c r="AC123" i="134"/>
  <c r="AC124" i="134"/>
  <c r="AC125" i="134"/>
  <c r="AC126" i="134"/>
  <c r="AC127" i="134"/>
  <c r="AC128" i="134"/>
  <c r="AC129" i="134"/>
  <c r="AC130" i="134"/>
  <c r="AC131" i="134"/>
  <c r="AC132" i="134"/>
  <c r="AC133" i="134"/>
  <c r="AC134" i="134"/>
  <c r="AC135" i="134"/>
  <c r="AC136" i="134"/>
  <c r="AC137" i="134"/>
  <c r="AC138" i="134"/>
  <c r="AC139" i="134"/>
  <c r="AC140" i="134"/>
  <c r="AC141" i="134"/>
  <c r="AC142" i="134"/>
  <c r="AC143" i="134"/>
  <c r="AC144" i="134"/>
  <c r="AC145" i="134"/>
  <c r="AC146" i="134"/>
  <c r="AC147" i="134"/>
  <c r="AC148" i="134"/>
  <c r="AC149" i="134"/>
  <c r="AC150" i="134"/>
  <c r="AC151" i="134"/>
  <c r="AC152" i="134"/>
  <c r="AC153" i="134"/>
  <c r="AC154" i="134"/>
  <c r="AC155" i="134"/>
  <c r="AC156" i="134"/>
  <c r="Z3" i="134"/>
  <c r="Z4" i="134"/>
  <c r="Z5" i="134"/>
  <c r="Z6" i="134"/>
  <c r="Z7" i="134"/>
  <c r="Z8" i="134"/>
  <c r="Z9" i="134"/>
  <c r="Z10" i="134"/>
  <c r="Z11" i="134"/>
  <c r="Z12" i="134"/>
  <c r="Z13" i="134"/>
  <c r="Z14" i="134"/>
  <c r="Z15" i="134"/>
  <c r="Z16" i="134"/>
  <c r="Z17" i="134"/>
  <c r="Z18" i="134"/>
  <c r="Z19" i="134"/>
  <c r="Z20" i="134"/>
  <c r="Z21" i="134"/>
  <c r="Z22" i="134"/>
  <c r="Z23" i="134"/>
  <c r="Z24" i="134"/>
  <c r="Z25" i="134"/>
  <c r="Z26" i="134"/>
  <c r="Z27" i="134"/>
  <c r="Z28" i="134"/>
  <c r="Z29" i="134"/>
  <c r="Z30" i="134"/>
  <c r="Z31" i="134"/>
  <c r="Z32" i="134"/>
  <c r="Z33" i="134"/>
  <c r="Z34" i="134"/>
  <c r="Z35" i="134"/>
  <c r="Z36" i="134"/>
  <c r="Z37" i="134"/>
  <c r="Z38" i="134"/>
  <c r="Z39" i="134"/>
  <c r="Z40" i="134"/>
  <c r="Z41" i="134"/>
  <c r="Z42" i="134"/>
  <c r="Z43" i="134"/>
  <c r="Z44" i="134"/>
  <c r="Z45" i="134"/>
  <c r="Z46" i="134"/>
  <c r="Z47" i="134"/>
  <c r="Z48" i="134"/>
  <c r="Z49" i="134"/>
  <c r="Z50" i="134"/>
  <c r="Z51" i="134"/>
  <c r="Z52" i="134"/>
  <c r="Z53" i="134"/>
  <c r="Z54" i="134"/>
  <c r="Z55" i="134"/>
  <c r="Z56" i="134"/>
  <c r="Z57" i="134"/>
  <c r="Z58" i="134"/>
  <c r="Z59" i="134"/>
  <c r="Z60" i="134"/>
  <c r="Z61" i="134"/>
  <c r="Z62" i="134"/>
  <c r="Z63" i="134"/>
  <c r="Z64" i="134"/>
  <c r="Z65" i="134"/>
  <c r="Z66" i="134"/>
  <c r="Z67" i="134"/>
  <c r="Z68" i="134"/>
  <c r="Z69" i="134"/>
  <c r="Z70" i="134"/>
  <c r="Z71" i="134"/>
  <c r="Z72" i="134"/>
  <c r="Z73" i="134"/>
  <c r="Z74" i="134"/>
  <c r="Z75" i="134"/>
  <c r="Z76" i="134"/>
  <c r="Z77" i="134"/>
  <c r="Z78" i="134"/>
  <c r="Z79" i="134"/>
  <c r="Z80" i="134"/>
  <c r="Z81" i="134"/>
  <c r="Z82" i="134"/>
  <c r="Z83" i="134"/>
  <c r="Z84" i="134"/>
  <c r="Z85" i="134"/>
  <c r="Z86" i="134"/>
  <c r="Z87" i="134"/>
  <c r="Z88" i="134"/>
  <c r="Z89" i="134"/>
  <c r="Z90" i="134"/>
  <c r="Z91" i="134"/>
  <c r="Z92" i="134"/>
  <c r="Z93" i="134"/>
  <c r="Z94" i="134"/>
  <c r="Z95" i="134"/>
  <c r="Z96" i="134"/>
  <c r="D16" i="16" s="1"/>
  <c r="Z97" i="134"/>
  <c r="Z98" i="134"/>
  <c r="Z99" i="134"/>
  <c r="Z100" i="134"/>
  <c r="Z101" i="134"/>
  <c r="Z102" i="134"/>
  <c r="Z103" i="134"/>
  <c r="Z104" i="134"/>
  <c r="Z105" i="134"/>
  <c r="Z106" i="134"/>
  <c r="Z107" i="134"/>
  <c r="Z108" i="134"/>
  <c r="Z109" i="134"/>
  <c r="Z110" i="134"/>
  <c r="Z111" i="134"/>
  <c r="Z112" i="134"/>
  <c r="Z113" i="134"/>
  <c r="Z114" i="134"/>
  <c r="Z115" i="134"/>
  <c r="Z116" i="134"/>
  <c r="Z117" i="134"/>
  <c r="Z118" i="134"/>
  <c r="Z119" i="134"/>
  <c r="Z120" i="134"/>
  <c r="Z121" i="134"/>
  <c r="Z122" i="134"/>
  <c r="Z123" i="134"/>
  <c r="Z124" i="134"/>
  <c r="Z125" i="134"/>
  <c r="Z126" i="134"/>
  <c r="Z127" i="134"/>
  <c r="Z128" i="134"/>
  <c r="Z129" i="134"/>
  <c r="Z130" i="134"/>
  <c r="Z131" i="134"/>
  <c r="Z132" i="134"/>
  <c r="Z133" i="134"/>
  <c r="Z134" i="134"/>
  <c r="Z135" i="134"/>
  <c r="Z136" i="134"/>
  <c r="Z137" i="134"/>
  <c r="Z138" i="134"/>
  <c r="Z139" i="134"/>
  <c r="Z140" i="134"/>
  <c r="Z141" i="134"/>
  <c r="Z142" i="134"/>
  <c r="Z143" i="134"/>
  <c r="Z144" i="134"/>
  <c r="Z145" i="134"/>
  <c r="Z146" i="134"/>
  <c r="Z147" i="134"/>
  <c r="Z148" i="134"/>
  <c r="Z149" i="134"/>
  <c r="Z150" i="134"/>
  <c r="Z151" i="134"/>
  <c r="Z152" i="134"/>
  <c r="Z153" i="134"/>
  <c r="Z154" i="134"/>
  <c r="Z155" i="134"/>
  <c r="Z156" i="134"/>
  <c r="H2" i="95"/>
  <c r="B8" i="110"/>
  <c r="B8" i="111"/>
  <c r="B8" i="112"/>
  <c r="B8" i="113"/>
  <c r="B8" i="114"/>
  <c r="B8" i="115"/>
  <c r="B8" i="116"/>
  <c r="B8" i="117"/>
  <c r="B8" i="118"/>
  <c r="B8" i="119"/>
  <c r="B8" i="120"/>
  <c r="B8" i="109"/>
  <c r="E47" i="69"/>
  <c r="D47" i="69"/>
  <c r="C47" i="69"/>
  <c r="E46" i="69"/>
  <c r="C46" i="69"/>
  <c r="B46" i="69"/>
  <c r="D45" i="69"/>
  <c r="C45" i="69"/>
  <c r="E44" i="69"/>
  <c r="D44" i="69"/>
  <c r="C44" i="69"/>
  <c r="B44" i="69"/>
  <c r="E43" i="69"/>
  <c r="C43" i="69"/>
  <c r="B43" i="69"/>
  <c r="E42" i="69"/>
  <c r="D42" i="69"/>
  <c r="C42" i="69"/>
  <c r="E41" i="69"/>
  <c r="C41" i="69"/>
  <c r="B41" i="69"/>
  <c r="E40" i="69"/>
  <c r="C40" i="69"/>
  <c r="B40" i="69"/>
  <c r="E39" i="69"/>
  <c r="C39" i="69"/>
  <c r="B39" i="69"/>
  <c r="E47" i="68"/>
  <c r="D47" i="68"/>
  <c r="C47" i="68"/>
  <c r="E46" i="68"/>
  <c r="C46" i="68"/>
  <c r="B46" i="68"/>
  <c r="D45" i="68"/>
  <c r="C45" i="68"/>
  <c r="E44" i="68"/>
  <c r="D44" i="68"/>
  <c r="C44" i="68"/>
  <c r="B44" i="68"/>
  <c r="E43" i="68"/>
  <c r="C43" i="68"/>
  <c r="B43" i="68"/>
  <c r="E42" i="68"/>
  <c r="D42" i="68"/>
  <c r="C42" i="68"/>
  <c r="E41" i="68"/>
  <c r="C41" i="68"/>
  <c r="B41" i="68"/>
  <c r="E40" i="68"/>
  <c r="C40" i="68"/>
  <c r="B40" i="68"/>
  <c r="E39" i="68"/>
  <c r="C39" i="68"/>
  <c r="B39" i="68"/>
  <c r="E47" i="67"/>
  <c r="D47" i="67"/>
  <c r="C47" i="67"/>
  <c r="E46" i="67"/>
  <c r="C46" i="67"/>
  <c r="B46" i="67"/>
  <c r="D45" i="67"/>
  <c r="C45" i="67"/>
  <c r="E44" i="67"/>
  <c r="D44" i="67"/>
  <c r="C44" i="67"/>
  <c r="B44" i="67"/>
  <c r="E43" i="67"/>
  <c r="C43" i="67"/>
  <c r="B43" i="67"/>
  <c r="E42" i="67"/>
  <c r="D42" i="67"/>
  <c r="C42" i="67"/>
  <c r="E41" i="67"/>
  <c r="C41" i="67"/>
  <c r="B41" i="67"/>
  <c r="E40" i="67"/>
  <c r="C40" i="67"/>
  <c r="B40" i="67"/>
  <c r="E39" i="67"/>
  <c r="C39" i="67"/>
  <c r="B39" i="67"/>
  <c r="E47" i="66"/>
  <c r="D47" i="66"/>
  <c r="C47" i="66"/>
  <c r="E46" i="66"/>
  <c r="C46" i="66"/>
  <c r="B46" i="66"/>
  <c r="D45" i="66"/>
  <c r="C45" i="66"/>
  <c r="E44" i="66"/>
  <c r="D44" i="66"/>
  <c r="C44" i="66"/>
  <c r="B44" i="66"/>
  <c r="E43" i="66"/>
  <c r="C43" i="66"/>
  <c r="B43" i="66"/>
  <c r="E42" i="66"/>
  <c r="D42" i="66"/>
  <c r="C42" i="66"/>
  <c r="E41" i="66"/>
  <c r="C41" i="66"/>
  <c r="B41" i="66"/>
  <c r="E40" i="66"/>
  <c r="C40" i="66"/>
  <c r="B40" i="66"/>
  <c r="E39" i="66"/>
  <c r="C39" i="66"/>
  <c r="B39" i="66"/>
  <c r="E47" i="65"/>
  <c r="D47" i="65"/>
  <c r="C47" i="65"/>
  <c r="E46" i="65"/>
  <c r="C46" i="65"/>
  <c r="B46" i="65"/>
  <c r="D45" i="65"/>
  <c r="C45" i="65"/>
  <c r="E44" i="65"/>
  <c r="D44" i="65"/>
  <c r="C44" i="65"/>
  <c r="B44" i="65"/>
  <c r="E43" i="65"/>
  <c r="C43" i="65"/>
  <c r="B43" i="65"/>
  <c r="E42" i="65"/>
  <c r="D42" i="65"/>
  <c r="C42" i="65"/>
  <c r="E41" i="65"/>
  <c r="C41" i="65"/>
  <c r="B41" i="65"/>
  <c r="E40" i="65"/>
  <c r="C40" i="65"/>
  <c r="B40" i="65"/>
  <c r="E39" i="65"/>
  <c r="C39" i="65"/>
  <c r="B39" i="65"/>
  <c r="E47" i="64"/>
  <c r="D47" i="64"/>
  <c r="C47" i="64"/>
  <c r="E46" i="64"/>
  <c r="C46" i="64"/>
  <c r="B46" i="64"/>
  <c r="D45" i="64"/>
  <c r="C45" i="64"/>
  <c r="E44" i="64"/>
  <c r="D44" i="64"/>
  <c r="C44" i="64"/>
  <c r="B44" i="64"/>
  <c r="E43" i="64"/>
  <c r="C43" i="64"/>
  <c r="B43" i="64"/>
  <c r="E42" i="64"/>
  <c r="D42" i="64"/>
  <c r="C42" i="64"/>
  <c r="E41" i="64"/>
  <c r="C41" i="64"/>
  <c r="B41" i="64"/>
  <c r="E40" i="64"/>
  <c r="C40" i="64"/>
  <c r="B40" i="64"/>
  <c r="E39" i="64"/>
  <c r="C39" i="64"/>
  <c r="B39" i="64"/>
  <c r="E47" i="63"/>
  <c r="D47" i="63"/>
  <c r="C47" i="63"/>
  <c r="E46" i="63"/>
  <c r="C46" i="63"/>
  <c r="B46" i="63"/>
  <c r="D45" i="63"/>
  <c r="C45" i="63"/>
  <c r="E44" i="63"/>
  <c r="D44" i="63"/>
  <c r="C44" i="63"/>
  <c r="B44" i="63"/>
  <c r="E43" i="63"/>
  <c r="C43" i="63"/>
  <c r="B43" i="63"/>
  <c r="E42" i="63"/>
  <c r="D42" i="63"/>
  <c r="C42" i="63"/>
  <c r="E41" i="63"/>
  <c r="C41" i="63"/>
  <c r="B41" i="63"/>
  <c r="E40" i="63"/>
  <c r="C40" i="63"/>
  <c r="B40" i="63"/>
  <c r="E39" i="63"/>
  <c r="C39" i="63"/>
  <c r="B39" i="63"/>
  <c r="E47" i="62"/>
  <c r="D47" i="62"/>
  <c r="C47" i="62"/>
  <c r="E46" i="62"/>
  <c r="C46" i="62"/>
  <c r="B46" i="62"/>
  <c r="D45" i="62"/>
  <c r="C45" i="62"/>
  <c r="E44" i="62"/>
  <c r="D44" i="62"/>
  <c r="C44" i="62"/>
  <c r="B44" i="62"/>
  <c r="E43" i="62"/>
  <c r="C43" i="62"/>
  <c r="B43" i="62"/>
  <c r="E42" i="62"/>
  <c r="D42" i="62"/>
  <c r="C42" i="62"/>
  <c r="E41" i="62"/>
  <c r="C41" i="62"/>
  <c r="B41" i="62"/>
  <c r="E40" i="62"/>
  <c r="C40" i="62"/>
  <c r="B40" i="62"/>
  <c r="E39" i="62"/>
  <c r="C39" i="62"/>
  <c r="B39" i="62"/>
  <c r="E47" i="61"/>
  <c r="D47" i="61"/>
  <c r="C47" i="61"/>
  <c r="E46" i="61"/>
  <c r="C46" i="61"/>
  <c r="B46" i="61"/>
  <c r="D45" i="61"/>
  <c r="C45" i="61"/>
  <c r="E44" i="61"/>
  <c r="D44" i="61"/>
  <c r="C44" i="61"/>
  <c r="B44" i="61"/>
  <c r="E43" i="61"/>
  <c r="C43" i="61"/>
  <c r="B43" i="61"/>
  <c r="E42" i="61"/>
  <c r="D42" i="61"/>
  <c r="C42" i="61"/>
  <c r="E41" i="61"/>
  <c r="C41" i="61"/>
  <c r="B41" i="61"/>
  <c r="E40" i="61"/>
  <c r="C40" i="61"/>
  <c r="B40" i="61"/>
  <c r="E39" i="61"/>
  <c r="C39" i="61"/>
  <c r="B39" i="61"/>
  <c r="E47" i="60"/>
  <c r="D47" i="60"/>
  <c r="C47" i="60"/>
  <c r="E46" i="60"/>
  <c r="C46" i="60"/>
  <c r="B46" i="60"/>
  <c r="D45" i="60"/>
  <c r="C45" i="60"/>
  <c r="E44" i="60"/>
  <c r="D44" i="60"/>
  <c r="C44" i="60"/>
  <c r="B44" i="60"/>
  <c r="E43" i="60"/>
  <c r="C43" i="60"/>
  <c r="B43" i="60"/>
  <c r="E42" i="60"/>
  <c r="D42" i="60"/>
  <c r="C42" i="60"/>
  <c r="E41" i="60"/>
  <c r="C41" i="60"/>
  <c r="B41" i="60"/>
  <c r="E40" i="60"/>
  <c r="C40" i="60"/>
  <c r="B40" i="60"/>
  <c r="E39" i="60"/>
  <c r="C39" i="60"/>
  <c r="B39" i="60"/>
  <c r="E47" i="59"/>
  <c r="D47" i="59"/>
  <c r="C47" i="59"/>
  <c r="E46" i="59"/>
  <c r="C46" i="59"/>
  <c r="B46" i="59"/>
  <c r="D45" i="59"/>
  <c r="C45" i="59"/>
  <c r="E44" i="59"/>
  <c r="D44" i="59"/>
  <c r="C44" i="59"/>
  <c r="B44" i="59"/>
  <c r="E43" i="59"/>
  <c r="C43" i="59"/>
  <c r="B43" i="59"/>
  <c r="E42" i="59"/>
  <c r="D42" i="59"/>
  <c r="C42" i="59"/>
  <c r="E41" i="59"/>
  <c r="C41" i="59"/>
  <c r="B41" i="59"/>
  <c r="E40" i="59"/>
  <c r="C40" i="59"/>
  <c r="B40" i="59"/>
  <c r="E39" i="59"/>
  <c r="C39" i="59"/>
  <c r="B39" i="59"/>
  <c r="E47" i="58"/>
  <c r="D47" i="58"/>
  <c r="C47" i="58"/>
  <c r="E46" i="58"/>
  <c r="C46" i="58"/>
  <c r="B46" i="58"/>
  <c r="D45" i="58"/>
  <c r="C45" i="58"/>
  <c r="E44" i="58"/>
  <c r="D44" i="58"/>
  <c r="C44" i="58"/>
  <c r="B44" i="58"/>
  <c r="E43" i="58"/>
  <c r="C43" i="58"/>
  <c r="B43" i="58"/>
  <c r="E42" i="58"/>
  <c r="D42" i="58"/>
  <c r="C42" i="58"/>
  <c r="E41" i="58"/>
  <c r="C41" i="58"/>
  <c r="B41" i="58"/>
  <c r="E40" i="58"/>
  <c r="C40" i="58"/>
  <c r="B40" i="58"/>
  <c r="E39" i="58"/>
  <c r="C39" i="58"/>
  <c r="B39" i="58"/>
  <c r="E47" i="57"/>
  <c r="D47" i="57"/>
  <c r="C47" i="57"/>
  <c r="E46" i="57"/>
  <c r="C46" i="57"/>
  <c r="B46" i="57"/>
  <c r="D45" i="57"/>
  <c r="C45" i="57"/>
  <c r="E44" i="57"/>
  <c r="D44" i="57"/>
  <c r="C44" i="57"/>
  <c r="B44" i="57"/>
  <c r="E43" i="57"/>
  <c r="C43" i="57"/>
  <c r="B43" i="57"/>
  <c r="E42" i="57"/>
  <c r="D42" i="57"/>
  <c r="C42" i="57"/>
  <c r="E41" i="57"/>
  <c r="C41" i="57"/>
  <c r="B41" i="57"/>
  <c r="E40" i="57"/>
  <c r="C40" i="57"/>
  <c r="B40" i="57"/>
  <c r="E39" i="57"/>
  <c r="C39" i="57"/>
  <c r="B39" i="57"/>
  <c r="E47" i="56"/>
  <c r="D47" i="56"/>
  <c r="C47" i="56"/>
  <c r="E46" i="56"/>
  <c r="C46" i="56"/>
  <c r="B46" i="56"/>
  <c r="D45" i="56"/>
  <c r="C45" i="56"/>
  <c r="E44" i="56"/>
  <c r="D44" i="56"/>
  <c r="C44" i="56"/>
  <c r="B44" i="56"/>
  <c r="E43" i="56"/>
  <c r="C43" i="56"/>
  <c r="B43" i="56"/>
  <c r="E42" i="56"/>
  <c r="D42" i="56"/>
  <c r="C42" i="56"/>
  <c r="E41" i="56"/>
  <c r="C41" i="56"/>
  <c r="B41" i="56"/>
  <c r="E40" i="56"/>
  <c r="C40" i="56"/>
  <c r="B40" i="56"/>
  <c r="E39" i="56"/>
  <c r="C39" i="56"/>
  <c r="B39" i="56"/>
  <c r="E47" i="55"/>
  <c r="D47" i="55"/>
  <c r="C47" i="55"/>
  <c r="E46" i="55"/>
  <c r="C46" i="55"/>
  <c r="B46" i="55"/>
  <c r="D45" i="55"/>
  <c r="C45" i="55"/>
  <c r="E44" i="55"/>
  <c r="D44" i="55"/>
  <c r="C44" i="55"/>
  <c r="B44" i="55"/>
  <c r="E43" i="55"/>
  <c r="C43" i="55"/>
  <c r="B43" i="55"/>
  <c r="E42" i="55"/>
  <c r="D42" i="55"/>
  <c r="C42" i="55"/>
  <c r="E41" i="55"/>
  <c r="C41" i="55"/>
  <c r="B41" i="55"/>
  <c r="E40" i="55"/>
  <c r="C40" i="55"/>
  <c r="B40" i="55"/>
  <c r="E39" i="55"/>
  <c r="C39" i="55"/>
  <c r="B39" i="55"/>
  <c r="E47" i="54"/>
  <c r="D47" i="54"/>
  <c r="C47" i="54"/>
  <c r="E46" i="54"/>
  <c r="C46" i="54"/>
  <c r="B46" i="54"/>
  <c r="D45" i="54"/>
  <c r="C45" i="54"/>
  <c r="E44" i="54"/>
  <c r="D44" i="54"/>
  <c r="C44" i="54"/>
  <c r="B44" i="54"/>
  <c r="E43" i="54"/>
  <c r="C43" i="54"/>
  <c r="B43" i="54"/>
  <c r="E42" i="54"/>
  <c r="D42" i="54"/>
  <c r="C42" i="54"/>
  <c r="E41" i="54"/>
  <c r="C41" i="54"/>
  <c r="B41" i="54"/>
  <c r="E40" i="54"/>
  <c r="C40" i="54"/>
  <c r="B40" i="54"/>
  <c r="E39" i="54"/>
  <c r="C39" i="54"/>
  <c r="B39" i="54"/>
  <c r="E47" i="53"/>
  <c r="D47" i="53"/>
  <c r="C47" i="53"/>
  <c r="E46" i="53"/>
  <c r="C46" i="53"/>
  <c r="B46" i="53"/>
  <c r="D45" i="53"/>
  <c r="C45" i="53"/>
  <c r="E44" i="53"/>
  <c r="D44" i="53"/>
  <c r="C44" i="53"/>
  <c r="B44" i="53"/>
  <c r="E43" i="53"/>
  <c r="C43" i="53"/>
  <c r="B43" i="53"/>
  <c r="E42" i="53"/>
  <c r="D42" i="53"/>
  <c r="C42" i="53"/>
  <c r="E41" i="53"/>
  <c r="C41" i="53"/>
  <c r="B41" i="53"/>
  <c r="E40" i="53"/>
  <c r="C40" i="53"/>
  <c r="B40" i="53"/>
  <c r="E39" i="53"/>
  <c r="C39" i="53"/>
  <c r="B39" i="53"/>
  <c r="E47" i="52"/>
  <c r="D47" i="52"/>
  <c r="C47" i="52"/>
  <c r="E46" i="52"/>
  <c r="C46" i="52"/>
  <c r="B46" i="52"/>
  <c r="D45" i="52"/>
  <c r="C45" i="52"/>
  <c r="E44" i="52"/>
  <c r="D44" i="52"/>
  <c r="C44" i="52"/>
  <c r="B44" i="52"/>
  <c r="E43" i="52"/>
  <c r="C43" i="52"/>
  <c r="B43" i="52"/>
  <c r="E42" i="52"/>
  <c r="D42" i="52"/>
  <c r="C42" i="52"/>
  <c r="E41" i="52"/>
  <c r="C41" i="52"/>
  <c r="B41" i="52"/>
  <c r="E40" i="52"/>
  <c r="C40" i="52"/>
  <c r="B40" i="52"/>
  <c r="E39" i="52"/>
  <c r="C39" i="52"/>
  <c r="B39" i="52"/>
  <c r="E47" i="51"/>
  <c r="D47" i="51"/>
  <c r="C47" i="51"/>
  <c r="E46" i="51"/>
  <c r="C46" i="51"/>
  <c r="B46" i="51"/>
  <c r="D45" i="51"/>
  <c r="C45" i="51"/>
  <c r="E44" i="51"/>
  <c r="D44" i="51"/>
  <c r="C44" i="51"/>
  <c r="B44" i="51"/>
  <c r="E43" i="51"/>
  <c r="C43" i="51"/>
  <c r="B43" i="51"/>
  <c r="E42" i="51"/>
  <c r="D42" i="51"/>
  <c r="C42" i="51"/>
  <c r="E41" i="51"/>
  <c r="C41" i="51"/>
  <c r="B41" i="51"/>
  <c r="E40" i="51"/>
  <c r="C40" i="51"/>
  <c r="B40" i="51"/>
  <c r="E39" i="51"/>
  <c r="C39" i="51"/>
  <c r="B39" i="51"/>
  <c r="C48" i="50"/>
  <c r="B43" i="50"/>
  <c r="C43" i="50"/>
  <c r="E43" i="50"/>
  <c r="B44" i="50"/>
  <c r="C44" i="50"/>
  <c r="D44" i="50"/>
  <c r="E44" i="50"/>
  <c r="C45" i="50"/>
  <c r="D45" i="50"/>
  <c r="B46" i="50"/>
  <c r="C46" i="50"/>
  <c r="E46" i="50"/>
  <c r="C47" i="50"/>
  <c r="D47" i="50"/>
  <c r="E47" i="50"/>
  <c r="B41" i="50"/>
  <c r="C41" i="50"/>
  <c r="E41" i="50"/>
  <c r="C42" i="50"/>
  <c r="D42" i="50"/>
  <c r="E42" i="50"/>
  <c r="B40" i="50"/>
  <c r="C40" i="50"/>
  <c r="E40" i="50"/>
  <c r="E39" i="50"/>
  <c r="B39" i="50"/>
  <c r="C39" i="50"/>
  <c r="H2" i="47"/>
  <c r="D39" i="47" s="1"/>
  <c r="D39" i="16"/>
  <c r="D9" i="95" l="1"/>
  <c r="D14" i="16"/>
  <c r="D5" i="95"/>
  <c r="D39" i="58"/>
  <c r="D39" i="56"/>
  <c r="D39" i="54"/>
  <c r="D39" i="69"/>
  <c r="D39" i="68"/>
  <c r="D39" i="67"/>
  <c r="D39" i="66"/>
  <c r="D39" i="65"/>
  <c r="D39" i="64"/>
  <c r="D39" i="63"/>
  <c r="D39" i="62"/>
  <c r="D39" i="61"/>
  <c r="D39" i="60"/>
  <c r="D39" i="59"/>
  <c r="D39" i="55"/>
  <c r="D39" i="52"/>
  <c r="D39" i="57"/>
  <c r="D39" i="53"/>
  <c r="D39" i="50"/>
  <c r="D39" i="51"/>
  <c r="R52" i="134"/>
  <c r="S52" i="134" s="1"/>
  <c r="D8" i="16"/>
  <c r="D8" i="35" s="1"/>
  <c r="D3" i="16"/>
  <c r="C86" i="47"/>
  <c r="D86" i="47" s="1"/>
  <c r="K86" i="47"/>
  <c r="K87" i="47"/>
  <c r="N98" i="16" s="1"/>
  <c r="K88" i="47"/>
  <c r="C87" i="47" s="1"/>
  <c r="K89" i="47"/>
  <c r="C88" i="47" s="1"/>
  <c r="D88" i="47" s="1"/>
  <c r="B6" i="77" s="1"/>
  <c r="B20" i="77" s="1"/>
  <c r="B36" i="77" s="1"/>
  <c r="K90" i="47"/>
  <c r="C89" i="47" s="1"/>
  <c r="D89" i="47" s="1"/>
  <c r="K91" i="47"/>
  <c r="C90" i="47" s="1"/>
  <c r="D90" i="47" s="1"/>
  <c r="B6" i="81" s="1"/>
  <c r="K92" i="47"/>
  <c r="C91" i="47" s="1"/>
  <c r="K93" i="47"/>
  <c r="C92" i="47" s="1"/>
  <c r="D92" i="47" s="1"/>
  <c r="K94" i="47"/>
  <c r="N105" i="16" s="1"/>
  <c r="K95" i="47"/>
  <c r="N106" i="16" s="1"/>
  <c r="K85" i="47"/>
  <c r="C85" i="47" s="1"/>
  <c r="D85" i="47" s="1"/>
  <c r="H49" i="95"/>
  <c r="E42" i="124"/>
  <c r="E8" i="133"/>
  <c r="H8" i="133" s="1"/>
  <c r="E9" i="133"/>
  <c r="E10" i="133"/>
  <c r="J10" i="133" s="1"/>
  <c r="K10" i="133" s="1"/>
  <c r="E11" i="133"/>
  <c r="E12" i="133"/>
  <c r="E13" i="133"/>
  <c r="G13" i="133" s="1"/>
  <c r="D100" i="16" s="1"/>
  <c r="E14" i="133"/>
  <c r="E19" i="133"/>
  <c r="E6" i="133"/>
  <c r="N18" i="133"/>
  <c r="E18" i="133" s="1"/>
  <c r="N15" i="133"/>
  <c r="E15" i="133" s="1"/>
  <c r="N7" i="133"/>
  <c r="E7" i="133" s="1"/>
  <c r="I49" i="132"/>
  <c r="I49" i="131"/>
  <c r="I49" i="130"/>
  <c r="I49" i="129"/>
  <c r="O47" i="124"/>
  <c r="E47" i="124" s="1"/>
  <c r="F47" i="124" s="1"/>
  <c r="K47" i="124" s="1"/>
  <c r="N27" i="124"/>
  <c r="O27" i="124"/>
  <c r="E27" i="124" s="1"/>
  <c r="F27" i="124" s="1"/>
  <c r="K27" i="124" s="1"/>
  <c r="N29" i="124"/>
  <c r="O25" i="124"/>
  <c r="E25" i="124" s="1"/>
  <c r="F25" i="124" s="1"/>
  <c r="K25" i="124" s="1"/>
  <c r="O31" i="124"/>
  <c r="E31" i="124" s="1"/>
  <c r="F31" i="124" s="1"/>
  <c r="K31" i="124" s="1"/>
  <c r="O19" i="124"/>
  <c r="E19" i="124" s="1"/>
  <c r="F19" i="124" s="1"/>
  <c r="J19" i="124" s="1"/>
  <c r="O17" i="124"/>
  <c r="E17" i="124" s="1"/>
  <c r="O11" i="124"/>
  <c r="O12" i="124"/>
  <c r="O13" i="124"/>
  <c r="E13" i="124" s="1"/>
  <c r="O14" i="124"/>
  <c r="E14" i="124" s="1"/>
  <c r="O15" i="124"/>
  <c r="O16" i="124"/>
  <c r="O18" i="124"/>
  <c r="O20" i="124"/>
  <c r="O21" i="124"/>
  <c r="E21" i="124" s="1"/>
  <c r="O23" i="124"/>
  <c r="E23" i="124" s="1"/>
  <c r="F23" i="124" s="1"/>
  <c r="O24" i="124"/>
  <c r="O26" i="124"/>
  <c r="O28" i="124"/>
  <c r="O30" i="124"/>
  <c r="O32" i="124"/>
  <c r="O35" i="124"/>
  <c r="O36" i="124"/>
  <c r="O37" i="124"/>
  <c r="O38" i="124"/>
  <c r="E38" i="124" s="1"/>
  <c r="F38" i="124" s="1"/>
  <c r="K38" i="124" s="1"/>
  <c r="O39" i="124"/>
  <c r="O41" i="124"/>
  <c r="O43" i="124"/>
  <c r="O44" i="124"/>
  <c r="O45" i="124"/>
  <c r="E45" i="124" s="1"/>
  <c r="F45" i="124" s="1"/>
  <c r="K45" i="124" s="1"/>
  <c r="O46" i="124"/>
  <c r="O48" i="124"/>
  <c r="E48" i="124" s="1"/>
  <c r="F48" i="124" s="1"/>
  <c r="O49" i="124"/>
  <c r="O50" i="124"/>
  <c r="E50" i="124" s="1"/>
  <c r="F50" i="124" s="1"/>
  <c r="J50" i="124" s="1"/>
  <c r="O52" i="124"/>
  <c r="O53" i="124"/>
  <c r="E53" i="124" s="1"/>
  <c r="F53" i="124" s="1"/>
  <c r="K53" i="124" s="1"/>
  <c r="O54" i="124"/>
  <c r="O10" i="124"/>
  <c r="D5" i="123"/>
  <c r="R3" i="134"/>
  <c r="R4" i="134"/>
  <c r="S4" i="134" s="1"/>
  <c r="R5" i="134"/>
  <c r="S5" i="134" s="1"/>
  <c r="R6" i="134"/>
  <c r="S6" i="134" s="1"/>
  <c r="R7" i="134"/>
  <c r="S7" i="134" s="1"/>
  <c r="R8" i="134"/>
  <c r="S8" i="134" s="1"/>
  <c r="R9" i="134"/>
  <c r="S9" i="134" s="1"/>
  <c r="R10" i="134"/>
  <c r="S10" i="134" s="1"/>
  <c r="R11" i="134"/>
  <c r="S11" i="134" s="1"/>
  <c r="R12" i="134"/>
  <c r="S12" i="134" s="1"/>
  <c r="R13" i="134"/>
  <c r="S13" i="134" s="1"/>
  <c r="R14" i="134"/>
  <c r="S14" i="134" s="1"/>
  <c r="R15" i="134"/>
  <c r="S15" i="134" s="1"/>
  <c r="R16" i="134"/>
  <c r="S16" i="134" s="1"/>
  <c r="R17" i="134"/>
  <c r="S17" i="134" s="1"/>
  <c r="R18" i="134"/>
  <c r="S18" i="134" s="1"/>
  <c r="R19" i="134"/>
  <c r="S19" i="134" s="1"/>
  <c r="R20" i="134"/>
  <c r="S20" i="134" s="1"/>
  <c r="R21" i="134"/>
  <c r="S21" i="134" s="1"/>
  <c r="R22" i="134"/>
  <c r="S22" i="134" s="1"/>
  <c r="R23" i="134"/>
  <c r="S23" i="134" s="1"/>
  <c r="R24" i="134"/>
  <c r="S24" i="134" s="1"/>
  <c r="R25" i="134"/>
  <c r="S25" i="134" s="1"/>
  <c r="R26" i="134"/>
  <c r="S26" i="134" s="1"/>
  <c r="R87" i="134"/>
  <c r="S87" i="134" s="1"/>
  <c r="R82" i="134"/>
  <c r="S82" i="134" s="1"/>
  <c r="R91" i="134"/>
  <c r="S91" i="134" s="1"/>
  <c r="R95" i="134"/>
  <c r="S95" i="134" s="1"/>
  <c r="R80" i="134"/>
  <c r="S80" i="134" s="1"/>
  <c r="R113" i="134"/>
  <c r="S113" i="134" s="1"/>
  <c r="R141" i="134"/>
  <c r="S141" i="134" s="1"/>
  <c r="R122" i="134"/>
  <c r="S122" i="134" s="1"/>
  <c r="R150" i="134"/>
  <c r="S150" i="134" s="1"/>
  <c r="R153" i="134"/>
  <c r="S153" i="134" s="1"/>
  <c r="R27" i="134"/>
  <c r="S27" i="134" s="1"/>
  <c r="R94" i="134"/>
  <c r="S94" i="134" s="1"/>
  <c r="R28" i="134"/>
  <c r="S28" i="134" s="1"/>
  <c r="R89" i="134"/>
  <c r="S89" i="134" s="1"/>
  <c r="R109" i="134"/>
  <c r="S109" i="134" s="1"/>
  <c r="R29" i="134"/>
  <c r="S29" i="134" s="1"/>
  <c r="R30" i="134"/>
  <c r="S30" i="134" s="1"/>
  <c r="R31" i="134"/>
  <c r="S31" i="134" s="1"/>
  <c r="R85" i="134"/>
  <c r="S85" i="134" s="1"/>
  <c r="R67" i="134"/>
  <c r="S67" i="134" s="1"/>
  <c r="R61" i="134"/>
  <c r="S61" i="134" s="1"/>
  <c r="R147" i="134"/>
  <c r="S147" i="134" s="1"/>
  <c r="R57" i="134"/>
  <c r="S57" i="134" s="1"/>
  <c r="R126" i="134"/>
  <c r="S126" i="134" s="1"/>
  <c r="R133" i="134"/>
  <c r="S133" i="134" s="1"/>
  <c r="R108" i="134"/>
  <c r="S108" i="134" s="1"/>
  <c r="R32" i="134"/>
  <c r="S32" i="134" s="1"/>
  <c r="R130" i="134"/>
  <c r="S130" i="134" s="1"/>
  <c r="R102" i="134"/>
  <c r="S102" i="134" s="1"/>
  <c r="R143" i="134"/>
  <c r="S143" i="134" s="1"/>
  <c r="R106" i="134"/>
  <c r="S106" i="134" s="1"/>
  <c r="R105" i="134"/>
  <c r="S105" i="134" s="1"/>
  <c r="R131" i="134"/>
  <c r="S131" i="134" s="1"/>
  <c r="R33" i="134"/>
  <c r="S33" i="134" s="1"/>
  <c r="R34" i="134"/>
  <c r="S34" i="134" s="1"/>
  <c r="R71" i="134"/>
  <c r="S71" i="134" s="1"/>
  <c r="R68" i="134"/>
  <c r="S68" i="134" s="1"/>
  <c r="R152" i="134"/>
  <c r="S152" i="134" s="1"/>
  <c r="R66" i="134"/>
  <c r="S66" i="134" s="1"/>
  <c r="R70" i="134"/>
  <c r="S70" i="134" s="1"/>
  <c r="R103" i="134"/>
  <c r="S103" i="134" s="1"/>
  <c r="R72" i="134"/>
  <c r="S72" i="134" s="1"/>
  <c r="R35" i="134"/>
  <c r="S35" i="134" s="1"/>
  <c r="R86" i="134"/>
  <c r="S86" i="134" s="1"/>
  <c r="R36" i="134"/>
  <c r="S36" i="134" s="1"/>
  <c r="R63" i="134"/>
  <c r="S63" i="134" s="1"/>
  <c r="R99" i="134"/>
  <c r="S99" i="134" s="1"/>
  <c r="R77" i="134"/>
  <c r="S77" i="134" s="1"/>
  <c r="R154" i="134"/>
  <c r="S154" i="134" s="1"/>
  <c r="R37" i="134"/>
  <c r="S37" i="134" s="1"/>
  <c r="R81" i="134"/>
  <c r="S81" i="134" s="1"/>
  <c r="R145" i="134"/>
  <c r="S145" i="134" s="1"/>
  <c r="R38" i="134"/>
  <c r="S38" i="134" s="1"/>
  <c r="R100" i="134"/>
  <c r="S100" i="134" s="1"/>
  <c r="R125" i="134"/>
  <c r="S125" i="134" s="1"/>
  <c r="R39" i="134"/>
  <c r="S39" i="134" s="1"/>
  <c r="R40" i="134"/>
  <c r="S40" i="134" s="1"/>
  <c r="R41" i="134"/>
  <c r="S41" i="134" s="1"/>
  <c r="R65" i="134"/>
  <c r="S65" i="134" s="1"/>
  <c r="R112" i="134"/>
  <c r="S112" i="134" s="1"/>
  <c r="R90" i="134"/>
  <c r="S90" i="134" s="1"/>
  <c r="R127" i="134"/>
  <c r="S127" i="134" s="1"/>
  <c r="R97" i="134"/>
  <c r="S97" i="134" s="1"/>
  <c r="R115" i="134"/>
  <c r="S115" i="134" s="1"/>
  <c r="R118" i="134"/>
  <c r="S118" i="134" s="1"/>
  <c r="R42" i="134"/>
  <c r="S42" i="134" s="1"/>
  <c r="R64" i="134"/>
  <c r="S64" i="134" s="1"/>
  <c r="R43" i="134"/>
  <c r="S43" i="134" s="1"/>
  <c r="R44" i="134"/>
  <c r="S44" i="134" s="1"/>
  <c r="R45" i="134"/>
  <c r="S45" i="134" s="1"/>
  <c r="R119" i="134"/>
  <c r="S119" i="134" s="1"/>
  <c r="R107" i="134"/>
  <c r="S107" i="134" s="1"/>
  <c r="R110" i="134"/>
  <c r="S110" i="134" s="1"/>
  <c r="R146" i="134"/>
  <c r="S146" i="134" s="1"/>
  <c r="R140" i="134"/>
  <c r="S140" i="134" s="1"/>
  <c r="R88" i="134"/>
  <c r="S88" i="134" s="1"/>
  <c r="R96" i="134"/>
  <c r="S96" i="134" s="1"/>
  <c r="R79" i="134"/>
  <c r="S79" i="134" s="1"/>
  <c r="R136" i="134"/>
  <c r="S136" i="134" s="1"/>
  <c r="R111" i="134"/>
  <c r="S111" i="134" s="1"/>
  <c r="R46" i="134"/>
  <c r="S46" i="134" s="1"/>
  <c r="R156" i="134"/>
  <c r="S156" i="134" s="1"/>
  <c r="R47" i="134"/>
  <c r="S47" i="134" s="1"/>
  <c r="R129" i="134"/>
  <c r="S129" i="134" s="1"/>
  <c r="R139" i="134"/>
  <c r="S139" i="134" s="1"/>
  <c r="R137" i="134"/>
  <c r="S137" i="134" s="1"/>
  <c r="R92" i="134"/>
  <c r="S92" i="134" s="1"/>
  <c r="R93" i="134"/>
  <c r="S93" i="134" s="1"/>
  <c r="R114" i="134"/>
  <c r="S114" i="134" s="1"/>
  <c r="R75" i="134"/>
  <c r="S75" i="134" s="1"/>
  <c r="R48" i="134"/>
  <c r="S48" i="134" s="1"/>
  <c r="R124" i="134"/>
  <c r="S124" i="134" s="1"/>
  <c r="R98" i="134"/>
  <c r="S98" i="134" s="1"/>
  <c r="R116" i="134"/>
  <c r="S116" i="134" s="1"/>
  <c r="R49" i="134"/>
  <c r="S49" i="134" s="1"/>
  <c r="R104" i="134"/>
  <c r="S104" i="134" s="1"/>
  <c r="R121" i="134"/>
  <c r="S121" i="134" s="1"/>
  <c r="R138" i="134"/>
  <c r="S138" i="134" s="1"/>
  <c r="R123" i="134"/>
  <c r="S123" i="134" s="1"/>
  <c r="R50" i="134"/>
  <c r="S50" i="134" s="1"/>
  <c r="R83" i="134"/>
  <c r="S83" i="134" s="1"/>
  <c r="R151" i="134"/>
  <c r="S151" i="134" s="1"/>
  <c r="R59" i="134"/>
  <c r="S59" i="134" s="1"/>
  <c r="R62" i="134"/>
  <c r="S62" i="134" s="1"/>
  <c r="R78" i="134"/>
  <c r="S78" i="134" s="1"/>
  <c r="R134" i="134"/>
  <c r="S134" i="134" s="1"/>
  <c r="R117" i="134"/>
  <c r="S117" i="134" s="1"/>
  <c r="R84" i="134"/>
  <c r="S84" i="134" s="1"/>
  <c r="R148" i="134"/>
  <c r="S148" i="134" s="1"/>
  <c r="R120" i="134"/>
  <c r="S120" i="134" s="1"/>
  <c r="R149" i="134"/>
  <c r="S149" i="134" s="1"/>
  <c r="R51" i="134"/>
  <c r="S51" i="134" s="1"/>
  <c r="R101" i="134"/>
  <c r="S101" i="134" s="1"/>
  <c r="R135" i="134"/>
  <c r="S135" i="134" s="1"/>
  <c r="R132" i="134"/>
  <c r="S132" i="134" s="1"/>
  <c r="R56" i="134"/>
  <c r="S56" i="134" s="1"/>
  <c r="R155" i="134"/>
  <c r="S155" i="134" s="1"/>
  <c r="R69" i="134"/>
  <c r="S69" i="134" s="1"/>
  <c r="R74" i="134"/>
  <c r="S74" i="134" s="1"/>
  <c r="R73" i="134"/>
  <c r="S73" i="134" s="1"/>
  <c r="R58" i="134"/>
  <c r="S58" i="134" s="1"/>
  <c r="R53" i="134"/>
  <c r="S53" i="134" s="1"/>
  <c r="R76" i="134"/>
  <c r="S76" i="134" s="1"/>
  <c r="R54" i="134"/>
  <c r="S54" i="134" s="1"/>
  <c r="R128" i="134"/>
  <c r="S128" i="134" s="1"/>
  <c r="R142" i="134"/>
  <c r="S142" i="134" s="1"/>
  <c r="R55" i="134"/>
  <c r="S55" i="134" s="1"/>
  <c r="R60" i="134"/>
  <c r="S60" i="134" s="1"/>
  <c r="R144" i="134"/>
  <c r="S144" i="134" s="1"/>
  <c r="D40" i="47"/>
  <c r="C55" i="16"/>
  <c r="G19" i="49" s="1"/>
  <c r="D44" i="16"/>
  <c r="D44" i="12" s="1"/>
  <c r="D40" i="16"/>
  <c r="D40" i="23" s="1"/>
  <c r="C2" i="16"/>
  <c r="C2" i="47" s="1"/>
  <c r="C30" i="133"/>
  <c r="D71" i="95"/>
  <c r="H48" i="95"/>
  <c r="H50" i="95" s="1"/>
  <c r="I53" i="95" s="1"/>
  <c r="E10" i="124"/>
  <c r="G6" i="132"/>
  <c r="I6" i="132" s="1"/>
  <c r="G6" i="131"/>
  <c r="I6" i="131" s="1"/>
  <c r="G6" i="130"/>
  <c r="G6" i="129"/>
  <c r="C26" i="133" s="1"/>
  <c r="E88" i="124"/>
  <c r="E86" i="124"/>
  <c r="E85" i="124"/>
  <c r="E84" i="124"/>
  <c r="E24" i="124"/>
  <c r="F24" i="124" s="1"/>
  <c r="K24" i="124" s="1"/>
  <c r="E22" i="124"/>
  <c r="X29" i="127"/>
  <c r="X28" i="127"/>
  <c r="X32" i="127" s="1"/>
  <c r="X23" i="127"/>
  <c r="X18" i="127"/>
  <c r="X13" i="127"/>
  <c r="X9" i="127"/>
  <c r="X8" i="127"/>
  <c r="E29" i="127"/>
  <c r="E28" i="127"/>
  <c r="E23" i="127"/>
  <c r="E18" i="127"/>
  <c r="E13" i="127"/>
  <c r="E9" i="127"/>
  <c r="E8" i="127"/>
  <c r="J11" i="127"/>
  <c r="X11" i="127"/>
  <c r="X16" i="127" s="1"/>
  <c r="X20" i="127" s="1"/>
  <c r="X25" i="127" s="1"/>
  <c r="D96" i="47"/>
  <c r="F12" i="93" s="1"/>
  <c r="D104" i="16"/>
  <c r="F17" i="93" s="1"/>
  <c r="C27" i="133"/>
  <c r="F19" i="133"/>
  <c r="F18" i="133"/>
  <c r="F17" i="133"/>
  <c r="F16" i="133"/>
  <c r="F15" i="133"/>
  <c r="F14" i="133"/>
  <c r="F13" i="133"/>
  <c r="F12" i="133"/>
  <c r="F11" i="133"/>
  <c r="F10" i="133"/>
  <c r="F9" i="133"/>
  <c r="F8" i="133"/>
  <c r="F7" i="133"/>
  <c r="F6" i="133"/>
  <c r="F16" i="93"/>
  <c r="G8" i="129"/>
  <c r="D121" i="16"/>
  <c r="E18" i="93" s="1"/>
  <c r="F13" i="93"/>
  <c r="E12" i="93"/>
  <c r="B7" i="45"/>
  <c r="I102" i="16"/>
  <c r="I103" i="16"/>
  <c r="I104" i="16"/>
  <c r="I105" i="16"/>
  <c r="J105" i="16" s="1"/>
  <c r="K105" i="16" s="1"/>
  <c r="I106" i="16"/>
  <c r="I98" i="16"/>
  <c r="I99" i="16"/>
  <c r="I100" i="16"/>
  <c r="J100" i="16" s="1"/>
  <c r="K100" i="16" s="1"/>
  <c r="I101" i="16"/>
  <c r="H14" i="131"/>
  <c r="I14" i="131" s="1"/>
  <c r="C24" i="133"/>
  <c r="C105" i="16"/>
  <c r="D105" i="16"/>
  <c r="F18" i="93" s="1"/>
  <c r="D29" i="16"/>
  <c r="G41" i="132"/>
  <c r="I41" i="132" s="1"/>
  <c r="B41" i="132"/>
  <c r="D41" i="132" s="1"/>
  <c r="G21" i="132"/>
  <c r="B21" i="132"/>
  <c r="D21" i="132" s="1"/>
  <c r="H14" i="132"/>
  <c r="I14" i="132" s="1"/>
  <c r="C14" i="132"/>
  <c r="D14" i="132" s="1"/>
  <c r="I13" i="132"/>
  <c r="D13" i="132"/>
  <c r="B13" i="132"/>
  <c r="I12" i="132"/>
  <c r="D12" i="132"/>
  <c r="I10" i="132"/>
  <c r="D10" i="132"/>
  <c r="D9" i="132"/>
  <c r="G8" i="132"/>
  <c r="B8" i="132"/>
  <c r="D8" i="132"/>
  <c r="J42" i="131"/>
  <c r="G41" i="131"/>
  <c r="I41" i="131" s="1"/>
  <c r="B41" i="131"/>
  <c r="D41" i="131" s="1"/>
  <c r="J39" i="131"/>
  <c r="J37" i="131"/>
  <c r="G21" i="131"/>
  <c r="B21" i="131"/>
  <c r="D21" i="131" s="1"/>
  <c r="C14" i="131"/>
  <c r="D14" i="131" s="1"/>
  <c r="I13" i="131"/>
  <c r="D13" i="131"/>
  <c r="B13" i="131"/>
  <c r="I12" i="131"/>
  <c r="D12" i="131"/>
  <c r="I10" i="131"/>
  <c r="D10" i="131"/>
  <c r="D9" i="131"/>
  <c r="G8" i="131"/>
  <c r="I8" i="131" s="1"/>
  <c r="B8" i="131"/>
  <c r="D8" i="131" s="1"/>
  <c r="G41" i="130"/>
  <c r="I41" i="130" s="1"/>
  <c r="B41" i="130"/>
  <c r="D41" i="130"/>
  <c r="G21" i="130"/>
  <c r="B21" i="130"/>
  <c r="D21" i="130" s="1"/>
  <c r="H14" i="130"/>
  <c r="I14" i="130" s="1"/>
  <c r="C14" i="130"/>
  <c r="D14" i="130" s="1"/>
  <c r="I13" i="130"/>
  <c r="D13" i="130"/>
  <c r="B13" i="130"/>
  <c r="I12" i="130"/>
  <c r="D12" i="130"/>
  <c r="I10" i="130"/>
  <c r="D10" i="130"/>
  <c r="D9" i="130"/>
  <c r="G8" i="130"/>
  <c r="D8" i="130"/>
  <c r="I6" i="130"/>
  <c r="G13" i="130" s="1"/>
  <c r="G41" i="129"/>
  <c r="I41" i="129" s="1"/>
  <c r="B41" i="129"/>
  <c r="D41" i="129" s="1"/>
  <c r="G21" i="129"/>
  <c r="B21" i="129"/>
  <c r="D21" i="129" s="1"/>
  <c r="I14" i="129"/>
  <c r="D14" i="129"/>
  <c r="I13" i="129"/>
  <c r="D13" i="129"/>
  <c r="B13" i="129"/>
  <c r="I12" i="129"/>
  <c r="D12" i="129"/>
  <c r="D10" i="129"/>
  <c r="I9" i="129"/>
  <c r="D9" i="129"/>
  <c r="B8" i="129"/>
  <c r="D8" i="129" s="1"/>
  <c r="I9" i="130"/>
  <c r="H13" i="133"/>
  <c r="J13" i="133"/>
  <c r="K13" i="133" s="1"/>
  <c r="G8" i="133"/>
  <c r="D95" i="16"/>
  <c r="J11" i="133"/>
  <c r="K11" i="133" s="1"/>
  <c r="G11" i="133"/>
  <c r="D98" i="16" s="1"/>
  <c r="H11" i="133"/>
  <c r="G12" i="133"/>
  <c r="D99" i="16" s="1"/>
  <c r="H12" i="133"/>
  <c r="D42" i="94"/>
  <c r="D40" i="94"/>
  <c r="D39" i="94"/>
  <c r="D38" i="94"/>
  <c r="E32" i="94"/>
  <c r="E29" i="94"/>
  <c r="D48" i="108"/>
  <c r="C18" i="96" s="1"/>
  <c r="D48" i="104"/>
  <c r="C14" i="96" s="1"/>
  <c r="D48" i="102"/>
  <c r="C12" i="96" s="1"/>
  <c r="D48" i="100"/>
  <c r="D48" i="98"/>
  <c r="D29" i="108"/>
  <c r="D17" i="108"/>
  <c r="D6" i="108"/>
  <c r="D5" i="108"/>
  <c r="D29" i="104"/>
  <c r="D17" i="104"/>
  <c r="D6" i="104"/>
  <c r="D5" i="104"/>
  <c r="D29" i="102"/>
  <c r="D17" i="102"/>
  <c r="D6" i="102"/>
  <c r="D5" i="102"/>
  <c r="D29" i="100"/>
  <c r="D17" i="100"/>
  <c r="D6" i="100"/>
  <c r="D5" i="100"/>
  <c r="D29" i="98"/>
  <c r="D17" i="98"/>
  <c r="D6" i="98"/>
  <c r="D5" i="98"/>
  <c r="D48" i="107"/>
  <c r="D48" i="103"/>
  <c r="C13" i="96" s="1"/>
  <c r="D48" i="101"/>
  <c r="C11" i="96" s="1"/>
  <c r="D48" i="99"/>
  <c r="C9" i="96" s="1"/>
  <c r="D48" i="97"/>
  <c r="C7" i="96" s="1"/>
  <c r="D29" i="107"/>
  <c r="D17" i="107"/>
  <c r="D6" i="107"/>
  <c r="D5" i="107"/>
  <c r="D29" i="103"/>
  <c r="D17" i="103"/>
  <c r="D6" i="103"/>
  <c r="D5" i="103"/>
  <c r="D29" i="101"/>
  <c r="D17" i="101"/>
  <c r="D6" i="101"/>
  <c r="D5" i="101"/>
  <c r="D29" i="99"/>
  <c r="D17" i="99"/>
  <c r="D6" i="99"/>
  <c r="D5" i="99"/>
  <c r="D29" i="97"/>
  <c r="D17" i="97"/>
  <c r="D6" i="97"/>
  <c r="D5" i="97"/>
  <c r="D35" i="95"/>
  <c r="B16" i="117" s="1"/>
  <c r="D66" i="69"/>
  <c r="C26" i="48" s="1"/>
  <c r="D66" i="67"/>
  <c r="C24" i="48" s="1"/>
  <c r="D66" i="65"/>
  <c r="C22" i="48" s="1"/>
  <c r="D66" i="63"/>
  <c r="C20" i="48" s="1"/>
  <c r="D66" i="61"/>
  <c r="C18" i="48" s="1"/>
  <c r="D66" i="59"/>
  <c r="C16" i="48" s="1"/>
  <c r="D66" i="57"/>
  <c r="C14" i="48" s="1"/>
  <c r="D66" i="55"/>
  <c r="C12" i="48" s="1"/>
  <c r="D66" i="53"/>
  <c r="C10" i="48" s="1"/>
  <c r="D66" i="51"/>
  <c r="C8" i="48" s="1"/>
  <c r="D26" i="69"/>
  <c r="D26" i="67"/>
  <c r="D26" i="65"/>
  <c r="D26" i="63"/>
  <c r="D26" i="61"/>
  <c r="D26" i="59"/>
  <c r="D26" i="57"/>
  <c r="D26" i="55"/>
  <c r="D26" i="53"/>
  <c r="D66" i="68"/>
  <c r="C25" i="48" s="1"/>
  <c r="D66" i="66"/>
  <c r="C23" i="48" s="1"/>
  <c r="D66" i="64"/>
  <c r="C21" i="48" s="1"/>
  <c r="D66" i="62"/>
  <c r="D66" i="60"/>
  <c r="C17" i="48" s="1"/>
  <c r="D66" i="58"/>
  <c r="C15" i="48" s="1"/>
  <c r="D66" i="56"/>
  <c r="C13" i="48" s="1"/>
  <c r="D66" i="54"/>
  <c r="C11" i="48" s="1"/>
  <c r="D66" i="52"/>
  <c r="C9" i="48" s="1"/>
  <c r="D66" i="50"/>
  <c r="C7" i="48" s="1"/>
  <c r="D26" i="68"/>
  <c r="D26" i="66"/>
  <c r="D26" i="64"/>
  <c r="D26" i="62"/>
  <c r="D26" i="60"/>
  <c r="D26" i="58"/>
  <c r="D26" i="56"/>
  <c r="D26" i="54"/>
  <c r="D26" i="52"/>
  <c r="D80" i="47"/>
  <c r="B17" i="86" s="1"/>
  <c r="D71" i="47"/>
  <c r="B16" i="84" s="1"/>
  <c r="D5" i="47"/>
  <c r="D66" i="12"/>
  <c r="C24" i="3" s="1"/>
  <c r="D66" i="36"/>
  <c r="C22" i="3" s="1"/>
  <c r="D66" i="32"/>
  <c r="C20" i="3" s="1"/>
  <c r="D66" i="14"/>
  <c r="C18" i="3" s="1"/>
  <c r="D66" i="28"/>
  <c r="C16" i="3" s="1"/>
  <c r="D66" i="23"/>
  <c r="C14" i="3" s="1"/>
  <c r="D66" i="18"/>
  <c r="C12" i="3" s="1"/>
  <c r="D66" i="9"/>
  <c r="C10" i="3" s="1"/>
  <c r="D42" i="12"/>
  <c r="D36" i="12"/>
  <c r="D32" i="12"/>
  <c r="D27" i="12"/>
  <c r="D15" i="12"/>
  <c r="D13" i="12"/>
  <c r="D12" i="12"/>
  <c r="D5" i="12"/>
  <c r="D42" i="36"/>
  <c r="D36" i="36"/>
  <c r="D32" i="36"/>
  <c r="D27" i="36"/>
  <c r="D15" i="36"/>
  <c r="D13" i="36"/>
  <c r="D12" i="36"/>
  <c r="D5" i="36"/>
  <c r="D42" i="32"/>
  <c r="D36" i="32"/>
  <c r="I50" i="32" s="1"/>
  <c r="D32" i="32"/>
  <c r="D27" i="32"/>
  <c r="D15" i="32"/>
  <c r="D13" i="32"/>
  <c r="D12" i="32"/>
  <c r="D5" i="32"/>
  <c r="D42" i="14"/>
  <c r="D36" i="14"/>
  <c r="D32" i="14"/>
  <c r="D27" i="14"/>
  <c r="D15" i="14"/>
  <c r="D13" i="14"/>
  <c r="D12" i="14"/>
  <c r="D5" i="14"/>
  <c r="D42" i="28"/>
  <c r="D36" i="28"/>
  <c r="I50" i="28" s="1"/>
  <c r="D32" i="28"/>
  <c r="D27" i="28"/>
  <c r="D15" i="28"/>
  <c r="D13" i="28"/>
  <c r="D12" i="28"/>
  <c r="D5" i="28"/>
  <c r="D42" i="23"/>
  <c r="D36" i="23"/>
  <c r="I50" i="23" s="1"/>
  <c r="D32" i="23"/>
  <c r="D27" i="23"/>
  <c r="D15" i="23"/>
  <c r="D13" i="23"/>
  <c r="D12" i="23"/>
  <c r="D5" i="23"/>
  <c r="D42" i="18"/>
  <c r="D36" i="18"/>
  <c r="D32" i="18"/>
  <c r="D27" i="18"/>
  <c r="D15" i="18"/>
  <c r="D13" i="18"/>
  <c r="D12" i="18"/>
  <c r="D5" i="18"/>
  <c r="D42" i="9"/>
  <c r="D36" i="9"/>
  <c r="D32" i="9"/>
  <c r="D27" i="9"/>
  <c r="D15" i="9"/>
  <c r="D13" i="9"/>
  <c r="D12" i="9"/>
  <c r="D5" i="9"/>
  <c r="D66" i="10"/>
  <c r="C23" i="3" s="1"/>
  <c r="D66" i="35"/>
  <c r="C21" i="3" s="1"/>
  <c r="D66" i="31"/>
  <c r="C19" i="3" s="1"/>
  <c r="D66" i="13"/>
  <c r="C17" i="3" s="1"/>
  <c r="D66" i="27"/>
  <c r="C15" i="3" s="1"/>
  <c r="D66" i="17"/>
  <c r="C13" i="3" s="1"/>
  <c r="D66" i="25"/>
  <c r="C11" i="3" s="1"/>
  <c r="D66" i="1"/>
  <c r="C9" i="3" s="1"/>
  <c r="D42" i="10"/>
  <c r="D36" i="10"/>
  <c r="D32" i="10"/>
  <c r="D27" i="10"/>
  <c r="D15" i="10"/>
  <c r="D13" i="10"/>
  <c r="D12" i="10"/>
  <c r="D5" i="10"/>
  <c r="D42" i="35"/>
  <c r="D36" i="35"/>
  <c r="D32" i="35"/>
  <c r="D27" i="35"/>
  <c r="D15" i="35"/>
  <c r="D13" i="35"/>
  <c r="D12" i="35"/>
  <c r="D5" i="35"/>
  <c r="D42" i="31"/>
  <c r="D36" i="31"/>
  <c r="D32" i="31"/>
  <c r="D27" i="31"/>
  <c r="D15" i="31"/>
  <c r="D13" i="31"/>
  <c r="D12" i="31"/>
  <c r="D5" i="31"/>
  <c r="D42" i="13"/>
  <c r="D36" i="13"/>
  <c r="I50" i="13" s="1"/>
  <c r="D32" i="13"/>
  <c r="D27" i="13"/>
  <c r="D15" i="13"/>
  <c r="D13" i="13"/>
  <c r="D12" i="13"/>
  <c r="D5" i="13"/>
  <c r="D42" i="27"/>
  <c r="D36" i="27"/>
  <c r="I50" i="27" s="1"/>
  <c r="D32" i="27"/>
  <c r="D27" i="27"/>
  <c r="D15" i="27"/>
  <c r="D13" i="27"/>
  <c r="D12" i="27"/>
  <c r="D5" i="27"/>
  <c r="D42" i="17"/>
  <c r="D36" i="17"/>
  <c r="I50" i="17" s="1"/>
  <c r="D32" i="17"/>
  <c r="D27" i="17"/>
  <c r="D15" i="17"/>
  <c r="D13" i="17"/>
  <c r="D12" i="17"/>
  <c r="D5" i="17"/>
  <c r="D42" i="25"/>
  <c r="D36" i="25"/>
  <c r="I50" i="25" s="1"/>
  <c r="D32" i="25"/>
  <c r="D27" i="25"/>
  <c r="D15" i="25"/>
  <c r="D13" i="25"/>
  <c r="D12" i="25"/>
  <c r="D5" i="25"/>
  <c r="D42" i="1"/>
  <c r="D36" i="1"/>
  <c r="I50" i="1" s="1"/>
  <c r="D32" i="1"/>
  <c r="D27" i="1"/>
  <c r="D15" i="1"/>
  <c r="D13" i="1"/>
  <c r="D12" i="1"/>
  <c r="D5" i="1"/>
  <c r="D10" i="108"/>
  <c r="D5" i="68"/>
  <c r="D10" i="101"/>
  <c r="D5" i="62"/>
  <c r="D66" i="44"/>
  <c r="C8" i="3" s="1"/>
  <c r="D66" i="43"/>
  <c r="C7" i="3" s="1"/>
  <c r="D48" i="106"/>
  <c r="C16" i="96" s="1"/>
  <c r="D48" i="105"/>
  <c r="C15" i="96" s="1"/>
  <c r="J54" i="105"/>
  <c r="D14" i="94"/>
  <c r="D15" i="94"/>
  <c r="F35" i="123"/>
  <c r="D36" i="123"/>
  <c r="F15" i="123"/>
  <c r="F8" i="123"/>
  <c r="D25" i="95"/>
  <c r="D25" i="98" s="1"/>
  <c r="I32" i="98" s="1"/>
  <c r="D21" i="95"/>
  <c r="D36" i="47"/>
  <c r="D36" i="65" s="1"/>
  <c r="I50" i="65" s="1"/>
  <c r="D32" i="47"/>
  <c r="D32" i="57" s="1"/>
  <c r="D27" i="47"/>
  <c r="D27" i="69" s="1"/>
  <c r="D15" i="47"/>
  <c r="D15" i="55" s="1"/>
  <c r="D13" i="47"/>
  <c r="D13" i="60" s="1"/>
  <c r="D12" i="47"/>
  <c r="D12" i="59" s="1"/>
  <c r="D12" i="52"/>
  <c r="D27" i="55"/>
  <c r="D27" i="63"/>
  <c r="D27" i="56"/>
  <c r="D27" i="59"/>
  <c r="D27" i="68"/>
  <c r="D27" i="66"/>
  <c r="D36" i="69"/>
  <c r="I50" i="69" s="1"/>
  <c r="D36" i="53"/>
  <c r="I50" i="53" s="1"/>
  <c r="D36" i="62"/>
  <c r="I50" i="62" s="1"/>
  <c r="D36" i="56"/>
  <c r="I50" i="56" s="1"/>
  <c r="D36" i="61"/>
  <c r="D36" i="54"/>
  <c r="D36" i="68"/>
  <c r="I50" i="68" s="1"/>
  <c r="D36" i="52"/>
  <c r="D36" i="57"/>
  <c r="I50" i="57" s="1"/>
  <c r="D32" i="61"/>
  <c r="D32" i="66"/>
  <c r="D32" i="67"/>
  <c r="D13" i="67"/>
  <c r="D13" i="65"/>
  <c r="D13" i="66"/>
  <c r="D13" i="55"/>
  <c r="D25" i="108"/>
  <c r="I32" i="108" s="1"/>
  <c r="D25" i="104"/>
  <c r="D25" i="101"/>
  <c r="I32" i="101" s="1"/>
  <c r="D25" i="100"/>
  <c r="I32" i="100" s="1"/>
  <c r="D25" i="107"/>
  <c r="I32" i="107" s="1"/>
  <c r="D67" i="95"/>
  <c r="F21" i="123"/>
  <c r="J57" i="124"/>
  <c r="F52" i="124"/>
  <c r="E54" i="124" s="1"/>
  <c r="F54" i="124" s="1"/>
  <c r="F51" i="124"/>
  <c r="K48" i="124"/>
  <c r="C42" i="124"/>
  <c r="F42" i="124" s="1"/>
  <c r="K42" i="124" s="1"/>
  <c r="K33" i="124"/>
  <c r="K23" i="124"/>
  <c r="C22" i="124"/>
  <c r="F22" i="124" s="1"/>
  <c r="J22" i="124" s="1"/>
  <c r="C21" i="124"/>
  <c r="F21" i="124" s="1"/>
  <c r="J21" i="124" s="1"/>
  <c r="C19" i="124"/>
  <c r="C17" i="124"/>
  <c r="C15" i="124"/>
  <c r="E15" i="124"/>
  <c r="C14" i="124"/>
  <c r="C13" i="124"/>
  <c r="F13" i="124" s="1"/>
  <c r="K13" i="124" s="1"/>
  <c r="F10" i="124"/>
  <c r="K10" i="124" s="1"/>
  <c r="F26" i="123"/>
  <c r="D16" i="123"/>
  <c r="D9" i="123"/>
  <c r="J8" i="123"/>
  <c r="J6" i="123"/>
  <c r="D31" i="123" s="1"/>
  <c r="J4" i="123"/>
  <c r="L2" i="123"/>
  <c r="E39" i="94"/>
  <c r="F39" i="94" s="1"/>
  <c r="K57" i="124"/>
  <c r="D7" i="123"/>
  <c r="F53" i="123" s="1"/>
  <c r="C56" i="123" s="1"/>
  <c r="D42" i="95"/>
  <c r="B12" i="117" s="1"/>
  <c r="D41" i="95"/>
  <c r="B11" i="110" s="1"/>
  <c r="D40" i="95"/>
  <c r="D79" i="47"/>
  <c r="B12" i="77" s="1"/>
  <c r="D78" i="47"/>
  <c r="B11" i="88" s="1"/>
  <c r="D77" i="47"/>
  <c r="B7" i="90" s="1"/>
  <c r="E38" i="94"/>
  <c r="F38" i="94" s="1"/>
  <c r="E40" i="94"/>
  <c r="E42" i="94"/>
  <c r="E8" i="94"/>
  <c r="D112" i="47"/>
  <c r="D69" i="95"/>
  <c r="B17" i="120"/>
  <c r="B16" i="120"/>
  <c r="B7" i="120"/>
  <c r="B17" i="119"/>
  <c r="B16" i="119"/>
  <c r="B7" i="119"/>
  <c r="B17" i="118"/>
  <c r="B7" i="118"/>
  <c r="B17" i="117"/>
  <c r="B7" i="117"/>
  <c r="B17" i="116"/>
  <c r="B16" i="116"/>
  <c r="B7" i="116"/>
  <c r="B17" i="115"/>
  <c r="B16" i="115"/>
  <c r="B7" i="115"/>
  <c r="B17" i="114"/>
  <c r="B7" i="114"/>
  <c r="B17" i="113"/>
  <c r="B7" i="113"/>
  <c r="B17" i="112"/>
  <c r="B16" i="112"/>
  <c r="B7" i="112"/>
  <c r="B17" i="111"/>
  <c r="B16" i="111"/>
  <c r="B7" i="111"/>
  <c r="B17" i="110"/>
  <c r="B7" i="110"/>
  <c r="B17" i="109"/>
  <c r="B7" i="109"/>
  <c r="J36" i="108"/>
  <c r="J35" i="108"/>
  <c r="J33" i="108"/>
  <c r="I33" i="108"/>
  <c r="J36" i="107"/>
  <c r="J35" i="107"/>
  <c r="J33" i="107"/>
  <c r="I33" i="107"/>
  <c r="J36" i="106"/>
  <c r="J35" i="106"/>
  <c r="J33" i="106"/>
  <c r="I33" i="106"/>
  <c r="D29" i="106"/>
  <c r="D17" i="106"/>
  <c r="D6" i="106"/>
  <c r="D5" i="106"/>
  <c r="J36" i="105"/>
  <c r="J35" i="105"/>
  <c r="J33" i="105"/>
  <c r="I33" i="105"/>
  <c r="D29" i="105"/>
  <c r="D25" i="105"/>
  <c r="I32" i="105" s="1"/>
  <c r="D17" i="105"/>
  <c r="D6" i="105"/>
  <c r="D5" i="105"/>
  <c r="J36" i="104"/>
  <c r="J35" i="104"/>
  <c r="J33" i="104"/>
  <c r="I33" i="104"/>
  <c r="I32" i="104"/>
  <c r="J36" i="103"/>
  <c r="J35" i="103"/>
  <c r="J33" i="103"/>
  <c r="I33" i="103"/>
  <c r="J36" i="102"/>
  <c r="J35" i="102"/>
  <c r="J33" i="102"/>
  <c r="I33" i="102"/>
  <c r="J36" i="101"/>
  <c r="J35" i="101"/>
  <c r="J33" i="101"/>
  <c r="I33" i="101"/>
  <c r="J36" i="100"/>
  <c r="J35" i="100"/>
  <c r="J33" i="100"/>
  <c r="I33" i="100"/>
  <c r="J36" i="99"/>
  <c r="J35" i="99"/>
  <c r="J33" i="99"/>
  <c r="I33" i="99"/>
  <c r="J36" i="98"/>
  <c r="J35" i="98"/>
  <c r="J33" i="98"/>
  <c r="I33" i="98"/>
  <c r="J36" i="97"/>
  <c r="J35" i="97"/>
  <c r="J33" i="97"/>
  <c r="I33" i="97"/>
  <c r="D18" i="95"/>
  <c r="D18" i="104"/>
  <c r="E37" i="94"/>
  <c r="E41" i="94"/>
  <c r="D18" i="105"/>
  <c r="D18" i="106"/>
  <c r="F144" i="93"/>
  <c r="G144" i="93" s="1"/>
  <c r="F143" i="93"/>
  <c r="G143" i="93" s="1"/>
  <c r="F142" i="93"/>
  <c r="G142" i="93" s="1"/>
  <c r="F141" i="93"/>
  <c r="G141" i="93" s="1"/>
  <c r="F140" i="93"/>
  <c r="G140" i="93" s="1"/>
  <c r="F139" i="93"/>
  <c r="G139" i="93"/>
  <c r="F138" i="93"/>
  <c r="G138" i="93" s="1"/>
  <c r="F137" i="93"/>
  <c r="G137" i="93" s="1"/>
  <c r="F135" i="93"/>
  <c r="G135" i="93" s="1"/>
  <c r="F134" i="93"/>
  <c r="G134" i="93" s="1"/>
  <c r="F132" i="93"/>
  <c r="G132" i="93" s="1"/>
  <c r="F131" i="93"/>
  <c r="G131" i="93" s="1"/>
  <c r="F130" i="93"/>
  <c r="G130" i="93"/>
  <c r="F129" i="93"/>
  <c r="G129" i="93" s="1"/>
  <c r="F126" i="93"/>
  <c r="G126" i="93" s="1"/>
  <c r="F125" i="93"/>
  <c r="G125" i="93" s="1"/>
  <c r="F124" i="93"/>
  <c r="G124" i="93" s="1"/>
  <c r="B122" i="93"/>
  <c r="B11" i="90"/>
  <c r="B7" i="89"/>
  <c r="B16" i="88"/>
  <c r="B11" i="87"/>
  <c r="B11" i="86"/>
  <c r="B7" i="86"/>
  <c r="B16" i="83"/>
  <c r="B11" i="83"/>
  <c r="B11" i="82"/>
  <c r="B12" i="81"/>
  <c r="B11" i="81"/>
  <c r="B11" i="80"/>
  <c r="B11" i="79"/>
  <c r="B7" i="79"/>
  <c r="B16" i="76"/>
  <c r="B11" i="76"/>
  <c r="B11" i="75"/>
  <c r="B12" i="74"/>
  <c r="B11" i="74"/>
  <c r="B11" i="73"/>
  <c r="B7" i="72"/>
  <c r="B16" i="71"/>
  <c r="B12" i="71"/>
  <c r="B20" i="70"/>
  <c r="B19" i="70"/>
  <c r="B18" i="70"/>
  <c r="B17" i="70"/>
  <c r="B16" i="70"/>
  <c r="B15" i="70"/>
  <c r="B14" i="70"/>
  <c r="J54" i="69"/>
  <c r="J53" i="69"/>
  <c r="J51" i="69"/>
  <c r="I51" i="69"/>
  <c r="C48" i="69"/>
  <c r="J54" i="68"/>
  <c r="J53" i="68"/>
  <c r="J51" i="68"/>
  <c r="I51" i="68"/>
  <c r="C48" i="68"/>
  <c r="J54" i="67"/>
  <c r="J53" i="67"/>
  <c r="J51" i="67"/>
  <c r="I51" i="67"/>
  <c r="C48" i="67"/>
  <c r="J54" i="66"/>
  <c r="J53" i="66"/>
  <c r="J51" i="66"/>
  <c r="I51" i="66"/>
  <c r="C48" i="66"/>
  <c r="J54" i="65"/>
  <c r="J53" i="65"/>
  <c r="J51" i="65"/>
  <c r="I51" i="65"/>
  <c r="C48" i="65"/>
  <c r="J54" i="64"/>
  <c r="J53" i="64"/>
  <c r="J51" i="64"/>
  <c r="I51" i="64"/>
  <c r="C48" i="64"/>
  <c r="J54" i="63"/>
  <c r="J53" i="63"/>
  <c r="J51" i="63"/>
  <c r="I51" i="63"/>
  <c r="C48" i="63"/>
  <c r="J54" i="62"/>
  <c r="J53" i="62"/>
  <c r="J51" i="62"/>
  <c r="I51" i="62"/>
  <c r="C48" i="62"/>
  <c r="J54" i="61"/>
  <c r="J53" i="61"/>
  <c r="J51" i="61"/>
  <c r="I51" i="61"/>
  <c r="C48" i="61"/>
  <c r="I50" i="61"/>
  <c r="J54" i="60"/>
  <c r="J53" i="60"/>
  <c r="J51" i="60"/>
  <c r="I51" i="60"/>
  <c r="C48" i="60"/>
  <c r="J54" i="59"/>
  <c r="J53" i="59"/>
  <c r="J51" i="59"/>
  <c r="I51" i="59"/>
  <c r="C48" i="59"/>
  <c r="J54" i="58"/>
  <c r="J53" i="58"/>
  <c r="J51" i="58"/>
  <c r="I51" i="58"/>
  <c r="C48" i="58"/>
  <c r="J54" i="57"/>
  <c r="J53" i="57"/>
  <c r="J51" i="57"/>
  <c r="I51" i="57"/>
  <c r="C48" i="57"/>
  <c r="J54" i="56"/>
  <c r="J53" i="56"/>
  <c r="J51" i="56"/>
  <c r="I51" i="56"/>
  <c r="C48" i="56"/>
  <c r="J54" i="55"/>
  <c r="J53" i="55"/>
  <c r="J51" i="55"/>
  <c r="I51" i="55"/>
  <c r="C48" i="55"/>
  <c r="J54" i="54"/>
  <c r="J53" i="54"/>
  <c r="J51" i="54"/>
  <c r="I51" i="54"/>
  <c r="C48" i="54"/>
  <c r="J54" i="53"/>
  <c r="J53" i="53"/>
  <c r="J51" i="53"/>
  <c r="I51" i="53"/>
  <c r="C48" i="53"/>
  <c r="J54" i="52"/>
  <c r="J53" i="52"/>
  <c r="J51" i="52"/>
  <c r="I51" i="52"/>
  <c r="C48" i="52"/>
  <c r="I50" i="52"/>
  <c r="J54" i="51"/>
  <c r="J53" i="51"/>
  <c r="J51" i="51"/>
  <c r="I51" i="51"/>
  <c r="C48" i="51"/>
  <c r="D36" i="51"/>
  <c r="I50" i="51"/>
  <c r="D32" i="51"/>
  <c r="D27" i="51"/>
  <c r="D26" i="51"/>
  <c r="D5" i="51"/>
  <c r="J54" i="50"/>
  <c r="J53" i="50"/>
  <c r="J51" i="50"/>
  <c r="I51" i="50"/>
  <c r="D36" i="50"/>
  <c r="I50" i="50"/>
  <c r="D32" i="50"/>
  <c r="D27" i="50"/>
  <c r="D26" i="50"/>
  <c r="G17" i="49"/>
  <c r="C17" i="49"/>
  <c r="G15" i="49"/>
  <c r="C15" i="49"/>
  <c r="I10" i="49"/>
  <c r="G5" i="49"/>
  <c r="E59" i="47"/>
  <c r="E57" i="47"/>
  <c r="I50" i="54"/>
  <c r="B17" i="46"/>
  <c r="B17" i="7"/>
  <c r="B17" i="20"/>
  <c r="B17" i="19"/>
  <c r="B17" i="21"/>
  <c r="B17" i="24"/>
  <c r="B17" i="26"/>
  <c r="B17" i="29"/>
  <c r="B17" i="30"/>
  <c r="B17" i="15"/>
  <c r="B17" i="22"/>
  <c r="B17" i="33"/>
  <c r="B17" i="34"/>
  <c r="B17" i="37"/>
  <c r="B17" i="38"/>
  <c r="B17" i="39"/>
  <c r="B17" i="11"/>
  <c r="B17" i="45"/>
  <c r="B12" i="46"/>
  <c r="B12" i="7"/>
  <c r="B12" i="20"/>
  <c r="B12" i="19"/>
  <c r="B12" i="21"/>
  <c r="B12" i="24"/>
  <c r="B12" i="26"/>
  <c r="B12" i="29"/>
  <c r="B12" i="30"/>
  <c r="B12" i="15"/>
  <c r="B12" i="22"/>
  <c r="B12" i="33"/>
  <c r="B12" i="34"/>
  <c r="B12" i="37"/>
  <c r="B12" i="38"/>
  <c r="B12" i="39"/>
  <c r="B12" i="11"/>
  <c r="B12" i="45"/>
  <c r="B11" i="46"/>
  <c r="B11" i="7"/>
  <c r="B11" i="20"/>
  <c r="B11" i="19"/>
  <c r="B11" i="21"/>
  <c r="B11" i="24"/>
  <c r="B11" i="26"/>
  <c r="B11" i="29"/>
  <c r="B11" i="30"/>
  <c r="B11" i="15"/>
  <c r="B11" i="22"/>
  <c r="B11" i="33"/>
  <c r="B11" i="34"/>
  <c r="B11" i="37"/>
  <c r="B11" i="38"/>
  <c r="B11" i="39"/>
  <c r="B11" i="11"/>
  <c r="B11" i="45"/>
  <c r="B7" i="46"/>
  <c r="B7" i="7"/>
  <c r="B7" i="20"/>
  <c r="B7" i="19"/>
  <c r="B7" i="21"/>
  <c r="B7" i="24"/>
  <c r="B7" i="26"/>
  <c r="B7" i="29"/>
  <c r="B7" i="30"/>
  <c r="B7" i="15"/>
  <c r="B7" i="22"/>
  <c r="B7" i="33"/>
  <c r="B7" i="34"/>
  <c r="B7" i="37"/>
  <c r="B7" i="38"/>
  <c r="B7" i="39"/>
  <c r="B7" i="11"/>
  <c r="B16" i="46"/>
  <c r="B16" i="45"/>
  <c r="J54" i="44"/>
  <c r="J53" i="44"/>
  <c r="J51" i="44"/>
  <c r="I51" i="44"/>
  <c r="D42" i="44"/>
  <c r="D36" i="44"/>
  <c r="I50" i="44"/>
  <c r="D32" i="44"/>
  <c r="D27" i="44"/>
  <c r="D15" i="44"/>
  <c r="D13" i="44"/>
  <c r="D12" i="44"/>
  <c r="D5" i="44"/>
  <c r="J54" i="43"/>
  <c r="J53" i="43"/>
  <c r="J51" i="43"/>
  <c r="I51" i="43"/>
  <c r="D42" i="43"/>
  <c r="D36" i="43"/>
  <c r="I50" i="43" s="1"/>
  <c r="D32" i="43"/>
  <c r="D27" i="43"/>
  <c r="D15" i="43"/>
  <c r="D13" i="43"/>
  <c r="D12" i="43"/>
  <c r="D5" i="43"/>
  <c r="B16" i="20"/>
  <c r="B16" i="19"/>
  <c r="B16" i="21"/>
  <c r="B16" i="24"/>
  <c r="B16" i="26"/>
  <c r="B16" i="29"/>
  <c r="B16" i="30"/>
  <c r="B16" i="15"/>
  <c r="B16" i="22"/>
  <c r="B16" i="33"/>
  <c r="B16" i="34"/>
  <c r="B16" i="37"/>
  <c r="B16" i="39"/>
  <c r="B16" i="38"/>
  <c r="B16" i="11"/>
  <c r="B16" i="7"/>
  <c r="B20" i="2"/>
  <c r="B19" i="2"/>
  <c r="B18" i="2"/>
  <c r="B17" i="2"/>
  <c r="B16" i="2"/>
  <c r="D45" i="47" s="1"/>
  <c r="B15" i="2"/>
  <c r="B14" i="2"/>
  <c r="J54" i="36"/>
  <c r="J53" i="36"/>
  <c r="J51" i="36"/>
  <c r="I51" i="36"/>
  <c r="J54" i="35"/>
  <c r="J53" i="35"/>
  <c r="J51" i="35"/>
  <c r="I51" i="35"/>
  <c r="J54" i="32"/>
  <c r="J53" i="32"/>
  <c r="J51" i="32"/>
  <c r="I51" i="32"/>
  <c r="J54" i="31"/>
  <c r="J53" i="31"/>
  <c r="J51" i="31"/>
  <c r="I51" i="31"/>
  <c r="J54" i="28"/>
  <c r="J53" i="28"/>
  <c r="J51" i="28"/>
  <c r="I51" i="28"/>
  <c r="J54" i="27"/>
  <c r="J53" i="27"/>
  <c r="J51" i="27"/>
  <c r="I51" i="27"/>
  <c r="J54" i="25"/>
  <c r="J53" i="25"/>
  <c r="J51" i="25"/>
  <c r="I51" i="25"/>
  <c r="J54" i="23"/>
  <c r="J53" i="23"/>
  <c r="J51" i="23"/>
  <c r="I51" i="23"/>
  <c r="J54" i="18"/>
  <c r="J53" i="18"/>
  <c r="J51" i="18"/>
  <c r="I51" i="18"/>
  <c r="J54" i="17"/>
  <c r="J53" i="17"/>
  <c r="J51" i="17"/>
  <c r="I51" i="17"/>
  <c r="I50" i="35"/>
  <c r="I50" i="31"/>
  <c r="I50" i="36"/>
  <c r="I50" i="18"/>
  <c r="E56" i="16"/>
  <c r="E54" i="16"/>
  <c r="D20" i="16"/>
  <c r="J54" i="14"/>
  <c r="J53" i="14"/>
  <c r="J51" i="14"/>
  <c r="I51" i="14"/>
  <c r="J54" i="13"/>
  <c r="J53" i="13"/>
  <c r="J51" i="13"/>
  <c r="I51" i="13"/>
  <c r="D29" i="47"/>
  <c r="D29" i="14"/>
  <c r="D29" i="9"/>
  <c r="D29" i="35"/>
  <c r="D29" i="17"/>
  <c r="D29" i="10"/>
  <c r="D29" i="27"/>
  <c r="D29" i="12"/>
  <c r="D29" i="28"/>
  <c r="D29" i="31"/>
  <c r="D29" i="25"/>
  <c r="D29" i="36"/>
  <c r="D29" i="23"/>
  <c r="D29" i="13"/>
  <c r="D29" i="1"/>
  <c r="D29" i="32"/>
  <c r="D29" i="18"/>
  <c r="D20" i="9"/>
  <c r="D20" i="10"/>
  <c r="D20" i="47"/>
  <c r="D20" i="12"/>
  <c r="D20" i="43"/>
  <c r="D20" i="36"/>
  <c r="D20" i="1"/>
  <c r="D29" i="59"/>
  <c r="D29" i="64"/>
  <c r="D29" i="44"/>
  <c r="D29" i="43"/>
  <c r="I50" i="14"/>
  <c r="D20" i="60"/>
  <c r="D20" i="55"/>
  <c r="J54" i="12"/>
  <c r="J53" i="12"/>
  <c r="J51" i="12"/>
  <c r="I51" i="12"/>
  <c r="I50" i="12"/>
  <c r="J54" i="10"/>
  <c r="J53" i="10"/>
  <c r="J51" i="10"/>
  <c r="I51" i="10"/>
  <c r="I50" i="10"/>
  <c r="J54" i="9"/>
  <c r="J53" i="9"/>
  <c r="J51" i="9"/>
  <c r="I51" i="9"/>
  <c r="I50" i="9"/>
  <c r="D16" i="48"/>
  <c r="D23" i="48"/>
  <c r="D22" i="48"/>
  <c r="D12" i="48"/>
  <c r="D17" i="48"/>
  <c r="D7" i="48"/>
  <c r="D25" i="48"/>
  <c r="D24" i="48"/>
  <c r="C19" i="48"/>
  <c r="D19" i="48"/>
  <c r="D13" i="48"/>
  <c r="D10" i="48"/>
  <c r="D18" i="48"/>
  <c r="D14" i="48"/>
  <c r="D9" i="48"/>
  <c r="D21" i="48"/>
  <c r="D26" i="48"/>
  <c r="D7" i="3"/>
  <c r="D21" i="3"/>
  <c r="D19" i="3"/>
  <c r="D8" i="48"/>
  <c r="D20" i="48"/>
  <c r="D15" i="48"/>
  <c r="D11" i="48"/>
  <c r="D8" i="3"/>
  <c r="D18" i="3"/>
  <c r="D17" i="3"/>
  <c r="D12" i="3"/>
  <c r="D14" i="3"/>
  <c r="D16" i="3"/>
  <c r="D22" i="3"/>
  <c r="D20" i="3"/>
  <c r="D15" i="3"/>
  <c r="D13" i="3"/>
  <c r="D11" i="3"/>
  <c r="D23" i="3"/>
  <c r="D24" i="3"/>
  <c r="D10" i="3"/>
  <c r="D15" i="96"/>
  <c r="D9" i="96"/>
  <c r="D18" i="96"/>
  <c r="D12" i="96"/>
  <c r="C8" i="96"/>
  <c r="D8" i="96"/>
  <c r="D14" i="96"/>
  <c r="D16" i="96"/>
  <c r="D13" i="96"/>
  <c r="D7" i="96"/>
  <c r="D17" i="96"/>
  <c r="D10" i="96"/>
  <c r="D11" i="96"/>
  <c r="I51" i="1"/>
  <c r="J54" i="1"/>
  <c r="J53" i="1"/>
  <c r="J51" i="1"/>
  <c r="D9" i="3"/>
  <c r="J104" i="16"/>
  <c r="K104" i="16"/>
  <c r="J102" i="16"/>
  <c r="K102" i="16" s="1"/>
  <c r="J101" i="16"/>
  <c r="K101" i="16" s="1"/>
  <c r="J106" i="16"/>
  <c r="K106" i="16" s="1"/>
  <c r="J99" i="16"/>
  <c r="K99" i="16" s="1"/>
  <c r="D91" i="47"/>
  <c r="D87" i="47"/>
  <c r="B6" i="76" s="1"/>
  <c r="B9" i="76" s="1"/>
  <c r="B40" i="76" s="1"/>
  <c r="B9" i="81"/>
  <c r="B40" i="81" s="1"/>
  <c r="B6" i="82"/>
  <c r="B9" i="82" s="1"/>
  <c r="B40" i="82" s="1"/>
  <c r="B20" i="76"/>
  <c r="B36" i="76" s="1"/>
  <c r="D23" i="16" l="1"/>
  <c r="D23" i="23" s="1"/>
  <c r="D8" i="31"/>
  <c r="D8" i="36"/>
  <c r="D40" i="50"/>
  <c r="D40" i="69"/>
  <c r="D40" i="68"/>
  <c r="D40" i="67"/>
  <c r="D40" i="66"/>
  <c r="D40" i="65"/>
  <c r="D40" i="64"/>
  <c r="D40" i="63"/>
  <c r="D40" i="62"/>
  <c r="D40" i="61"/>
  <c r="D40" i="60"/>
  <c r="D40" i="59"/>
  <c r="D40" i="58"/>
  <c r="D40" i="56"/>
  <c r="D40" i="55"/>
  <c r="D40" i="54"/>
  <c r="D40" i="51"/>
  <c r="D40" i="57"/>
  <c r="D40" i="53"/>
  <c r="D40" i="52"/>
  <c r="D41" i="47"/>
  <c r="D43" i="47" s="1"/>
  <c r="D40" i="25"/>
  <c r="D40" i="35"/>
  <c r="D40" i="10"/>
  <c r="D40" i="27"/>
  <c r="D8" i="44"/>
  <c r="D8" i="43"/>
  <c r="D29" i="55"/>
  <c r="D29" i="50"/>
  <c r="D5" i="55"/>
  <c r="D5" i="66"/>
  <c r="D5" i="52"/>
  <c r="D5" i="61"/>
  <c r="D5" i="56"/>
  <c r="D5" i="65"/>
  <c r="D5" i="60"/>
  <c r="D5" i="59"/>
  <c r="D5" i="53"/>
  <c r="D5" i="69"/>
  <c r="D5" i="57"/>
  <c r="D5" i="54"/>
  <c r="D5" i="58"/>
  <c r="D5" i="67"/>
  <c r="D5" i="64"/>
  <c r="D10" i="103"/>
  <c r="D10" i="97"/>
  <c r="D10" i="105"/>
  <c r="D15" i="95"/>
  <c r="D15" i="97" s="1"/>
  <c r="D10" i="107"/>
  <c r="D10" i="99"/>
  <c r="D10" i="102"/>
  <c r="D10" i="98"/>
  <c r="D10" i="104"/>
  <c r="D10" i="106"/>
  <c r="D20" i="66"/>
  <c r="D20" i="52"/>
  <c r="D20" i="14"/>
  <c r="D20" i="32"/>
  <c r="D20" i="31"/>
  <c r="D20" i="27"/>
  <c r="B7" i="71"/>
  <c r="B7" i="73"/>
  <c r="B7" i="75"/>
  <c r="B16" i="77"/>
  <c r="B7" i="80"/>
  <c r="B7" i="82"/>
  <c r="B35" i="82" s="1"/>
  <c r="B37" i="82" s="1"/>
  <c r="D18" i="97"/>
  <c r="D18" i="99"/>
  <c r="D18" i="100"/>
  <c r="D18" i="102"/>
  <c r="D18" i="101"/>
  <c r="D10" i="100"/>
  <c r="B7" i="87"/>
  <c r="B7" i="83"/>
  <c r="B7" i="81"/>
  <c r="B7" i="76"/>
  <c r="B7" i="74"/>
  <c r="B7" i="88"/>
  <c r="B7" i="84"/>
  <c r="B7" i="77"/>
  <c r="D21" i="100"/>
  <c r="D21" i="108"/>
  <c r="D21" i="98"/>
  <c r="B16" i="89"/>
  <c r="B16" i="85"/>
  <c r="B16" i="78"/>
  <c r="B16" i="72"/>
  <c r="B16" i="90"/>
  <c r="B16" i="86"/>
  <c r="B16" i="82"/>
  <c r="B16" i="81"/>
  <c r="B16" i="80"/>
  <c r="B16" i="79"/>
  <c r="B16" i="75"/>
  <c r="B16" i="74"/>
  <c r="B16" i="73"/>
  <c r="D20" i="56"/>
  <c r="D29" i="65"/>
  <c r="D5" i="50"/>
  <c r="B7" i="78"/>
  <c r="B7" i="85"/>
  <c r="B16" i="87"/>
  <c r="D5" i="63"/>
  <c r="I56" i="95"/>
  <c r="C51" i="95" s="1"/>
  <c r="D51" i="95" s="1"/>
  <c r="I54" i="95"/>
  <c r="C49" i="95" s="1"/>
  <c r="D49" i="95" s="1"/>
  <c r="B6" i="112" s="1"/>
  <c r="J14" i="133"/>
  <c r="K14" i="133" s="1"/>
  <c r="H14" i="133"/>
  <c r="G14" i="133"/>
  <c r="D101" i="16" s="1"/>
  <c r="D22" i="123"/>
  <c r="I8" i="132"/>
  <c r="D40" i="43"/>
  <c r="D40" i="13"/>
  <c r="B11" i="71"/>
  <c r="B11" i="72"/>
  <c r="B11" i="78"/>
  <c r="B11" i="85"/>
  <c r="B11" i="89"/>
  <c r="B16" i="110"/>
  <c r="B16" i="114"/>
  <c r="B16" i="118"/>
  <c r="D25" i="99"/>
  <c r="I32" i="99" s="1"/>
  <c r="D25" i="103"/>
  <c r="I32" i="103" s="1"/>
  <c r="D27" i="57"/>
  <c r="D27" i="54"/>
  <c r="D27" i="67"/>
  <c r="I8" i="130"/>
  <c r="N104" i="16"/>
  <c r="B17" i="74"/>
  <c r="B11" i="77"/>
  <c r="B17" i="79"/>
  <c r="B17" i="81"/>
  <c r="B11" i="84"/>
  <c r="D25" i="106"/>
  <c r="I32" i="106" s="1"/>
  <c r="B16" i="109"/>
  <c r="B16" i="113"/>
  <c r="F15" i="124"/>
  <c r="K15" i="124" s="1"/>
  <c r="D25" i="97"/>
  <c r="I32" i="97" s="1"/>
  <c r="D25" i="102"/>
  <c r="I32" i="102" s="1"/>
  <c r="D27" i="52"/>
  <c r="D27" i="61"/>
  <c r="D27" i="64"/>
  <c r="I21" i="130"/>
  <c r="C18" i="131"/>
  <c r="D18" i="131" s="1"/>
  <c r="I21" i="131"/>
  <c r="E32" i="127"/>
  <c r="N103" i="16"/>
  <c r="D8" i="32"/>
  <c r="D8" i="12"/>
  <c r="D8" i="9"/>
  <c r="D8" i="10"/>
  <c r="J15" i="133"/>
  <c r="K15" i="133" s="1"/>
  <c r="H15" i="133"/>
  <c r="G15" i="133"/>
  <c r="D20" i="50"/>
  <c r="D20" i="64"/>
  <c r="D29" i="61"/>
  <c r="D29" i="66"/>
  <c r="D20" i="25"/>
  <c r="B12" i="80"/>
  <c r="D32" i="52"/>
  <c r="D20" i="53"/>
  <c r="D20" i="69"/>
  <c r="D29" i="56"/>
  <c r="D29" i="57"/>
  <c r="B12" i="83"/>
  <c r="B12" i="86"/>
  <c r="B12" i="89"/>
  <c r="D32" i="58"/>
  <c r="D32" i="68"/>
  <c r="D27" i="58"/>
  <c r="D21" i="102"/>
  <c r="B9" i="77"/>
  <c r="B40" i="77" s="1"/>
  <c r="D20" i="67"/>
  <c r="D20" i="51"/>
  <c r="D29" i="63"/>
  <c r="D29" i="52"/>
  <c r="D20" i="28"/>
  <c r="B12" i="72"/>
  <c r="D32" i="65"/>
  <c r="D32" i="59"/>
  <c r="D27" i="65"/>
  <c r="D21" i="105"/>
  <c r="C18" i="132"/>
  <c r="D18" i="132" s="1"/>
  <c r="D22" i="132" s="1"/>
  <c r="D23" i="132" s="1"/>
  <c r="C94" i="47"/>
  <c r="D94" i="47" s="1"/>
  <c r="D20" i="63"/>
  <c r="D20" i="54"/>
  <c r="D29" i="58"/>
  <c r="D29" i="68"/>
  <c r="B12" i="75"/>
  <c r="B12" i="78"/>
  <c r="D32" i="60"/>
  <c r="D32" i="54"/>
  <c r="D27" i="60"/>
  <c r="D21" i="101"/>
  <c r="C29" i="133"/>
  <c r="D20" i="62"/>
  <c r="D20" i="59"/>
  <c r="D29" i="60"/>
  <c r="B12" i="84"/>
  <c r="B12" i="87"/>
  <c r="B12" i="90"/>
  <c r="D15" i="99"/>
  <c r="D32" i="62"/>
  <c r="D32" i="56"/>
  <c r="D27" i="62"/>
  <c r="F40" i="94"/>
  <c r="F17" i="124"/>
  <c r="K17" i="124" s="1"/>
  <c r="N102" i="16"/>
  <c r="D20" i="68"/>
  <c r="D29" i="67"/>
  <c r="D20" i="44"/>
  <c r="D20" i="18"/>
  <c r="B12" i="73"/>
  <c r="D15" i="102"/>
  <c r="D32" i="53"/>
  <c r="D32" i="63"/>
  <c r="D27" i="53"/>
  <c r="J103" i="16"/>
  <c r="K103" i="16" s="1"/>
  <c r="K107" i="16" s="1"/>
  <c r="I83" i="47" s="1"/>
  <c r="I6" i="129"/>
  <c r="I10" i="129" s="1"/>
  <c r="D20" i="57"/>
  <c r="D29" i="62"/>
  <c r="B12" i="76"/>
  <c r="B12" i="79"/>
  <c r="D32" i="69"/>
  <c r="H10" i="133"/>
  <c r="X34" i="127"/>
  <c r="N16" i="133"/>
  <c r="E16" i="133" s="1"/>
  <c r="G16" i="133" s="1"/>
  <c r="D20" i="61"/>
  <c r="D29" i="53"/>
  <c r="D20" i="13"/>
  <c r="D20" i="17"/>
  <c r="D15" i="104"/>
  <c r="M57" i="124"/>
  <c r="D32" i="64"/>
  <c r="D20" i="58"/>
  <c r="D29" i="51"/>
  <c r="D29" i="69"/>
  <c r="D20" i="23"/>
  <c r="D20" i="35"/>
  <c r="B35" i="77"/>
  <c r="B37" i="77" s="1"/>
  <c r="B12" i="82"/>
  <c r="B12" i="85"/>
  <c r="B12" i="88"/>
  <c r="D15" i="103"/>
  <c r="D32" i="55"/>
  <c r="G10" i="133"/>
  <c r="D97" i="16" s="1"/>
  <c r="G18" i="93"/>
  <c r="B20" i="82"/>
  <c r="B36" i="82" s="1"/>
  <c r="D20" i="65"/>
  <c r="D29" i="54"/>
  <c r="E11" i="127"/>
  <c r="E16" i="127" s="1"/>
  <c r="E20" i="127" s="1"/>
  <c r="E25" i="127" s="1"/>
  <c r="B6" i="116"/>
  <c r="B6" i="115"/>
  <c r="B35" i="115" s="1"/>
  <c r="D63" i="95"/>
  <c r="E19" i="94"/>
  <c r="D108" i="47"/>
  <c r="B20" i="112"/>
  <c r="B36" i="112" s="1"/>
  <c r="B9" i="112"/>
  <c r="B40" i="112" s="1"/>
  <c r="B35" i="112"/>
  <c r="B37" i="112" s="1"/>
  <c r="D15" i="67"/>
  <c r="D15" i="66"/>
  <c r="D15" i="60"/>
  <c r="D15" i="65"/>
  <c r="D15" i="58"/>
  <c r="D15" i="50"/>
  <c r="D15" i="63"/>
  <c r="D15" i="56"/>
  <c r="D15" i="61"/>
  <c r="D15" i="53"/>
  <c r="D15" i="52"/>
  <c r="D15" i="51"/>
  <c r="D15" i="62"/>
  <c r="D15" i="57"/>
  <c r="B6" i="111"/>
  <c r="B11" i="120"/>
  <c r="D107" i="47"/>
  <c r="E18" i="94"/>
  <c r="D62" i="95"/>
  <c r="D109" i="47"/>
  <c r="D64" i="95"/>
  <c r="B6" i="90"/>
  <c r="B6" i="89"/>
  <c r="B35" i="89" s="1"/>
  <c r="C48" i="95"/>
  <c r="D48" i="95" s="1"/>
  <c r="I58" i="95"/>
  <c r="C53" i="95" s="1"/>
  <c r="D53" i="95" s="1"/>
  <c r="I57" i="95"/>
  <c r="C52" i="95" s="1"/>
  <c r="D52" i="95" s="1"/>
  <c r="I55" i="95"/>
  <c r="C50" i="95" s="1"/>
  <c r="D50" i="95" s="1"/>
  <c r="B6" i="74"/>
  <c r="B6" i="73"/>
  <c r="B6" i="78"/>
  <c r="B12" i="110"/>
  <c r="J8" i="133"/>
  <c r="K8" i="133" s="1"/>
  <c r="C18" i="130"/>
  <c r="D18" i="130" s="1"/>
  <c r="D22" i="131"/>
  <c r="D23" i="131" s="1"/>
  <c r="E90" i="124"/>
  <c r="E91" i="124" s="1"/>
  <c r="B6" i="72"/>
  <c r="B6" i="71"/>
  <c r="D13" i="64"/>
  <c r="J16" i="133"/>
  <c r="K16" i="133" s="1"/>
  <c r="H18" i="130"/>
  <c r="I18" i="130" s="1"/>
  <c r="C93" i="47"/>
  <c r="D93" i="47" s="1"/>
  <c r="B6" i="75"/>
  <c r="F14" i="124"/>
  <c r="K14" i="124" s="1"/>
  <c r="E70" i="133"/>
  <c r="G70" i="133" s="1"/>
  <c r="E43" i="133"/>
  <c r="G43" i="133" s="1"/>
  <c r="G9" i="133"/>
  <c r="D96" i="16" s="1"/>
  <c r="E56" i="133"/>
  <c r="G56" i="133" s="1"/>
  <c r="J9" i="133"/>
  <c r="K9" i="133" s="1"/>
  <c r="H9" i="133"/>
  <c r="E15" i="94"/>
  <c r="D104" i="47"/>
  <c r="D59" i="95"/>
  <c r="I21" i="129"/>
  <c r="B6" i="86"/>
  <c r="B6" i="85"/>
  <c r="B11" i="119"/>
  <c r="B11" i="114"/>
  <c r="B11" i="116"/>
  <c r="B11" i="109"/>
  <c r="B11" i="111"/>
  <c r="B11" i="118"/>
  <c r="B11" i="113"/>
  <c r="B11" i="117"/>
  <c r="B11" i="112"/>
  <c r="B12" i="114"/>
  <c r="B12" i="116"/>
  <c r="B12" i="109"/>
  <c r="B12" i="111"/>
  <c r="B12" i="118"/>
  <c r="B12" i="113"/>
  <c r="B12" i="120"/>
  <c r="B12" i="112"/>
  <c r="B12" i="119"/>
  <c r="D15" i="68"/>
  <c r="D12" i="68"/>
  <c r="I8" i="129"/>
  <c r="H7" i="133"/>
  <c r="G7" i="133"/>
  <c r="D94" i="16" s="1"/>
  <c r="J7" i="133"/>
  <c r="K7" i="133" s="1"/>
  <c r="B11" i="115"/>
  <c r="B6" i="84"/>
  <c r="B6" i="83"/>
  <c r="B12" i="115"/>
  <c r="D15" i="59"/>
  <c r="G12" i="93"/>
  <c r="J18" i="133"/>
  <c r="K18" i="133" s="1"/>
  <c r="H18" i="133"/>
  <c r="G18" i="133"/>
  <c r="B20" i="81"/>
  <c r="B36" i="81" s="1"/>
  <c r="B35" i="81"/>
  <c r="D15" i="54"/>
  <c r="I9" i="131"/>
  <c r="H18" i="131" s="1"/>
  <c r="I18" i="131" s="1"/>
  <c r="G13" i="131"/>
  <c r="O29" i="124"/>
  <c r="E29" i="124" s="1"/>
  <c r="F29" i="124" s="1"/>
  <c r="K29" i="124" s="1"/>
  <c r="N33" i="124"/>
  <c r="H6" i="133"/>
  <c r="G6" i="133"/>
  <c r="D93" i="16" s="1"/>
  <c r="E55" i="133"/>
  <c r="G55" i="133" s="1"/>
  <c r="E69" i="133"/>
  <c r="G69" i="133" s="1"/>
  <c r="E42" i="133"/>
  <c r="G42" i="133" s="1"/>
  <c r="J6" i="133"/>
  <c r="K6" i="133" s="1"/>
  <c r="B6" i="79"/>
  <c r="B6" i="80"/>
  <c r="G147" i="93"/>
  <c r="J56" i="124"/>
  <c r="J58" i="124" s="1"/>
  <c r="F24" i="123" s="1"/>
  <c r="D25" i="123" s="1"/>
  <c r="D15" i="69"/>
  <c r="D12" i="55"/>
  <c r="D12" i="51"/>
  <c r="D12" i="65"/>
  <c r="D12" i="64"/>
  <c r="D12" i="58"/>
  <c r="D12" i="69"/>
  <c r="D12" i="63"/>
  <c r="D12" i="53"/>
  <c r="D12" i="56"/>
  <c r="D12" i="62"/>
  <c r="D12" i="61"/>
  <c r="D12" i="67"/>
  <c r="D12" i="50"/>
  <c r="D12" i="54"/>
  <c r="D12" i="60"/>
  <c r="D12" i="57"/>
  <c r="D12" i="66"/>
  <c r="F15" i="94"/>
  <c r="B17" i="90"/>
  <c r="B17" i="78"/>
  <c r="B17" i="85"/>
  <c r="B17" i="73"/>
  <c r="B17" i="80"/>
  <c r="B17" i="87"/>
  <c r="B17" i="75"/>
  <c r="B17" i="82"/>
  <c r="B17" i="89"/>
  <c r="B17" i="77"/>
  <c r="B17" i="84"/>
  <c r="B17" i="72"/>
  <c r="B17" i="88"/>
  <c r="B17" i="76"/>
  <c r="B17" i="83"/>
  <c r="B17" i="71"/>
  <c r="F42" i="94"/>
  <c r="I21" i="132"/>
  <c r="G13" i="132"/>
  <c r="I9" i="132"/>
  <c r="J19" i="133"/>
  <c r="K19" i="133" s="1"/>
  <c r="G19" i="133"/>
  <c r="B35" i="76"/>
  <c r="B37" i="76" s="1"/>
  <c r="D15" i="64"/>
  <c r="D13" i="56"/>
  <c r="D13" i="62"/>
  <c r="D13" i="61"/>
  <c r="D13" i="54"/>
  <c r="D13" i="59"/>
  <c r="D13" i="68"/>
  <c r="D13" i="50"/>
  <c r="D13" i="52"/>
  <c r="D13" i="57"/>
  <c r="D13" i="58"/>
  <c r="D13" i="69"/>
  <c r="D13" i="63"/>
  <c r="D13" i="53"/>
  <c r="D13" i="51"/>
  <c r="H16" i="133"/>
  <c r="H19" i="133"/>
  <c r="D11" i="129"/>
  <c r="C18" i="129" s="1"/>
  <c r="D18" i="129" s="1"/>
  <c r="D22" i="129" s="1"/>
  <c r="D18" i="107"/>
  <c r="D36" i="55"/>
  <c r="I50" i="55" s="1"/>
  <c r="D36" i="60"/>
  <c r="I50" i="60" s="1"/>
  <c r="D21" i="99"/>
  <c r="D36" i="66"/>
  <c r="I50" i="66" s="1"/>
  <c r="D36" i="67"/>
  <c r="I50" i="67" s="1"/>
  <c r="D21" i="106"/>
  <c r="C28" i="133"/>
  <c r="N17" i="133"/>
  <c r="E17" i="133" s="1"/>
  <c r="D18" i="98"/>
  <c r="D36" i="59"/>
  <c r="I50" i="59" s="1"/>
  <c r="D21" i="104"/>
  <c r="D7" i="18"/>
  <c r="N101" i="16"/>
  <c r="D18" i="108"/>
  <c r="D21" i="103"/>
  <c r="N100" i="16"/>
  <c r="D18" i="103"/>
  <c r="N99" i="16"/>
  <c r="C86" i="16"/>
  <c r="D86" i="16" s="1"/>
  <c r="B6" i="22" s="1"/>
  <c r="B20" i="22" s="1"/>
  <c r="B36" i="22" s="1"/>
  <c r="D36" i="63"/>
  <c r="I50" i="63" s="1"/>
  <c r="D21" i="97"/>
  <c r="D36" i="58"/>
  <c r="I50" i="58" s="1"/>
  <c r="D21" i="107"/>
  <c r="D36" i="64"/>
  <c r="I50" i="64" s="1"/>
  <c r="D8" i="27"/>
  <c r="D8" i="23"/>
  <c r="C17" i="96"/>
  <c r="C10" i="96"/>
  <c r="D8" i="18"/>
  <c r="D8" i="47"/>
  <c r="D8" i="61" s="1"/>
  <c r="D8" i="28"/>
  <c r="D8" i="25"/>
  <c r="D8" i="14"/>
  <c r="D47" i="16"/>
  <c r="D47" i="32" s="1"/>
  <c r="A2" i="94"/>
  <c r="D8" i="1"/>
  <c r="D8" i="17"/>
  <c r="D8" i="13"/>
  <c r="D23" i="35"/>
  <c r="D23" i="32"/>
  <c r="C2" i="13"/>
  <c r="C2" i="27"/>
  <c r="C2" i="44"/>
  <c r="C2" i="25"/>
  <c r="C2" i="43"/>
  <c r="C2" i="10"/>
  <c r="C2" i="35"/>
  <c r="C2" i="95"/>
  <c r="C2" i="103" s="1"/>
  <c r="C85" i="16"/>
  <c r="D85" i="16" s="1"/>
  <c r="B6" i="29" s="1"/>
  <c r="B8" i="29" s="1"/>
  <c r="C58" i="47"/>
  <c r="C60" i="47" s="1"/>
  <c r="C57" i="16"/>
  <c r="C19" i="49"/>
  <c r="C1" i="96"/>
  <c r="C2" i="60"/>
  <c r="D40" i="44"/>
  <c r="D40" i="12"/>
  <c r="D40" i="14"/>
  <c r="D23" i="10"/>
  <c r="C2" i="36"/>
  <c r="C2" i="28"/>
  <c r="C2" i="9"/>
  <c r="B2" i="93"/>
  <c r="D55" i="16"/>
  <c r="E55" i="16" s="1"/>
  <c r="E57" i="16" s="1"/>
  <c r="D40" i="18"/>
  <c r="D40" i="36"/>
  <c r="D40" i="28"/>
  <c r="D23" i="36"/>
  <c r="C2" i="32"/>
  <c r="C2" i="23"/>
  <c r="B24" i="93"/>
  <c r="D40" i="9"/>
  <c r="D40" i="31"/>
  <c r="D40" i="17"/>
  <c r="D23" i="25"/>
  <c r="C2" i="1"/>
  <c r="C2" i="31"/>
  <c r="C2" i="17"/>
  <c r="A26" i="94"/>
  <c r="D40" i="1"/>
  <c r="D40" i="32"/>
  <c r="D23" i="43"/>
  <c r="C2" i="12"/>
  <c r="C2" i="14"/>
  <c r="C2" i="18"/>
  <c r="C1" i="3"/>
  <c r="D23" i="17"/>
  <c r="D23" i="18"/>
  <c r="D23" i="1"/>
  <c r="C1" i="48"/>
  <c r="C2" i="62"/>
  <c r="D23" i="9"/>
  <c r="D23" i="13"/>
  <c r="D23" i="31"/>
  <c r="C2" i="51"/>
  <c r="C2" i="52"/>
  <c r="C2" i="66"/>
  <c r="D44" i="9"/>
  <c r="D23" i="28"/>
  <c r="D23" i="14"/>
  <c r="D23" i="44"/>
  <c r="D23" i="47"/>
  <c r="D23" i="58" s="1"/>
  <c r="C2" i="54"/>
  <c r="C2" i="55"/>
  <c r="C2" i="56"/>
  <c r="C2" i="68"/>
  <c r="F2" i="123"/>
  <c r="D44" i="1"/>
  <c r="C2" i="63"/>
  <c r="D23" i="12"/>
  <c r="D23" i="27"/>
  <c r="C2" i="57"/>
  <c r="C2" i="69"/>
  <c r="C81" i="16"/>
  <c r="D81" i="16" s="1"/>
  <c r="D44" i="35"/>
  <c r="D44" i="36"/>
  <c r="D44" i="43"/>
  <c r="D44" i="44"/>
  <c r="D44" i="31"/>
  <c r="D44" i="32"/>
  <c r="D44" i="13"/>
  <c r="D44" i="14"/>
  <c r="D45" i="16"/>
  <c r="D45" i="35" s="1"/>
  <c r="D44" i="27"/>
  <c r="D44" i="28"/>
  <c r="D44" i="17"/>
  <c r="D44" i="23"/>
  <c r="D44" i="25"/>
  <c r="D44" i="10"/>
  <c r="D44" i="18"/>
  <c r="D39" i="13"/>
  <c r="D39" i="23"/>
  <c r="D39" i="32"/>
  <c r="C87" i="16"/>
  <c r="D87" i="16" s="1"/>
  <c r="C6" i="49"/>
  <c r="D39" i="43"/>
  <c r="D39" i="27"/>
  <c r="D39" i="36"/>
  <c r="D41" i="16"/>
  <c r="D39" i="44"/>
  <c r="D39" i="10"/>
  <c r="D39" i="35"/>
  <c r="D39" i="1"/>
  <c r="D39" i="28"/>
  <c r="D39" i="25"/>
  <c r="D39" i="9"/>
  <c r="D39" i="12"/>
  <c r="D39" i="31"/>
  <c r="D39" i="14"/>
  <c r="D39" i="17"/>
  <c r="D39" i="18"/>
  <c r="D9" i="10"/>
  <c r="D9" i="31"/>
  <c r="D9" i="27"/>
  <c r="D9" i="25"/>
  <c r="D9" i="47"/>
  <c r="D9" i="36"/>
  <c r="D9" i="14"/>
  <c r="D9" i="23"/>
  <c r="D9" i="9"/>
  <c r="D9" i="35"/>
  <c r="D9" i="13"/>
  <c r="D9" i="17"/>
  <c r="D9" i="1"/>
  <c r="D9" i="43"/>
  <c r="D9" i="12"/>
  <c r="D9" i="32"/>
  <c r="D9" i="28"/>
  <c r="D9" i="18"/>
  <c r="D9" i="44"/>
  <c r="C1" i="49"/>
  <c r="C2" i="53"/>
  <c r="C2" i="61"/>
  <c r="C2" i="67"/>
  <c r="C2" i="50"/>
  <c r="C2" i="58"/>
  <c r="C2" i="64"/>
  <c r="C2" i="59"/>
  <c r="C2" i="65"/>
  <c r="C80" i="16"/>
  <c r="C84" i="16"/>
  <c r="D84" i="16" s="1"/>
  <c r="S3" i="134"/>
  <c r="C89" i="16"/>
  <c r="D89" i="16" s="1"/>
  <c r="C83" i="16"/>
  <c r="D83" i="16" s="1"/>
  <c r="C88" i="16"/>
  <c r="D88" i="16" s="1"/>
  <c r="C82" i="16"/>
  <c r="D82" i="16" s="1"/>
  <c r="D15" i="106" l="1"/>
  <c r="B9" i="22"/>
  <c r="B40" i="22" s="1"/>
  <c r="B8" i="22"/>
  <c r="B35" i="22" s="1"/>
  <c r="B37" i="22" s="1"/>
  <c r="D43" i="69"/>
  <c r="D43" i="68"/>
  <c r="D43" i="67"/>
  <c r="D43" i="66"/>
  <c r="D43" i="65"/>
  <c r="D43" i="64"/>
  <c r="D43" i="63"/>
  <c r="D43" i="62"/>
  <c r="D43" i="61"/>
  <c r="D43" i="60"/>
  <c r="D43" i="59"/>
  <c r="D43" i="58"/>
  <c r="D43" i="57"/>
  <c r="D43" i="56"/>
  <c r="D43" i="55"/>
  <c r="D43" i="54"/>
  <c r="D43" i="53"/>
  <c r="D43" i="52"/>
  <c r="D43" i="51"/>
  <c r="D43" i="50"/>
  <c r="D41" i="56"/>
  <c r="D41" i="55"/>
  <c r="D41" i="52"/>
  <c r="D41" i="51"/>
  <c r="D41" i="50"/>
  <c r="D41" i="69"/>
  <c r="D41" i="68"/>
  <c r="D41" i="67"/>
  <c r="D41" i="66"/>
  <c r="D41" i="65"/>
  <c r="D41" i="64"/>
  <c r="D41" i="63"/>
  <c r="D41" i="62"/>
  <c r="D41" i="61"/>
  <c r="D41" i="60"/>
  <c r="D41" i="59"/>
  <c r="D41" i="58"/>
  <c r="D41" i="57"/>
  <c r="D41" i="53"/>
  <c r="D41" i="54"/>
  <c r="D7" i="36"/>
  <c r="D7" i="28"/>
  <c r="D7" i="23"/>
  <c r="D7" i="31"/>
  <c r="D7" i="17"/>
  <c r="D7" i="27"/>
  <c r="D7" i="12"/>
  <c r="D7" i="14"/>
  <c r="D7" i="10"/>
  <c r="D7" i="13"/>
  <c r="H18" i="132"/>
  <c r="I18" i="132" s="1"/>
  <c r="I22" i="132" s="1"/>
  <c r="G13" i="129"/>
  <c r="E34" i="127"/>
  <c r="D110" i="47"/>
  <c r="D65" i="95"/>
  <c r="D15" i="108"/>
  <c r="D15" i="101"/>
  <c r="D15" i="105"/>
  <c r="D15" i="107"/>
  <c r="D15" i="100"/>
  <c r="D15" i="98"/>
  <c r="B6" i="15"/>
  <c r="I22" i="131"/>
  <c r="D61" i="95"/>
  <c r="D106" i="47"/>
  <c r="E17" i="94"/>
  <c r="D43" i="131"/>
  <c r="D44" i="131" s="1"/>
  <c r="D38" i="131"/>
  <c r="D39" i="131"/>
  <c r="D42" i="131"/>
  <c r="D24" i="131"/>
  <c r="D26" i="131" s="1"/>
  <c r="B26" i="131" s="1"/>
  <c r="D37" i="131"/>
  <c r="D40" i="131"/>
  <c r="D7" i="35"/>
  <c r="B6" i="87"/>
  <c r="B6" i="88"/>
  <c r="B35" i="72"/>
  <c r="B20" i="72"/>
  <c r="B36" i="72" s="1"/>
  <c r="B9" i="72"/>
  <c r="B40" i="72" s="1"/>
  <c r="B20" i="74"/>
  <c r="B36" i="74" s="1"/>
  <c r="B35" i="74"/>
  <c r="B9" i="74"/>
  <c r="B40" i="74" s="1"/>
  <c r="D7" i="25"/>
  <c r="D7" i="47"/>
  <c r="D7" i="54" s="1"/>
  <c r="I22" i="130"/>
  <c r="I23" i="130" s="1"/>
  <c r="B6" i="114"/>
  <c r="B6" i="113"/>
  <c r="B9" i="84"/>
  <c r="B40" i="84" s="1"/>
  <c r="B20" i="84"/>
  <c r="B36" i="84" s="1"/>
  <c r="B35" i="84"/>
  <c r="D22" i="130"/>
  <c r="D23" i="130" s="1"/>
  <c r="B6" i="109"/>
  <c r="B6" i="110"/>
  <c r="B20" i="111"/>
  <c r="B36" i="111" s="1"/>
  <c r="B9" i="111"/>
  <c r="B40" i="111" s="1"/>
  <c r="B35" i="111"/>
  <c r="B35" i="79"/>
  <c r="B20" i="79"/>
  <c r="B36" i="79" s="1"/>
  <c r="B9" i="79"/>
  <c r="B40" i="79" s="1"/>
  <c r="B6" i="119"/>
  <c r="B6" i="120"/>
  <c r="G44" i="133"/>
  <c r="H45" i="133" s="1"/>
  <c r="B48" i="133" s="1"/>
  <c r="B49" i="133" s="1"/>
  <c r="B37" i="81"/>
  <c r="I23" i="131"/>
  <c r="I23" i="132"/>
  <c r="D7" i="43"/>
  <c r="D7" i="44"/>
  <c r="G71" i="133"/>
  <c r="H72" i="133"/>
  <c r="B75" i="133" s="1"/>
  <c r="B76" i="133" s="1"/>
  <c r="D7" i="32"/>
  <c r="G57" i="133"/>
  <c r="H58" i="133" s="1"/>
  <c r="B61" i="133" s="1"/>
  <c r="B62" i="133" s="1"/>
  <c r="B20" i="85"/>
  <c r="B36" i="85" s="1"/>
  <c r="B9" i="85"/>
  <c r="B40" i="85" s="1"/>
  <c r="B35" i="85"/>
  <c r="E16" i="94"/>
  <c r="D105" i="47"/>
  <c r="D60" i="95"/>
  <c r="D40" i="132"/>
  <c r="D24" i="132"/>
  <c r="D26" i="132" s="1"/>
  <c r="B26" i="132" s="1"/>
  <c r="D37" i="132"/>
  <c r="D43" i="132"/>
  <c r="D44" i="132" s="1"/>
  <c r="D38" i="132"/>
  <c r="D42" i="132"/>
  <c r="D39" i="132"/>
  <c r="E13" i="94"/>
  <c r="D57" i="95"/>
  <c r="D102" i="47"/>
  <c r="D103" i="47"/>
  <c r="C24" i="49" s="1"/>
  <c r="G24" i="49" s="1"/>
  <c r="E14" i="94"/>
  <c r="F14" i="94" s="1"/>
  <c r="D58" i="95"/>
  <c r="B9" i="86"/>
  <c r="B40" i="86" s="1"/>
  <c r="B35" i="86"/>
  <c r="B20" i="86"/>
  <c r="B36" i="86" s="1"/>
  <c r="B20" i="89"/>
  <c r="B36" i="89" s="1"/>
  <c r="B37" i="89" s="1"/>
  <c r="B9" i="89"/>
  <c r="B40" i="89" s="1"/>
  <c r="B20" i="83"/>
  <c r="B36" i="83" s="1"/>
  <c r="B9" i="83"/>
  <c r="B40" i="83" s="1"/>
  <c r="B35" i="83"/>
  <c r="D7" i="9"/>
  <c r="D7" i="1"/>
  <c r="D23" i="129"/>
  <c r="B35" i="90"/>
  <c r="B37" i="90" s="1"/>
  <c r="B20" i="90"/>
  <c r="B36" i="90" s="1"/>
  <c r="B9" i="90"/>
  <c r="B40" i="90" s="1"/>
  <c r="B6" i="118"/>
  <c r="B6" i="117"/>
  <c r="G17" i="133"/>
  <c r="H17" i="133"/>
  <c r="H22" i="133" s="1"/>
  <c r="J17" i="133"/>
  <c r="K17" i="133" s="1"/>
  <c r="N40" i="124"/>
  <c r="O40" i="124" s="1"/>
  <c r="E40" i="124" s="1"/>
  <c r="F40" i="124" s="1"/>
  <c r="K40" i="124" s="1"/>
  <c r="N34" i="124"/>
  <c r="O34" i="124" s="1"/>
  <c r="E34" i="124" s="1"/>
  <c r="F34" i="124" s="1"/>
  <c r="O33" i="124"/>
  <c r="I11" i="129"/>
  <c r="H18" i="129" s="1"/>
  <c r="I18" i="129" s="1"/>
  <c r="B35" i="78"/>
  <c r="B37" i="78" s="1"/>
  <c r="B9" i="78"/>
  <c r="B40" i="78" s="1"/>
  <c r="B20" i="78"/>
  <c r="B36" i="78" s="1"/>
  <c r="B9" i="115"/>
  <c r="B40" i="115" s="1"/>
  <c r="B20" i="115"/>
  <c r="B36" i="115" s="1"/>
  <c r="B37" i="115" s="1"/>
  <c r="B9" i="80"/>
  <c r="B40" i="80" s="1"/>
  <c r="B20" i="80"/>
  <c r="B36" i="80" s="1"/>
  <c r="B35" i="80"/>
  <c r="B20" i="75"/>
  <c r="B36" i="75" s="1"/>
  <c r="B35" i="75"/>
  <c r="B9" i="75"/>
  <c r="B40" i="75" s="1"/>
  <c r="B20" i="71"/>
  <c r="B36" i="71" s="1"/>
  <c r="B35" i="71"/>
  <c r="B37" i="71" s="1"/>
  <c r="B9" i="71"/>
  <c r="B40" i="71" s="1"/>
  <c r="B9" i="73"/>
  <c r="B40" i="73" s="1"/>
  <c r="B20" i="73"/>
  <c r="B36" i="73" s="1"/>
  <c r="B35" i="73"/>
  <c r="B9" i="116"/>
  <c r="B40" i="116" s="1"/>
  <c r="B35" i="116"/>
  <c r="B37" i="116" s="1"/>
  <c r="B20" i="116"/>
  <c r="B36" i="116" s="1"/>
  <c r="D8" i="58"/>
  <c r="D8" i="53"/>
  <c r="D8" i="67"/>
  <c r="D8" i="62"/>
  <c r="D8" i="66"/>
  <c r="D47" i="23"/>
  <c r="D8" i="69"/>
  <c r="D8" i="59"/>
  <c r="D8" i="51"/>
  <c r="D8" i="55"/>
  <c r="D8" i="54"/>
  <c r="D8" i="57"/>
  <c r="D8" i="56"/>
  <c r="D8" i="52"/>
  <c r="D8" i="64"/>
  <c r="D8" i="63"/>
  <c r="D47" i="10"/>
  <c r="D8" i="65"/>
  <c r="D8" i="50"/>
  <c r="D8" i="68"/>
  <c r="D8" i="60"/>
  <c r="D47" i="36"/>
  <c r="D47" i="43"/>
  <c r="D47" i="13"/>
  <c r="D47" i="14"/>
  <c r="D47" i="31"/>
  <c r="D47" i="35"/>
  <c r="D47" i="9"/>
  <c r="D47" i="28"/>
  <c r="D47" i="12"/>
  <c r="D47" i="27"/>
  <c r="D47" i="44"/>
  <c r="D47" i="17"/>
  <c r="D47" i="1"/>
  <c r="D47" i="25"/>
  <c r="D47" i="18"/>
  <c r="D57" i="16"/>
  <c r="D60" i="16" s="1"/>
  <c r="D63" i="47" s="1"/>
  <c r="C2" i="105"/>
  <c r="D23" i="68"/>
  <c r="C2" i="102"/>
  <c r="B6" i="30"/>
  <c r="C2" i="100"/>
  <c r="C2" i="99"/>
  <c r="C2" i="97"/>
  <c r="C2" i="101"/>
  <c r="C2" i="104"/>
  <c r="C2" i="107"/>
  <c r="C2" i="108"/>
  <c r="D23" i="56"/>
  <c r="C2" i="106"/>
  <c r="C2" i="98"/>
  <c r="D23" i="55"/>
  <c r="D23" i="51"/>
  <c r="D23" i="53"/>
  <c r="D45" i="14"/>
  <c r="D23" i="63"/>
  <c r="D45" i="32"/>
  <c r="D23" i="65"/>
  <c r="D45" i="1"/>
  <c r="D23" i="61"/>
  <c r="D23" i="50"/>
  <c r="D45" i="13"/>
  <c r="D58" i="47"/>
  <c r="E58" i="47" s="1"/>
  <c r="E60" i="47" s="1"/>
  <c r="D67" i="16"/>
  <c r="D70" i="47" s="1"/>
  <c r="D45" i="31"/>
  <c r="D45" i="43"/>
  <c r="D23" i="67"/>
  <c r="D45" i="18"/>
  <c r="D45" i="44"/>
  <c r="D23" i="64"/>
  <c r="D23" i="62"/>
  <c r="D45" i="12"/>
  <c r="D45" i="28"/>
  <c r="D45" i="23"/>
  <c r="D23" i="66"/>
  <c r="D23" i="54"/>
  <c r="D45" i="25"/>
  <c r="D45" i="36"/>
  <c r="D23" i="52"/>
  <c r="D45" i="17"/>
  <c r="D23" i="69"/>
  <c r="D23" i="60"/>
  <c r="D45" i="10"/>
  <c r="D45" i="27"/>
  <c r="D23" i="59"/>
  <c r="D45" i="9"/>
  <c r="D23" i="57"/>
  <c r="B6" i="46"/>
  <c r="B8" i="46" s="1"/>
  <c r="B6" i="45"/>
  <c r="B8" i="45" s="1"/>
  <c r="B6" i="33"/>
  <c r="B8" i="33" s="1"/>
  <c r="B6" i="34"/>
  <c r="B8" i="34" s="1"/>
  <c r="B20" i="29"/>
  <c r="B36" i="29" s="1"/>
  <c r="B35" i="29"/>
  <c r="B9" i="29"/>
  <c r="B40" i="29" s="1"/>
  <c r="G6" i="49"/>
  <c r="C7" i="49"/>
  <c r="G7" i="49" s="1"/>
  <c r="D43" i="16"/>
  <c r="D41" i="31"/>
  <c r="D41" i="25"/>
  <c r="D41" i="10"/>
  <c r="D41" i="27"/>
  <c r="D41" i="9"/>
  <c r="D41" i="36"/>
  <c r="D41" i="23"/>
  <c r="D41" i="18"/>
  <c r="D41" i="44"/>
  <c r="D41" i="43"/>
  <c r="D41" i="14"/>
  <c r="D41" i="35"/>
  <c r="D41" i="13"/>
  <c r="D41" i="12"/>
  <c r="D41" i="28"/>
  <c r="D41" i="1"/>
  <c r="D41" i="32"/>
  <c r="D41" i="17"/>
  <c r="D46" i="47"/>
  <c r="B6" i="37"/>
  <c r="B8" i="37" s="1"/>
  <c r="B6" i="38"/>
  <c r="B8" i="38" s="1"/>
  <c r="D9" i="60"/>
  <c r="D9" i="55"/>
  <c r="D9" i="54"/>
  <c r="D9" i="53"/>
  <c r="D9" i="62"/>
  <c r="D9" i="65"/>
  <c r="D9" i="69"/>
  <c r="D9" i="56"/>
  <c r="D9" i="63"/>
  <c r="D9" i="67"/>
  <c r="D9" i="57"/>
  <c r="D9" i="52"/>
  <c r="D9" i="59"/>
  <c r="D9" i="68"/>
  <c r="D9" i="61"/>
  <c r="D9" i="51"/>
  <c r="D9" i="50"/>
  <c r="D9" i="58"/>
  <c r="D9" i="64"/>
  <c r="D9" i="66"/>
  <c r="B6" i="19"/>
  <c r="B8" i="19" s="1"/>
  <c r="B6" i="21"/>
  <c r="B8" i="21" s="1"/>
  <c r="B6" i="39"/>
  <c r="B8" i="39" s="1"/>
  <c r="B6" i="11"/>
  <c r="B8" i="11" s="1"/>
  <c r="B6" i="7"/>
  <c r="B8" i="7" s="1"/>
  <c r="B6" i="20"/>
  <c r="B8" i="20" s="1"/>
  <c r="B6" i="26"/>
  <c r="B8" i="26" s="1"/>
  <c r="B6" i="24"/>
  <c r="B8" i="24" s="1"/>
  <c r="B8" i="15" l="1"/>
  <c r="B35" i="15" s="1"/>
  <c r="B9" i="30"/>
  <c r="B40" i="30" s="1"/>
  <c r="B8" i="30"/>
  <c r="B35" i="30" s="1"/>
  <c r="D46" i="69"/>
  <c r="D46" i="68"/>
  <c r="D46" i="67"/>
  <c r="D46" i="66"/>
  <c r="D46" i="65"/>
  <c r="D46" i="64"/>
  <c r="D46" i="63"/>
  <c r="D46" i="61"/>
  <c r="D46" i="60"/>
  <c r="D46" i="58"/>
  <c r="D46" i="56"/>
  <c r="D46" i="54"/>
  <c r="D46" i="51"/>
  <c r="D46" i="50"/>
  <c r="D46" i="62"/>
  <c r="D46" i="59"/>
  <c r="D46" i="57"/>
  <c r="D46" i="55"/>
  <c r="D46" i="53"/>
  <c r="D46" i="52"/>
  <c r="D7" i="56"/>
  <c r="D7" i="53"/>
  <c r="D7" i="68"/>
  <c r="D7" i="67"/>
  <c r="D7" i="52"/>
  <c r="D7" i="57"/>
  <c r="D7" i="60"/>
  <c r="D7" i="65"/>
  <c r="D7" i="64"/>
  <c r="D7" i="61"/>
  <c r="D7" i="62"/>
  <c r="D7" i="55"/>
  <c r="B37" i="72"/>
  <c r="B37" i="85"/>
  <c r="B37" i="79"/>
  <c r="B20" i="15"/>
  <c r="B36" i="15" s="1"/>
  <c r="D7" i="69"/>
  <c r="B9" i="15"/>
  <c r="B40" i="15" s="1"/>
  <c r="B37" i="86"/>
  <c r="D45" i="132"/>
  <c r="D46" i="132" s="1"/>
  <c r="B21" i="77"/>
  <c r="B21" i="82"/>
  <c r="B21" i="79"/>
  <c r="B21" i="74"/>
  <c r="B21" i="81"/>
  <c r="B21" i="84"/>
  <c r="B21" i="83"/>
  <c r="B21" i="76"/>
  <c r="B21" i="85"/>
  <c r="B21" i="86"/>
  <c r="B21" i="78"/>
  <c r="B21" i="73"/>
  <c r="B21" i="72"/>
  <c r="B21" i="75"/>
  <c r="B21" i="90"/>
  <c r="B21" i="89"/>
  <c r="B21" i="80"/>
  <c r="B21" i="71"/>
  <c r="B21" i="88"/>
  <c r="B21" i="87"/>
  <c r="I38" i="131"/>
  <c r="I39" i="131"/>
  <c r="I42" i="131"/>
  <c r="I40" i="131"/>
  <c r="I37" i="131"/>
  <c r="G26" i="131"/>
  <c r="I43" i="131"/>
  <c r="I44" i="131" s="1"/>
  <c r="I28" i="131"/>
  <c r="I31" i="131" s="1"/>
  <c r="I32" i="131" s="1"/>
  <c r="B20" i="114"/>
  <c r="B36" i="114" s="1"/>
  <c r="B9" i="114"/>
  <c r="B40" i="114" s="1"/>
  <c r="B35" i="114"/>
  <c r="B20" i="87"/>
  <c r="B36" i="87" s="1"/>
  <c r="B9" i="87"/>
  <c r="B40" i="87" s="1"/>
  <c r="B35" i="87"/>
  <c r="B37" i="87" s="1"/>
  <c r="D7" i="50"/>
  <c r="D7" i="58"/>
  <c r="B37" i="83"/>
  <c r="B9" i="110"/>
  <c r="B40" i="110" s="1"/>
  <c r="B35" i="110"/>
  <c r="B20" i="110"/>
  <c r="B36" i="110" s="1"/>
  <c r="D45" i="131"/>
  <c r="D46" i="131" s="1"/>
  <c r="B21" i="24"/>
  <c r="B21" i="22"/>
  <c r="B21" i="7"/>
  <c r="B21" i="20"/>
  <c r="B21" i="33"/>
  <c r="B21" i="21"/>
  <c r="B21" i="15"/>
  <c r="B21" i="38"/>
  <c r="B21" i="39"/>
  <c r="B21" i="34"/>
  <c r="B21" i="19"/>
  <c r="B21" i="26"/>
  <c r="B21" i="37"/>
  <c r="B21" i="11"/>
  <c r="B21" i="29"/>
  <c r="B21" i="46"/>
  <c r="B21" i="45"/>
  <c r="B21" i="30"/>
  <c r="B35" i="117"/>
  <c r="B9" i="117"/>
  <c r="B40" i="117" s="1"/>
  <c r="B20" i="117"/>
  <c r="B36" i="117" s="1"/>
  <c r="D39" i="130"/>
  <c r="D43" i="130"/>
  <c r="D44" i="130" s="1"/>
  <c r="D40" i="130"/>
  <c r="D24" i="130"/>
  <c r="D26" i="130" s="1"/>
  <c r="B26" i="130" s="1"/>
  <c r="D38" i="130"/>
  <c r="D42" i="130"/>
  <c r="D37" i="130"/>
  <c r="D7" i="63"/>
  <c r="I22" i="129"/>
  <c r="I23" i="129" s="1"/>
  <c r="B9" i="118"/>
  <c r="B40" i="118" s="1"/>
  <c r="B35" i="118"/>
  <c r="B20" i="118"/>
  <c r="B36" i="118" s="1"/>
  <c r="B20" i="109"/>
  <c r="B36" i="109" s="1"/>
  <c r="B35" i="109"/>
  <c r="B9" i="109"/>
  <c r="B40" i="109" s="1"/>
  <c r="D7" i="51"/>
  <c r="D7" i="66"/>
  <c r="D7" i="59"/>
  <c r="B20" i="120"/>
  <c r="B36" i="120" s="1"/>
  <c r="B9" i="120"/>
  <c r="B40" i="120" s="1"/>
  <c r="B35" i="120"/>
  <c r="B37" i="84"/>
  <c r="B37" i="75"/>
  <c r="B20" i="119"/>
  <c r="B36" i="119" s="1"/>
  <c r="B9" i="119"/>
  <c r="B40" i="119" s="1"/>
  <c r="B35" i="119"/>
  <c r="B37" i="74"/>
  <c r="B21" i="116"/>
  <c r="B21" i="109"/>
  <c r="B21" i="118"/>
  <c r="B21" i="111"/>
  <c r="B21" i="110"/>
  <c r="B21" i="113"/>
  <c r="B21" i="120"/>
  <c r="B21" i="115"/>
  <c r="B21" i="112"/>
  <c r="B21" i="117"/>
  <c r="B21" i="119"/>
  <c r="B21" i="114"/>
  <c r="B37" i="80"/>
  <c r="K34" i="124"/>
  <c r="K56" i="124" s="1"/>
  <c r="K58" i="124" s="1"/>
  <c r="F27" i="123" s="1"/>
  <c r="D28" i="123" s="1"/>
  <c r="F56" i="124"/>
  <c r="D28" i="132"/>
  <c r="D31" i="132" s="1"/>
  <c r="D32" i="132" s="1"/>
  <c r="D37" i="129"/>
  <c r="D40" i="129"/>
  <c r="D38" i="129"/>
  <c r="D24" i="129"/>
  <c r="D26" i="129" s="1"/>
  <c r="B26" i="129" s="1"/>
  <c r="D43" i="129"/>
  <c r="D44" i="129" s="1"/>
  <c r="D42" i="129"/>
  <c r="D39" i="129"/>
  <c r="B37" i="111"/>
  <c r="I28" i="130"/>
  <c r="I31" i="130" s="1"/>
  <c r="I32" i="130" s="1"/>
  <c r="I40" i="130"/>
  <c r="I38" i="130"/>
  <c r="I37" i="130"/>
  <c r="I42" i="130"/>
  <c r="G26" i="130"/>
  <c r="I39" i="130"/>
  <c r="I43" i="130"/>
  <c r="I44" i="130" s="1"/>
  <c r="B37" i="73"/>
  <c r="I37" i="132"/>
  <c r="I39" i="132"/>
  <c r="I43" i="132"/>
  <c r="I44" i="132" s="1"/>
  <c r="I38" i="132"/>
  <c r="I42" i="132"/>
  <c r="I24" i="132"/>
  <c r="I28" i="132"/>
  <c r="I31" i="132" s="1"/>
  <c r="I32" i="132" s="1"/>
  <c r="I40" i="132"/>
  <c r="B20" i="113"/>
  <c r="B36" i="113" s="1"/>
  <c r="B9" i="113"/>
  <c r="B40" i="113" s="1"/>
  <c r="B35" i="113"/>
  <c r="B9" i="88"/>
  <c r="B40" i="88" s="1"/>
  <c r="B20" i="88"/>
  <c r="B36" i="88" s="1"/>
  <c r="B35" i="88"/>
  <c r="D28" i="131"/>
  <c r="D31" i="131" s="1"/>
  <c r="D32" i="131" s="1"/>
  <c r="D59" i="16"/>
  <c r="D62" i="47" s="1"/>
  <c r="B20" i="30"/>
  <c r="B36" i="30" s="1"/>
  <c r="D60" i="47"/>
  <c r="B20" i="46"/>
  <c r="B36" i="46" s="1"/>
  <c r="B35" i="46"/>
  <c r="B9" i="46"/>
  <c r="B40" i="46" s="1"/>
  <c r="B9" i="45"/>
  <c r="B40" i="45" s="1"/>
  <c r="B35" i="45"/>
  <c r="B20" i="45"/>
  <c r="B36" i="45" s="1"/>
  <c r="B37" i="29"/>
  <c r="B20" i="34"/>
  <c r="B36" i="34" s="1"/>
  <c r="B35" i="34"/>
  <c r="B9" i="34"/>
  <c r="B40" i="34" s="1"/>
  <c r="B20" i="33"/>
  <c r="B36" i="33" s="1"/>
  <c r="B9" i="33"/>
  <c r="B40" i="33" s="1"/>
  <c r="B35" i="33"/>
  <c r="D48" i="47"/>
  <c r="D51" i="47" s="1"/>
  <c r="D48" i="50" s="1"/>
  <c r="D43" i="32"/>
  <c r="D43" i="18"/>
  <c r="D43" i="14"/>
  <c r="D43" i="43"/>
  <c r="D43" i="10"/>
  <c r="D43" i="23"/>
  <c r="D43" i="27"/>
  <c r="D43" i="25"/>
  <c r="D43" i="36"/>
  <c r="D43" i="28"/>
  <c r="D43" i="13"/>
  <c r="D43" i="1"/>
  <c r="D43" i="44"/>
  <c r="D43" i="9"/>
  <c r="D43" i="31"/>
  <c r="D43" i="17"/>
  <c r="D43" i="12"/>
  <c r="D43" i="35"/>
  <c r="D46" i="16"/>
  <c r="D14" i="35"/>
  <c r="D14" i="13"/>
  <c r="D14" i="17"/>
  <c r="D14" i="1"/>
  <c r="D14" i="47"/>
  <c r="D14" i="12"/>
  <c r="D14" i="32"/>
  <c r="D14" i="28"/>
  <c r="D14" i="18"/>
  <c r="D14" i="10"/>
  <c r="D14" i="31"/>
  <c r="D14" i="27"/>
  <c r="D14" i="25"/>
  <c r="D14" i="36"/>
  <c r="D14" i="14"/>
  <c r="D14" i="23"/>
  <c r="D14" i="9"/>
  <c r="D14" i="44"/>
  <c r="D14" i="43"/>
  <c r="D22" i="16"/>
  <c r="B9" i="21"/>
  <c r="B40" i="21" s="1"/>
  <c r="B20" i="21"/>
  <c r="B36" i="21" s="1"/>
  <c r="B35" i="21"/>
  <c r="B20" i="24"/>
  <c r="B36" i="24" s="1"/>
  <c r="B35" i="24"/>
  <c r="B9" i="24"/>
  <c r="B40" i="24" s="1"/>
  <c r="B35" i="20"/>
  <c r="B20" i="20"/>
  <c r="B36" i="20" s="1"/>
  <c r="B9" i="20"/>
  <c r="B40" i="20" s="1"/>
  <c r="D16" i="12"/>
  <c r="D16" i="32"/>
  <c r="D16" i="28"/>
  <c r="D16" i="18"/>
  <c r="D16" i="10"/>
  <c r="D16" i="31"/>
  <c r="D16" i="27"/>
  <c r="D16" i="25"/>
  <c r="D16" i="36"/>
  <c r="D16" i="14"/>
  <c r="D16" i="23"/>
  <c r="D16" i="9"/>
  <c r="D16" i="35"/>
  <c r="D16" i="43"/>
  <c r="D16" i="17"/>
  <c r="D16" i="13"/>
  <c r="D16" i="1"/>
  <c r="D16" i="47"/>
  <c r="D16" i="44"/>
  <c r="D24" i="16"/>
  <c r="B20" i="19"/>
  <c r="B36" i="19" s="1"/>
  <c r="B35" i="19"/>
  <c r="B9" i="19"/>
  <c r="B40" i="19" s="1"/>
  <c r="B20" i="38"/>
  <c r="B36" i="38" s="1"/>
  <c r="B35" i="38"/>
  <c r="B9" i="38"/>
  <c r="B40" i="38" s="1"/>
  <c r="B35" i="37"/>
  <c r="B9" i="37"/>
  <c r="B40" i="37" s="1"/>
  <c r="B20" i="37"/>
  <c r="B36" i="37" s="1"/>
  <c r="B35" i="7"/>
  <c r="B9" i="7"/>
  <c r="B40" i="7" s="1"/>
  <c r="B20" i="7"/>
  <c r="B36" i="7" s="1"/>
  <c r="B9" i="11"/>
  <c r="B40" i="11" s="1"/>
  <c r="B35" i="11"/>
  <c r="B20" i="11"/>
  <c r="B36" i="11" s="1"/>
  <c r="B9" i="26"/>
  <c r="B40" i="26" s="1"/>
  <c r="B35" i="26"/>
  <c r="B20" i="26"/>
  <c r="B36" i="26" s="1"/>
  <c r="B20" i="39"/>
  <c r="B36" i="39" s="1"/>
  <c r="B35" i="39"/>
  <c r="B9" i="39"/>
  <c r="B40" i="39" s="1"/>
  <c r="D28" i="95" l="1"/>
  <c r="D48" i="16"/>
  <c r="D41" i="94"/>
  <c r="F41" i="94" s="1"/>
  <c r="D30" i="94"/>
  <c r="B37" i="15"/>
  <c r="D45" i="130"/>
  <c r="D46" i="130" s="1"/>
  <c r="D28" i="129"/>
  <c r="D31" i="129" s="1"/>
  <c r="D32" i="129" s="1"/>
  <c r="B37" i="88"/>
  <c r="I40" i="129"/>
  <c r="I43" i="129"/>
  <c r="I44" i="129" s="1"/>
  <c r="I37" i="129"/>
  <c r="I39" i="129"/>
  <c r="I28" i="129"/>
  <c r="I31" i="129" s="1"/>
  <c r="I32" i="129" s="1"/>
  <c r="I38" i="129"/>
  <c r="I42" i="129"/>
  <c r="G26" i="129"/>
  <c r="B37" i="119"/>
  <c r="B37" i="118"/>
  <c r="B37" i="110"/>
  <c r="B37" i="114"/>
  <c r="I45" i="130"/>
  <c r="I46" i="130" s="1"/>
  <c r="B37" i="113"/>
  <c r="B37" i="109"/>
  <c r="B37" i="117"/>
  <c r="I45" i="132"/>
  <c r="I46" i="132" s="1"/>
  <c r="J46" i="132" s="1"/>
  <c r="D30" i="133" s="1"/>
  <c r="D45" i="129"/>
  <c r="D46" i="129" s="1"/>
  <c r="I45" i="131"/>
  <c r="I46" i="131" s="1"/>
  <c r="B37" i="120"/>
  <c r="D28" i="130"/>
  <c r="D31" i="130" s="1"/>
  <c r="D32" i="130" s="1"/>
  <c r="D61" i="16"/>
  <c r="D64" i="47" s="1"/>
  <c r="B37" i="30"/>
  <c r="B37" i="46"/>
  <c r="B37" i="45"/>
  <c r="B37" i="34"/>
  <c r="B37" i="33"/>
  <c r="B37" i="19"/>
  <c r="B37" i="7"/>
  <c r="D46" i="1"/>
  <c r="D46" i="23"/>
  <c r="D46" i="35"/>
  <c r="D46" i="36"/>
  <c r="D46" i="28"/>
  <c r="D46" i="31"/>
  <c r="D46" i="18"/>
  <c r="D46" i="10"/>
  <c r="D46" i="12"/>
  <c r="D46" i="17"/>
  <c r="D46" i="9"/>
  <c r="D46" i="27"/>
  <c r="D46" i="14"/>
  <c r="H41" i="94"/>
  <c r="D46" i="44"/>
  <c r="D46" i="43"/>
  <c r="D46" i="13"/>
  <c r="D46" i="25"/>
  <c r="D46" i="32"/>
  <c r="B37" i="39"/>
  <c r="B37" i="24"/>
  <c r="D48" i="66"/>
  <c r="D48" i="63"/>
  <c r="D48" i="64"/>
  <c r="D48" i="61"/>
  <c r="D48" i="68"/>
  <c r="D48" i="55"/>
  <c r="D48" i="53"/>
  <c r="D48" i="54"/>
  <c r="D48" i="65"/>
  <c r="D48" i="59"/>
  <c r="D48" i="51"/>
  <c r="D48" i="60"/>
  <c r="D48" i="62"/>
  <c r="D48" i="57"/>
  <c r="D48" i="67"/>
  <c r="D48" i="56"/>
  <c r="D48" i="69"/>
  <c r="D48" i="58"/>
  <c r="D48" i="52"/>
  <c r="D14" i="65"/>
  <c r="D14" i="59"/>
  <c r="D14" i="64"/>
  <c r="D14" i="69"/>
  <c r="D14" i="58"/>
  <c r="D14" i="68"/>
  <c r="D14" i="53"/>
  <c r="D14" i="63"/>
  <c r="D14" i="52"/>
  <c r="D14" i="62"/>
  <c r="D14" i="56"/>
  <c r="D14" i="57"/>
  <c r="D14" i="67"/>
  <c r="D14" i="61"/>
  <c r="D14" i="66"/>
  <c r="D14" i="60"/>
  <c r="D14" i="50"/>
  <c r="D14" i="54"/>
  <c r="D14" i="51"/>
  <c r="D14" i="55"/>
  <c r="B37" i="38"/>
  <c r="B37" i="20"/>
  <c r="B37" i="21"/>
  <c r="D9" i="106"/>
  <c r="D9" i="105"/>
  <c r="D9" i="99"/>
  <c r="D9" i="97"/>
  <c r="D14" i="95"/>
  <c r="D9" i="100"/>
  <c r="D9" i="108"/>
  <c r="D9" i="104"/>
  <c r="D9" i="98"/>
  <c r="D9" i="102"/>
  <c r="D9" i="101"/>
  <c r="D36" i="95"/>
  <c r="D9" i="107"/>
  <c r="D9" i="103"/>
  <c r="B37" i="26"/>
  <c r="D22" i="28"/>
  <c r="D22" i="9"/>
  <c r="D22" i="47"/>
  <c r="D22" i="10"/>
  <c r="D22" i="13"/>
  <c r="D22" i="32"/>
  <c r="D22" i="1"/>
  <c r="D22" i="18"/>
  <c r="D22" i="36"/>
  <c r="D22" i="12"/>
  <c r="D22" i="14"/>
  <c r="D22" i="27"/>
  <c r="D22" i="35"/>
  <c r="D22" i="25"/>
  <c r="D22" i="31"/>
  <c r="D22" i="43"/>
  <c r="D22" i="23"/>
  <c r="D22" i="17"/>
  <c r="D22" i="44"/>
  <c r="D24" i="43"/>
  <c r="D24" i="35"/>
  <c r="D24" i="14"/>
  <c r="D24" i="47"/>
  <c r="D24" i="36"/>
  <c r="D24" i="32"/>
  <c r="D24" i="17"/>
  <c r="D24" i="31"/>
  <c r="D24" i="1"/>
  <c r="D24" i="10"/>
  <c r="D24" i="23"/>
  <c r="D24" i="13"/>
  <c r="D24" i="28"/>
  <c r="D24" i="44"/>
  <c r="D24" i="25"/>
  <c r="D24" i="27"/>
  <c r="D24" i="18"/>
  <c r="D24" i="9"/>
  <c r="D24" i="12"/>
  <c r="B37" i="11"/>
  <c r="B37" i="37"/>
  <c r="D16" i="53"/>
  <c r="D16" i="63"/>
  <c r="D16" i="52"/>
  <c r="D16" i="57"/>
  <c r="D16" i="62"/>
  <c r="D16" i="56"/>
  <c r="D16" i="66"/>
  <c r="D16" i="67"/>
  <c r="D16" i="61"/>
  <c r="D16" i="55"/>
  <c r="D16" i="60"/>
  <c r="D16" i="54"/>
  <c r="D16" i="64"/>
  <c r="D16" i="65"/>
  <c r="D16" i="59"/>
  <c r="D16" i="68"/>
  <c r="D16" i="51"/>
  <c r="D16" i="69"/>
  <c r="D16" i="58"/>
  <c r="D16" i="50"/>
  <c r="D30" i="95" l="1"/>
  <c r="D28" i="102"/>
  <c r="D28" i="108"/>
  <c r="D28" i="103"/>
  <c r="D28" i="101"/>
  <c r="D28" i="97"/>
  <c r="E27" i="93"/>
  <c r="D28" i="106"/>
  <c r="D28" i="98"/>
  <c r="D28" i="105"/>
  <c r="D28" i="99"/>
  <c r="D28" i="107"/>
  <c r="D28" i="104"/>
  <c r="D28" i="100"/>
  <c r="I45" i="129"/>
  <c r="I46" i="129" s="1"/>
  <c r="D62" i="16"/>
  <c r="D64" i="16" s="1"/>
  <c r="D52" i="67"/>
  <c r="I52" i="67" s="1"/>
  <c r="D72" i="67"/>
  <c r="D73" i="67" s="1"/>
  <c r="G24" i="48" s="1"/>
  <c r="B14" i="88" s="1"/>
  <c r="D72" i="64"/>
  <c r="D73" i="64" s="1"/>
  <c r="G21" i="48" s="1"/>
  <c r="B14" i="85" s="1"/>
  <c r="D52" i="64"/>
  <c r="I52" i="64" s="1"/>
  <c r="D52" i="57"/>
  <c r="I52" i="57" s="1"/>
  <c r="D72" i="57"/>
  <c r="D73" i="57" s="1"/>
  <c r="G14" i="48" s="1"/>
  <c r="B14" i="78" s="1"/>
  <c r="D52" i="54"/>
  <c r="I52" i="54" s="1"/>
  <c r="D72" i="54"/>
  <c r="D73" i="54" s="1"/>
  <c r="G11" i="48" s="1"/>
  <c r="D72" i="50"/>
  <c r="D73" i="50" s="1"/>
  <c r="G7" i="48" s="1"/>
  <c r="D52" i="50"/>
  <c r="I52" i="50" s="1"/>
  <c r="D48" i="17"/>
  <c r="D48" i="25"/>
  <c r="D48" i="1"/>
  <c r="D48" i="32"/>
  <c r="D48" i="27"/>
  <c r="D48" i="36"/>
  <c r="D48" i="18"/>
  <c r="D48" i="35"/>
  <c r="D48" i="44"/>
  <c r="D48" i="14"/>
  <c r="D48" i="12"/>
  <c r="D48" i="10"/>
  <c r="D48" i="9"/>
  <c r="D48" i="43"/>
  <c r="D48" i="28"/>
  <c r="D48" i="31"/>
  <c r="D48" i="13"/>
  <c r="D48" i="23"/>
  <c r="D72" i="52"/>
  <c r="D73" i="52" s="1"/>
  <c r="G9" i="48" s="1"/>
  <c r="D52" i="52"/>
  <c r="I52" i="52" s="1"/>
  <c r="D72" i="62"/>
  <c r="D73" i="62" s="1"/>
  <c r="G19" i="48" s="1"/>
  <c r="B14" i="83" s="1"/>
  <c r="D52" i="62"/>
  <c r="I52" i="62" s="1"/>
  <c r="G41" i="53"/>
  <c r="D52" i="53"/>
  <c r="I52" i="53" s="1"/>
  <c r="D72" i="53"/>
  <c r="D73" i="53" s="1"/>
  <c r="G10" i="48" s="1"/>
  <c r="D72" i="63"/>
  <c r="D73" i="63" s="1"/>
  <c r="G20" i="48" s="1"/>
  <c r="B14" i="84" s="1"/>
  <c r="D52" i="63"/>
  <c r="I52" i="63" s="1"/>
  <c r="D72" i="58"/>
  <c r="D73" i="58" s="1"/>
  <c r="G15" i="48" s="1"/>
  <c r="B14" i="79" s="1"/>
  <c r="D52" i="58"/>
  <c r="I52" i="58" s="1"/>
  <c r="D72" i="60"/>
  <c r="D73" i="60" s="1"/>
  <c r="G17" i="48" s="1"/>
  <c r="B14" i="81" s="1"/>
  <c r="D52" i="60"/>
  <c r="I52" i="60" s="1"/>
  <c r="D72" i="55"/>
  <c r="D73" i="55" s="1"/>
  <c r="G12" i="48" s="1"/>
  <c r="D52" i="55"/>
  <c r="I52" i="55" s="1"/>
  <c r="D72" i="66"/>
  <c r="D73" i="66" s="1"/>
  <c r="G23" i="48" s="1"/>
  <c r="B14" i="87" s="1"/>
  <c r="D52" i="66"/>
  <c r="I52" i="66" s="1"/>
  <c r="D72" i="69"/>
  <c r="D73" i="69" s="1"/>
  <c r="G26" i="48" s="1"/>
  <c r="B14" i="90" s="1"/>
  <c r="D52" i="69"/>
  <c r="I52" i="69" s="1"/>
  <c r="D52" i="51"/>
  <c r="I52" i="51" s="1"/>
  <c r="D72" i="51"/>
  <c r="D73" i="51" s="1"/>
  <c r="G8" i="48" s="1"/>
  <c r="D52" i="68"/>
  <c r="I52" i="68" s="1"/>
  <c r="D72" i="68"/>
  <c r="D73" i="68" s="1"/>
  <c r="G25" i="48" s="1"/>
  <c r="B14" i="89" s="1"/>
  <c r="D52" i="56"/>
  <c r="I52" i="56" s="1"/>
  <c r="D72" i="56"/>
  <c r="D73" i="56" s="1"/>
  <c r="G13" i="48" s="1"/>
  <c r="B14" i="77" s="1"/>
  <c r="D72" i="59"/>
  <c r="D73" i="59" s="1"/>
  <c r="G16" i="48" s="1"/>
  <c r="B14" i="80" s="1"/>
  <c r="D52" i="59"/>
  <c r="I52" i="59" s="1"/>
  <c r="D52" i="61"/>
  <c r="I52" i="61" s="1"/>
  <c r="D72" i="61"/>
  <c r="D73" i="61" s="1"/>
  <c r="G18" i="48" s="1"/>
  <c r="B14" i="82" s="1"/>
  <c r="D72" i="65"/>
  <c r="D73" i="65" s="1"/>
  <c r="G22" i="48" s="1"/>
  <c r="B14" i="86" s="1"/>
  <c r="D52" i="65"/>
  <c r="I52" i="65" s="1"/>
  <c r="B18" i="120"/>
  <c r="B18" i="110"/>
  <c r="B18" i="114"/>
  <c r="B18" i="111"/>
  <c r="B18" i="118"/>
  <c r="B18" i="113"/>
  <c r="B18" i="116"/>
  <c r="B18" i="115"/>
  <c r="B18" i="119"/>
  <c r="B18" i="112"/>
  <c r="B18" i="109"/>
  <c r="B18" i="117"/>
  <c r="D24" i="59"/>
  <c r="D24" i="60"/>
  <c r="D24" i="65"/>
  <c r="D24" i="67"/>
  <c r="D24" i="62"/>
  <c r="D24" i="55"/>
  <c r="D24" i="54"/>
  <c r="D24" i="56"/>
  <c r="D24" i="68"/>
  <c r="D24" i="66"/>
  <c r="D24" i="53"/>
  <c r="D24" i="63"/>
  <c r="D24" i="64"/>
  <c r="D24" i="61"/>
  <c r="D24" i="69"/>
  <c r="D24" i="58"/>
  <c r="D24" i="57"/>
  <c r="D24" i="52"/>
  <c r="D24" i="51"/>
  <c r="D24" i="50"/>
  <c r="D14" i="102"/>
  <c r="D14" i="97"/>
  <c r="D14" i="108"/>
  <c r="D14" i="99"/>
  <c r="D14" i="98"/>
  <c r="D14" i="105"/>
  <c r="D14" i="103"/>
  <c r="D14" i="100"/>
  <c r="D20" i="95"/>
  <c r="D14" i="104"/>
  <c r="D14" i="106"/>
  <c r="D14" i="101"/>
  <c r="D14" i="107"/>
  <c r="D22" i="58"/>
  <c r="D22" i="64"/>
  <c r="D22" i="53"/>
  <c r="D22" i="63"/>
  <c r="D22" i="69"/>
  <c r="D22" i="55"/>
  <c r="D22" i="52"/>
  <c r="D22" i="57"/>
  <c r="D22" i="67"/>
  <c r="D22" i="68"/>
  <c r="D22" i="62"/>
  <c r="D22" i="61"/>
  <c r="D22" i="56"/>
  <c r="D22" i="66"/>
  <c r="D22" i="51"/>
  <c r="D22" i="65"/>
  <c r="D22" i="60"/>
  <c r="D22" i="54"/>
  <c r="D22" i="50"/>
  <c r="D22" i="59"/>
  <c r="E29" i="93" l="1"/>
  <c r="E30" i="93"/>
  <c r="E28" i="93"/>
  <c r="D30" i="108"/>
  <c r="D30" i="103"/>
  <c r="D30" i="104"/>
  <c r="D30" i="102"/>
  <c r="D30" i="106"/>
  <c r="D30" i="101"/>
  <c r="D30" i="97"/>
  <c r="D30" i="98"/>
  <c r="D30" i="100"/>
  <c r="D30" i="105"/>
  <c r="D30" i="107"/>
  <c r="D30" i="99"/>
  <c r="D65" i="47"/>
  <c r="D26" i="16"/>
  <c r="D26" i="44" s="1"/>
  <c r="D52" i="23"/>
  <c r="I52" i="23" s="1"/>
  <c r="D72" i="23"/>
  <c r="D73" i="23" s="1"/>
  <c r="G14" i="3" s="1"/>
  <c r="B14" i="26" s="1"/>
  <c r="D72" i="13"/>
  <c r="D73" i="13" s="1"/>
  <c r="G17" i="3" s="1"/>
  <c r="B14" i="15" s="1"/>
  <c r="D52" i="13"/>
  <c r="I52" i="13" s="1"/>
  <c r="C40" i="87"/>
  <c r="C36" i="87"/>
  <c r="C35" i="87"/>
  <c r="C36" i="80"/>
  <c r="C35" i="80"/>
  <c r="C40" i="80"/>
  <c r="B14" i="74"/>
  <c r="B14" i="72"/>
  <c r="B14" i="76"/>
  <c r="C35" i="84"/>
  <c r="C36" i="84"/>
  <c r="C40" i="84"/>
  <c r="D52" i="43"/>
  <c r="I52" i="43" s="1"/>
  <c r="D72" i="43"/>
  <c r="D73" i="43" s="1"/>
  <c r="G7" i="3" s="1"/>
  <c r="B14" i="45" s="1"/>
  <c r="D52" i="35"/>
  <c r="I52" i="35" s="1"/>
  <c r="D72" i="35"/>
  <c r="D73" i="35" s="1"/>
  <c r="G21" i="3" s="1"/>
  <c r="B14" i="37" s="1"/>
  <c r="D52" i="25"/>
  <c r="I52" i="25" s="1"/>
  <c r="D72" i="25"/>
  <c r="D73" i="25" s="1"/>
  <c r="G11" i="3" s="1"/>
  <c r="B14" i="19" s="1"/>
  <c r="C40" i="78"/>
  <c r="C35" i="78"/>
  <c r="C36" i="78"/>
  <c r="C36" i="77"/>
  <c r="C40" i="77"/>
  <c r="C35" i="77"/>
  <c r="D52" i="9"/>
  <c r="I52" i="9" s="1"/>
  <c r="D72" i="9"/>
  <c r="D73" i="9" s="1"/>
  <c r="G10" i="3" s="1"/>
  <c r="B14" i="20" s="1"/>
  <c r="D52" i="18"/>
  <c r="I52" i="18" s="1"/>
  <c r="D72" i="18"/>
  <c r="D73" i="18" s="1"/>
  <c r="G12" i="3" s="1"/>
  <c r="B14" i="21" s="1"/>
  <c r="D72" i="17"/>
  <c r="D73" i="17" s="1"/>
  <c r="G13" i="3" s="1"/>
  <c r="B14" i="24" s="1"/>
  <c r="D52" i="17"/>
  <c r="I52" i="17" s="1"/>
  <c r="C40" i="81"/>
  <c r="C36" i="81"/>
  <c r="C35" i="81"/>
  <c r="C35" i="86"/>
  <c r="C36" i="86"/>
  <c r="C40" i="86"/>
  <c r="C40" i="82"/>
  <c r="C36" i="82"/>
  <c r="C35" i="82"/>
  <c r="D72" i="27"/>
  <c r="D73" i="27" s="1"/>
  <c r="G15" i="3" s="1"/>
  <c r="B14" i="29" s="1"/>
  <c r="D52" i="27"/>
  <c r="I52" i="27" s="1"/>
  <c r="D72" i="36"/>
  <c r="D73" i="36" s="1"/>
  <c r="G22" i="3" s="1"/>
  <c r="B14" i="38" s="1"/>
  <c r="D52" i="36"/>
  <c r="I52" i="36" s="1"/>
  <c r="C36" i="90"/>
  <c r="C35" i="90"/>
  <c r="C40" i="90"/>
  <c r="D72" i="10"/>
  <c r="D73" i="10" s="1"/>
  <c r="G23" i="3" s="1"/>
  <c r="B14" i="39" s="1"/>
  <c r="D52" i="10"/>
  <c r="I52" i="10" s="1"/>
  <c r="C35" i="89"/>
  <c r="C36" i="89"/>
  <c r="C40" i="89"/>
  <c r="D52" i="12"/>
  <c r="I52" i="12" s="1"/>
  <c r="D72" i="12"/>
  <c r="D73" i="12" s="1"/>
  <c r="G24" i="3" s="1"/>
  <c r="B14" i="11" s="1"/>
  <c r="C40" i="85"/>
  <c r="C36" i="85"/>
  <c r="C35" i="85"/>
  <c r="C36" i="79"/>
  <c r="C40" i="79"/>
  <c r="C35" i="79"/>
  <c r="D72" i="31"/>
  <c r="D73" i="31" s="1"/>
  <c r="G19" i="3" s="1"/>
  <c r="B14" i="33" s="1"/>
  <c r="D52" i="31"/>
  <c r="I52" i="31" s="1"/>
  <c r="D52" i="14"/>
  <c r="I52" i="14" s="1"/>
  <c r="D72" i="14"/>
  <c r="D73" i="14" s="1"/>
  <c r="G18" i="3" s="1"/>
  <c r="B14" i="22" s="1"/>
  <c r="D72" i="32"/>
  <c r="D73" i="32" s="1"/>
  <c r="G20" i="3" s="1"/>
  <c r="B14" i="34" s="1"/>
  <c r="D52" i="32"/>
  <c r="I52" i="32" s="1"/>
  <c r="B14" i="71"/>
  <c r="B14" i="75"/>
  <c r="B14" i="73"/>
  <c r="C35" i="88"/>
  <c r="C36" i="88"/>
  <c r="C40" i="88"/>
  <c r="C36" i="83"/>
  <c r="C40" i="83"/>
  <c r="C35" i="83"/>
  <c r="D72" i="28"/>
  <c r="D73" i="28" s="1"/>
  <c r="G16" i="3" s="1"/>
  <c r="B14" i="30" s="1"/>
  <c r="D52" i="28"/>
  <c r="I52" i="28" s="1"/>
  <c r="D52" i="44"/>
  <c r="I52" i="44" s="1"/>
  <c r="D72" i="44"/>
  <c r="D73" i="44" s="1"/>
  <c r="G8" i="3" s="1"/>
  <c r="B14" i="46" s="1"/>
  <c r="D52" i="1"/>
  <c r="I52" i="1" s="1"/>
  <c r="D72" i="1"/>
  <c r="D73" i="1" s="1"/>
  <c r="G9" i="3" s="1"/>
  <c r="B14" i="7" s="1"/>
  <c r="D67" i="47"/>
  <c r="C9" i="49" s="1"/>
  <c r="D6" i="16"/>
  <c r="D20" i="102"/>
  <c r="D20" i="106"/>
  <c r="D20" i="100"/>
  <c r="D20" i="104"/>
  <c r="D20" i="107"/>
  <c r="D20" i="101"/>
  <c r="D20" i="97"/>
  <c r="D20" i="105"/>
  <c r="D22" i="95"/>
  <c r="D20" i="98"/>
  <c r="D20" i="103"/>
  <c r="D20" i="99"/>
  <c r="D20" i="108"/>
  <c r="D34" i="100" l="1"/>
  <c r="D54" i="100"/>
  <c r="D55" i="100" s="1"/>
  <c r="G10" i="96" s="1"/>
  <c r="B14" i="112" s="1"/>
  <c r="D34" i="99"/>
  <c r="D54" i="99"/>
  <c r="D55" i="99" s="1"/>
  <c r="G9" i="96" s="1"/>
  <c r="B14" i="111" s="1"/>
  <c r="D34" i="98"/>
  <c r="D54" i="98"/>
  <c r="D55" i="98" s="1"/>
  <c r="G8" i="96" s="1"/>
  <c r="B14" i="110" s="1"/>
  <c r="D54" i="102"/>
  <c r="D55" i="102" s="1"/>
  <c r="G12" i="96" s="1"/>
  <c r="B14" i="114" s="1"/>
  <c r="D34" i="102"/>
  <c r="D54" i="106"/>
  <c r="D55" i="106" s="1"/>
  <c r="G16" i="96" s="1"/>
  <c r="B14" i="118" s="1"/>
  <c r="D34" i="106"/>
  <c r="D54" i="108"/>
  <c r="D55" i="108" s="1"/>
  <c r="G18" i="96" s="1"/>
  <c r="B14" i="120" s="1"/>
  <c r="D34" i="108"/>
  <c r="D34" i="107"/>
  <c r="D54" i="107"/>
  <c r="D55" i="107" s="1"/>
  <c r="G17" i="96" s="1"/>
  <c r="B14" i="119" s="1"/>
  <c r="D54" i="97"/>
  <c r="D55" i="97" s="1"/>
  <c r="G7" i="96" s="1"/>
  <c r="B14" i="109" s="1"/>
  <c r="D34" i="97"/>
  <c r="D34" i="104"/>
  <c r="D54" i="104"/>
  <c r="D55" i="104" s="1"/>
  <c r="G14" i="96" s="1"/>
  <c r="B14" i="116" s="1"/>
  <c r="J55" i="105"/>
  <c r="D34" i="105"/>
  <c r="J57" i="105"/>
  <c r="D54" i="105"/>
  <c r="D55" i="105" s="1"/>
  <c r="G15" i="96" s="1"/>
  <c r="B14" i="117" s="1"/>
  <c r="D34" i="101"/>
  <c r="D54" i="101"/>
  <c r="D55" i="101" s="1"/>
  <c r="G11" i="96" s="1"/>
  <c r="B14" i="113" s="1"/>
  <c r="D34" i="103"/>
  <c r="D54" i="103"/>
  <c r="D55" i="103" s="1"/>
  <c r="G13" i="96" s="1"/>
  <c r="B14" i="115" s="1"/>
  <c r="D26" i="12"/>
  <c r="D26" i="25"/>
  <c r="D26" i="27"/>
  <c r="D26" i="32"/>
  <c r="D26" i="13"/>
  <c r="D28" i="16"/>
  <c r="D28" i="12" s="1"/>
  <c r="D26" i="23"/>
  <c r="D26" i="17"/>
  <c r="D26" i="43"/>
  <c r="E17" i="93"/>
  <c r="G17" i="93" s="1"/>
  <c r="D26" i="28"/>
  <c r="D26" i="14"/>
  <c r="D26" i="1"/>
  <c r="D26" i="36"/>
  <c r="D26" i="31"/>
  <c r="D26" i="18"/>
  <c r="D26" i="35"/>
  <c r="D26" i="10"/>
  <c r="D26" i="9"/>
  <c r="C37" i="77"/>
  <c r="C37" i="79"/>
  <c r="C37" i="89"/>
  <c r="C37" i="88"/>
  <c r="C37" i="90"/>
  <c r="C37" i="82"/>
  <c r="C37" i="81"/>
  <c r="C37" i="87"/>
  <c r="C35" i="38"/>
  <c r="C40" i="38"/>
  <c r="C36" i="38"/>
  <c r="C35" i="22"/>
  <c r="C40" i="22"/>
  <c r="C36" i="22"/>
  <c r="C35" i="7"/>
  <c r="C36" i="7"/>
  <c r="C40" i="7"/>
  <c r="C37" i="83"/>
  <c r="C36" i="73"/>
  <c r="C40" i="73"/>
  <c r="C35" i="73"/>
  <c r="C37" i="85"/>
  <c r="C40" i="20"/>
  <c r="C36" i="20"/>
  <c r="C35" i="20"/>
  <c r="C37" i="78"/>
  <c r="C36" i="45"/>
  <c r="C40" i="45"/>
  <c r="C35" i="45"/>
  <c r="C36" i="72"/>
  <c r="C35" i="72"/>
  <c r="C40" i="72"/>
  <c r="C36" i="75"/>
  <c r="C40" i="75"/>
  <c r="C35" i="75"/>
  <c r="C35" i="74"/>
  <c r="C36" i="74"/>
  <c r="C40" i="74"/>
  <c r="C36" i="19"/>
  <c r="C35" i="19"/>
  <c r="C40" i="19"/>
  <c r="C36" i="33"/>
  <c r="C35" i="33"/>
  <c r="C40" i="33"/>
  <c r="C36" i="11"/>
  <c r="C40" i="11"/>
  <c r="C35" i="11"/>
  <c r="C35" i="15"/>
  <c r="C40" i="15"/>
  <c r="C36" i="15"/>
  <c r="C35" i="46"/>
  <c r="C40" i="46"/>
  <c r="C36" i="46"/>
  <c r="C35" i="71"/>
  <c r="C40" i="71"/>
  <c r="C36" i="71"/>
  <c r="C40" i="39"/>
  <c r="C36" i="39"/>
  <c r="C35" i="39"/>
  <c r="C35" i="24"/>
  <c r="C40" i="24"/>
  <c r="C36" i="24"/>
  <c r="C40" i="34"/>
  <c r="C35" i="34"/>
  <c r="C36" i="34"/>
  <c r="C35" i="29"/>
  <c r="C40" i="29"/>
  <c r="C36" i="29"/>
  <c r="C37" i="86"/>
  <c r="C36" i="21"/>
  <c r="C35" i="21"/>
  <c r="C40" i="21"/>
  <c r="C35" i="37"/>
  <c r="C36" i="37"/>
  <c r="C40" i="37"/>
  <c r="C37" i="84"/>
  <c r="C37" i="80"/>
  <c r="C40" i="26"/>
  <c r="C36" i="26"/>
  <c r="C35" i="26"/>
  <c r="C35" i="30"/>
  <c r="C40" i="30"/>
  <c r="C36" i="30"/>
  <c r="C40" i="76"/>
  <c r="C36" i="76"/>
  <c r="C35" i="76"/>
  <c r="D22" i="101"/>
  <c r="D41" i="101" s="1"/>
  <c r="D50" i="101" s="1"/>
  <c r="D51" i="101" s="1"/>
  <c r="H11" i="96" s="1"/>
  <c r="D22" i="107"/>
  <c r="D41" i="107" s="1"/>
  <c r="D50" i="107" s="1"/>
  <c r="D51" i="107" s="1"/>
  <c r="H17" i="96" s="1"/>
  <c r="D22" i="105"/>
  <c r="D41" i="105" s="1"/>
  <c r="D50" i="105" s="1"/>
  <c r="D51" i="105" s="1"/>
  <c r="H15" i="96" s="1"/>
  <c r="D22" i="97"/>
  <c r="D41" i="97" s="1"/>
  <c r="D50" i="97" s="1"/>
  <c r="D51" i="97" s="1"/>
  <c r="H7" i="96" s="1"/>
  <c r="D22" i="102"/>
  <c r="D41" i="102" s="1"/>
  <c r="D50" i="102" s="1"/>
  <c r="D51" i="102" s="1"/>
  <c r="D22" i="108"/>
  <c r="D41" i="108" s="1"/>
  <c r="D50" i="108" s="1"/>
  <c r="D51" i="108" s="1"/>
  <c r="D22" i="99"/>
  <c r="D41" i="99" s="1"/>
  <c r="D50" i="99" s="1"/>
  <c r="D51" i="99" s="1"/>
  <c r="H9" i="96" s="1"/>
  <c r="D22" i="103"/>
  <c r="D41" i="103" s="1"/>
  <c r="D50" i="103" s="1"/>
  <c r="D51" i="103" s="1"/>
  <c r="H13" i="96" s="1"/>
  <c r="D22" i="100"/>
  <c r="D41" i="100" s="1"/>
  <c r="D50" i="100" s="1"/>
  <c r="D51" i="100" s="1"/>
  <c r="D22" i="98"/>
  <c r="D41" i="98" s="1"/>
  <c r="D50" i="98" s="1"/>
  <c r="D51" i="98" s="1"/>
  <c r="D22" i="106"/>
  <c r="D41" i="106" s="1"/>
  <c r="D50" i="106" s="1"/>
  <c r="D51" i="106" s="1"/>
  <c r="D22" i="104"/>
  <c r="D41" i="104" s="1"/>
  <c r="D50" i="104" s="1"/>
  <c r="D51" i="104" s="1"/>
  <c r="D28" i="47"/>
  <c r="G9" i="49"/>
  <c r="C14" i="49"/>
  <c r="C16" i="49" s="1"/>
  <c r="C18" i="49" s="1"/>
  <c r="C20" i="49" s="1"/>
  <c r="C25" i="49" s="1"/>
  <c r="C28" i="49" s="1"/>
  <c r="D24" i="95"/>
  <c r="D6" i="27"/>
  <c r="D70" i="27" s="1"/>
  <c r="D6" i="18"/>
  <c r="D70" i="18" s="1"/>
  <c r="D6" i="14"/>
  <c r="D70" i="14" s="1"/>
  <c r="D6" i="12"/>
  <c r="D70" i="12" s="1"/>
  <c r="D6" i="35"/>
  <c r="D70" i="35" s="1"/>
  <c r="D6" i="25"/>
  <c r="D70" i="25" s="1"/>
  <c r="D6" i="17"/>
  <c r="D70" i="17" s="1"/>
  <c r="D6" i="9"/>
  <c r="D70" i="9" s="1"/>
  <c r="D6" i="28"/>
  <c r="D70" i="28" s="1"/>
  <c r="D69" i="16"/>
  <c r="D6" i="36"/>
  <c r="D70" i="36" s="1"/>
  <c r="D6" i="1"/>
  <c r="D70" i="1" s="1"/>
  <c r="D6" i="13"/>
  <c r="D70" i="13" s="1"/>
  <c r="D6" i="44"/>
  <c r="D70" i="44" s="1"/>
  <c r="D6" i="23"/>
  <c r="D70" i="23" s="1"/>
  <c r="D6" i="32"/>
  <c r="D70" i="32" s="1"/>
  <c r="D6" i="10"/>
  <c r="D70" i="10" s="1"/>
  <c r="D6" i="43"/>
  <c r="D70" i="43" s="1"/>
  <c r="D6" i="47"/>
  <c r="D6" i="31"/>
  <c r="D70" i="31" s="1"/>
  <c r="D21" i="16"/>
  <c r="D28" i="9" l="1"/>
  <c r="D28" i="43"/>
  <c r="D28" i="25"/>
  <c r="D28" i="32"/>
  <c r="D28" i="13"/>
  <c r="D28" i="14"/>
  <c r="D28" i="17"/>
  <c r="D28" i="36"/>
  <c r="D28" i="35"/>
  <c r="D28" i="18"/>
  <c r="D28" i="27"/>
  <c r="D28" i="23"/>
  <c r="D28" i="31"/>
  <c r="D28" i="10"/>
  <c r="D28" i="28"/>
  <c r="D28" i="1"/>
  <c r="D28" i="44"/>
  <c r="I34" i="105"/>
  <c r="D52" i="105"/>
  <c r="D35" i="105"/>
  <c r="I34" i="108"/>
  <c r="D52" i="108"/>
  <c r="D35" i="108"/>
  <c r="D52" i="102"/>
  <c r="I34" i="102"/>
  <c r="D35" i="102"/>
  <c r="D52" i="101"/>
  <c r="I34" i="101"/>
  <c r="D35" i="101"/>
  <c r="C40" i="109"/>
  <c r="C36" i="109"/>
  <c r="C35" i="109"/>
  <c r="C40" i="120"/>
  <c r="C36" i="120"/>
  <c r="C35" i="120"/>
  <c r="C40" i="114"/>
  <c r="C35" i="114"/>
  <c r="C36" i="114"/>
  <c r="D52" i="99"/>
  <c r="I34" i="99"/>
  <c r="D35" i="99"/>
  <c r="C35" i="113"/>
  <c r="C36" i="113"/>
  <c r="C40" i="113"/>
  <c r="D52" i="97"/>
  <c r="I34" i="97"/>
  <c r="D35" i="97"/>
  <c r="C35" i="111"/>
  <c r="C40" i="111"/>
  <c r="C36" i="111"/>
  <c r="C35" i="115"/>
  <c r="C36" i="115"/>
  <c r="C40" i="115"/>
  <c r="C40" i="117"/>
  <c r="C35" i="117"/>
  <c r="C36" i="117"/>
  <c r="C40" i="116"/>
  <c r="C35" i="116"/>
  <c r="C36" i="116"/>
  <c r="C36" i="119"/>
  <c r="C40" i="119"/>
  <c r="C35" i="119"/>
  <c r="I34" i="106"/>
  <c r="D52" i="106"/>
  <c r="D35" i="106"/>
  <c r="C36" i="110"/>
  <c r="C35" i="110"/>
  <c r="C40" i="110"/>
  <c r="C35" i="112"/>
  <c r="C40" i="112"/>
  <c r="C36" i="112"/>
  <c r="I34" i="103"/>
  <c r="D52" i="103"/>
  <c r="D35" i="103"/>
  <c r="D52" i="104"/>
  <c r="I34" i="104"/>
  <c r="D35" i="104"/>
  <c r="D52" i="107"/>
  <c r="I34" i="107"/>
  <c r="D35" i="107"/>
  <c r="C40" i="118"/>
  <c r="C35" i="118"/>
  <c r="C36" i="118"/>
  <c r="I34" i="98"/>
  <c r="D52" i="98"/>
  <c r="D35" i="98"/>
  <c r="I34" i="100"/>
  <c r="D52" i="100"/>
  <c r="D35" i="100"/>
  <c r="D31" i="16"/>
  <c r="D33" i="16" s="1"/>
  <c r="C37" i="74"/>
  <c r="C37" i="30"/>
  <c r="C37" i="46"/>
  <c r="C37" i="76"/>
  <c r="C37" i="37"/>
  <c r="C37" i="71"/>
  <c r="C37" i="21"/>
  <c r="C37" i="39"/>
  <c r="C37" i="24"/>
  <c r="C37" i="22"/>
  <c r="C37" i="29"/>
  <c r="C37" i="15"/>
  <c r="C37" i="73"/>
  <c r="C37" i="7"/>
  <c r="C37" i="38"/>
  <c r="C37" i="26"/>
  <c r="C37" i="33"/>
  <c r="C37" i="72"/>
  <c r="C37" i="20"/>
  <c r="C37" i="11"/>
  <c r="C37" i="75"/>
  <c r="C37" i="45"/>
  <c r="C37" i="34"/>
  <c r="C37" i="19"/>
  <c r="D31" i="12"/>
  <c r="D31" i="14"/>
  <c r="F23" i="3"/>
  <c r="B13" i="39" s="1"/>
  <c r="D71" i="10"/>
  <c r="G14" i="49"/>
  <c r="G16" i="49" s="1"/>
  <c r="G18" i="49" s="1"/>
  <c r="G20" i="49" s="1"/>
  <c r="G25" i="49" s="1"/>
  <c r="D28" i="58"/>
  <c r="D28" i="62"/>
  <c r="D28" i="69"/>
  <c r="D28" i="55"/>
  <c r="D28" i="54"/>
  <c r="D28" i="50"/>
  <c r="D28" i="63"/>
  <c r="D28" i="52"/>
  <c r="D28" i="68"/>
  <c r="D28" i="65"/>
  <c r="D28" i="61"/>
  <c r="D28" i="66"/>
  <c r="D28" i="60"/>
  <c r="D28" i="67"/>
  <c r="D28" i="51"/>
  <c r="D28" i="56"/>
  <c r="D28" i="53"/>
  <c r="D28" i="64"/>
  <c r="D28" i="59"/>
  <c r="D28" i="57"/>
  <c r="D71" i="32"/>
  <c r="F20" i="3"/>
  <c r="B13" i="34" s="1"/>
  <c r="B18" i="45"/>
  <c r="B18" i="19"/>
  <c r="B18" i="21"/>
  <c r="B18" i="7"/>
  <c r="B18" i="34"/>
  <c r="B18" i="46"/>
  <c r="B18" i="15"/>
  <c r="B18" i="37"/>
  <c r="B18" i="29"/>
  <c r="B18" i="20"/>
  <c r="B18" i="26"/>
  <c r="B18" i="38"/>
  <c r="B18" i="24"/>
  <c r="D72" i="47"/>
  <c r="B18" i="39"/>
  <c r="B18" i="11"/>
  <c r="B18" i="33"/>
  <c r="B18" i="22"/>
  <c r="B18" i="30"/>
  <c r="D71" i="12"/>
  <c r="F24" i="3"/>
  <c r="B13" i="11" s="1"/>
  <c r="D24" i="105"/>
  <c r="D24" i="97"/>
  <c r="D24" i="102"/>
  <c r="D24" i="108"/>
  <c r="D24" i="106"/>
  <c r="D24" i="98"/>
  <c r="D24" i="104"/>
  <c r="D24" i="100"/>
  <c r="D24" i="99"/>
  <c r="D24" i="107"/>
  <c r="D24" i="103"/>
  <c r="D24" i="101"/>
  <c r="D71" i="28"/>
  <c r="F16" i="3"/>
  <c r="B13" i="30" s="1"/>
  <c r="D71" i="31"/>
  <c r="F19" i="3"/>
  <c r="B13" i="33" s="1"/>
  <c r="F12" i="3"/>
  <c r="B13" i="21" s="1"/>
  <c r="D71" i="18"/>
  <c r="D71" i="36"/>
  <c r="F22" i="3"/>
  <c r="B13" i="38" s="1"/>
  <c r="D21" i="28"/>
  <c r="D53" i="28" s="1"/>
  <c r="D21" i="17"/>
  <c r="D53" i="17" s="1"/>
  <c r="D21" i="18"/>
  <c r="D53" i="18" s="1"/>
  <c r="D21" i="1"/>
  <c r="D21" i="36"/>
  <c r="D21" i="44"/>
  <c r="D21" i="43"/>
  <c r="D53" i="43" s="1"/>
  <c r="D21" i="9"/>
  <c r="D53" i="9" s="1"/>
  <c r="D21" i="10"/>
  <c r="D53" i="10" s="1"/>
  <c r="D21" i="13"/>
  <c r="D21" i="47"/>
  <c r="D21" i="31"/>
  <c r="D21" i="32"/>
  <c r="D21" i="27"/>
  <c r="D53" i="27" s="1"/>
  <c r="D21" i="12"/>
  <c r="D53" i="12" s="1"/>
  <c r="D21" i="25"/>
  <c r="D53" i="25" s="1"/>
  <c r="D21" i="35"/>
  <c r="D21" i="14"/>
  <c r="D53" i="14" s="1"/>
  <c r="D21" i="23"/>
  <c r="D71" i="14"/>
  <c r="F18" i="3"/>
  <c r="B13" i="22" s="1"/>
  <c r="D71" i="44"/>
  <c r="F8" i="3"/>
  <c r="B13" i="46" s="1"/>
  <c r="D6" i="57"/>
  <c r="D70" i="57" s="1"/>
  <c r="D6" i="56"/>
  <c r="D70" i="56" s="1"/>
  <c r="D6" i="59"/>
  <c r="D70" i="59" s="1"/>
  <c r="D6" i="50"/>
  <c r="D70" i="50" s="1"/>
  <c r="D6" i="53"/>
  <c r="D70" i="53" s="1"/>
  <c r="D6" i="60"/>
  <c r="D70" i="60" s="1"/>
  <c r="D6" i="54"/>
  <c r="D70" i="54" s="1"/>
  <c r="D6" i="51"/>
  <c r="D70" i="51" s="1"/>
  <c r="D6" i="61"/>
  <c r="D70" i="61" s="1"/>
  <c r="D6" i="65"/>
  <c r="D70" i="65" s="1"/>
  <c r="D6" i="55"/>
  <c r="D70" i="55" s="1"/>
  <c r="D6" i="66"/>
  <c r="D70" i="66" s="1"/>
  <c r="D6" i="64"/>
  <c r="D70" i="64" s="1"/>
  <c r="D6" i="68"/>
  <c r="D70" i="68" s="1"/>
  <c r="D6" i="58"/>
  <c r="D70" i="58" s="1"/>
  <c r="D6" i="52"/>
  <c r="D70" i="52" s="1"/>
  <c r="D6" i="62"/>
  <c r="D70" i="62" s="1"/>
  <c r="D6" i="67"/>
  <c r="D70" i="67" s="1"/>
  <c r="D6" i="69"/>
  <c r="D70" i="69" s="1"/>
  <c r="D6" i="63"/>
  <c r="D70" i="63" s="1"/>
  <c r="F17" i="3"/>
  <c r="B13" i="15" s="1"/>
  <c r="D71" i="13"/>
  <c r="F13" i="3"/>
  <c r="B13" i="24" s="1"/>
  <c r="D71" i="17"/>
  <c r="D71" i="27"/>
  <c r="F15" i="3"/>
  <c r="B13" i="29" s="1"/>
  <c r="D71" i="35"/>
  <c r="F21" i="3"/>
  <c r="B13" i="37" s="1"/>
  <c r="D71" i="23"/>
  <c r="F14" i="3"/>
  <c r="B13" i="26" s="1"/>
  <c r="D71" i="9"/>
  <c r="F10" i="3"/>
  <c r="B13" i="20" s="1"/>
  <c r="F7" i="3"/>
  <c r="B13" i="45" s="1"/>
  <c r="D71" i="43"/>
  <c r="F9" i="3"/>
  <c r="B13" i="7" s="1"/>
  <c r="D71" i="1"/>
  <c r="F11" i="3"/>
  <c r="B13" i="19" s="1"/>
  <c r="D71" i="25"/>
  <c r="C37" i="120" l="1"/>
  <c r="D53" i="32"/>
  <c r="D54" i="32" s="1"/>
  <c r="D56" i="32" s="1"/>
  <c r="D53" i="13"/>
  <c r="D54" i="13" s="1"/>
  <c r="D56" i="13" s="1"/>
  <c r="D53" i="44"/>
  <c r="B43" i="46" s="1"/>
  <c r="C43" i="46" s="1"/>
  <c r="D53" i="35"/>
  <c r="D55" i="35" s="1"/>
  <c r="D53" i="31"/>
  <c r="D58" i="31" s="1"/>
  <c r="D61" i="31" s="1"/>
  <c r="D62" i="31" s="1"/>
  <c r="C37" i="114"/>
  <c r="D53" i="1"/>
  <c r="D54" i="1" s="1"/>
  <c r="D56" i="1" s="1"/>
  <c r="D53" i="36"/>
  <c r="D55" i="36" s="1"/>
  <c r="D53" i="23"/>
  <c r="D55" i="23" s="1"/>
  <c r="D31" i="27"/>
  <c r="D31" i="44"/>
  <c r="C37" i="118"/>
  <c r="C37" i="113"/>
  <c r="D31" i="47"/>
  <c r="D31" i="23"/>
  <c r="C37" i="110"/>
  <c r="C37" i="111"/>
  <c r="D31" i="43"/>
  <c r="D31" i="13"/>
  <c r="D36" i="103"/>
  <c r="D38" i="103" s="1"/>
  <c r="D37" i="103"/>
  <c r="D40" i="103"/>
  <c r="D43" i="103" s="1"/>
  <c r="D44" i="103" s="1"/>
  <c r="D45" i="103"/>
  <c r="D46" i="103" s="1"/>
  <c r="J32" i="103" s="1"/>
  <c r="F7" i="96"/>
  <c r="B13" i="109" s="1"/>
  <c r="B43" i="109" s="1"/>
  <c r="C43" i="109" s="1"/>
  <c r="D53" i="97"/>
  <c r="F9" i="96"/>
  <c r="B13" i="111" s="1"/>
  <c r="B43" i="111" s="1"/>
  <c r="C43" i="111" s="1"/>
  <c r="D53" i="99"/>
  <c r="D37" i="101"/>
  <c r="D40" i="101"/>
  <c r="D43" i="101" s="1"/>
  <c r="D44" i="101" s="1"/>
  <c r="D45" i="101"/>
  <c r="D46" i="101" s="1"/>
  <c r="J32" i="101" s="1"/>
  <c r="D36" i="101"/>
  <c r="D38" i="101" s="1"/>
  <c r="D31" i="35"/>
  <c r="D31" i="32"/>
  <c r="D31" i="31"/>
  <c r="D31" i="25"/>
  <c r="D36" i="104"/>
  <c r="D38" i="104" s="1"/>
  <c r="D40" i="104"/>
  <c r="D43" i="104" s="1"/>
  <c r="D44" i="104" s="1"/>
  <c r="D45" i="104"/>
  <c r="D46" i="104" s="1"/>
  <c r="J32" i="104" s="1"/>
  <c r="D37" i="104"/>
  <c r="D53" i="103"/>
  <c r="F13" i="96"/>
  <c r="B13" i="115" s="1"/>
  <c r="B43" i="115" s="1"/>
  <c r="C43" i="115" s="1"/>
  <c r="C37" i="116"/>
  <c r="C37" i="117"/>
  <c r="C37" i="109"/>
  <c r="D53" i="102"/>
  <c r="F12" i="96"/>
  <c r="B13" i="114" s="1"/>
  <c r="B43" i="114" s="1"/>
  <c r="C43" i="114" s="1"/>
  <c r="D40" i="105"/>
  <c r="D43" i="105" s="1"/>
  <c r="D44" i="105" s="1"/>
  <c r="D36" i="105"/>
  <c r="D38" i="105" s="1"/>
  <c r="D37" i="105"/>
  <c r="D45" i="105"/>
  <c r="D46" i="105" s="1"/>
  <c r="J32" i="105" s="1"/>
  <c r="F17" i="96"/>
  <c r="B13" i="119" s="1"/>
  <c r="B43" i="119" s="1"/>
  <c r="C43" i="119" s="1"/>
  <c r="D53" i="107"/>
  <c r="D45" i="98"/>
  <c r="D46" i="98" s="1"/>
  <c r="J32" i="98" s="1"/>
  <c r="D37" i="98"/>
  <c r="D36" i="98"/>
  <c r="D38" i="98" s="1"/>
  <c r="D40" i="98"/>
  <c r="D43" i="98" s="1"/>
  <c r="D44" i="98" s="1"/>
  <c r="D36" i="107"/>
  <c r="D38" i="107" s="1"/>
  <c r="D37" i="107"/>
  <c r="D45" i="107"/>
  <c r="D46" i="107" s="1"/>
  <c r="J32" i="107" s="1"/>
  <c r="D40" i="107"/>
  <c r="D43" i="107" s="1"/>
  <c r="D44" i="107" s="1"/>
  <c r="D40" i="106"/>
  <c r="D43" i="106" s="1"/>
  <c r="D44" i="106" s="1"/>
  <c r="D37" i="106"/>
  <c r="D36" i="106"/>
  <c r="D38" i="106" s="1"/>
  <c r="D45" i="106"/>
  <c r="D46" i="106" s="1"/>
  <c r="J32" i="106" s="1"/>
  <c r="C37" i="119"/>
  <c r="C37" i="115"/>
  <c r="D40" i="97"/>
  <c r="D43" i="97" s="1"/>
  <c r="D44" i="97" s="1"/>
  <c r="D36" i="97"/>
  <c r="D38" i="97" s="1"/>
  <c r="D37" i="97"/>
  <c r="D45" i="97"/>
  <c r="D46" i="97" s="1"/>
  <c r="J32" i="97" s="1"/>
  <c r="D36" i="99"/>
  <c r="D38" i="99" s="1"/>
  <c r="D37" i="99"/>
  <c r="D40" i="99"/>
  <c r="D43" i="99" s="1"/>
  <c r="D44" i="99" s="1"/>
  <c r="D45" i="99"/>
  <c r="D46" i="99" s="1"/>
  <c r="J32" i="99" s="1"/>
  <c r="F11" i="96"/>
  <c r="B13" i="113" s="1"/>
  <c r="B43" i="113" s="1"/>
  <c r="C43" i="113" s="1"/>
  <c r="D53" i="101"/>
  <c r="D40" i="108"/>
  <c r="D43" i="108" s="1"/>
  <c r="D44" i="108" s="1"/>
  <c r="D45" i="108"/>
  <c r="D46" i="108" s="1"/>
  <c r="J32" i="108" s="1"/>
  <c r="D37" i="108"/>
  <c r="D36" i="108"/>
  <c r="D38" i="108" s="1"/>
  <c r="D53" i="105"/>
  <c r="F15" i="96"/>
  <c r="B13" i="117" s="1"/>
  <c r="B43" i="117" s="1"/>
  <c r="C43" i="117" s="1"/>
  <c r="F10" i="96"/>
  <c r="B13" i="112" s="1"/>
  <c r="B43" i="112" s="1"/>
  <c r="C43" i="112" s="1"/>
  <c r="D53" i="100"/>
  <c r="D31" i="1"/>
  <c r="D31" i="36"/>
  <c r="D31" i="18"/>
  <c r="D31" i="10"/>
  <c r="D37" i="100"/>
  <c r="D40" i="100"/>
  <c r="D43" i="100" s="1"/>
  <c r="D44" i="100" s="1"/>
  <c r="D36" i="100"/>
  <c r="D38" i="100" s="1"/>
  <c r="D45" i="100"/>
  <c r="D46" i="100" s="1"/>
  <c r="J32" i="100" s="1"/>
  <c r="D53" i="98"/>
  <c r="F8" i="96"/>
  <c r="B13" i="110" s="1"/>
  <c r="B43" i="110" s="1"/>
  <c r="C43" i="110" s="1"/>
  <c r="D53" i="104"/>
  <c r="F14" i="96"/>
  <c r="B13" i="116" s="1"/>
  <c r="B43" i="116" s="1"/>
  <c r="C43" i="116" s="1"/>
  <c r="C37" i="112"/>
  <c r="F16" i="96"/>
  <c r="B13" i="118" s="1"/>
  <c r="B43" i="118" s="1"/>
  <c r="C43" i="118" s="1"/>
  <c r="D53" i="106"/>
  <c r="D40" i="102"/>
  <c r="D43" i="102" s="1"/>
  <c r="D44" i="102" s="1"/>
  <c r="D37" i="102"/>
  <c r="D45" i="102"/>
  <c r="D46" i="102" s="1"/>
  <c r="J32" i="102" s="1"/>
  <c r="D36" i="102"/>
  <c r="D38" i="102" s="1"/>
  <c r="F18" i="96"/>
  <c r="B13" i="120" s="1"/>
  <c r="B43" i="120" s="1"/>
  <c r="C43" i="120" s="1"/>
  <c r="D53" i="108"/>
  <c r="D31" i="28"/>
  <c r="D31" i="17"/>
  <c r="D31" i="9"/>
  <c r="B42" i="37"/>
  <c r="D42" i="37" s="1"/>
  <c r="F16" i="48"/>
  <c r="B13" i="80" s="1"/>
  <c r="D71" i="59"/>
  <c r="B41" i="30"/>
  <c r="B42" i="30"/>
  <c r="C42" i="30" s="1"/>
  <c r="D40" i="30"/>
  <c r="D35" i="30"/>
  <c r="D36" i="30"/>
  <c r="B41" i="37"/>
  <c r="D41" i="37" s="1"/>
  <c r="D35" i="37"/>
  <c r="D36" i="37"/>
  <c r="D40" i="37"/>
  <c r="B42" i="29"/>
  <c r="C42" i="29" s="1"/>
  <c r="D35" i="29"/>
  <c r="B41" i="29"/>
  <c r="D36" i="29"/>
  <c r="D40" i="29"/>
  <c r="D71" i="63"/>
  <c r="F20" i="48"/>
  <c r="B13" i="84" s="1"/>
  <c r="F25" i="48"/>
  <c r="B13" i="89" s="1"/>
  <c r="D71" i="68"/>
  <c r="F8" i="48"/>
  <c r="D71" i="51"/>
  <c r="F13" i="48"/>
  <c r="B13" i="77" s="1"/>
  <c r="D71" i="56"/>
  <c r="B42" i="22"/>
  <c r="C42" i="22" s="1"/>
  <c r="B41" i="22"/>
  <c r="D41" i="22" s="1"/>
  <c r="D35" i="22"/>
  <c r="D36" i="22"/>
  <c r="D40" i="22"/>
  <c r="D54" i="12"/>
  <c r="D56" i="12" s="1"/>
  <c r="D55" i="12"/>
  <c r="D58" i="12"/>
  <c r="D61" i="12" s="1"/>
  <c r="D62" i="12" s="1"/>
  <c r="B43" i="11"/>
  <c r="C43" i="11" s="1"/>
  <c r="D59" i="12"/>
  <c r="D68" i="12" s="1"/>
  <c r="D69" i="12" s="1"/>
  <c r="B43" i="39"/>
  <c r="C43" i="39" s="1"/>
  <c r="D55" i="10"/>
  <c r="D54" i="10"/>
  <c r="D56" i="10" s="1"/>
  <c r="D58" i="10"/>
  <c r="D61" i="10" s="1"/>
  <c r="D62" i="10" s="1"/>
  <c r="D59" i="10"/>
  <c r="D68" i="10" s="1"/>
  <c r="D69" i="10" s="1"/>
  <c r="H23" i="3" s="1"/>
  <c r="B43" i="21"/>
  <c r="C43" i="21" s="1"/>
  <c r="D55" i="18"/>
  <c r="D58" i="18"/>
  <c r="D61" i="18" s="1"/>
  <c r="D62" i="18" s="1"/>
  <c r="D54" i="18"/>
  <c r="D56" i="18" s="1"/>
  <c r="D59" i="18"/>
  <c r="D68" i="18" s="1"/>
  <c r="D69" i="18" s="1"/>
  <c r="B41" i="34"/>
  <c r="D41" i="34" s="1"/>
  <c r="B42" i="34"/>
  <c r="C42" i="34" s="1"/>
  <c r="D36" i="34"/>
  <c r="D35" i="34"/>
  <c r="D40" i="34"/>
  <c r="D31" i="61"/>
  <c r="D31" i="50"/>
  <c r="D31" i="54"/>
  <c r="D31" i="69"/>
  <c r="D31" i="57"/>
  <c r="D31" i="55"/>
  <c r="D31" i="52"/>
  <c r="D31" i="58"/>
  <c r="D31" i="51"/>
  <c r="D31" i="64"/>
  <c r="D31" i="68"/>
  <c r="D31" i="66"/>
  <c r="D31" i="62"/>
  <c r="D31" i="67"/>
  <c r="D31" i="53"/>
  <c r="D31" i="59"/>
  <c r="D31" i="63"/>
  <c r="D31" i="65"/>
  <c r="D31" i="56"/>
  <c r="D31" i="60"/>
  <c r="D71" i="58"/>
  <c r="F15" i="48"/>
  <c r="B13" i="79" s="1"/>
  <c r="D71" i="54"/>
  <c r="F11" i="48"/>
  <c r="D58" i="9"/>
  <c r="D61" i="9" s="1"/>
  <c r="D62" i="9" s="1"/>
  <c r="B43" i="20"/>
  <c r="C43" i="20" s="1"/>
  <c r="D55" i="9"/>
  <c r="D54" i="9"/>
  <c r="D56" i="9" s="1"/>
  <c r="D59" i="9"/>
  <c r="D68" i="9" s="1"/>
  <c r="D69" i="9" s="1"/>
  <c r="B42" i="20"/>
  <c r="C42" i="20" s="1"/>
  <c r="D35" i="20"/>
  <c r="D36" i="20"/>
  <c r="B41" i="20"/>
  <c r="D41" i="20" s="1"/>
  <c r="D40" i="20"/>
  <c r="D71" i="67"/>
  <c r="F24" i="48"/>
  <c r="B13" i="88" s="1"/>
  <c r="D71" i="66"/>
  <c r="F23" i="48"/>
  <c r="B13" i="87" s="1"/>
  <c r="F17" i="48"/>
  <c r="B13" i="81" s="1"/>
  <c r="D71" i="60"/>
  <c r="D54" i="43"/>
  <c r="D56" i="43" s="1"/>
  <c r="D58" i="43"/>
  <c r="D61" i="43" s="1"/>
  <c r="D62" i="43" s="1"/>
  <c r="D55" i="43"/>
  <c r="B43" i="45"/>
  <c r="C43" i="45" s="1"/>
  <c r="D59" i="43"/>
  <c r="D68" i="43" s="1"/>
  <c r="D69" i="43" s="1"/>
  <c r="H7" i="3" s="1"/>
  <c r="D55" i="28"/>
  <c r="D58" i="28"/>
  <c r="D61" i="28" s="1"/>
  <c r="D62" i="28" s="1"/>
  <c r="D54" i="28"/>
  <c r="D56" i="28" s="1"/>
  <c r="B43" i="30"/>
  <c r="C43" i="30" s="1"/>
  <c r="D59" i="28"/>
  <c r="D68" i="28" s="1"/>
  <c r="D69" i="28" s="1"/>
  <c r="B42" i="21"/>
  <c r="C42" i="21" s="1"/>
  <c r="D35" i="21"/>
  <c r="D40" i="21"/>
  <c r="D36" i="21"/>
  <c r="B41" i="21"/>
  <c r="D41" i="21" s="1"/>
  <c r="D33" i="31"/>
  <c r="D33" i="9"/>
  <c r="D33" i="10"/>
  <c r="D33" i="32"/>
  <c r="D33" i="28"/>
  <c r="D33" i="1"/>
  <c r="D33" i="35"/>
  <c r="D33" i="12"/>
  <c r="D33" i="25"/>
  <c r="D33" i="27"/>
  <c r="D33" i="14"/>
  <c r="D33" i="23"/>
  <c r="D33" i="44"/>
  <c r="D33" i="47"/>
  <c r="D33" i="43"/>
  <c r="D33" i="17"/>
  <c r="D33" i="13"/>
  <c r="D33" i="36"/>
  <c r="D33" i="18"/>
  <c r="B41" i="15"/>
  <c r="D41" i="15" s="1"/>
  <c r="B42" i="15"/>
  <c r="C42" i="15" s="1"/>
  <c r="D35" i="15"/>
  <c r="D36" i="15"/>
  <c r="D40" i="15"/>
  <c r="B43" i="19"/>
  <c r="C43" i="19" s="1"/>
  <c r="D54" i="25"/>
  <c r="D56" i="25" s="1"/>
  <c r="D58" i="25"/>
  <c r="D61" i="25" s="1"/>
  <c r="D62" i="25" s="1"/>
  <c r="D55" i="25"/>
  <c r="D59" i="25"/>
  <c r="D68" i="25" s="1"/>
  <c r="D69" i="25" s="1"/>
  <c r="H11" i="3" s="1"/>
  <c r="B41" i="38"/>
  <c r="D41" i="38" s="1"/>
  <c r="D35" i="38"/>
  <c r="D36" i="38"/>
  <c r="D40" i="38"/>
  <c r="B42" i="38"/>
  <c r="C42" i="38" s="1"/>
  <c r="D71" i="64"/>
  <c r="F21" i="48"/>
  <c r="B13" i="85" s="1"/>
  <c r="D55" i="27"/>
  <c r="D58" i="27"/>
  <c r="D61" i="27" s="1"/>
  <c r="D62" i="27" s="1"/>
  <c r="B43" i="29"/>
  <c r="C43" i="29" s="1"/>
  <c r="D54" i="27"/>
  <c r="D56" i="27" s="1"/>
  <c r="D59" i="27"/>
  <c r="D68" i="27" s="1"/>
  <c r="D69" i="27" s="1"/>
  <c r="H15" i="3" s="1"/>
  <c r="B42" i="39"/>
  <c r="C42" i="39" s="1"/>
  <c r="B41" i="39"/>
  <c r="D35" i="39"/>
  <c r="D40" i="39"/>
  <c r="D36" i="39"/>
  <c r="D71" i="62"/>
  <c r="F19" i="48"/>
  <c r="B13" i="83" s="1"/>
  <c r="F10" i="48"/>
  <c r="D71" i="53"/>
  <c r="D58" i="14"/>
  <c r="D61" i="14" s="1"/>
  <c r="D62" i="14" s="1"/>
  <c r="B43" i="22"/>
  <c r="C43" i="22" s="1"/>
  <c r="D55" i="14"/>
  <c r="D54" i="14"/>
  <c r="D56" i="14" s="1"/>
  <c r="D59" i="14"/>
  <c r="D68" i="14" s="1"/>
  <c r="D69" i="14" s="1"/>
  <c r="B41" i="33"/>
  <c r="B42" i="33"/>
  <c r="C42" i="33" s="1"/>
  <c r="D36" i="33"/>
  <c r="D40" i="33"/>
  <c r="D35" i="33"/>
  <c r="B42" i="11"/>
  <c r="C42" i="11" s="1"/>
  <c r="B41" i="11"/>
  <c r="D35" i="11"/>
  <c r="D40" i="11"/>
  <c r="D36" i="11"/>
  <c r="D35" i="16"/>
  <c r="B41" i="7"/>
  <c r="D41" i="7" s="1"/>
  <c r="B42" i="7"/>
  <c r="C42" i="7" s="1"/>
  <c r="D36" i="7"/>
  <c r="D40" i="7"/>
  <c r="D35" i="7"/>
  <c r="D71" i="61"/>
  <c r="F18" i="48"/>
  <c r="B13" i="82" s="1"/>
  <c r="B42" i="45"/>
  <c r="C42" i="45" s="1"/>
  <c r="D35" i="45"/>
  <c r="B41" i="45"/>
  <c r="D41" i="45" s="1"/>
  <c r="D40" i="45"/>
  <c r="D36" i="45"/>
  <c r="F26" i="48"/>
  <c r="B13" i="90" s="1"/>
  <c r="D71" i="69"/>
  <c r="D71" i="57"/>
  <c r="F14" i="48"/>
  <c r="B13" i="78" s="1"/>
  <c r="D55" i="17"/>
  <c r="B43" i="24"/>
  <c r="C43" i="24" s="1"/>
  <c r="D54" i="17"/>
  <c r="D56" i="17" s="1"/>
  <c r="D58" i="17"/>
  <c r="D61" i="17" s="1"/>
  <c r="D62" i="17" s="1"/>
  <c r="D59" i="17"/>
  <c r="D68" i="17" s="1"/>
  <c r="D69" i="17" s="1"/>
  <c r="H13" i="3" s="1"/>
  <c r="B42" i="19"/>
  <c r="C42" i="19" s="1"/>
  <c r="B41" i="19"/>
  <c r="D41" i="19" s="1"/>
  <c r="D40" i="19"/>
  <c r="D35" i="19"/>
  <c r="D36" i="19"/>
  <c r="B41" i="24"/>
  <c r="D41" i="24" s="1"/>
  <c r="D40" i="24"/>
  <c r="D35" i="24"/>
  <c r="D36" i="24"/>
  <c r="B42" i="24"/>
  <c r="C42" i="24" s="1"/>
  <c r="D71" i="55"/>
  <c r="F12" i="48"/>
  <c r="B41" i="26"/>
  <c r="D41" i="26" s="1"/>
  <c r="B42" i="26"/>
  <c r="C42" i="26" s="1"/>
  <c r="D35" i="26"/>
  <c r="D40" i="26"/>
  <c r="D36" i="26"/>
  <c r="F9" i="48"/>
  <c r="D71" i="52"/>
  <c r="D71" i="65"/>
  <c r="F22" i="48"/>
  <c r="B13" i="86" s="1"/>
  <c r="D71" i="50"/>
  <c r="F7" i="48"/>
  <c r="B41" i="46"/>
  <c r="D41" i="46" s="1"/>
  <c r="B42" i="46"/>
  <c r="C42" i="46" s="1"/>
  <c r="D36" i="46"/>
  <c r="D40" i="46"/>
  <c r="D35" i="46"/>
  <c r="B43" i="37"/>
  <c r="C43" i="37" s="1"/>
  <c r="D21" i="64"/>
  <c r="D53" i="64" s="1"/>
  <c r="D21" i="58"/>
  <c r="D53" i="58" s="1"/>
  <c r="D21" i="53"/>
  <c r="D53" i="53" s="1"/>
  <c r="D21" i="51"/>
  <c r="D53" i="51" s="1"/>
  <c r="D21" i="50"/>
  <c r="D53" i="50" s="1"/>
  <c r="D21" i="55"/>
  <c r="D53" i="55" s="1"/>
  <c r="D21" i="61"/>
  <c r="D53" i="61" s="1"/>
  <c r="D21" i="60"/>
  <c r="D53" i="60" s="1"/>
  <c r="D21" i="65"/>
  <c r="D53" i="65" s="1"/>
  <c r="D21" i="52"/>
  <c r="D53" i="52" s="1"/>
  <c r="D21" i="54"/>
  <c r="D53" i="54" s="1"/>
  <c r="D21" i="69"/>
  <c r="D53" i="69" s="1"/>
  <c r="D21" i="62"/>
  <c r="D53" i="62" s="1"/>
  <c r="D21" i="56"/>
  <c r="D53" i="56" s="1"/>
  <c r="D21" i="59"/>
  <c r="D53" i="59" s="1"/>
  <c r="D21" i="57"/>
  <c r="D53" i="57" s="1"/>
  <c r="D21" i="67"/>
  <c r="D53" i="67" s="1"/>
  <c r="D21" i="63"/>
  <c r="D53" i="63" s="1"/>
  <c r="D21" i="66"/>
  <c r="D53" i="66" s="1"/>
  <c r="D21" i="68"/>
  <c r="D53" i="68" s="1"/>
  <c r="B18" i="79"/>
  <c r="B18" i="81"/>
  <c r="B18" i="77"/>
  <c r="B18" i="83"/>
  <c r="B18" i="86"/>
  <c r="B18" i="89"/>
  <c r="B18" i="84"/>
  <c r="B18" i="74"/>
  <c r="B18" i="71"/>
  <c r="B18" i="73"/>
  <c r="B18" i="80"/>
  <c r="B18" i="78"/>
  <c r="B18" i="75"/>
  <c r="B18" i="82"/>
  <c r="B18" i="87"/>
  <c r="B18" i="85"/>
  <c r="B18" i="88"/>
  <c r="B18" i="90"/>
  <c r="B18" i="76"/>
  <c r="B18" i="72"/>
  <c r="D55" i="32" l="1"/>
  <c r="J52" i="32" s="1"/>
  <c r="D58" i="32"/>
  <c r="D61" i="32" s="1"/>
  <c r="D62" i="32" s="1"/>
  <c r="B43" i="34"/>
  <c r="C43" i="34" s="1"/>
  <c r="D59" i="32"/>
  <c r="D68" i="32" s="1"/>
  <c r="D69" i="32" s="1"/>
  <c r="D55" i="31"/>
  <c r="D57" i="31" s="1"/>
  <c r="D59" i="31"/>
  <c r="D68" i="31" s="1"/>
  <c r="D69" i="31" s="1"/>
  <c r="H19" i="3" s="1"/>
  <c r="D58" i="13"/>
  <c r="D61" i="13" s="1"/>
  <c r="D62" i="13" s="1"/>
  <c r="D55" i="13"/>
  <c r="D57" i="13" s="1"/>
  <c r="B43" i="15"/>
  <c r="C43" i="15" s="1"/>
  <c r="D59" i="13"/>
  <c r="D68" i="13" s="1"/>
  <c r="D69" i="13" s="1"/>
  <c r="H17" i="3" s="1"/>
  <c r="D55" i="1"/>
  <c r="D57" i="1" s="1"/>
  <c r="D58" i="1"/>
  <c r="D61" i="1" s="1"/>
  <c r="D62" i="1" s="1"/>
  <c r="B43" i="7"/>
  <c r="C43" i="7" s="1"/>
  <c r="D59" i="1"/>
  <c r="D68" i="1" s="1"/>
  <c r="D69" i="1" s="1"/>
  <c r="H9" i="3" s="1"/>
  <c r="D55" i="44"/>
  <c r="J52" i="44" s="1"/>
  <c r="D59" i="44"/>
  <c r="D68" i="44" s="1"/>
  <c r="D69" i="44" s="1"/>
  <c r="D54" i="44"/>
  <c r="D56" i="44" s="1"/>
  <c r="D58" i="44"/>
  <c r="D61" i="44" s="1"/>
  <c r="D62" i="44" s="1"/>
  <c r="D54" i="36"/>
  <c r="D56" i="36" s="1"/>
  <c r="D59" i="35"/>
  <c r="D68" i="35" s="1"/>
  <c r="D69" i="35" s="1"/>
  <c r="H21" i="3" s="1"/>
  <c r="D58" i="35"/>
  <c r="D61" i="35" s="1"/>
  <c r="D62" i="35" s="1"/>
  <c r="D59" i="36"/>
  <c r="D68" i="36" s="1"/>
  <c r="D69" i="36" s="1"/>
  <c r="D54" i="35"/>
  <c r="D56" i="35" s="1"/>
  <c r="D58" i="36"/>
  <c r="D61" i="36" s="1"/>
  <c r="D62" i="36" s="1"/>
  <c r="D54" i="31"/>
  <c r="D56" i="31" s="1"/>
  <c r="D58" i="23"/>
  <c r="D61" i="23" s="1"/>
  <c r="D62" i="23" s="1"/>
  <c r="B43" i="33"/>
  <c r="C43" i="33" s="1"/>
  <c r="D54" i="23"/>
  <c r="D56" i="23" s="1"/>
  <c r="B43" i="38"/>
  <c r="C43" i="38" s="1"/>
  <c r="B43" i="26"/>
  <c r="C43" i="26" s="1"/>
  <c r="D59" i="23"/>
  <c r="D68" i="23" s="1"/>
  <c r="D69" i="23" s="1"/>
  <c r="B42" i="118"/>
  <c r="C42" i="118" s="1"/>
  <c r="B41" i="118"/>
  <c r="D41" i="118" s="1"/>
  <c r="D36" i="118"/>
  <c r="D40" i="118"/>
  <c r="D35" i="118"/>
  <c r="D43" i="118"/>
  <c r="B42" i="110"/>
  <c r="C42" i="110" s="1"/>
  <c r="D36" i="110"/>
  <c r="D35" i="110"/>
  <c r="B41" i="110"/>
  <c r="D41" i="110" s="1"/>
  <c r="D40" i="110"/>
  <c r="D43" i="110"/>
  <c r="B42" i="117"/>
  <c r="C42" i="117" s="1"/>
  <c r="B41" i="117"/>
  <c r="D41" i="117" s="1"/>
  <c r="D40" i="117"/>
  <c r="D35" i="117"/>
  <c r="D36" i="117"/>
  <c r="D43" i="117"/>
  <c r="B41" i="119"/>
  <c r="D41" i="119" s="1"/>
  <c r="B42" i="119"/>
  <c r="C42" i="119" s="1"/>
  <c r="D36" i="119"/>
  <c r="D40" i="119"/>
  <c r="D35" i="119"/>
  <c r="D43" i="119"/>
  <c r="D39" i="108"/>
  <c r="J34" i="108"/>
  <c r="D39" i="99"/>
  <c r="J34" i="99"/>
  <c r="B42" i="115"/>
  <c r="B41" i="115"/>
  <c r="D41" i="115" s="1"/>
  <c r="D35" i="115"/>
  <c r="D40" i="115"/>
  <c r="D36" i="115"/>
  <c r="D43" i="115"/>
  <c r="J34" i="102"/>
  <c r="D39" i="102"/>
  <c r="J34" i="100"/>
  <c r="D39" i="100"/>
  <c r="J34" i="106"/>
  <c r="D39" i="106"/>
  <c r="D39" i="107"/>
  <c r="J34" i="107"/>
  <c r="D39" i="98"/>
  <c r="J34" i="98"/>
  <c r="B42" i="114"/>
  <c r="C42" i="114" s="1"/>
  <c r="D36" i="114"/>
  <c r="B41" i="114"/>
  <c r="D41" i="114" s="1"/>
  <c r="D40" i="114"/>
  <c r="D35" i="114"/>
  <c r="D43" i="114"/>
  <c r="D39" i="104"/>
  <c r="J34" i="104"/>
  <c r="D39" i="101"/>
  <c r="J34" i="101"/>
  <c r="D36" i="109"/>
  <c r="B42" i="109"/>
  <c r="C42" i="109" s="1"/>
  <c r="B41" i="109"/>
  <c r="D41" i="109" s="1"/>
  <c r="D35" i="109"/>
  <c r="D40" i="109"/>
  <c r="D43" i="109"/>
  <c r="J34" i="103"/>
  <c r="D39" i="103"/>
  <c r="D35" i="112"/>
  <c r="D36" i="112"/>
  <c r="B42" i="112"/>
  <c r="C42" i="112" s="1"/>
  <c r="B41" i="112"/>
  <c r="D40" i="112"/>
  <c r="D43" i="112"/>
  <c r="B41" i="113"/>
  <c r="D41" i="113" s="1"/>
  <c r="B42" i="113"/>
  <c r="C42" i="113" s="1"/>
  <c r="D36" i="113"/>
  <c r="D35" i="113"/>
  <c r="D40" i="113"/>
  <c r="D43" i="113"/>
  <c r="B42" i="111"/>
  <c r="C42" i="111" s="1"/>
  <c r="B41" i="111"/>
  <c r="D41" i="111" s="1"/>
  <c r="D35" i="111"/>
  <c r="D40" i="111"/>
  <c r="D36" i="111"/>
  <c r="D43" i="111"/>
  <c r="B42" i="120"/>
  <c r="C42" i="120" s="1"/>
  <c r="D36" i="120"/>
  <c r="B41" i="120"/>
  <c r="D41" i="120" s="1"/>
  <c r="D40" i="120"/>
  <c r="D35" i="120"/>
  <c r="D43" i="120"/>
  <c r="B41" i="116"/>
  <c r="D41" i="116" s="1"/>
  <c r="B42" i="116"/>
  <c r="C42" i="116" s="1"/>
  <c r="D35" i="116"/>
  <c r="D40" i="116"/>
  <c r="D36" i="116"/>
  <c r="D43" i="116"/>
  <c r="J34" i="97"/>
  <c r="D39" i="97"/>
  <c r="D39" i="105"/>
  <c r="J34" i="105"/>
  <c r="C42" i="37"/>
  <c r="D63" i="18"/>
  <c r="D64" i="18" s="1"/>
  <c r="J50" i="18" s="1"/>
  <c r="D63" i="12"/>
  <c r="D64" i="12" s="1"/>
  <c r="J50" i="12" s="1"/>
  <c r="D63" i="14"/>
  <c r="D64" i="14" s="1"/>
  <c r="J50" i="14" s="1"/>
  <c r="D63" i="28"/>
  <c r="D64" i="28" s="1"/>
  <c r="J50" i="28" s="1"/>
  <c r="D63" i="27"/>
  <c r="D64" i="27" s="1"/>
  <c r="J50" i="27" s="1"/>
  <c r="D63" i="9"/>
  <c r="D64" i="9" s="1"/>
  <c r="J50" i="9" s="1"/>
  <c r="D42" i="21"/>
  <c r="D42" i="7"/>
  <c r="D43" i="39"/>
  <c r="D43" i="11"/>
  <c r="D37" i="33"/>
  <c r="D43" i="46"/>
  <c r="D42" i="45"/>
  <c r="D37" i="45"/>
  <c r="D42" i="11"/>
  <c r="D42" i="26"/>
  <c r="D37" i="7"/>
  <c r="D42" i="46"/>
  <c r="D63" i="17"/>
  <c r="D64" i="17" s="1"/>
  <c r="J50" i="17" s="1"/>
  <c r="D43" i="45"/>
  <c r="D37" i="24"/>
  <c r="D63" i="31"/>
  <c r="D64" i="31" s="1"/>
  <c r="J50" i="31" s="1"/>
  <c r="D42" i="39"/>
  <c r="D37" i="20"/>
  <c r="D42" i="24"/>
  <c r="D37" i="15"/>
  <c r="D43" i="21"/>
  <c r="J52" i="36"/>
  <c r="D57" i="36"/>
  <c r="B42" i="88"/>
  <c r="C42" i="88" s="1"/>
  <c r="B41" i="88"/>
  <c r="D40" i="88"/>
  <c r="D36" i="88"/>
  <c r="D35" i="88"/>
  <c r="B42" i="79"/>
  <c r="C42" i="79" s="1"/>
  <c r="B41" i="79"/>
  <c r="D41" i="79" s="1"/>
  <c r="D36" i="79"/>
  <c r="D35" i="79"/>
  <c r="D40" i="79"/>
  <c r="B43" i="80"/>
  <c r="C43" i="80" s="1"/>
  <c r="D55" i="59"/>
  <c r="D58" i="59"/>
  <c r="D61" i="59" s="1"/>
  <c r="D62" i="59" s="1"/>
  <c r="D54" i="59"/>
  <c r="D56" i="59" s="1"/>
  <c r="D59" i="59"/>
  <c r="D68" i="59" s="1"/>
  <c r="D69" i="59" s="1"/>
  <c r="D55" i="65"/>
  <c r="D54" i="65"/>
  <c r="D56" i="65" s="1"/>
  <c r="D59" i="65"/>
  <c r="D68" i="65" s="1"/>
  <c r="D69" i="65" s="1"/>
  <c r="B43" i="86"/>
  <c r="C43" i="86" s="1"/>
  <c r="D58" i="65"/>
  <c r="D61" i="65" s="1"/>
  <c r="D62" i="65" s="1"/>
  <c r="B43" i="74"/>
  <c r="C43" i="74" s="1"/>
  <c r="D54" i="53"/>
  <c r="D56" i="53" s="1"/>
  <c r="D59" i="53"/>
  <c r="D68" i="53" s="1"/>
  <c r="D69" i="53" s="1"/>
  <c r="D55" i="53"/>
  <c r="D58" i="53"/>
  <c r="D61" i="53" s="1"/>
  <c r="D62" i="53" s="1"/>
  <c r="D37" i="19"/>
  <c r="J52" i="17"/>
  <c r="D57" i="17"/>
  <c r="B42" i="83"/>
  <c r="C42" i="83" s="1"/>
  <c r="D36" i="83"/>
  <c r="D35" i="83"/>
  <c r="D40" i="83"/>
  <c r="B41" i="83"/>
  <c r="D41" i="83" s="1"/>
  <c r="B44" i="39"/>
  <c r="C41" i="39"/>
  <c r="C44" i="39" s="1"/>
  <c r="C46" i="39" s="1"/>
  <c r="C41" i="38"/>
  <c r="D57" i="28"/>
  <c r="J52" i="28"/>
  <c r="J52" i="9"/>
  <c r="D57" i="9"/>
  <c r="D63" i="10"/>
  <c r="D64" i="10" s="1"/>
  <c r="J50" i="10" s="1"/>
  <c r="D43" i="22"/>
  <c r="B42" i="89"/>
  <c r="C42" i="89" s="1"/>
  <c r="D36" i="89"/>
  <c r="D40" i="89"/>
  <c r="D35" i="89"/>
  <c r="B41" i="89"/>
  <c r="B44" i="29"/>
  <c r="C41" i="29"/>
  <c r="C44" i="29" s="1"/>
  <c r="C46" i="29" s="1"/>
  <c r="D55" i="51"/>
  <c r="B43" i="72"/>
  <c r="C43" i="72" s="1"/>
  <c r="D54" i="51"/>
  <c r="D56" i="51" s="1"/>
  <c r="D59" i="51"/>
  <c r="D68" i="51" s="1"/>
  <c r="D69" i="51" s="1"/>
  <c r="D58" i="51"/>
  <c r="D61" i="51" s="1"/>
  <c r="D62" i="51" s="1"/>
  <c r="B44" i="11"/>
  <c r="C41" i="11"/>
  <c r="C44" i="11" s="1"/>
  <c r="C46" i="11" s="1"/>
  <c r="B43" i="89"/>
  <c r="C43" i="89" s="1"/>
  <c r="D55" i="68"/>
  <c r="D59" i="68"/>
  <c r="D68" i="68" s="1"/>
  <c r="D69" i="68" s="1"/>
  <c r="H25" i="48" s="1"/>
  <c r="D58" i="68"/>
  <c r="D61" i="68" s="1"/>
  <c r="D62" i="68" s="1"/>
  <c r="D54" i="68"/>
  <c r="D56" i="68" s="1"/>
  <c r="D58" i="58"/>
  <c r="D61" i="58" s="1"/>
  <c r="D62" i="58" s="1"/>
  <c r="B43" i="79"/>
  <c r="C43" i="79" s="1"/>
  <c r="D54" i="58"/>
  <c r="D56" i="58" s="1"/>
  <c r="D55" i="58"/>
  <c r="D59" i="58"/>
  <c r="D68" i="58" s="1"/>
  <c r="D69" i="58" s="1"/>
  <c r="H15" i="48" s="1"/>
  <c r="D41" i="11"/>
  <c r="D57" i="14"/>
  <c r="J52" i="14"/>
  <c r="D37" i="29"/>
  <c r="B44" i="30"/>
  <c r="C41" i="30"/>
  <c r="C44" i="30" s="1"/>
  <c r="C46" i="30" s="1"/>
  <c r="D54" i="66"/>
  <c r="D56" i="66" s="1"/>
  <c r="D55" i="66"/>
  <c r="B43" i="87"/>
  <c r="C43" i="87" s="1"/>
  <c r="D58" i="66"/>
  <c r="D61" i="66" s="1"/>
  <c r="D62" i="66" s="1"/>
  <c r="D59" i="66"/>
  <c r="D68" i="66" s="1"/>
  <c r="D69" i="66" s="1"/>
  <c r="H23" i="48" s="1"/>
  <c r="B43" i="83"/>
  <c r="C43" i="83" s="1"/>
  <c r="D55" i="62"/>
  <c r="D58" i="62"/>
  <c r="D61" i="62" s="1"/>
  <c r="D62" i="62" s="1"/>
  <c r="D54" i="62"/>
  <c r="D56" i="62" s="1"/>
  <c r="D59" i="62"/>
  <c r="D68" i="62" s="1"/>
  <c r="D69" i="62" s="1"/>
  <c r="H19" i="48" s="1"/>
  <c r="D55" i="61"/>
  <c r="B43" i="82"/>
  <c r="C43" i="82" s="1"/>
  <c r="D58" i="61"/>
  <c r="D61" i="61" s="1"/>
  <c r="D62" i="61" s="1"/>
  <c r="D54" i="61"/>
  <c r="D56" i="61" s="1"/>
  <c r="D59" i="61"/>
  <c r="D68" i="61" s="1"/>
  <c r="D69" i="61" s="1"/>
  <c r="D55" i="64"/>
  <c r="D58" i="64"/>
  <c r="D61" i="64" s="1"/>
  <c r="D62" i="64" s="1"/>
  <c r="D54" i="64"/>
  <c r="D56" i="64" s="1"/>
  <c r="B43" i="85"/>
  <c r="C43" i="85" s="1"/>
  <c r="D59" i="64"/>
  <c r="D68" i="64" s="1"/>
  <c r="D69" i="64" s="1"/>
  <c r="H21" i="48" s="1"/>
  <c r="D37" i="26"/>
  <c r="C41" i="33"/>
  <c r="C44" i="33" s="1"/>
  <c r="C46" i="33" s="1"/>
  <c r="D42" i="15"/>
  <c r="D63" i="43"/>
  <c r="D64" i="43" s="1"/>
  <c r="J50" i="43" s="1"/>
  <c r="B41" i="81"/>
  <c r="D41" i="81" s="1"/>
  <c r="B42" i="81"/>
  <c r="C42" i="81" s="1"/>
  <c r="D36" i="81"/>
  <c r="D40" i="81"/>
  <c r="D35" i="81"/>
  <c r="D42" i="20"/>
  <c r="D43" i="20"/>
  <c r="J52" i="12"/>
  <c r="D57" i="12"/>
  <c r="D37" i="22"/>
  <c r="B41" i="77"/>
  <c r="B42" i="77"/>
  <c r="C42" i="77" s="1"/>
  <c r="D36" i="77"/>
  <c r="D35" i="77"/>
  <c r="D40" i="77"/>
  <c r="D37" i="37"/>
  <c r="D41" i="30"/>
  <c r="D43" i="30"/>
  <c r="B43" i="78"/>
  <c r="C43" i="78" s="1"/>
  <c r="D54" i="57"/>
  <c r="D56" i="57" s="1"/>
  <c r="D58" i="57"/>
  <c r="D61" i="57" s="1"/>
  <c r="D62" i="57" s="1"/>
  <c r="D55" i="57"/>
  <c r="D59" i="57"/>
  <c r="D68" i="57" s="1"/>
  <c r="D69" i="57" s="1"/>
  <c r="D35" i="18"/>
  <c r="D35" i="25"/>
  <c r="D35" i="17"/>
  <c r="D35" i="13"/>
  <c r="D35" i="12"/>
  <c r="D35" i="36"/>
  <c r="D35" i="35"/>
  <c r="D35" i="14"/>
  <c r="D35" i="23"/>
  <c r="D35" i="32"/>
  <c r="D35" i="31"/>
  <c r="D35" i="10"/>
  <c r="D35" i="27"/>
  <c r="D35" i="47"/>
  <c r="D35" i="44"/>
  <c r="D35" i="9"/>
  <c r="D35" i="28"/>
  <c r="D35" i="43"/>
  <c r="D35" i="1"/>
  <c r="D58" i="56"/>
  <c r="D61" i="56" s="1"/>
  <c r="D62" i="56" s="1"/>
  <c r="D55" i="56"/>
  <c r="D54" i="56"/>
  <c r="D56" i="56" s="1"/>
  <c r="B43" i="77"/>
  <c r="C43" i="77" s="1"/>
  <c r="D59" i="56"/>
  <c r="D68" i="56" s="1"/>
  <c r="D69" i="56" s="1"/>
  <c r="H13" i="48" s="1"/>
  <c r="D57" i="35"/>
  <c r="J52" i="35"/>
  <c r="B13" i="72"/>
  <c r="B13" i="74"/>
  <c r="B13" i="76"/>
  <c r="B42" i="78"/>
  <c r="C42" i="78" s="1"/>
  <c r="B41" i="78"/>
  <c r="D35" i="78"/>
  <c r="D36" i="78"/>
  <c r="D40" i="78"/>
  <c r="B41" i="82"/>
  <c r="B42" i="82"/>
  <c r="C42" i="82" s="1"/>
  <c r="D35" i="82"/>
  <c r="D36" i="82"/>
  <c r="D40" i="82"/>
  <c r="B44" i="21"/>
  <c r="C41" i="21"/>
  <c r="C44" i="21" s="1"/>
  <c r="C46" i="21" s="1"/>
  <c r="D55" i="63"/>
  <c r="D58" i="63"/>
  <c r="D61" i="63" s="1"/>
  <c r="D62" i="63" s="1"/>
  <c r="B43" i="84"/>
  <c r="C43" i="84" s="1"/>
  <c r="D54" i="63"/>
  <c r="D56" i="63" s="1"/>
  <c r="D59" i="63"/>
  <c r="D68" i="63" s="1"/>
  <c r="D69" i="63" s="1"/>
  <c r="D54" i="69"/>
  <c r="D56" i="69" s="1"/>
  <c r="B43" i="90"/>
  <c r="C43" i="90" s="1"/>
  <c r="D55" i="69"/>
  <c r="D58" i="69"/>
  <c r="D61" i="69" s="1"/>
  <c r="D62" i="69" s="1"/>
  <c r="D59" i="69"/>
  <c r="D68" i="69" s="1"/>
  <c r="D69" i="69" s="1"/>
  <c r="D54" i="55"/>
  <c r="D56" i="55" s="1"/>
  <c r="D55" i="55"/>
  <c r="D58" i="55"/>
  <c r="D61" i="55" s="1"/>
  <c r="D62" i="55" s="1"/>
  <c r="B43" i="76"/>
  <c r="C43" i="76" s="1"/>
  <c r="D59" i="55"/>
  <c r="D68" i="55" s="1"/>
  <c r="D69" i="55" s="1"/>
  <c r="D37" i="46"/>
  <c r="D43" i="24"/>
  <c r="D42" i="19"/>
  <c r="B44" i="45"/>
  <c r="C41" i="45"/>
  <c r="C44" i="45" s="1"/>
  <c r="C46" i="45" s="1"/>
  <c r="D37" i="11"/>
  <c r="D41" i="33"/>
  <c r="D42" i="33"/>
  <c r="D41" i="39"/>
  <c r="J52" i="27"/>
  <c r="D57" i="27"/>
  <c r="D42" i="38"/>
  <c r="J52" i="25"/>
  <c r="D57" i="25"/>
  <c r="C41" i="15"/>
  <c r="D33" i="60"/>
  <c r="D33" i="56"/>
  <c r="D33" i="52"/>
  <c r="D33" i="68"/>
  <c r="D33" i="69"/>
  <c r="D33" i="57"/>
  <c r="D33" i="58"/>
  <c r="D33" i="53"/>
  <c r="D33" i="65"/>
  <c r="D33" i="61"/>
  <c r="D33" i="54"/>
  <c r="D33" i="62"/>
  <c r="D33" i="64"/>
  <c r="D33" i="51"/>
  <c r="D33" i="59"/>
  <c r="D33" i="67"/>
  <c r="D33" i="55"/>
  <c r="D33" i="50"/>
  <c r="D33" i="63"/>
  <c r="D33" i="66"/>
  <c r="B42" i="87"/>
  <c r="C42" i="87" s="1"/>
  <c r="B41" i="87"/>
  <c r="D41" i="87" s="1"/>
  <c r="D35" i="87"/>
  <c r="D40" i="87"/>
  <c r="D36" i="87"/>
  <c r="B44" i="20"/>
  <c r="C41" i="20"/>
  <c r="C44" i="20" s="1"/>
  <c r="C46" i="20" s="1"/>
  <c r="B13" i="73"/>
  <c r="B13" i="75"/>
  <c r="B13" i="71"/>
  <c r="D42" i="34"/>
  <c r="D57" i="18"/>
  <c r="J52" i="18"/>
  <c r="J52" i="10"/>
  <c r="D57" i="10"/>
  <c r="B44" i="22"/>
  <c r="C41" i="22"/>
  <c r="C44" i="22" s="1"/>
  <c r="C46" i="22" s="1"/>
  <c r="D42" i="29"/>
  <c r="D41" i="29"/>
  <c r="D43" i="37"/>
  <c r="D37" i="30"/>
  <c r="D54" i="52"/>
  <c r="D56" i="52" s="1"/>
  <c r="D58" i="52"/>
  <c r="D61" i="52" s="1"/>
  <c r="D62" i="52" s="1"/>
  <c r="D55" i="52"/>
  <c r="B43" i="73"/>
  <c r="C43" i="73" s="1"/>
  <c r="D59" i="52"/>
  <c r="D68" i="52" s="1"/>
  <c r="D69" i="52" s="1"/>
  <c r="H9" i="48" s="1"/>
  <c r="B44" i="19"/>
  <c r="C41" i="19"/>
  <c r="C44" i="19" s="1"/>
  <c r="C46" i="19" s="1"/>
  <c r="D59" i="60"/>
  <c r="D68" i="60" s="1"/>
  <c r="D69" i="60" s="1"/>
  <c r="H17" i="48" s="1"/>
  <c r="D55" i="60"/>
  <c r="D58" i="60"/>
  <c r="D61" i="60" s="1"/>
  <c r="D62" i="60" s="1"/>
  <c r="B43" i="81"/>
  <c r="C43" i="81" s="1"/>
  <c r="D54" i="60"/>
  <c r="D56" i="60" s="1"/>
  <c r="B42" i="86"/>
  <c r="C42" i="86" s="1"/>
  <c r="D36" i="86"/>
  <c r="D40" i="86"/>
  <c r="B41" i="86"/>
  <c r="D41" i="86" s="1"/>
  <c r="D35" i="86"/>
  <c r="B41" i="84"/>
  <c r="B42" i="84"/>
  <c r="C42" i="84" s="1"/>
  <c r="D36" i="84"/>
  <c r="D35" i="84"/>
  <c r="D40" i="84"/>
  <c r="D55" i="67"/>
  <c r="D54" i="67"/>
  <c r="D56" i="67" s="1"/>
  <c r="B43" i="88"/>
  <c r="C43" i="88" s="1"/>
  <c r="D58" i="67"/>
  <c r="D61" i="67" s="1"/>
  <c r="D62" i="67" s="1"/>
  <c r="D59" i="67"/>
  <c r="D68" i="67" s="1"/>
  <c r="D69" i="67" s="1"/>
  <c r="D55" i="54"/>
  <c r="D54" i="54"/>
  <c r="D56" i="54" s="1"/>
  <c r="D58" i="54"/>
  <c r="D61" i="54" s="1"/>
  <c r="D62" i="54" s="1"/>
  <c r="B43" i="75"/>
  <c r="C43" i="75" s="1"/>
  <c r="D59" i="54"/>
  <c r="D68" i="54" s="1"/>
  <c r="D69" i="54" s="1"/>
  <c r="H11" i="48" s="1"/>
  <c r="B43" i="71"/>
  <c r="C43" i="71" s="1"/>
  <c r="D54" i="50"/>
  <c r="D56" i="50" s="1"/>
  <c r="D58" i="50"/>
  <c r="D61" i="50" s="1"/>
  <c r="D62" i="50" s="1"/>
  <c r="D55" i="50"/>
  <c r="D59" i="50"/>
  <c r="D68" i="50" s="1"/>
  <c r="D69" i="50" s="1"/>
  <c r="H7" i="48" s="1"/>
  <c r="B44" i="46"/>
  <c r="C41" i="46"/>
  <c r="C44" i="46" s="1"/>
  <c r="C46" i="46" s="1"/>
  <c r="C41" i="26"/>
  <c r="B44" i="24"/>
  <c r="C41" i="24"/>
  <c r="C44" i="24" s="1"/>
  <c r="C46" i="24" s="1"/>
  <c r="D43" i="19"/>
  <c r="B42" i="90"/>
  <c r="C42" i="90" s="1"/>
  <c r="B41" i="90"/>
  <c r="D40" i="90"/>
  <c r="D36" i="90"/>
  <c r="D35" i="90"/>
  <c r="C41" i="7"/>
  <c r="D37" i="39"/>
  <c r="B41" i="85"/>
  <c r="D41" i="85" s="1"/>
  <c r="D35" i="85"/>
  <c r="B42" i="85"/>
  <c r="C42" i="85" s="1"/>
  <c r="D40" i="85"/>
  <c r="D36" i="85"/>
  <c r="D37" i="38"/>
  <c r="D63" i="25"/>
  <c r="D64" i="25" s="1"/>
  <c r="J50" i="25" s="1"/>
  <c r="D37" i="21"/>
  <c r="D57" i="43"/>
  <c r="J52" i="43"/>
  <c r="D57" i="23"/>
  <c r="J52" i="23"/>
  <c r="D37" i="34"/>
  <c r="C41" i="34"/>
  <c r="D42" i="22"/>
  <c r="D43" i="29"/>
  <c r="B44" i="37"/>
  <c r="C41" i="37"/>
  <c r="D42" i="30"/>
  <c r="B42" i="80"/>
  <c r="C42" i="80" s="1"/>
  <c r="B41" i="80"/>
  <c r="D41" i="80" s="1"/>
  <c r="D35" i="80"/>
  <c r="D36" i="80"/>
  <c r="D40" i="80"/>
  <c r="D63" i="36" l="1"/>
  <c r="D64" i="36" s="1"/>
  <c r="J50" i="36" s="1"/>
  <c r="D43" i="38"/>
  <c r="D44" i="38" s="1"/>
  <c r="D46" i="38" s="1"/>
  <c r="D63" i="35"/>
  <c r="D64" i="35" s="1"/>
  <c r="J50" i="35" s="1"/>
  <c r="D57" i="32"/>
  <c r="D63" i="32"/>
  <c r="D64" i="32" s="1"/>
  <c r="J50" i="32" s="1"/>
  <c r="D43" i="34"/>
  <c r="D44" i="34" s="1"/>
  <c r="D46" i="34" s="1"/>
  <c r="C44" i="34"/>
  <c r="C46" i="34" s="1"/>
  <c r="B44" i="34"/>
  <c r="B54" i="34" s="1"/>
  <c r="I20" i="3" s="1"/>
  <c r="D43" i="33"/>
  <c r="D44" i="33" s="1"/>
  <c r="D46" i="33" s="1"/>
  <c r="J52" i="31"/>
  <c r="B44" i="33"/>
  <c r="B46" i="33" s="1"/>
  <c r="J52" i="13"/>
  <c r="D63" i="13"/>
  <c r="D64" i="13" s="1"/>
  <c r="J50" i="13" s="1"/>
  <c r="C44" i="15"/>
  <c r="C46" i="15" s="1"/>
  <c r="B44" i="15"/>
  <c r="B55" i="15" s="1"/>
  <c r="I17" i="3" s="1"/>
  <c r="D43" i="15"/>
  <c r="D63" i="23"/>
  <c r="D64" i="23" s="1"/>
  <c r="J50" i="23" s="1"/>
  <c r="J52" i="1"/>
  <c r="D63" i="1"/>
  <c r="D64" i="1" s="1"/>
  <c r="J50" i="1" s="1"/>
  <c r="C44" i="7"/>
  <c r="C46" i="7" s="1"/>
  <c r="B44" i="7"/>
  <c r="B46" i="7" s="1"/>
  <c r="D43" i="7"/>
  <c r="D44" i="7" s="1"/>
  <c r="D46" i="7" s="1"/>
  <c r="D57" i="44"/>
  <c r="D63" i="44"/>
  <c r="D64" i="44" s="1"/>
  <c r="J50" i="44" s="1"/>
  <c r="D42" i="118"/>
  <c r="D44" i="118" s="1"/>
  <c r="D42" i="117"/>
  <c r="D44" i="117" s="1"/>
  <c r="D42" i="116"/>
  <c r="D44" i="116" s="1"/>
  <c r="D42" i="110"/>
  <c r="D44" i="110" s="1"/>
  <c r="D42" i="109"/>
  <c r="D44" i="109" s="1"/>
  <c r="D42" i="113"/>
  <c r="D42" i="119"/>
  <c r="B44" i="26"/>
  <c r="B46" i="26" s="1"/>
  <c r="D43" i="26"/>
  <c r="D44" i="26" s="1"/>
  <c r="D46" i="26" s="1"/>
  <c r="C44" i="37"/>
  <c r="C46" i="37" s="1"/>
  <c r="D42" i="120"/>
  <c r="D44" i="120" s="1"/>
  <c r="D42" i="111"/>
  <c r="D44" i="111" s="1"/>
  <c r="D42" i="112"/>
  <c r="C44" i="26"/>
  <c r="C46" i="26" s="1"/>
  <c r="D42" i="114"/>
  <c r="D44" i="114" s="1"/>
  <c r="C44" i="38"/>
  <c r="C46" i="38" s="1"/>
  <c r="D37" i="109"/>
  <c r="B44" i="38"/>
  <c r="B54" i="38" s="1"/>
  <c r="I22" i="3" s="1"/>
  <c r="D37" i="110"/>
  <c r="D37" i="113"/>
  <c r="D37" i="118"/>
  <c r="C41" i="119"/>
  <c r="C44" i="119" s="1"/>
  <c r="C46" i="119" s="1"/>
  <c r="B44" i="119"/>
  <c r="C41" i="111"/>
  <c r="C44" i="111" s="1"/>
  <c r="C46" i="111" s="1"/>
  <c r="B44" i="111"/>
  <c r="C41" i="109"/>
  <c r="C44" i="109" s="1"/>
  <c r="C46" i="109" s="1"/>
  <c r="B44" i="109"/>
  <c r="B44" i="114"/>
  <c r="C41" i="114"/>
  <c r="C44" i="114" s="1"/>
  <c r="C46" i="114" s="1"/>
  <c r="D44" i="119"/>
  <c r="B44" i="110"/>
  <c r="C41" i="110"/>
  <c r="C44" i="110" s="1"/>
  <c r="C46" i="110" s="1"/>
  <c r="B44" i="116"/>
  <c r="C41" i="116"/>
  <c r="C44" i="116" s="1"/>
  <c r="C46" i="116" s="1"/>
  <c r="D37" i="120"/>
  <c r="D37" i="111"/>
  <c r="C41" i="113"/>
  <c r="C44" i="113" s="1"/>
  <c r="C46" i="113" s="1"/>
  <c r="B44" i="113"/>
  <c r="D41" i="112"/>
  <c r="B44" i="112"/>
  <c r="C41" i="112"/>
  <c r="C44" i="112" s="1"/>
  <c r="C46" i="112" s="1"/>
  <c r="D37" i="115"/>
  <c r="C41" i="120"/>
  <c r="C44" i="120" s="1"/>
  <c r="C46" i="120" s="1"/>
  <c r="B44" i="120"/>
  <c r="D42" i="115"/>
  <c r="D44" i="115" s="1"/>
  <c r="C42" i="115"/>
  <c r="D37" i="112"/>
  <c r="D37" i="116"/>
  <c r="D44" i="113"/>
  <c r="D37" i="114"/>
  <c r="B44" i="115"/>
  <c r="C41" i="115"/>
  <c r="D37" i="119"/>
  <c r="D37" i="117"/>
  <c r="C41" i="117"/>
  <c r="C44" i="117" s="1"/>
  <c r="C46" i="117" s="1"/>
  <c r="B44" i="117"/>
  <c r="C41" i="118"/>
  <c r="C44" i="118" s="1"/>
  <c r="C46" i="118" s="1"/>
  <c r="B44" i="118"/>
  <c r="D63" i="57"/>
  <c r="D64" i="57" s="1"/>
  <c r="J50" i="57" s="1"/>
  <c r="D63" i="51"/>
  <c r="D64" i="51" s="1"/>
  <c r="J50" i="51" s="1"/>
  <c r="D63" i="66"/>
  <c r="D64" i="66" s="1"/>
  <c r="J50" i="66" s="1"/>
  <c r="D63" i="52"/>
  <c r="D64" i="52" s="1"/>
  <c r="J50" i="52" s="1"/>
  <c r="D63" i="61"/>
  <c r="D64" i="61" s="1"/>
  <c r="J50" i="61" s="1"/>
  <c r="D63" i="59"/>
  <c r="D64" i="59" s="1"/>
  <c r="J50" i="59" s="1"/>
  <c r="D63" i="53"/>
  <c r="D64" i="53" s="1"/>
  <c r="J50" i="53" s="1"/>
  <c r="D63" i="69"/>
  <c r="D64" i="69" s="1"/>
  <c r="J50" i="69" s="1"/>
  <c r="D63" i="68"/>
  <c r="D64" i="68" s="1"/>
  <c r="J50" i="68" s="1"/>
  <c r="D63" i="67"/>
  <c r="D64" i="67" s="1"/>
  <c r="J50" i="67" s="1"/>
  <c r="D63" i="65"/>
  <c r="D64" i="65" s="1"/>
  <c r="J50" i="65" s="1"/>
  <c r="D63" i="64"/>
  <c r="D64" i="64" s="1"/>
  <c r="J50" i="64" s="1"/>
  <c r="D63" i="63"/>
  <c r="D64" i="63" s="1"/>
  <c r="J50" i="63" s="1"/>
  <c r="D63" i="62"/>
  <c r="D64" i="62" s="1"/>
  <c r="J50" i="62" s="1"/>
  <c r="D63" i="60"/>
  <c r="D64" i="60" s="1"/>
  <c r="J50" i="60" s="1"/>
  <c r="D63" i="58"/>
  <c r="D64" i="58" s="1"/>
  <c r="J50" i="58" s="1"/>
  <c r="D63" i="56"/>
  <c r="D64" i="56" s="1"/>
  <c r="J50" i="56" s="1"/>
  <c r="D63" i="55"/>
  <c r="D64" i="55" s="1"/>
  <c r="J50" i="55" s="1"/>
  <c r="D63" i="54"/>
  <c r="D64" i="54" s="1"/>
  <c r="J50" i="54" s="1"/>
  <c r="D63" i="50"/>
  <c r="D64" i="50" s="1"/>
  <c r="J50" i="50" s="1"/>
  <c r="D44" i="45"/>
  <c r="D46" i="45" s="1"/>
  <c r="D44" i="11"/>
  <c r="D46" i="11" s="1"/>
  <c r="D44" i="22"/>
  <c r="D46" i="22" s="1"/>
  <c r="D44" i="39"/>
  <c r="D46" i="39" s="1"/>
  <c r="D43" i="87"/>
  <c r="D44" i="46"/>
  <c r="D46" i="46" s="1"/>
  <c r="D44" i="21"/>
  <c r="D46" i="21" s="1"/>
  <c r="D43" i="86"/>
  <c r="D44" i="24"/>
  <c r="D46" i="24" s="1"/>
  <c r="D37" i="78"/>
  <c r="D44" i="15"/>
  <c r="D46" i="15" s="1"/>
  <c r="D37" i="90"/>
  <c r="D37" i="81"/>
  <c r="D37" i="87"/>
  <c r="D42" i="79"/>
  <c r="D37" i="84"/>
  <c r="D44" i="37"/>
  <c r="D46" i="37" s="1"/>
  <c r="D44" i="20"/>
  <c r="D46" i="20" s="1"/>
  <c r="D42" i="81"/>
  <c r="D44" i="30"/>
  <c r="D46" i="30" s="1"/>
  <c r="D43" i="80"/>
  <c r="D43" i="78"/>
  <c r="D37" i="89"/>
  <c r="D44" i="19"/>
  <c r="D46" i="19" s="1"/>
  <c r="D42" i="78"/>
  <c r="D37" i="79"/>
  <c r="D37" i="83"/>
  <c r="D37" i="88"/>
  <c r="D42" i="85"/>
  <c r="D42" i="90"/>
  <c r="D44" i="29"/>
  <c r="D46" i="29" s="1"/>
  <c r="D42" i="84"/>
  <c r="D42" i="82"/>
  <c r="D42" i="77"/>
  <c r="D43" i="83"/>
  <c r="D43" i="89"/>
  <c r="D42" i="83"/>
  <c r="D57" i="50"/>
  <c r="J52" i="50"/>
  <c r="B44" i="84"/>
  <c r="C41" i="84"/>
  <c r="C44" i="84" s="1"/>
  <c r="C46" i="84" s="1"/>
  <c r="J52" i="52"/>
  <c r="D57" i="52"/>
  <c r="B44" i="78"/>
  <c r="C41" i="78"/>
  <c r="C44" i="78" s="1"/>
  <c r="C46" i="78" s="1"/>
  <c r="B42" i="72"/>
  <c r="C42" i="72" s="1"/>
  <c r="D36" i="72"/>
  <c r="D43" i="72"/>
  <c r="B41" i="72"/>
  <c r="D41" i="72" s="1"/>
  <c r="D35" i="72"/>
  <c r="D40" i="72"/>
  <c r="B54" i="30"/>
  <c r="I16" i="3" s="1"/>
  <c r="B46" i="30"/>
  <c r="B55" i="29"/>
  <c r="I15" i="3" s="1"/>
  <c r="B46" i="29"/>
  <c r="B55" i="39"/>
  <c r="I23" i="3" s="1"/>
  <c r="B46" i="39"/>
  <c r="B55" i="37"/>
  <c r="I21" i="3" s="1"/>
  <c r="B46" i="37"/>
  <c r="B55" i="19"/>
  <c r="I11" i="3" s="1"/>
  <c r="B46" i="19"/>
  <c r="B54" i="20"/>
  <c r="I10" i="3" s="1"/>
  <c r="B46" i="20"/>
  <c r="B44" i="87"/>
  <c r="C41" i="87"/>
  <c r="C44" i="87" s="1"/>
  <c r="C46" i="87" s="1"/>
  <c r="B55" i="45"/>
  <c r="I7" i="3" s="1"/>
  <c r="B46" i="45"/>
  <c r="J52" i="56"/>
  <c r="D57" i="56"/>
  <c r="D57" i="57"/>
  <c r="J52" i="57"/>
  <c r="B54" i="11"/>
  <c r="I24" i="3" s="1"/>
  <c r="B46" i="11"/>
  <c r="B44" i="89"/>
  <c r="C41" i="89"/>
  <c r="C44" i="89" s="1"/>
  <c r="C46" i="89" s="1"/>
  <c r="C41" i="83"/>
  <c r="C44" i="83" s="1"/>
  <c r="C46" i="83" s="1"/>
  <c r="B44" i="83"/>
  <c r="J52" i="65"/>
  <c r="D57" i="65"/>
  <c r="B44" i="88"/>
  <c r="C41" i="88"/>
  <c r="C44" i="88" s="1"/>
  <c r="C46" i="88" s="1"/>
  <c r="C41" i="80"/>
  <c r="C44" i="80" s="1"/>
  <c r="C46" i="80" s="1"/>
  <c r="B44" i="80"/>
  <c r="D37" i="85"/>
  <c r="D43" i="90"/>
  <c r="D42" i="86"/>
  <c r="D57" i="60"/>
  <c r="J52" i="60"/>
  <c r="B54" i="22"/>
  <c r="I18" i="3" s="1"/>
  <c r="B46" i="22"/>
  <c r="D42" i="87"/>
  <c r="D57" i="69"/>
  <c r="J52" i="69"/>
  <c r="B54" i="21"/>
  <c r="I12" i="3" s="1"/>
  <c r="B46" i="21"/>
  <c r="D37" i="82"/>
  <c r="D35" i="52"/>
  <c r="D35" i="66"/>
  <c r="D35" i="64"/>
  <c r="D35" i="55"/>
  <c r="D35" i="54"/>
  <c r="D35" i="60"/>
  <c r="D35" i="68"/>
  <c r="D35" i="61"/>
  <c r="D35" i="69"/>
  <c r="D35" i="67"/>
  <c r="D35" i="57"/>
  <c r="D35" i="53"/>
  <c r="D35" i="59"/>
  <c r="D35" i="62"/>
  <c r="D35" i="58"/>
  <c r="D35" i="51"/>
  <c r="D35" i="63"/>
  <c r="D35" i="65"/>
  <c r="D35" i="50"/>
  <c r="D35" i="56"/>
  <c r="J52" i="58"/>
  <c r="D57" i="58"/>
  <c r="J52" i="51"/>
  <c r="D57" i="51"/>
  <c r="D41" i="89"/>
  <c r="D42" i="88"/>
  <c r="D41" i="88"/>
  <c r="B44" i="82"/>
  <c r="C41" i="82"/>
  <c r="C44" i="82" s="1"/>
  <c r="C46" i="82" s="1"/>
  <c r="B44" i="77"/>
  <c r="C41" i="77"/>
  <c r="C44" i="77" s="1"/>
  <c r="C46" i="77" s="1"/>
  <c r="D57" i="62"/>
  <c r="J52" i="62"/>
  <c r="J52" i="66"/>
  <c r="D57" i="66"/>
  <c r="D37" i="80"/>
  <c r="B44" i="85"/>
  <c r="C41" i="85"/>
  <c r="C44" i="85" s="1"/>
  <c r="C46" i="85" s="1"/>
  <c r="B44" i="90"/>
  <c r="C41" i="90"/>
  <c r="C44" i="90" s="1"/>
  <c r="C46" i="90" s="1"/>
  <c r="D57" i="54"/>
  <c r="J52" i="54"/>
  <c r="D43" i="75"/>
  <c r="D36" i="75"/>
  <c r="D35" i="75"/>
  <c r="B41" i="75"/>
  <c r="B42" i="75"/>
  <c r="C42" i="75" s="1"/>
  <c r="D40" i="75"/>
  <c r="J52" i="63"/>
  <c r="D57" i="63"/>
  <c r="D41" i="82"/>
  <c r="D43" i="76"/>
  <c r="B41" i="76"/>
  <c r="D41" i="76" s="1"/>
  <c r="D35" i="76"/>
  <c r="D36" i="76"/>
  <c r="B42" i="76"/>
  <c r="C42" i="76" s="1"/>
  <c r="D40" i="76"/>
  <c r="D41" i="77"/>
  <c r="C41" i="81"/>
  <c r="C44" i="81" s="1"/>
  <c r="C46" i="81" s="1"/>
  <c r="B44" i="81"/>
  <c r="D57" i="64"/>
  <c r="J52" i="64"/>
  <c r="D57" i="61"/>
  <c r="J52" i="61"/>
  <c r="D57" i="68"/>
  <c r="J52" i="68"/>
  <c r="D42" i="89"/>
  <c r="D57" i="53"/>
  <c r="J52" i="53"/>
  <c r="D43" i="79"/>
  <c r="D43" i="88"/>
  <c r="B54" i="46"/>
  <c r="I8" i="3" s="1"/>
  <c r="B46" i="46"/>
  <c r="D37" i="86"/>
  <c r="D43" i="71"/>
  <c r="B42" i="71"/>
  <c r="C42" i="71" s="1"/>
  <c r="D40" i="71"/>
  <c r="D36" i="71"/>
  <c r="B41" i="71"/>
  <c r="D35" i="71"/>
  <c r="D57" i="55"/>
  <c r="J52" i="55"/>
  <c r="D37" i="77"/>
  <c r="J52" i="67"/>
  <c r="D57" i="67"/>
  <c r="C41" i="86"/>
  <c r="C44" i="86" s="1"/>
  <c r="C46" i="86" s="1"/>
  <c r="B44" i="86"/>
  <c r="D42" i="80"/>
  <c r="D43" i="85"/>
  <c r="D41" i="90"/>
  <c r="B55" i="24"/>
  <c r="I13" i="3" s="1"/>
  <c r="B46" i="24"/>
  <c r="D43" i="84"/>
  <c r="D41" i="84"/>
  <c r="D43" i="73"/>
  <c r="D36" i="73"/>
  <c r="B42" i="73"/>
  <c r="C42" i="73" s="1"/>
  <c r="D35" i="73"/>
  <c r="D40" i="73"/>
  <c r="B41" i="73"/>
  <c r="D43" i="82"/>
  <c r="D41" i="78"/>
  <c r="B42" i="74"/>
  <c r="C42" i="74" s="1"/>
  <c r="D35" i="74"/>
  <c r="D40" i="74"/>
  <c r="D43" i="74"/>
  <c r="B41" i="74"/>
  <c r="D41" i="74" s="1"/>
  <c r="D36" i="74"/>
  <c r="D43" i="77"/>
  <c r="D43" i="81"/>
  <c r="B44" i="79"/>
  <c r="C41" i="79"/>
  <c r="C44" i="79" s="1"/>
  <c r="C46" i="79" s="1"/>
  <c r="J52" i="59"/>
  <c r="D57" i="59"/>
  <c r="D46" i="120" l="1"/>
  <c r="B46" i="38"/>
  <c r="B46" i="34"/>
  <c r="B55" i="33"/>
  <c r="I19" i="3" s="1"/>
  <c r="C11" i="40" s="1"/>
  <c r="B46" i="15"/>
  <c r="B54" i="26"/>
  <c r="I14" i="3" s="1"/>
  <c r="C22" i="40" s="1"/>
  <c r="B55" i="7"/>
  <c r="I9" i="3" s="1"/>
  <c r="D46" i="114"/>
  <c r="D46" i="113"/>
  <c r="D46" i="110"/>
  <c r="D46" i="111"/>
  <c r="D44" i="112"/>
  <c r="D46" i="112" s="1"/>
  <c r="D46" i="109"/>
  <c r="D46" i="118"/>
  <c r="C44" i="115"/>
  <c r="C46" i="115" s="1"/>
  <c r="D46" i="116"/>
  <c r="D46" i="115"/>
  <c r="D46" i="117"/>
  <c r="D46" i="119"/>
  <c r="B46" i="114"/>
  <c r="B54" i="114"/>
  <c r="I12" i="96" s="1"/>
  <c r="B55" i="115"/>
  <c r="I13" i="96" s="1"/>
  <c r="B46" i="115"/>
  <c r="B46" i="120"/>
  <c r="B54" i="120"/>
  <c r="I18" i="96" s="1"/>
  <c r="B54" i="116"/>
  <c r="I14" i="96" s="1"/>
  <c r="B46" i="116"/>
  <c r="B46" i="109"/>
  <c r="B55" i="109"/>
  <c r="I7" i="96" s="1"/>
  <c r="B46" i="119"/>
  <c r="B55" i="119"/>
  <c r="I17" i="96" s="1"/>
  <c r="B54" i="118"/>
  <c r="I16" i="96" s="1"/>
  <c r="B46" i="118"/>
  <c r="B46" i="112"/>
  <c r="B54" i="112"/>
  <c r="I10" i="96" s="1"/>
  <c r="B55" i="117"/>
  <c r="I15" i="96" s="1"/>
  <c r="B46" i="117"/>
  <c r="B55" i="113"/>
  <c r="I11" i="96" s="1"/>
  <c r="B46" i="113"/>
  <c r="B46" i="110"/>
  <c r="B54" i="110"/>
  <c r="I8" i="96" s="1"/>
  <c r="B55" i="111"/>
  <c r="I9" i="96" s="1"/>
  <c r="B46" i="111"/>
  <c r="D44" i="81"/>
  <c r="D46" i="81" s="1"/>
  <c r="D44" i="87"/>
  <c r="D46" i="87" s="1"/>
  <c r="D44" i="86"/>
  <c r="D46" i="86" s="1"/>
  <c r="D44" i="78"/>
  <c r="D46" i="78" s="1"/>
  <c r="D37" i="71"/>
  <c r="D44" i="79"/>
  <c r="D46" i="79" s="1"/>
  <c r="D44" i="83"/>
  <c r="D46" i="83" s="1"/>
  <c r="D44" i="82"/>
  <c r="D46" i="82" s="1"/>
  <c r="D44" i="80"/>
  <c r="D46" i="80" s="1"/>
  <c r="D44" i="90"/>
  <c r="D46" i="90" s="1"/>
  <c r="D44" i="89"/>
  <c r="D46" i="89" s="1"/>
  <c r="D44" i="88"/>
  <c r="D46" i="88" s="1"/>
  <c r="D42" i="72"/>
  <c r="D44" i="72" s="1"/>
  <c r="G23" i="49" s="1"/>
  <c r="I23" i="49" s="1"/>
  <c r="E7" i="94" s="1"/>
  <c r="D37" i="74"/>
  <c r="D44" i="77"/>
  <c r="D46" i="77" s="1"/>
  <c r="D44" i="84"/>
  <c r="D46" i="84" s="1"/>
  <c r="D44" i="85"/>
  <c r="D46" i="85" s="1"/>
  <c r="D37" i="75"/>
  <c r="C27" i="40"/>
  <c r="B44" i="73"/>
  <c r="C41" i="73"/>
  <c r="C44" i="73" s="1"/>
  <c r="C46" i="73" s="1"/>
  <c r="D41" i="73"/>
  <c r="C8" i="40"/>
  <c r="B54" i="86"/>
  <c r="I22" i="48" s="1"/>
  <c r="B46" i="86"/>
  <c r="B44" i="71"/>
  <c r="C41" i="71"/>
  <c r="C44" i="71" s="1"/>
  <c r="C46" i="71" s="1"/>
  <c r="D37" i="76"/>
  <c r="D42" i="75"/>
  <c r="C10" i="40"/>
  <c r="B55" i="83"/>
  <c r="I19" i="48" s="1"/>
  <c r="B46" i="83"/>
  <c r="C13" i="40"/>
  <c r="D37" i="72"/>
  <c r="B46" i="84"/>
  <c r="B54" i="84"/>
  <c r="I20" i="48" s="1"/>
  <c r="D42" i="71"/>
  <c r="B46" i="81"/>
  <c r="B55" i="81"/>
  <c r="I17" i="48" s="1"/>
  <c r="C20" i="40"/>
  <c r="B44" i="74"/>
  <c r="C41" i="74"/>
  <c r="C44" i="74" s="1"/>
  <c r="C46" i="74" s="1"/>
  <c r="C25" i="40"/>
  <c r="D42" i="76"/>
  <c r="D44" i="76" s="1"/>
  <c r="B44" i="75"/>
  <c r="C41" i="75"/>
  <c r="C44" i="75" s="1"/>
  <c r="C46" i="75" s="1"/>
  <c r="C5" i="40"/>
  <c r="D42" i="74"/>
  <c r="D44" i="74" s="1"/>
  <c r="D37" i="73"/>
  <c r="D41" i="71"/>
  <c r="B44" i="76"/>
  <c r="C41" i="76"/>
  <c r="C44" i="76" s="1"/>
  <c r="C46" i="76" s="1"/>
  <c r="B54" i="90"/>
  <c r="I26" i="48" s="1"/>
  <c r="B46" i="90"/>
  <c r="B55" i="77"/>
  <c r="I13" i="48" s="1"/>
  <c r="B46" i="77"/>
  <c r="C21" i="40"/>
  <c r="B46" i="88"/>
  <c r="B54" i="88"/>
  <c r="I24" i="48" s="1"/>
  <c r="C9" i="40"/>
  <c r="B44" i="72"/>
  <c r="C41" i="72"/>
  <c r="C44" i="72" s="1"/>
  <c r="C46" i="72" s="1"/>
  <c r="B54" i="78"/>
  <c r="I14" i="48" s="1"/>
  <c r="B46" i="78"/>
  <c r="B54" i="82"/>
  <c r="I18" i="48" s="1"/>
  <c r="B46" i="82"/>
  <c r="C26" i="40"/>
  <c r="C7" i="40"/>
  <c r="B46" i="79"/>
  <c r="B55" i="79"/>
  <c r="I15" i="48" s="1"/>
  <c r="D42" i="73"/>
  <c r="C19" i="40"/>
  <c r="D41" i="75"/>
  <c r="C24" i="40"/>
  <c r="B46" i="89"/>
  <c r="B55" i="89"/>
  <c r="I25" i="48" s="1"/>
  <c r="B55" i="87"/>
  <c r="I23" i="48" s="1"/>
  <c r="B46" i="87"/>
  <c r="C12" i="40"/>
  <c r="B55" i="85"/>
  <c r="I21" i="48" s="1"/>
  <c r="B46" i="85"/>
  <c r="B54" i="80"/>
  <c r="I16" i="48" s="1"/>
  <c r="B46" i="80"/>
  <c r="C23" i="40"/>
  <c r="J13" i="3" l="1"/>
  <c r="N13" i="3" s="1"/>
  <c r="J24" i="3"/>
  <c r="M24" i="3" s="1"/>
  <c r="C6" i="40"/>
  <c r="J17" i="3"/>
  <c r="N17" i="3" s="1"/>
  <c r="J18" i="3"/>
  <c r="P18" i="3" s="1"/>
  <c r="J15" i="3"/>
  <c r="M15" i="3" s="1"/>
  <c r="J21" i="3"/>
  <c r="Q21" i="3" s="1"/>
  <c r="J14" i="3"/>
  <c r="O14" i="3" s="1"/>
  <c r="J9" i="3"/>
  <c r="N9" i="3" s="1"/>
  <c r="J20" i="3"/>
  <c r="O20" i="3" s="1"/>
  <c r="J8" i="3"/>
  <c r="Q8" i="3" s="1"/>
  <c r="J7" i="3"/>
  <c r="L7" i="3" s="1"/>
  <c r="J11" i="3"/>
  <c r="O11" i="3" s="1"/>
  <c r="J16" i="3"/>
  <c r="L16" i="3" s="1"/>
  <c r="J19" i="3"/>
  <c r="R19" i="3" s="1"/>
  <c r="J22" i="3"/>
  <c r="M22" i="3" s="1"/>
  <c r="J12" i="3"/>
  <c r="O12" i="3" s="1"/>
  <c r="J10" i="3"/>
  <c r="P10" i="3" s="1"/>
  <c r="J23" i="3"/>
  <c r="N23" i="3" s="1"/>
  <c r="C6" i="122"/>
  <c r="J9" i="96"/>
  <c r="Q9" i="96" s="1"/>
  <c r="C20" i="122"/>
  <c r="J10" i="96"/>
  <c r="Q10" i="96" s="1"/>
  <c r="J8" i="96"/>
  <c r="Q8" i="96" s="1"/>
  <c r="C19" i="122"/>
  <c r="J11" i="96"/>
  <c r="Q11" i="96" s="1"/>
  <c r="C7" i="122"/>
  <c r="C22" i="122"/>
  <c r="J14" i="96"/>
  <c r="Q14" i="96" s="1"/>
  <c r="C8" i="122"/>
  <c r="J13" i="96"/>
  <c r="Q13" i="96" s="1"/>
  <c r="J17" i="96"/>
  <c r="Q17" i="96" s="1"/>
  <c r="C10" i="122"/>
  <c r="J7" i="96"/>
  <c r="Q7" i="96" s="1"/>
  <c r="C5" i="122"/>
  <c r="J18" i="96"/>
  <c r="Q18" i="96" s="1"/>
  <c r="C24" i="122"/>
  <c r="C21" i="122"/>
  <c r="J12" i="96"/>
  <c r="Q12" i="96" s="1"/>
  <c r="C9" i="122"/>
  <c r="J15" i="96"/>
  <c r="Q15" i="96" s="1"/>
  <c r="J16" i="96"/>
  <c r="Q16" i="96" s="1"/>
  <c r="C23" i="122"/>
  <c r="D44" i="73"/>
  <c r="D46" i="73" s="1"/>
  <c r="D46" i="72"/>
  <c r="G28" i="49"/>
  <c r="D17" i="94" s="1"/>
  <c r="F17" i="94" s="1"/>
  <c r="D44" i="71"/>
  <c r="D46" i="71" s="1"/>
  <c r="D44" i="75"/>
  <c r="D46" i="75" s="1"/>
  <c r="D46" i="74"/>
  <c r="C8" i="92"/>
  <c r="B46" i="73"/>
  <c r="B55" i="73"/>
  <c r="I9" i="48" s="1"/>
  <c r="B54" i="72"/>
  <c r="I8" i="48" s="1"/>
  <c r="B46" i="72"/>
  <c r="C23" i="92"/>
  <c r="C12" i="92"/>
  <c r="C7" i="92"/>
  <c r="C24" i="92"/>
  <c r="C6" i="92"/>
  <c r="B55" i="75"/>
  <c r="I11" i="48" s="1"/>
  <c r="B46" i="75"/>
  <c r="B54" i="74"/>
  <c r="I10" i="48" s="1"/>
  <c r="B46" i="74"/>
  <c r="D46" i="76"/>
  <c r="C20" i="92"/>
  <c r="C10" i="92"/>
  <c r="B54" i="76"/>
  <c r="I12" i="48" s="1"/>
  <c r="B46" i="76"/>
  <c r="C21" i="92"/>
  <c r="C19" i="92"/>
  <c r="C22" i="92"/>
  <c r="C9" i="92"/>
  <c r="C11" i="92"/>
  <c r="C25" i="92"/>
  <c r="B46" i="71"/>
  <c r="B55" i="71"/>
  <c r="I7" i="48" s="1"/>
  <c r="Q19" i="96" l="1"/>
  <c r="Q17" i="3"/>
  <c r="N20" i="3"/>
  <c r="L13" i="3"/>
  <c r="R13" i="3"/>
  <c r="M13" i="3"/>
  <c r="O13" i="3"/>
  <c r="Q13" i="3"/>
  <c r="P13" i="3"/>
  <c r="O16" i="3"/>
  <c r="O17" i="3"/>
  <c r="R11" i="3"/>
  <c r="L15" i="3"/>
  <c r="Q18" i="3"/>
  <c r="M18" i="3"/>
  <c r="Q7" i="3"/>
  <c r="L10" i="3"/>
  <c r="L24" i="3"/>
  <c r="L21" i="3"/>
  <c r="P21" i="3"/>
  <c r="R8" i="3"/>
  <c r="R17" i="3"/>
  <c r="R10" i="3"/>
  <c r="R22" i="3"/>
  <c r="L17" i="3"/>
  <c r="P20" i="3"/>
  <c r="P15" i="3"/>
  <c r="O24" i="3"/>
  <c r="Q10" i="3"/>
  <c r="P16" i="3"/>
  <c r="P17" i="3"/>
  <c r="M17" i="3"/>
  <c r="L20" i="3"/>
  <c r="Q15" i="3"/>
  <c r="R24" i="3"/>
  <c r="N10" i="3"/>
  <c r="M16" i="3"/>
  <c r="R20" i="3"/>
  <c r="N11" i="3"/>
  <c r="L18" i="3"/>
  <c r="O18" i="3"/>
  <c r="M9" i="3"/>
  <c r="P11" i="3"/>
  <c r="M11" i="3"/>
  <c r="N18" i="3"/>
  <c r="R18" i="3"/>
  <c r="L12" i="3"/>
  <c r="L9" i="3"/>
  <c r="P12" i="3"/>
  <c r="L11" i="3"/>
  <c r="R12" i="3"/>
  <c r="P9" i="3"/>
  <c r="P19" i="3"/>
  <c r="R21" i="3"/>
  <c r="N8" i="3"/>
  <c r="N21" i="3"/>
  <c r="O15" i="3"/>
  <c r="N15" i="3"/>
  <c r="P24" i="3"/>
  <c r="Q24" i="3"/>
  <c r="O10" i="3"/>
  <c r="O23" i="3"/>
  <c r="Q16" i="3"/>
  <c r="R16" i="3"/>
  <c r="M20" i="3"/>
  <c r="Q20" i="3"/>
  <c r="M21" i="3"/>
  <c r="N19" i="3"/>
  <c r="O21" i="3"/>
  <c r="R15" i="3"/>
  <c r="N24" i="3"/>
  <c r="M10" i="3"/>
  <c r="L8" i="3"/>
  <c r="L19" i="3"/>
  <c r="Q23" i="3"/>
  <c r="N16" i="3"/>
  <c r="R14" i="3"/>
  <c r="Q14" i="3"/>
  <c r="Q12" i="3"/>
  <c r="N12" i="3"/>
  <c r="O9" i="3"/>
  <c r="R9" i="3"/>
  <c r="Q11" i="3"/>
  <c r="M8" i="3"/>
  <c r="Q19" i="3"/>
  <c r="M14" i="3"/>
  <c r="P14" i="3"/>
  <c r="L23" i="3"/>
  <c r="M12" i="3"/>
  <c r="Q9" i="3"/>
  <c r="L14" i="3"/>
  <c r="N14" i="3"/>
  <c r="M7" i="3"/>
  <c r="Q22" i="3"/>
  <c r="J26" i="3"/>
  <c r="O8" i="3"/>
  <c r="P8" i="3"/>
  <c r="O19" i="3"/>
  <c r="M19" i="3"/>
  <c r="P23" i="3"/>
  <c r="R23" i="3"/>
  <c r="P22" i="3"/>
  <c r="N22" i="3"/>
  <c r="N7" i="3"/>
  <c r="O7" i="3"/>
  <c r="O22" i="3"/>
  <c r="R7" i="3"/>
  <c r="M23" i="3"/>
  <c r="L22" i="3"/>
  <c r="P7" i="3"/>
  <c r="R12" i="96"/>
  <c r="P12" i="96"/>
  <c r="N12" i="96"/>
  <c r="M12" i="96"/>
  <c r="O12" i="96"/>
  <c r="L12" i="96"/>
  <c r="N16" i="96"/>
  <c r="P16" i="96"/>
  <c r="L16" i="96"/>
  <c r="M16" i="96"/>
  <c r="O16" i="96"/>
  <c r="R16" i="96"/>
  <c r="P7" i="96"/>
  <c r="N7" i="96"/>
  <c r="L7" i="96"/>
  <c r="R7" i="96"/>
  <c r="O7" i="96"/>
  <c r="M7" i="96"/>
  <c r="O11" i="96"/>
  <c r="R11" i="96"/>
  <c r="N11" i="96"/>
  <c r="P11" i="96"/>
  <c r="M11" i="96"/>
  <c r="L11" i="96"/>
  <c r="M13" i="96"/>
  <c r="N13" i="96"/>
  <c r="L13" i="96"/>
  <c r="P13" i="96"/>
  <c r="O13" i="96"/>
  <c r="R13" i="96"/>
  <c r="M10" i="96"/>
  <c r="R10" i="96"/>
  <c r="N10" i="96"/>
  <c r="P10" i="96"/>
  <c r="O10" i="96"/>
  <c r="L10" i="96"/>
  <c r="R15" i="96"/>
  <c r="P15" i="96"/>
  <c r="N15" i="96"/>
  <c r="M15" i="96"/>
  <c r="O15" i="96"/>
  <c r="L15" i="96"/>
  <c r="O14" i="96"/>
  <c r="M14" i="96"/>
  <c r="L14" i="96"/>
  <c r="P14" i="96"/>
  <c r="R14" i="96"/>
  <c r="N14" i="96"/>
  <c r="L9" i="96"/>
  <c r="O9" i="96"/>
  <c r="R9" i="96"/>
  <c r="N9" i="96"/>
  <c r="P9" i="96"/>
  <c r="M9" i="96"/>
  <c r="L18" i="96"/>
  <c r="N18" i="96"/>
  <c r="P18" i="96"/>
  <c r="O18" i="96"/>
  <c r="M18" i="96"/>
  <c r="R18" i="96"/>
  <c r="N17" i="96"/>
  <c r="R17" i="96"/>
  <c r="M17" i="96"/>
  <c r="O17" i="96"/>
  <c r="P17" i="96"/>
  <c r="L17" i="96"/>
  <c r="M8" i="96"/>
  <c r="P8" i="96"/>
  <c r="N8" i="96"/>
  <c r="O8" i="96"/>
  <c r="L8" i="96"/>
  <c r="R8" i="96"/>
  <c r="E13" i="93"/>
  <c r="D7" i="94" s="1"/>
  <c r="F7" i="94" s="1"/>
  <c r="J13" i="48"/>
  <c r="O13" i="48" s="1"/>
  <c r="J7" i="48"/>
  <c r="P7" i="48" s="1"/>
  <c r="J14" i="48"/>
  <c r="O14" i="48" s="1"/>
  <c r="J19" i="48"/>
  <c r="N19" i="48" s="1"/>
  <c r="J23" i="48"/>
  <c r="J16" i="48"/>
  <c r="J15" i="48"/>
  <c r="J9" i="48"/>
  <c r="J17" i="48"/>
  <c r="C5" i="92"/>
  <c r="J11" i="48"/>
  <c r="J22" i="48"/>
  <c r="J20" i="48"/>
  <c r="J18" i="48"/>
  <c r="J21" i="48"/>
  <c r="J8" i="48"/>
  <c r="C18" i="92"/>
  <c r="J12" i="48"/>
  <c r="J25" i="48"/>
  <c r="J26" i="48"/>
  <c r="J10" i="48"/>
  <c r="J24" i="48"/>
  <c r="Q25" i="3" l="1"/>
  <c r="F12" i="123" s="1"/>
  <c r="N25" i="3"/>
  <c r="F8" i="93" s="1"/>
  <c r="P25" i="3"/>
  <c r="E5" i="94" s="1"/>
  <c r="O25" i="3"/>
  <c r="L25" i="3"/>
  <c r="R25" i="3"/>
  <c r="F13" i="123" s="1"/>
  <c r="D14" i="123" s="1"/>
  <c r="M25" i="3"/>
  <c r="R19" i="96"/>
  <c r="F19" i="123" s="1"/>
  <c r="D20" i="123" s="1"/>
  <c r="L19" i="96"/>
  <c r="D37" i="94" s="1"/>
  <c r="O19" i="96"/>
  <c r="P19" i="96"/>
  <c r="E31" i="94" s="1"/>
  <c r="M19" i="96"/>
  <c r="N19" i="96"/>
  <c r="F40" i="93" s="1"/>
  <c r="G13" i="93"/>
  <c r="L14" i="48"/>
  <c r="M13" i="48"/>
  <c r="P13" i="48"/>
  <c r="L13" i="48"/>
  <c r="N13" i="48"/>
  <c r="Q13" i="48"/>
  <c r="Q14" i="48"/>
  <c r="L19" i="48"/>
  <c r="N14" i="48"/>
  <c r="P14" i="48"/>
  <c r="M14" i="48"/>
  <c r="P19" i="48"/>
  <c r="Q19" i="48"/>
  <c r="Q7" i="48"/>
  <c r="M7" i="48"/>
  <c r="L7" i="48"/>
  <c r="O7" i="48"/>
  <c r="N7" i="48"/>
  <c r="O19" i="48"/>
  <c r="M19" i="48"/>
  <c r="L26" i="48"/>
  <c r="N26" i="48"/>
  <c r="O26" i="48"/>
  <c r="M26" i="48"/>
  <c r="P26" i="48"/>
  <c r="Q26" i="48"/>
  <c r="P9" i="48"/>
  <c r="L9" i="48"/>
  <c r="Q9" i="48"/>
  <c r="M9" i="48"/>
  <c r="N9" i="48"/>
  <c r="O9" i="48"/>
  <c r="M8" i="48"/>
  <c r="P8" i="48"/>
  <c r="N8" i="48"/>
  <c r="L8" i="48"/>
  <c r="O8" i="48"/>
  <c r="Q8" i="48"/>
  <c r="L15" i="48"/>
  <c r="Q15" i="48"/>
  <c r="M15" i="48"/>
  <c r="N15" i="48"/>
  <c r="P15" i="48"/>
  <c r="O15" i="48"/>
  <c r="O21" i="48"/>
  <c r="M21" i="48"/>
  <c r="N21" i="48"/>
  <c r="P21" i="48"/>
  <c r="L21" i="48"/>
  <c r="Q21" i="48"/>
  <c r="M12" i="48"/>
  <c r="N12" i="48"/>
  <c r="L12" i="48"/>
  <c r="O12" i="48"/>
  <c r="P12" i="48"/>
  <c r="Q12" i="48"/>
  <c r="M18" i="48"/>
  <c r="L18" i="48"/>
  <c r="P18" i="48"/>
  <c r="N18" i="48"/>
  <c r="O18" i="48"/>
  <c r="Q18" i="48"/>
  <c r="Q22" i="48"/>
  <c r="N22" i="48"/>
  <c r="P22" i="48"/>
  <c r="M22" i="48"/>
  <c r="L22" i="48"/>
  <c r="O22" i="48"/>
  <c r="N11" i="48"/>
  <c r="P11" i="48"/>
  <c r="L11" i="48"/>
  <c r="M11" i="48"/>
  <c r="Q11" i="48"/>
  <c r="O11" i="48"/>
  <c r="N16" i="48"/>
  <c r="M16" i="48"/>
  <c r="O16" i="48"/>
  <c r="P16" i="48"/>
  <c r="Q16" i="48"/>
  <c r="L16" i="48"/>
  <c r="N25" i="48"/>
  <c r="L25" i="48"/>
  <c r="Q25" i="48"/>
  <c r="M25" i="48"/>
  <c r="O25" i="48"/>
  <c r="P25" i="48"/>
  <c r="O24" i="48"/>
  <c r="N24" i="48"/>
  <c r="L24" i="48"/>
  <c r="Q24" i="48"/>
  <c r="M24" i="48"/>
  <c r="P24" i="48"/>
  <c r="O10" i="48"/>
  <c r="M10" i="48"/>
  <c r="P10" i="48"/>
  <c r="Q10" i="48"/>
  <c r="N10" i="48"/>
  <c r="L10" i="48"/>
  <c r="M20" i="48"/>
  <c r="P20" i="48"/>
  <c r="Q20" i="48"/>
  <c r="O20" i="48"/>
  <c r="L20" i="48"/>
  <c r="N20" i="48"/>
  <c r="N17" i="48"/>
  <c r="O17" i="48"/>
  <c r="P17" i="48"/>
  <c r="Q17" i="48"/>
  <c r="L17" i="48"/>
  <c r="M17" i="48"/>
  <c r="M23" i="48"/>
  <c r="N23" i="48"/>
  <c r="O23" i="48"/>
  <c r="P23" i="48"/>
  <c r="L23" i="48"/>
  <c r="Q23" i="48"/>
  <c r="D5" i="94" l="1"/>
  <c r="F5" i="94" s="1"/>
  <c r="D29" i="94"/>
  <c r="F29" i="94" s="1"/>
  <c r="E8" i="93"/>
  <c r="G8" i="93" s="1"/>
  <c r="F95" i="123"/>
  <c r="C98" i="123" s="1"/>
  <c r="D31" i="94"/>
  <c r="F31" i="94" s="1"/>
  <c r="E40" i="93"/>
  <c r="G40" i="93" s="1"/>
  <c r="G45" i="93" s="1"/>
  <c r="D32" i="94"/>
  <c r="F32" i="94" s="1"/>
  <c r="F37" i="94"/>
  <c r="G44" i="94" s="1"/>
  <c r="F74" i="123"/>
  <c r="C77" i="123" s="1"/>
  <c r="O27" i="48"/>
  <c r="Q27" i="48"/>
  <c r="L27" i="48"/>
  <c r="D13" i="94" s="1"/>
  <c r="N27" i="48"/>
  <c r="F9" i="93" s="1"/>
  <c r="M27" i="48"/>
  <c r="P27" i="48"/>
  <c r="E6" i="94" s="1"/>
  <c r="F118" i="123" l="1"/>
  <c r="F142" i="123" s="1"/>
  <c r="F28" i="93" s="1"/>
  <c r="G28" i="93" s="1"/>
  <c r="E9" i="93"/>
  <c r="G9" i="93" s="1"/>
  <c r="D6" i="94"/>
  <c r="F6" i="94" s="1"/>
  <c r="D16" i="94"/>
  <c r="F16" i="94" s="1"/>
  <c r="F13" i="94"/>
  <c r="F164" i="123" l="1"/>
  <c r="F30" i="93" s="1"/>
  <c r="G30" i="93" s="1"/>
  <c r="F134" i="123"/>
  <c r="F27" i="93" s="1"/>
  <c r="G27" i="93" s="1"/>
  <c r="C119" i="123"/>
  <c r="K118" i="123" s="1"/>
  <c r="K123" i="123" s="1"/>
  <c r="M123" i="123" s="1"/>
  <c r="M124" i="123" s="1"/>
  <c r="F176" i="123"/>
  <c r="E30" i="94" s="1"/>
  <c r="F30" i="94" s="1"/>
  <c r="E33" i="94" s="1"/>
  <c r="F33" i="94" s="1"/>
  <c r="E16" i="93"/>
  <c r="D18" i="94" s="1"/>
  <c r="M118" i="123" l="1"/>
  <c r="M119" i="123" s="1"/>
  <c r="F155" i="123"/>
  <c r="H42" i="123" s="1"/>
  <c r="F18" i="94"/>
  <c r="D19" i="94"/>
  <c r="F19" i="94" s="1"/>
  <c r="G16" i="93"/>
  <c r="G19" i="93" s="1"/>
  <c r="G20" i="93" s="1"/>
  <c r="G21" i="93" s="1"/>
  <c r="D8" i="94"/>
  <c r="F8" i="94" s="1"/>
  <c r="F29" i="93" l="1"/>
  <c r="G29" i="93" s="1"/>
  <c r="G34" i="93" s="1"/>
  <c r="G46" i="93" s="1"/>
  <c r="G47" i="93" s="1"/>
  <c r="G148" i="93"/>
  <c r="H147" i="93"/>
  <c r="G21" i="94"/>
  <c r="E9" i="94"/>
  <c r="F9" i="94" s="1"/>
  <c r="G22" i="93"/>
  <c r="E10" i="94"/>
  <c r="F10" i="94" s="1"/>
  <c r="E34" i="94" l="1"/>
  <c r="F34" i="94" s="1"/>
  <c r="G35" i="94" s="1"/>
  <c r="G46" i="94" s="1"/>
  <c r="G47" i="94" s="1"/>
  <c r="G11" i="94"/>
  <c r="G23" i="94" s="1"/>
  <c r="G24" i="9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Revisor A</author>
  </authors>
  <commentList>
    <comment ref="D36" authorId="0" shapeId="0" xr:uid="{00000000-0006-0000-0A00-000001000000}">
      <text>
        <r>
          <rPr>
            <b/>
            <sz val="9"/>
            <color indexed="81"/>
            <rFont val="Tahoma"/>
            <family val="2"/>
          </rPr>
          <t>Revisor A:</t>
        </r>
        <r>
          <rPr>
            <sz val="9"/>
            <color indexed="81"/>
            <rFont val="Tahoma"/>
            <family val="2"/>
          </rPr>
          <t xml:space="preserve">
aca estaba el problema</t>
        </r>
      </text>
    </comment>
    <comment ref="C77" authorId="0" shapeId="0" xr:uid="{00000000-0006-0000-0A00-000002000000}">
      <text>
        <r>
          <rPr>
            <b/>
            <sz val="9"/>
            <color indexed="81"/>
            <rFont val="Tahoma"/>
            <family val="2"/>
          </rPr>
          <t>Revisor A:</t>
        </r>
        <r>
          <rPr>
            <sz val="9"/>
            <color indexed="81"/>
            <rFont val="Tahoma"/>
            <family val="2"/>
          </rPr>
          <t xml:space="preserve">
REVISAR, DABA MUY BAJO, ASI QUE CAMBIE LA FORMULA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AP</author>
  </authors>
  <commentList>
    <comment ref="B52" authorId="0" shapeId="0" xr:uid="{00000000-0006-0000-1300-000001000000}">
      <text>
        <r>
          <rPr>
            <b/>
            <sz val="9"/>
            <color indexed="81"/>
            <rFont val="Tahoma"/>
            <family val="2"/>
          </rPr>
          <t>AP:</t>
        </r>
        <r>
          <rPr>
            <sz val="9"/>
            <color indexed="81"/>
            <rFont val="Tahoma"/>
            <family val="2"/>
          </rPr>
          <t xml:space="preserve">
</t>
        </r>
        <r>
          <rPr>
            <b/>
            <sz val="9"/>
            <color indexed="81"/>
            <rFont val="Tahoma"/>
            <family val="2"/>
          </rPr>
          <t>Las celdas con fuente roja tienen cambios. Copiarlos a las demás hojas de recolección y poda para 1T y 2T s/corresponda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AP</author>
  </authors>
  <commentList>
    <comment ref="E43" authorId="0" shapeId="0" xr:uid="{00000000-0006-0000-1400-000001000000}">
      <text>
        <r>
          <rPr>
            <b/>
            <sz val="9"/>
            <color indexed="81"/>
            <rFont val="Tahoma"/>
            <family val="2"/>
          </rPr>
          <t>AP:</t>
        </r>
        <r>
          <rPr>
            <sz val="9"/>
            <color indexed="81"/>
            <rFont val="Tahoma"/>
            <family val="2"/>
          </rPr>
          <t xml:space="preserve">
</t>
        </r>
        <r>
          <rPr>
            <b/>
            <sz val="9"/>
            <color indexed="81"/>
            <rFont val="Tahoma"/>
            <family val="2"/>
          </rPr>
          <t>Ojo que este valor se calcula en cada hoja de capacidad en función de los datos anteriores, por lo que si se quiere linkear la hoja de datos directamente a la generación [g(10)], las hojas de capacidades no se actualizarán automáticamente, con lo que habría que linkearlas a su vez a la hoja de datos/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AP</author>
  </authors>
  <commentList>
    <comment ref="B34" authorId="0" shapeId="0" xr:uid="{00000000-0006-0000-6B00-000001000000}">
      <text>
        <r>
          <rPr>
            <b/>
            <sz val="9"/>
            <color indexed="81"/>
            <rFont val="Tahoma"/>
            <family val="2"/>
          </rPr>
          <t>AP:</t>
        </r>
        <r>
          <rPr>
            <sz val="9"/>
            <color indexed="81"/>
            <rFont val="Tahoma"/>
            <family val="2"/>
          </rPr>
          <t xml:space="preserve">
</t>
        </r>
        <r>
          <rPr>
            <b/>
            <sz val="9"/>
            <color indexed="81"/>
            <rFont val="Tahoma"/>
            <family val="2"/>
          </rPr>
          <t>Las celdas con fuente roja tienen cambios. Copiarlos a las demás hojas de Transporte 1T y 2T s/corresponda</t>
        </r>
      </text>
    </comment>
  </commentList>
</comments>
</file>

<file path=xl/sharedStrings.xml><?xml version="1.0" encoding="utf-8"?>
<sst xmlns="http://schemas.openxmlformats.org/spreadsheetml/2006/main" count="11981" uniqueCount="1126">
  <si>
    <t>Distancias</t>
  </si>
  <si>
    <t>L1</t>
  </si>
  <si>
    <t>Garage hasta inicio recolección</t>
  </si>
  <si>
    <t>Km</t>
  </si>
  <si>
    <t>L2</t>
  </si>
  <si>
    <t>Longitud de recolección</t>
  </si>
  <si>
    <t>L3</t>
  </si>
  <si>
    <t>L4</t>
  </si>
  <si>
    <t>Transporte hasta sitio de disposición por camino principal</t>
  </si>
  <si>
    <t>Transporte hasta sitio de disposición por caminos secundarios</t>
  </si>
  <si>
    <t>L5</t>
  </si>
  <si>
    <t>Sitio de disposición hasta Garage</t>
  </si>
  <si>
    <t>Velocidades</t>
  </si>
  <si>
    <t>v1</t>
  </si>
  <si>
    <t>v2</t>
  </si>
  <si>
    <t>v3</t>
  </si>
  <si>
    <t>v4</t>
  </si>
  <si>
    <t>v5</t>
  </si>
  <si>
    <t>Velocidad correspondiente al recorrido L1</t>
  </si>
  <si>
    <t>Velocidad correspondiente al recorrido L2</t>
  </si>
  <si>
    <t>Velocidad correspondiente al recorrido L3</t>
  </si>
  <si>
    <t>Velocidad correspondiente al recorrido L4</t>
  </si>
  <si>
    <t>Velocidad correspondiente al recorrido L5</t>
  </si>
  <si>
    <t>Km/h</t>
  </si>
  <si>
    <t>Tiempos</t>
  </si>
  <si>
    <t>t1</t>
  </si>
  <si>
    <t>t2</t>
  </si>
  <si>
    <t>t3</t>
  </si>
  <si>
    <t>t4</t>
  </si>
  <si>
    <t>t5</t>
  </si>
  <si>
    <t>hs</t>
  </si>
  <si>
    <t>Tiempo correspondiente al recorrido L1</t>
  </si>
  <si>
    <t>Tiempo correspondiente al recorrido L2</t>
  </si>
  <si>
    <t>Tiempo correspondiente al recorrido L3</t>
  </si>
  <si>
    <t>Tiempo correspondiente al recorrido L4</t>
  </si>
  <si>
    <t>Tiempo correspondiente al recorrido L5</t>
  </si>
  <si>
    <t>t6</t>
  </si>
  <si>
    <t>Tiempo de descarga en sitio de disposición final</t>
  </si>
  <si>
    <t>t7</t>
  </si>
  <si>
    <t>Asociados a recorridos</t>
  </si>
  <si>
    <t>Tiempos operativos</t>
  </si>
  <si>
    <t>t8</t>
  </si>
  <si>
    <t>Tiempo ocioso</t>
  </si>
  <si>
    <t>% de tiempo ocioso</t>
  </si>
  <si>
    <t>Subtotales</t>
  </si>
  <si>
    <t>Subtotal Tiempos (recorridos y operativos)</t>
  </si>
  <si>
    <t>%</t>
  </si>
  <si>
    <t>t9</t>
  </si>
  <si>
    <t>Nro de contenedores a vaciar</t>
  </si>
  <si>
    <t>Nro</t>
  </si>
  <si>
    <t>Tiempo de descarga por contenedor</t>
  </si>
  <si>
    <t>Tiempo total de vaciado de los contenedores</t>
  </si>
  <si>
    <t>min</t>
  </si>
  <si>
    <t>Tiempo Total</t>
  </si>
  <si>
    <t>T</t>
  </si>
  <si>
    <t>Tiempo total consumido por una unidad</t>
  </si>
  <si>
    <t>Generación</t>
  </si>
  <si>
    <t>P(10)</t>
  </si>
  <si>
    <t>Población a servir al año 10</t>
  </si>
  <si>
    <t>hab</t>
  </si>
  <si>
    <t>ppc (10)</t>
  </si>
  <si>
    <t>Generación per cápita al año 10</t>
  </si>
  <si>
    <t>Kg/hab/d</t>
  </si>
  <si>
    <t>G(10)</t>
  </si>
  <si>
    <t>RSU generados al año 10</t>
  </si>
  <si>
    <t>t/d</t>
  </si>
  <si>
    <t>% cobertura del servicio al año 10</t>
  </si>
  <si>
    <t>g(10)</t>
  </si>
  <si>
    <t>F</t>
  </si>
  <si>
    <t>Frecuencia del servicio de recolección (días a la semana)</t>
  </si>
  <si>
    <t>d</t>
  </si>
  <si>
    <t>L</t>
  </si>
  <si>
    <t>M</t>
  </si>
  <si>
    <t>J</t>
  </si>
  <si>
    <t>V</t>
  </si>
  <si>
    <t>S</t>
  </si>
  <si>
    <t>D</t>
  </si>
  <si>
    <t>X</t>
  </si>
  <si>
    <t>Incremento en la generación normal a recoger en función de la cantidad de días sin servicio de acuerdo a la Frecuencia</t>
  </si>
  <si>
    <t>Factor de incremento para el día crítico en función de F</t>
  </si>
  <si>
    <t>RSU a recoger por el servicio de recolección en día normal</t>
  </si>
  <si>
    <t>gc(10)</t>
  </si>
  <si>
    <t>Factor incremento pg</t>
  </si>
  <si>
    <t>Factor de compactación en recolector</t>
  </si>
  <si>
    <t>t/m3</t>
  </si>
  <si>
    <t>RSU a recoger por el servicio de recolección en día crítico</t>
  </si>
  <si>
    <t>m3</t>
  </si>
  <si>
    <t>m3/d</t>
  </si>
  <si>
    <t>Dimensionado de flota</t>
  </si>
  <si>
    <t>Capacidad de un camión recolector</t>
  </si>
  <si>
    <t>Ci</t>
  </si>
  <si>
    <t>Ni</t>
  </si>
  <si>
    <t>Ti</t>
  </si>
  <si>
    <t>Jornada laboral</t>
  </si>
  <si>
    <t>Tiempo consumido sobre el doble turno</t>
  </si>
  <si>
    <t>Cantidad de viajes realizados dentro del doble turno</t>
  </si>
  <si>
    <t>viajes</t>
  </si>
  <si>
    <t>Volumen no recogido dentro del doble turno</t>
  </si>
  <si>
    <t>Tiempo sobrante del doble turno</t>
  </si>
  <si>
    <t>Número de unidades</t>
  </si>
  <si>
    <t>SOLVER</t>
  </si>
  <si>
    <t>unidades</t>
  </si>
  <si>
    <t>% de capacidad adicional</t>
  </si>
  <si>
    <t>Número de unidades adoptado</t>
  </si>
  <si>
    <t>Capacidad de la flota (en doble turno)</t>
  </si>
  <si>
    <t>doble turno</t>
  </si>
  <si>
    <t>capacidad comb</t>
  </si>
  <si>
    <t>Tiempo consumido sobre el turno simple</t>
  </si>
  <si>
    <t>Tiempo sobrante del turno simple</t>
  </si>
  <si>
    <t>(Poner en 1 antes de correr el Solver)</t>
  </si>
  <si>
    <t>Volumen no recogido dentro del turno simple</t>
  </si>
  <si>
    <t>Volumen recogido dentro del turno simple</t>
  </si>
  <si>
    <t>Modelo de MACRORUTEO</t>
  </si>
  <si>
    <t>LOCALIDAD:</t>
  </si>
  <si>
    <t>Capacidad (m3)</t>
  </si>
  <si>
    <t>Cantidad</t>
  </si>
  <si>
    <t>Nro. De Turnos</t>
  </si>
  <si>
    <t>Turnos</t>
  </si>
  <si>
    <t>Km recorridos por la flota</t>
  </si>
  <si>
    <t>Km recorridos por unidad</t>
  </si>
  <si>
    <t>Input Data</t>
  </si>
  <si>
    <t>$/ton</t>
  </si>
  <si>
    <t>COMPACTADOR TIPO CS6 - 12m3</t>
  </si>
  <si>
    <t>Volumen recogido por una unidad</t>
  </si>
  <si>
    <t>t/a</t>
  </si>
  <si>
    <t>$/L</t>
  </si>
  <si>
    <t>Km/L</t>
  </si>
  <si>
    <t>DESCRIPCIÓN</t>
  </si>
  <si>
    <t>UNID.</t>
  </si>
  <si>
    <t>CANT.</t>
  </si>
  <si>
    <t>C.UNIT.</t>
  </si>
  <si>
    <t>SUBTOTAL</t>
  </si>
  <si>
    <t>TOTAL</t>
  </si>
  <si>
    <t>GL</t>
  </si>
  <si>
    <t>Costos Anuales Mano de Obra</t>
  </si>
  <si>
    <t>salario</t>
  </si>
  <si>
    <t>Ayudantes</t>
  </si>
  <si>
    <t>Cargas sociales, seguros y gratificaciones</t>
  </si>
  <si>
    <t>Chofer</t>
  </si>
  <si>
    <t>Subtotal Costo anual Mano de Obra por camión</t>
  </si>
  <si>
    <t>Mano de Obra camión recolector</t>
  </si>
  <si>
    <t>Mano de Obra por camión:</t>
  </si>
  <si>
    <t>$/año</t>
  </si>
  <si>
    <t>Valor Actual (Inversión + Costo Operativo)</t>
  </si>
  <si>
    <t>1Turno</t>
  </si>
  <si>
    <t>2Turnos</t>
  </si>
  <si>
    <t>$/Km</t>
  </si>
  <si>
    <t>Observaciones</t>
  </si>
  <si>
    <t>Volumen recogido en un doble turno (incluye el del 1er T)</t>
  </si>
  <si>
    <t>Longitud de Recolección</t>
  </si>
  <si>
    <t>ZONA</t>
  </si>
  <si>
    <t>ÁREA (m2)</t>
  </si>
  <si>
    <t>MANZANAS</t>
  </si>
  <si>
    <t>CUADRAS</t>
  </si>
  <si>
    <t>TOTALES</t>
  </si>
  <si>
    <t>Area Promedio de Mz. Virtual</t>
  </si>
  <si>
    <t>m2</t>
  </si>
  <si>
    <t>Cantidad de Cuadras Virtuales a recorrer</t>
  </si>
  <si>
    <t>Longitud Media de Cuadra Virtual</t>
  </si>
  <si>
    <t>m</t>
  </si>
  <si>
    <t>cuadras</t>
  </si>
  <si>
    <t>Longitud Media Total a Recorrer de Recolección</t>
  </si>
  <si>
    <t>Longitud Media Total a Recorrer adoptada</t>
  </si>
  <si>
    <t>COMPACTADOR TIPO CS6 - 15m3</t>
  </si>
  <si>
    <t>COMPACTADOR TIPO CS6 - 18m3</t>
  </si>
  <si>
    <t>Valor Actual (Inv + COp)</t>
  </si>
  <si>
    <t>COMPACTADOR TIPO CS6 - 17m3</t>
  </si>
  <si>
    <t>COMPACTADOR TIPO CS6 - 16m3</t>
  </si>
  <si>
    <t>COMPACTADOR TIPO CS6 - 21m3</t>
  </si>
  <si>
    <t>COMPACTADOR TIPO CS6 - 19m3</t>
  </si>
  <si>
    <t>Barrenderos</t>
  </si>
  <si>
    <t>Para BuscarV</t>
  </si>
  <si>
    <t>2 TURNOS</t>
  </si>
  <si>
    <t>1 TURNO</t>
  </si>
  <si>
    <t>hab/H</t>
  </si>
  <si>
    <t>Densidad poblacional</t>
  </si>
  <si>
    <t>Precio Gasoil</t>
  </si>
  <si>
    <t>Velocidad promedio del camión en la jornada</t>
  </si>
  <si>
    <t>Datos varios</t>
  </si>
  <si>
    <t>% máx. de Capacidad adicional (en 2T)</t>
  </si>
  <si>
    <t>Modelo de MACRORUTEO - RECOLECCIÓN DE RSU</t>
  </si>
  <si>
    <t>COMPACTADOR TIPO CS6 - 9m3</t>
  </si>
  <si>
    <t>Tiempo consumido por un equipo</t>
  </si>
  <si>
    <t>Costos de Inversión y Operación de Camiones Recolectores</t>
  </si>
  <si>
    <t>Camión o semi</t>
  </si>
  <si>
    <t>Costo anual de reparaciones</t>
  </si>
  <si>
    <t>Número de neumáticos</t>
  </si>
  <si>
    <t>Costo de reemplazo por neumático</t>
  </si>
  <si>
    <t>Vida útil por neumático</t>
  </si>
  <si>
    <t>Toneladas transportadas por año</t>
  </si>
  <si>
    <t>Tasa de Interés (o Costo de Oportunidad)</t>
  </si>
  <si>
    <t>Precio de combustible</t>
  </si>
  <si>
    <t>Velocidad media de transporte</t>
  </si>
  <si>
    <t>Costo anual de seguro</t>
  </si>
  <si>
    <t>Costo anual de licencia (patente)</t>
  </si>
  <si>
    <t>Costo laboral (chofer + 2 ayudantes)</t>
  </si>
  <si>
    <t>Semi-remolque (dejar en blanco para camión sencillo)</t>
  </si>
  <si>
    <t>Precio de compra</t>
  </si>
  <si>
    <t>Años de vida útil</t>
  </si>
  <si>
    <t>Valor residual esperado al final de la vida útil</t>
  </si>
  <si>
    <t>Costos de Inversión</t>
  </si>
  <si>
    <t>Recuperación de capital (intereses y amortización)</t>
  </si>
  <si>
    <t>Costos de patente y seguros</t>
  </si>
  <si>
    <t>Costos Operativos</t>
  </si>
  <si>
    <t>Costo de Reparación</t>
  </si>
  <si>
    <t>Costo de Neumáticos</t>
  </si>
  <si>
    <t>Costo de combustible y lubricantes</t>
  </si>
  <si>
    <t>Total de Costos Operativos</t>
  </si>
  <si>
    <t>Total de Costos de Inversión y Costos Operativos</t>
  </si>
  <si>
    <t>Total Costos de Inversión</t>
  </si>
  <si>
    <t>Ingreso de Datos</t>
  </si>
  <si>
    <t>años</t>
  </si>
  <si>
    <t>ton/año</t>
  </si>
  <si>
    <t>$/hora</t>
  </si>
  <si>
    <t>Km recorridos por año</t>
  </si>
  <si>
    <t>Rendimiento del combustible</t>
  </si>
  <si>
    <t>Fuente: Ag Decision Maker decision tool A3-29 "Grain Truck Transportation Calculator", Iowa State University Extension, Ames, Iowa</t>
  </si>
  <si>
    <t>Costo laboral</t>
  </si>
  <si>
    <t>Costos de Camiones Recolectores</t>
  </si>
  <si>
    <t>Vida útil</t>
  </si>
  <si>
    <t>Costos Mano de Obra Camión Recolector</t>
  </si>
  <si>
    <t>Ayudante</t>
  </si>
  <si>
    <t>Reserva</t>
  </si>
  <si>
    <t>Km/d a recorrer por unidad</t>
  </si>
  <si>
    <t>t/año transportadas por unidad</t>
  </si>
  <si>
    <t>Totales</t>
  </si>
  <si>
    <t>Cantidad vehículos a adquirir</t>
  </si>
  <si>
    <t>Cantidad vehículos a adquirir (reserva)</t>
  </si>
  <si>
    <t>Localidad:</t>
  </si>
  <si>
    <t>Evaluación Económica de Alternativas de equipos de recolección (compactadores)</t>
  </si>
  <si>
    <t>Modelo de MACRORUTEO - LEVANTAMIENTO DE RESIDUOS DE PODA Y BARRIDO</t>
  </si>
  <si>
    <t>Factor de compactación en camión volcador</t>
  </si>
  <si>
    <t>Evaluación Económica de Alternativas de equipos de recolección (podas)</t>
  </si>
  <si>
    <t>ALTERNATIVAS PARA EL SERVICIO DE BARRIDO MUNICIPAL</t>
  </si>
  <si>
    <t>ALTERNATIVA 1: SIN BARRIDO MECÁNICO</t>
  </si>
  <si>
    <t>ALTERNATIVA 2: CON BARRIDO MECÁNICO</t>
  </si>
  <si>
    <t>Cantidad de barrenderos/1000 hab (valor típico)</t>
  </si>
  <si>
    <t>Habitantes a servir</t>
  </si>
  <si>
    <t>Longitud de calles a barrer</t>
  </si>
  <si>
    <t>Frecuencia promedio de barrido</t>
  </si>
  <si>
    <t>veces/semana</t>
  </si>
  <si>
    <t>h/a</t>
  </si>
  <si>
    <t>Días hábiles</t>
  </si>
  <si>
    <t>Rendimiento barredora mecánica</t>
  </si>
  <si>
    <t>Km/d</t>
  </si>
  <si>
    <t>Rendimiento barrido manual</t>
  </si>
  <si>
    <t>Longitud semanal a barrer</t>
  </si>
  <si>
    <t>Longitud semanal barrida con barredora mecánica</t>
  </si>
  <si>
    <t>Longitud semanal remanente a ser barrida manualmente</t>
  </si>
  <si>
    <t>Longitud semanal barrida con barrido manual (1 barredor)</t>
  </si>
  <si>
    <t>Nro. De barrenderos necesarios</t>
  </si>
  <si>
    <t>Barrenderos para plazas y otros</t>
  </si>
  <si>
    <t>Total de barrenderos necesarios</t>
  </si>
  <si>
    <t>Inversión barredora</t>
  </si>
  <si>
    <t>$</t>
  </si>
  <si>
    <t>Inversión barredora (tractor + barredora)</t>
  </si>
  <si>
    <t>Costo operativo barredora</t>
  </si>
  <si>
    <t>Costo operativo barredora (chofer + hs/año)</t>
  </si>
  <si>
    <t>Costo operativo 1 barrendero</t>
  </si>
  <si>
    <t>Costo operativo barrenderos</t>
  </si>
  <si>
    <t>Años</t>
  </si>
  <si>
    <t>Tasa</t>
  </si>
  <si>
    <t>VA</t>
  </si>
  <si>
    <t>m3*h/Km</t>
  </si>
  <si>
    <t>Nro. máx de viajes que puede realizarse dentro del doble turno</t>
  </si>
  <si>
    <t>COMPACTADOR TIPO CS6 - 6m3</t>
  </si>
  <si>
    <t>COMPACTADOR TIPO CS6 - 24m3</t>
  </si>
  <si>
    <t xml:space="preserve">EQUIPOS NECESARIOS </t>
  </si>
  <si>
    <t xml:space="preserve">Detalle </t>
  </si>
  <si>
    <t xml:space="preserve">Precio Unitario </t>
  </si>
  <si>
    <t xml:space="preserve">Subtotal Parcial  </t>
  </si>
  <si>
    <t xml:space="preserve">Equipos pesados </t>
  </si>
  <si>
    <t xml:space="preserve">Compactadores </t>
  </si>
  <si>
    <t xml:space="preserve">Volcadores </t>
  </si>
  <si>
    <t>Chipeadoras</t>
  </si>
  <si>
    <t>Barredora mecánica</t>
  </si>
  <si>
    <t xml:space="preserve">Equipos livianos </t>
  </si>
  <si>
    <t xml:space="preserve">Camionetas Pick -Up-Supervison </t>
  </si>
  <si>
    <t>OTRAS INVERSIONES</t>
  </si>
  <si>
    <t>Incluye equipamiento para barrido manual, limpieza de plazas, corte de pasto, oficina de inspección, taller de mantenimiento liviano, etc.</t>
  </si>
  <si>
    <t>TOTAL INVERSIONES</t>
  </si>
  <si>
    <t xml:space="preserve">COSTO DE  OTRAS INVERSIONES </t>
  </si>
  <si>
    <t xml:space="preserve">TIPO </t>
  </si>
  <si>
    <t xml:space="preserve">DETALLE </t>
  </si>
  <si>
    <t xml:space="preserve">Subtotal Total  </t>
  </si>
  <si>
    <t xml:space="preserve">Auxiliares para barrido , </t>
  </si>
  <si>
    <t xml:space="preserve">Carros, palas, cepillos, escobas, escobillas, secadores, puntas, etc.), </t>
  </si>
  <si>
    <t xml:space="preserve">Auxiliares limpieza de Plazas </t>
  </si>
  <si>
    <t xml:space="preserve">Auxiliares corte de pasto </t>
  </si>
  <si>
    <t>Motoguadañas  y accesorios (carretillas, bolsas,rastrillos etc…</t>
  </si>
  <si>
    <t>Oficinas Base -Instalaciones- Garage y Taller</t>
  </si>
  <si>
    <t xml:space="preserve">Equipos de Computacion </t>
  </si>
  <si>
    <t xml:space="preserve">Notebooks </t>
  </si>
  <si>
    <t>Equipos de comunicacion base</t>
  </si>
  <si>
    <t xml:space="preserve">Radios moviles -celulares </t>
  </si>
  <si>
    <t xml:space="preserve">Tareas preparatorias en predio </t>
  </si>
  <si>
    <t>Provision y colocacion de alambrado perimetral</t>
  </si>
  <si>
    <t>Oficinas para supervison (30m2)</t>
  </si>
  <si>
    <t xml:space="preserve">Galpon p/  Taller  (100 m2) </t>
  </si>
  <si>
    <t>Galpon  p/ Garage  (500 m2)</t>
  </si>
  <si>
    <t xml:space="preserve">Instalaciones sanitarias </t>
  </si>
  <si>
    <t xml:space="preserve">Instalaciones electricas </t>
  </si>
  <si>
    <t xml:space="preserve">Taller mantenimiento liviano </t>
  </si>
  <si>
    <t xml:space="preserve">Depositos repuestos, materiales y suministros </t>
  </si>
  <si>
    <t xml:space="preserve">Garita de control y seguridad </t>
  </si>
  <si>
    <t xml:space="preserve">TOTAL OTRAS INVERSIONES </t>
  </si>
  <si>
    <t>Costo Operativo camiones compactadores</t>
  </si>
  <si>
    <t>Km/año</t>
  </si>
  <si>
    <t>Costo Operativo camiones volcadores</t>
  </si>
  <si>
    <t>Costo Operativo Barredora Mecánica</t>
  </si>
  <si>
    <t>hs/año</t>
  </si>
  <si>
    <t>Varios</t>
  </si>
  <si>
    <t>Choferes</t>
  </si>
  <si>
    <t xml:space="preserve">Personal de servicios especiales </t>
  </si>
  <si>
    <t xml:space="preserve">Personal mantenimiento </t>
  </si>
  <si>
    <t>Supervisores</t>
  </si>
  <si>
    <t>Administrativo</t>
  </si>
  <si>
    <t>Precio compra equipo</t>
  </si>
  <si>
    <t>Costos Operativos
$/Km</t>
  </si>
  <si>
    <t>Tasa para Valor Actual</t>
  </si>
  <si>
    <t>Tiempo total de llenado de la batea</t>
  </si>
  <si>
    <t>RSU dispuesto en la ET por el servicio de recolección</t>
  </si>
  <si>
    <t>Factor de compactación en batea</t>
  </si>
  <si>
    <t>RSU a recoger por el transporte asociado</t>
  </si>
  <si>
    <t>Costos de Camiones TA</t>
  </si>
  <si>
    <t>Precio camión</t>
  </si>
  <si>
    <t>Costos Mano de Obra Camión TA</t>
  </si>
  <si>
    <t>Modelo de TRANSPORTE ASOCIADO</t>
  </si>
  <si>
    <t>Costos de Inversión y Operación de Camiones para TA</t>
  </si>
  <si>
    <t>CAMIÓN PARA TA - 25m3</t>
  </si>
  <si>
    <t>Costo laboral (chofer)</t>
  </si>
  <si>
    <t>CAMIÓN PARA TA - 30m3</t>
  </si>
  <si>
    <t>CAMIÓN PARA TA - 35m3</t>
  </si>
  <si>
    <t>CAMIÓN PARA TA - 40m3</t>
  </si>
  <si>
    <t>CAMIÓN PARA TA - 45m3</t>
  </si>
  <si>
    <t>CAMIÓN PARA TA - 50m3</t>
  </si>
  <si>
    <t>Camiones de TA</t>
  </si>
  <si>
    <t>Costo Operativo camiones TA</t>
  </si>
  <si>
    <t>INVERSION EN FLOTA RECOLECCIÓN</t>
  </si>
  <si>
    <t>TOTAL INVERSIONES RECOLECCIÓN</t>
  </si>
  <si>
    <t>VA INVERSIONES RECOLECCIÓN</t>
  </si>
  <si>
    <t>INVERSION EN FLOTA TA</t>
  </si>
  <si>
    <t>Subtotal Costo anual Gastos Generales Recolección</t>
  </si>
  <si>
    <t>Costos Anuales Mano de Obra Recolección</t>
  </si>
  <si>
    <t>Subtotal Costo anual Mano de Obra Recolección</t>
  </si>
  <si>
    <t>COSTOS DE OPERACIÓN ANUALES Recolección</t>
  </si>
  <si>
    <t>VA COSTOS DE OPERACIÓN ANUALES Recolección</t>
  </si>
  <si>
    <t>Costo de Indumentaria del personal</t>
  </si>
  <si>
    <t>conjuntos</t>
  </si>
  <si>
    <t>Costo Promedio de Indumentaria</t>
  </si>
  <si>
    <t xml:space="preserve">Modelo de TRANSPORTE ASOCIADO </t>
  </si>
  <si>
    <t>DATOS</t>
  </si>
  <si>
    <t>1 ft</t>
  </si>
  <si>
    <t>ywd =</t>
  </si>
  <si>
    <t>días/año</t>
  </si>
  <si>
    <t>Días de trabajo en el año</t>
  </si>
  <si>
    <t>1 lb</t>
  </si>
  <si>
    <t>Kg</t>
  </si>
  <si>
    <t>Ton</t>
  </si>
  <si>
    <t>stor =</t>
  </si>
  <si>
    <t>días</t>
  </si>
  <si>
    <t>Tiempo de almacenaje en el piso</t>
  </si>
  <si>
    <t>Dato pedido a Miguel</t>
  </si>
  <si>
    <t>1 yd</t>
  </si>
  <si>
    <t xml:space="preserve">ht = </t>
  </si>
  <si>
    <t>Altura de almacenaje de desechos en el piso</t>
  </si>
  <si>
    <t>1m</t>
  </si>
  <si>
    <t>yd</t>
  </si>
  <si>
    <t>ft</t>
  </si>
  <si>
    <t>1 acre</t>
  </si>
  <si>
    <t>ha</t>
  </si>
  <si>
    <t>D_cv =</t>
  </si>
  <si>
    <t>ton / m3</t>
  </si>
  <si>
    <t>Densidad de desechos en el piso</t>
  </si>
  <si>
    <t>No pedido a Miguel, asumiremos este valor</t>
  </si>
  <si>
    <t>1 ha</t>
  </si>
  <si>
    <t>acre</t>
  </si>
  <si>
    <t>lb/cu.yd</t>
  </si>
  <si>
    <t>1 galón</t>
  </si>
  <si>
    <t>litros</t>
  </si>
  <si>
    <t>single_cv_ul_a</t>
  </si>
  <si>
    <t>Área requerida para descargar de un único vehículo de recolección</t>
  </si>
  <si>
    <t>1 litro</t>
  </si>
  <si>
    <t>galones</t>
  </si>
  <si>
    <t>sq.ft</t>
  </si>
  <si>
    <t>1 lb/cu.yd</t>
  </si>
  <si>
    <t>ton/m3</t>
  </si>
  <si>
    <t>cv_ul_hr=</t>
  </si>
  <si>
    <t>horas</t>
  </si>
  <si>
    <t>Tiempo de descarga de un vehículo de recolección</t>
  </si>
  <si>
    <t>peak_fct =</t>
  </si>
  <si>
    <t>sin unidad</t>
  </si>
  <si>
    <t>Factor de pico de llegada de vehículos de recolección</t>
  </si>
  <si>
    <t>EWH_d =</t>
  </si>
  <si>
    <t>hs/día</t>
  </si>
  <si>
    <t>Duración efectiva del día de trabajo, día de trabajo menos cortes y paradas</t>
  </si>
  <si>
    <t>Costos ET</t>
  </si>
  <si>
    <t>cv_load =</t>
  </si>
  <si>
    <t>ton</t>
  </si>
  <si>
    <t>Peso promedio de RSU en un único vehículo de recolección</t>
  </si>
  <si>
    <t>Costos Inversión</t>
  </si>
  <si>
    <t>lb</t>
  </si>
  <si>
    <t>Construcción &lt;----- TR1</t>
  </si>
  <si>
    <t>ld_bay_a=</t>
  </si>
  <si>
    <t>Área requerida de carga de un trailer</t>
  </si>
  <si>
    <t>Equipamiento &lt;---- TA</t>
  </si>
  <si>
    <t>load_hr</t>
  </si>
  <si>
    <t>Tiempo de carga del trailer</t>
  </si>
  <si>
    <t>Costos Operarios (WG_AC) &lt;----- TR1</t>
  </si>
  <si>
    <t>tr_rep_hr</t>
  </si>
  <si>
    <t>Tiempo de reemplazo del trailer lleno</t>
  </si>
  <si>
    <t>Costos de Energía (FAC_E_AC) &lt;----- TR1</t>
  </si>
  <si>
    <t>tr_vol_cap =</t>
  </si>
  <si>
    <t>Capacidad del trailer de transferencia</t>
  </si>
  <si>
    <t>cu.yd</t>
  </si>
  <si>
    <t>tr_d</t>
  </si>
  <si>
    <t>Ton/m3</t>
  </si>
  <si>
    <t>Densidad de RSU en el vehículo de transferencia</t>
  </si>
  <si>
    <t>off_area_r</t>
  </si>
  <si>
    <t>Fracción de la instalación atribuida al espacio de oficina</t>
  </si>
  <si>
    <t>Calcularlo con Martín en plano de ET de BdT</t>
  </si>
  <si>
    <t>const_c =</t>
  </si>
  <si>
    <t>land_area_r =</t>
  </si>
  <si>
    <t>sq.ft/sq.ft</t>
  </si>
  <si>
    <t>Relación área terreno / área construida</t>
  </si>
  <si>
    <t>sitew_c =</t>
  </si>
  <si>
    <t>eng_r =</t>
  </si>
  <si>
    <t>Costo de ingeniería, permisos y contingencia de la construcción de la instalación como fracción de los costos de construcción y preparación del sitio</t>
  </si>
  <si>
    <t>land_C =</t>
  </si>
  <si>
    <t>Costo de adquisición del terreno</t>
  </si>
  <si>
    <t>CRF</t>
  </si>
  <si>
    <t>de Tabla 1 de Anexo 5</t>
  </si>
  <si>
    <t>op_req =</t>
  </si>
  <si>
    <t>hr/día/TPD</t>
  </si>
  <si>
    <t>Horas de trabajo de operarios requeridas por ton</t>
  </si>
  <si>
    <t>mang_r =</t>
  </si>
  <si>
    <t>Precio de la administración como fracción del costo de mano de obra</t>
  </si>
  <si>
    <t>fac_e =</t>
  </si>
  <si>
    <t>Uso de electricidad en la instalación</t>
  </si>
  <si>
    <t>kWh/sq.ft-día</t>
  </si>
  <si>
    <t>elec_c =</t>
  </si>
  <si>
    <t>=</t>
  </si>
  <si>
    <t>donde</t>
  </si>
  <si>
    <t>FAC_AC =</t>
  </si>
  <si>
    <t>Costos de Inversión de la Instalación</t>
  </si>
  <si>
    <t>EQ 3.1.2</t>
  </si>
  <si>
    <r>
      <t xml:space="preserve">(Construcción + Pavimentación y sitio de trabajo + Terreno + Ingeniería) x </t>
    </r>
    <r>
      <rPr>
        <b/>
        <sz val="14"/>
        <color theme="5" tint="0.39997558519241921"/>
        <rFont val="Calibri"/>
        <family val="2"/>
        <scheme val="minor"/>
      </rPr>
      <t>CRF</t>
    </r>
    <r>
      <rPr>
        <b/>
        <sz val="11"/>
        <color theme="1"/>
        <rFont val="Calibri"/>
        <family val="2"/>
        <scheme val="minor"/>
      </rPr>
      <t xml:space="preserve"> =</t>
    </r>
  </si>
  <si>
    <t>Ya que  los costos de inversión de la instalación son dependientes del área a construir de la ET requerida por ton de RSU procesado,</t>
  </si>
  <si>
    <t>los cálculos comienzan por determinar el área de construcción como la suma de varias área requeridas</t>
  </si>
  <si>
    <t>EQ 3.1.3</t>
  </si>
  <si>
    <t>Área de Instalación por Ton de RSU =</t>
  </si>
  <si>
    <t>Almacenamiento de Desechos + Descarga vehículo recolección + Carga camión T.A. + Espacio de OfIcina =</t>
  </si>
  <si>
    <r>
      <t>El  área para almacenamiento de desechos en el piso</t>
    </r>
    <r>
      <rPr>
        <b/>
        <sz val="16"/>
        <color theme="1"/>
        <rFont val="Calibri"/>
        <family val="2"/>
        <scheme val="minor"/>
      </rPr>
      <t xml:space="preserve"> </t>
    </r>
    <r>
      <rPr>
        <sz val="11"/>
        <color theme="1"/>
        <rFont val="Calibri"/>
        <family val="2"/>
        <scheme val="minor"/>
      </rPr>
      <t>es calculado así:</t>
    </r>
  </si>
  <si>
    <t>EQ 3.1.4</t>
  </si>
  <si>
    <t>STR_A =</t>
  </si>
  <si>
    <t>sq.ft/TPD</t>
  </si>
  <si>
    <t>1.25 * stor * 2000 * 27</t>
  </si>
  <si>
    <t>ht * D_cv</t>
  </si>
  <si>
    <t>m2/TPD</t>
  </si>
  <si>
    <t>Área de almacenamiento de desechos en el piso</t>
  </si>
  <si>
    <t>1.25 factor para contabilizar la distribución de residuos en el piso y maniobra de vehículos</t>
  </si>
  <si>
    <t>2000 lb/ton y 27 cu.rt/cu.yd factores de conversión</t>
  </si>
  <si>
    <t>Cuando se elige la opción de descarga directa en el piso, el valor por defecto del tiempo de almacenaje en el piso es cero</t>
  </si>
  <si>
    <t xml:space="preserve">Para la opción de descarga directa en el piso, el espacio de almacenaje requerido para desechos durante el mal funcionamiento de </t>
  </si>
  <si>
    <t>los equipos está incluido en las áreas de descarga de los vehículos</t>
  </si>
  <si>
    <t>El área de descarga para vehículos de recolección por ton procesada se determina por:</t>
  </si>
  <si>
    <t>EQ 3.1.5</t>
  </si>
  <si>
    <t>CV_UL_A =</t>
  </si>
  <si>
    <t>single_cv_ul_a*cv_ul_hr*2000*peak_fct</t>
  </si>
  <si>
    <t>Ewh_d * cv_load</t>
  </si>
  <si>
    <t>Área requerida para descarga de los vehículos de recolección</t>
  </si>
  <si>
    <t>2000 lb/ton factor de conversión</t>
  </si>
  <si>
    <t>El factor de pico en la llegada de vehículos es un factor que cuando se multiplica por el promedio  de llegadas por hora</t>
  </si>
  <si>
    <t>da el pico diario de llegadas</t>
  </si>
  <si>
    <t>El área de carga de camiones de T.A. por ton de RSU procesado está determinado por:</t>
  </si>
  <si>
    <t>EQ 3.1.6</t>
  </si>
  <si>
    <t>LD_A=</t>
  </si>
  <si>
    <t>ld_bay_a*(load_hr+tr_rep_hr)*2000</t>
  </si>
  <si>
    <t>Ewh_d * tr_vol_cap*tr_d</t>
  </si>
  <si>
    <t>LD_A =</t>
  </si>
  <si>
    <t>Área requerida para carga del trailer</t>
  </si>
  <si>
    <t>se aplica a la suma de los requerimientos de áreas calculados arriba para obtener el total de área de la instalación.</t>
  </si>
  <si>
    <t>EQ 3.1.7</t>
  </si>
  <si>
    <t>FAC_A =</t>
  </si>
  <si>
    <t>(STR_A+LD_A+CV_UL_A) *(1+off_area_r) =</t>
  </si>
  <si>
    <t>acres</t>
  </si>
  <si>
    <t>Si tenemos un área de buffer de 25 m de ancho, tenemos esta superficie</t>
  </si>
  <si>
    <t>Área total  de la instalación</t>
  </si>
  <si>
    <t>Esto permite comparar con gráfico de área de ET (copiar de PDF)</t>
  </si>
  <si>
    <t>Una vez calculada el área, entonces los componentes de costo de Inversión de la Instalación (EQ 3.1.2) se pueden determinar.</t>
  </si>
  <si>
    <t>La primer componente, costo de construcción, se calcula de la siguiente manera:</t>
  </si>
  <si>
    <t>EQ 3.1.8</t>
  </si>
  <si>
    <t>const_C =</t>
  </si>
  <si>
    <t>FAC_A * const_c</t>
  </si>
  <si>
    <t>Costo de construcción de la instalación</t>
  </si>
  <si>
    <t>Área total  de la instalación (EQ3.1.7)</t>
  </si>
  <si>
    <r>
      <t xml:space="preserve">Tasa de costo de construcción </t>
    </r>
    <r>
      <rPr>
        <b/>
        <sz val="11"/>
        <color theme="1"/>
        <rFont val="Calibri"/>
        <family val="2"/>
        <scheme val="minor"/>
      </rPr>
      <t>(de Excel ET Miguel)</t>
    </r>
  </si>
  <si>
    <t>EQ 3.1.9</t>
  </si>
  <si>
    <t>sitew_C =</t>
  </si>
  <si>
    <t>FAC_A * land_area_r*sitew_c</t>
  </si>
  <si>
    <t>Costo de pavimentación y preparación del sitio</t>
  </si>
  <si>
    <t>Tasa de costo de pavimento y preparación del sitio</t>
  </si>
  <si>
    <r>
      <t xml:space="preserve">Las bases de los valores predeterminados para los costos de construcción y los costos de pavimentación y preparación de sitios se proporcionan en el </t>
    </r>
    <r>
      <rPr>
        <b/>
        <sz val="14"/>
        <color theme="1"/>
        <rFont val="Calibri"/>
        <family val="2"/>
        <scheme val="minor"/>
      </rPr>
      <t>Cómputo y Presupuesto adjunto</t>
    </r>
    <r>
      <rPr>
        <sz val="11"/>
        <color theme="1"/>
        <rFont val="Calibri"/>
        <family val="2"/>
        <scheme val="minor"/>
      </rPr>
      <t>. Los pavimentos y preparación de sitios tienen en cuenta el movimiento de tierras, pavimentación, drenaje, y el cercado para el sitio entero (incluyendo el espacio de maniobra de vehículos y las carreteras a lo largo de la instalación). El requisito de área del sitio se basa en una relación de área de terreno-edificio.</t>
    </r>
  </si>
  <si>
    <t>Se calcula la contribución de la ingeniería, permisos, y la contingencia al costo de inversión de la instalación así:</t>
  </si>
  <si>
    <t>EQ 3.1.10</t>
  </si>
  <si>
    <t>eng_C =</t>
  </si>
  <si>
    <t>(const_C +sitew_C) * eng_r</t>
  </si>
  <si>
    <t>Costo de ingeniería, permisos y contingencia de la construcción de la instalación</t>
  </si>
  <si>
    <t>EQ 3.1.11</t>
  </si>
  <si>
    <t>FAC_A * land_area_r * land_c</t>
  </si>
  <si>
    <t>Costo de inversión en terreno</t>
  </si>
  <si>
    <t>Área total  de la instalación por capacitdad diaria (EQ3.1.7)</t>
  </si>
  <si>
    <t>Proporción construida en el terreno</t>
  </si>
  <si>
    <t>y 43561 sq.ft/acre</t>
  </si>
  <si>
    <t>EQ 3.1.18</t>
  </si>
  <si>
    <t>FAC_E_AC =</t>
  </si>
  <si>
    <t>fac_e*FAC_A*elec_c*ywd</t>
  </si>
  <si>
    <t>Costo de energía de la instalación</t>
  </si>
  <si>
    <t>Área requerida para la ET (EQ3.1.7)</t>
  </si>
  <si>
    <t>COTIZACION CONSTRUCCION ESTACION DE TRANSFERENCIA DE RSU - CAT - ALTERNATIVA BC</t>
  </si>
  <si>
    <t xml:space="preserve">CÓMPUTO Y PRESUPUESTO PRELIMINAR                                                                      </t>
  </si>
  <si>
    <t>CAPACIDAD DE GESTIÓN DE RSU:</t>
  </si>
  <si>
    <t>Costos Unitarios para modelo de ET</t>
  </si>
  <si>
    <t>Item</t>
  </si>
  <si>
    <t>Tareas a realizar</t>
  </si>
  <si>
    <t>Cantidades estimadas</t>
  </si>
  <si>
    <t>Precios Unitarios</t>
  </si>
  <si>
    <t xml:space="preserve">Montos totales </t>
  </si>
  <si>
    <t>% total</t>
  </si>
  <si>
    <t>TRABAJOS PRELIMINARES</t>
  </si>
  <si>
    <t>Ejecución y colocación de cartelería de obra - Construcción de Obrador - Provisión luz de obra - Provisión agua de obra - Replanteo</t>
  </si>
  <si>
    <t>Global</t>
  </si>
  <si>
    <t>B/.</t>
  </si>
  <si>
    <t>OBRAS CIVILES</t>
  </si>
  <si>
    <t>MOVIMIENTO DE SUELO</t>
  </si>
  <si>
    <t>2.1</t>
  </si>
  <si>
    <t>Desmonte y nivelación inicial</t>
  </si>
  <si>
    <r>
      <t>m</t>
    </r>
    <r>
      <rPr>
        <vertAlign val="superscript"/>
        <sz val="11"/>
        <rFont val="Calibri"/>
        <family val="2"/>
      </rPr>
      <t>3</t>
    </r>
  </si>
  <si>
    <t>2.2</t>
  </si>
  <si>
    <t>Entoscado y compactación de la zona de Caminos de circulación Interna, Subrrasante.</t>
  </si>
  <si>
    <t>2.3</t>
  </si>
  <si>
    <t>Entoscado y compactación de la zona de Galera ó Nave Industrial.</t>
  </si>
  <si>
    <t>2.4</t>
  </si>
  <si>
    <t>Construcción de Caminos de circulación en Adoquines de H°</t>
  </si>
  <si>
    <t>Construcción de Pavimentos de circulación interna confeccionados en adoquines de hormigón reforzado con terminación de cordón cunetas, Incluye Subbase, Base y Rodadura.-</t>
  </si>
  <si>
    <r>
      <t>m</t>
    </r>
    <r>
      <rPr>
        <vertAlign val="superscript"/>
        <sz val="11"/>
        <rFont val="Calibri"/>
        <family val="2"/>
      </rPr>
      <t>2</t>
    </r>
  </si>
  <si>
    <t xml:space="preserve">ver  B84 </t>
  </si>
  <si>
    <t>2.5</t>
  </si>
  <si>
    <t>ESTRUCTURA DE HORMIGÓN</t>
  </si>
  <si>
    <t>2.5.1</t>
  </si>
  <si>
    <t>Construcción de muros de hormigón armado de 0,20 m de espesor en sector de operaciones para descarga y carga de RSU</t>
  </si>
  <si>
    <t>544 hormigones. Item 0430</t>
  </si>
  <si>
    <t>2.5.2</t>
  </si>
  <si>
    <t>PAVIMENTO SOBRE PLAYA DE DESCARGA  Y MANIOBRAS</t>
  </si>
  <si>
    <t>Construcción de pavimento de hormigón, sobre suelo preparado con tosca compactada, de 0,30 m de espesor de resitencia H-30</t>
  </si>
  <si>
    <t>2.5.3</t>
  </si>
  <si>
    <t xml:space="preserve">Construcción de Galera ó Nave Industial, completa con cerramientos, sistema de pluviales con colección sobre tanques de agua. Sistema contra incendio, señalización vertical, demarcación de circulación vial y peatonal.- </t>
  </si>
  <si>
    <t>ver B 60</t>
  </si>
  <si>
    <t>2.5.4</t>
  </si>
  <si>
    <t>Construcción canal drenaje de líquidos lavado de planta de 0,40 m de ancho, altura variable, espesor 0,10 m con provisión de rejas metálicas</t>
  </si>
  <si>
    <t>2.5.5</t>
  </si>
  <si>
    <t>Construcción de cámara de almacenamiento de líquidos de lavado de planta de H°A° de 4,00 m de díametro , esp 0,20 m profundidad 2,8 m  Impermeabilizada. Provista con Tapa de Hº Aº de 0,20 m de espesor.</t>
  </si>
  <si>
    <t>unidad</t>
  </si>
  <si>
    <t>Item 0430 y 0660</t>
  </si>
  <si>
    <t>2.5.8</t>
  </si>
  <si>
    <t>Construcción de sedimentador de barros de hº aº, muros 0,15 de espesor, ancho útil 1,00 m largo útil 3,00 m profundidad media 2,20 m, losa de fondo espesor 0,15 m</t>
  </si>
  <si>
    <t>2.3.4</t>
  </si>
  <si>
    <t>544. Item 0430 y M.O general</t>
  </si>
  <si>
    <t xml:space="preserve">INSTALACIÓN SANITARIA </t>
  </si>
  <si>
    <t>3.1</t>
  </si>
  <si>
    <t>Conexión de cañerías de servicios de agua,  cloacales.  Con su correspondiente acometida de servicio directo. Con perforacion y electrobomba sumergible de 2hp monofasica.</t>
  </si>
  <si>
    <t>INSTALACIÓN ELÉCTRICA general (nave/oficina)</t>
  </si>
  <si>
    <t>4.1</t>
  </si>
  <si>
    <t xml:space="preserve">Provisión, colocación y cableado de: 1 Tablero normalizado seccional monofásico , con 1 interruptor termo magnético general, 2 disyuntores generales , 2 líneas para circuitos de tomas de uso general, 1 línea para tomas de línea estabilizada, 1 línea para iluminación interior, 1 línea para aire acondicionado y 1 línea para iluminación exterior, todas con su respectiva puesta a tierra.   Las cañerías interiores serán a la vista en PVC estanco, color  blanco. En oficinas serán embutidas. Incluye la conexión y el tendido de cables de primera calidad.                                                                </t>
  </si>
  <si>
    <t>ver B 70</t>
  </si>
  <si>
    <t>DEPOSITO Y MANTENIMIENTO (este item NO esta en el CAD)</t>
  </si>
  <si>
    <t>5.1</t>
  </si>
  <si>
    <t>Provisión y colocación de alambrado perimetral entre columnas, con provisión y colocación de portón de dos hojas de abrir construidos en perfiles T y bastidores de pefil ángulo con alambre, provisto de caja de cerradura</t>
  </si>
  <si>
    <t>5.2</t>
  </si>
  <si>
    <t>INSTALACIÓN ELÉCTRICA</t>
  </si>
  <si>
    <t>5.2.1</t>
  </si>
  <si>
    <t>Provisión, colocación de cañería  y cableado de: 1 Tablero normalizado seccional trifásico , con 1 interruptor termo magnético general, 2 disyuntores generales , 2 líneas para circuitos de tomas de uso general, 1 línea para tomas de línea estabilizada, 1 línea para iluminación interior, y 1 línea para iluminación exterior, todas con su respectiva puesta a tierra.                                                                 Las cañerías interiores serán a la vista en PVC estanco, color  blanco. Incluye la conexión y el tendido de cables de primera calidad.</t>
  </si>
  <si>
    <t>5.2.3</t>
  </si>
  <si>
    <t xml:space="preserve">Iluminación interior: Provisión y colocación de artefactos de iluminación para tubos fluorescentes  tipo estancos 2x 36w c/u. Los materiales y la instalación deberán responder a las normas vigentes.  </t>
  </si>
  <si>
    <t>INSTALACIONES COMPLEMENTARIAS</t>
  </si>
  <si>
    <t>6.1</t>
  </si>
  <si>
    <t>ILUMINACION EXTERIOR</t>
  </si>
  <si>
    <t>Se ubicarán en el predio una columna de acero cada 10 m de distancia o la que arroje el cálculo, con bandeja superior para alojar dos artefactos de iluminación tipo reflector, para asegurar un nivel de iluminancia en el predio de 100 lux</t>
  </si>
  <si>
    <t>ver b66</t>
  </si>
  <si>
    <t>6.2</t>
  </si>
  <si>
    <t>ILUMINACION DE LA PLANTA DE TRANSFERENCIA BAJO CUBIERTA</t>
  </si>
  <si>
    <t>La iluminación de toda el area bajo la cubierta de la playa, se proyectará con artefactos para alojar dos tubos fluorescentes, dispuestos sobre las cabriadas, de forma tal de asegurar en toda la zona un nivel de iluminancia uniforme de 100 lux</t>
  </si>
  <si>
    <t>6.3</t>
  </si>
  <si>
    <t>CERCO OLIMPICO PERIMETRAL</t>
  </si>
  <si>
    <t>Conformado  de Postes de 3,30m de alto, con codo superior a 45° para cerco de 2,4m de altura, con esquineros de 15x15 cm, sostenes de 10x10 cm cada 3,5 m y refuerzos de 15x15 cm cada 35m, con puntal de 2,5m x 8 x 8 cm, atornillados con esparragos de 3/8x33. Alambre tejido romboidal Acindar, malla calibre 13x2 1/2" de rombo, hasta 2 metros de alto, planchuelas de 1x3/16"x2m, ganchos tira alambre de 3/8x9 y torniquetes N°7. Alambres de púas galvanizadas Acindar.</t>
  </si>
  <si>
    <t>ml</t>
  </si>
  <si>
    <t>6.4</t>
  </si>
  <si>
    <t>PROVISION Y MONTAJE DE TANQUE DE RESERVA DE AGUA</t>
  </si>
  <si>
    <t xml:space="preserve">Se proveerá y montará un tanque de reserva de agua de 10.000 litros de capacidad, sobre estructura metálica según cálculo, la que se fundará sobra estructura de hormigón según cálculo. Comprende también la provisión y colocación de la linea de ingreso al mismo, como así también la de bajada e instalación del colector para la alimentación de los distintos locales con instalaciones sanitarias. </t>
  </si>
  <si>
    <t>ver b74</t>
  </si>
  <si>
    <t>6.5</t>
  </si>
  <si>
    <t>Arbol Casuarina h=2m</t>
  </si>
  <si>
    <t>Plantas ornamentales</t>
  </si>
  <si>
    <t>EQUIPAMIENTO</t>
  </si>
  <si>
    <t>9.1</t>
  </si>
  <si>
    <t>Modulo container para oficinas con sanitarios de 12 mts equipado con mobiliario, iluminacion, aire acondicionado</t>
  </si>
  <si>
    <t>9.2</t>
  </si>
  <si>
    <t xml:space="preserve">Camión con equipo porta roll off </t>
  </si>
  <si>
    <t>9.3</t>
  </si>
  <si>
    <t>Caja Roll Off Abierta 30 m3</t>
  </si>
  <si>
    <t>9.4</t>
  </si>
  <si>
    <t>Grupo Electrógeno trifasico</t>
  </si>
  <si>
    <t>ver b80</t>
  </si>
  <si>
    <t>9.5</t>
  </si>
  <si>
    <t>Flete y Nacionalización de equipos</t>
  </si>
  <si>
    <t>TOTAL CONSTRUCCION PLANTA + EQUIPOS</t>
  </si>
  <si>
    <t>Superficie (m2)</t>
  </si>
  <si>
    <t>A22</t>
  </si>
  <si>
    <t>536. Estruc. Aprox item 0180.  (migue vos usaste la 0540) y sumar aislacion</t>
  </si>
  <si>
    <t>termica de 536 item 0912 $ 16586,62 x 3 veces (x la superficie a cubrir)</t>
  </si>
  <si>
    <t xml:space="preserve">y según inciso 145 aprox $6000 por incendios. Y canaletas 242 item 0070 mas </t>
  </si>
  <si>
    <t xml:space="preserve">3 tanques de 2500lts ($12200). Mas $12000 senalizacion y demarcacion. Y </t>
  </si>
  <si>
    <t>A38</t>
  </si>
  <si>
    <t xml:space="preserve">368. item 0080 y sumar U$$ 100 por accesorio luminico. Son 21 columnas </t>
  </si>
  <si>
    <t>tomando un dólar de 8.2</t>
  </si>
  <si>
    <t>A29</t>
  </si>
  <si>
    <t xml:space="preserve"> ver 532 item 0010. $ 1725,92 x 20.</t>
  </si>
  <si>
    <t>y sumar 0100 x 1, + 0130 * 2, +0150 x 1, + algun extra tv o camaras</t>
  </si>
  <si>
    <t>A45</t>
  </si>
  <si>
    <t>usar 4 tanques de 2500lts c/. 218 item 630- con torres</t>
  </si>
  <si>
    <t>y del inciso 580, items varios de colectores, bomba, bajadas, etc. (aprox $25000)</t>
  </si>
  <si>
    <t>inciso 182. item 0550. sumar $5000 x nacionalizacion + mobiliario y sanitario</t>
  </si>
  <si>
    <t>A53</t>
  </si>
  <si>
    <t>inciso 164. item 0802</t>
  </si>
  <si>
    <t>A17</t>
  </si>
  <si>
    <t xml:space="preserve">la bloquera. Adoquines de hormigon. 8cm de espesor $6,3 c/u y van 35 xm2. </t>
  </si>
  <si>
    <t>y inciso 303 item 0310 cordon cuneta x m $ 444,34 (aprox 170m)</t>
  </si>
  <si>
    <t>subbase, base y rodadura  (0130/0170/0180) $ 1355 x m3 (son 1530 m2 x 0.3)</t>
  </si>
  <si>
    <t>arena, NO me pude comunicar a la bloquera y en San rafael no saben cuanto</t>
  </si>
  <si>
    <t>lleva de arean, pero supongamos 15cm de arena x m2 y $250 m3 de arena</t>
  </si>
  <si>
    <t>1530 x 0,15</t>
  </si>
  <si>
    <t>Nº turnos</t>
  </si>
  <si>
    <t>Capacidad camiones a adquirir</t>
  </si>
  <si>
    <t>Tasa de costo de construcción</t>
  </si>
  <si>
    <r>
      <t>Linkear con frecuencia de recolección.</t>
    </r>
    <r>
      <rPr>
        <b/>
        <sz val="14"/>
        <color rgb="FFFF0000"/>
        <rFont val="Calibri"/>
        <family val="2"/>
        <scheme val="minor"/>
      </rPr>
      <t xml:space="preserve"> </t>
    </r>
    <r>
      <rPr>
        <b/>
        <sz val="16"/>
        <color rgb="FFFF0000"/>
        <rFont val="Calibri"/>
        <family val="2"/>
        <scheme val="minor"/>
      </rPr>
      <t>Ok!</t>
    </r>
  </si>
  <si>
    <r>
      <t xml:space="preserve">Linkear c/Mod de Recolección según sean 1 o 2 turnos (7 o 14 hs respectiv.) </t>
    </r>
    <r>
      <rPr>
        <b/>
        <sz val="16"/>
        <color rgb="FFFF0000"/>
        <rFont val="Calibri"/>
        <family val="2"/>
        <scheme val="minor"/>
      </rPr>
      <t>Ok!</t>
    </r>
  </si>
  <si>
    <r>
      <t xml:space="preserve">Linkear con Modelo de Recolección. </t>
    </r>
    <r>
      <rPr>
        <b/>
        <sz val="16"/>
        <color rgb="FFFF0000"/>
        <rFont val="Calibri"/>
        <family val="2"/>
        <scheme val="minor"/>
      </rPr>
      <t>Ok!</t>
    </r>
  </si>
  <si>
    <r>
      <t xml:space="preserve">Linkear con Modelo de TA. </t>
    </r>
    <r>
      <rPr>
        <b/>
        <sz val="16"/>
        <color rgb="FFFF0000"/>
        <rFont val="Calibri"/>
        <family val="2"/>
        <scheme val="minor"/>
      </rPr>
      <t>Ok!</t>
    </r>
  </si>
  <si>
    <r>
      <t xml:space="preserve">Dato pedido a Miguel. </t>
    </r>
    <r>
      <rPr>
        <b/>
        <sz val="16"/>
        <color theme="5"/>
        <rFont val="Calibri"/>
        <family val="2"/>
        <scheme val="minor"/>
      </rPr>
      <t>Ok!</t>
    </r>
  </si>
  <si>
    <t>INSTALACIÓN</t>
  </si>
  <si>
    <t>Costo de construcción de la instalación (3.1.8)</t>
  </si>
  <si>
    <t>Costo de pavimentación y preparación del sitio (3.1.9)</t>
  </si>
  <si>
    <t>Costo de ingeniería, permisos y contingencia de la construcción de la instalación (3.1.10)</t>
  </si>
  <si>
    <t>Costo de inversión en terreno (3.1.11)</t>
  </si>
  <si>
    <t>INVERSION EN ET</t>
  </si>
  <si>
    <t>TOTAL INVERSIONES ET Y TA</t>
  </si>
  <si>
    <t>VA INVERSIONES ET Y TA</t>
  </si>
  <si>
    <t>Subtotal Costo anual Gastos Generales ET y TA</t>
  </si>
  <si>
    <t>Costos Anuales Mano de Obra ET y TA</t>
  </si>
  <si>
    <t>Subtotal Costo anual Mano de Obra ET y TA</t>
  </si>
  <si>
    <t>COSTOS DE OPERACIÓN ANUALES ET y TA</t>
  </si>
  <si>
    <t>VA COSTOS DE OPERACIÓN ANUALES ET y TA</t>
  </si>
  <si>
    <t>Choferes TA</t>
  </si>
  <si>
    <t>Sereno</t>
  </si>
  <si>
    <t>Sereno ET</t>
  </si>
  <si>
    <t>Acomodador y Servicios Generales ET</t>
  </si>
  <si>
    <t>Supervisor</t>
  </si>
  <si>
    <t>Maquinista ET</t>
  </si>
  <si>
    <t>Costos Mantenimiento</t>
  </si>
  <si>
    <t>% s/Inv.</t>
  </si>
  <si>
    <t>Costos Operación y Mantenimiento Recolección</t>
  </si>
  <si>
    <t>Costos Operación y Mantenimiento ET y TA</t>
  </si>
  <si>
    <t>Acomodador y Servicios Generales (ET)</t>
  </si>
  <si>
    <t>Encargado RS</t>
  </si>
  <si>
    <t>Oficial operador maquinista de Relleno Sanitario</t>
  </si>
  <si>
    <t>Oficial mecánico</t>
  </si>
  <si>
    <t>Lavadores</t>
  </si>
  <si>
    <t>Revisor de carga - Playero - Balancero</t>
  </si>
  <si>
    <t>Categoría UOCRA equivalente</t>
  </si>
  <si>
    <t>Oficial especializado</t>
  </si>
  <si>
    <t>Oficiales</t>
  </si>
  <si>
    <t>sereno</t>
  </si>
  <si>
    <t>ayudante</t>
  </si>
  <si>
    <t>Total Costo anual Mano de Obra</t>
  </si>
  <si>
    <t>Horas mensuales</t>
  </si>
  <si>
    <t>costo empresa</t>
  </si>
  <si>
    <t>Oficial Especializado</t>
  </si>
  <si>
    <t>Oficial</t>
  </si>
  <si>
    <t>Medio Oficial</t>
  </si>
  <si>
    <t>COSTO DIRECTO (CD)</t>
  </si>
  <si>
    <t>GASTOS GENERALES (GG)</t>
  </si>
  <si>
    <t>GASTOS INDIRECTOS (GI)</t>
  </si>
  <si>
    <t>SUBTOTAL 1: CD* (1+GG+GI)</t>
  </si>
  <si>
    <t>GASTOS FINANCIEROS GENERALES (GFG)</t>
  </si>
  <si>
    <t>SUBTOTAL 2: SUB 1 * (1+ GFG + GFI) (3)</t>
  </si>
  <si>
    <t>BENEFICIOS (B)</t>
  </si>
  <si>
    <t>SUBTOTAL 3 = SUTOTAL 2 * (1 + B)</t>
  </si>
  <si>
    <t>COSTOS IMPOSITIVOS</t>
  </si>
  <si>
    <t>I.V.A.</t>
  </si>
  <si>
    <t>SUBTOTAL 4 = SUTOTAL 3 * (1+ IVA)</t>
  </si>
  <si>
    <t>OTROS IMPUESTOS</t>
  </si>
  <si>
    <t>Ingresos Brutos</t>
  </si>
  <si>
    <t xml:space="preserve">SUBTOTAL 5 = </t>
  </si>
  <si>
    <r>
      <t>COEFICIENTE DE PASE</t>
    </r>
    <r>
      <rPr>
        <sz val="11"/>
        <color theme="1"/>
        <rFont val="Calibri"/>
        <family val="2"/>
        <scheme val="minor"/>
      </rPr>
      <t xml:space="preserve"> = SUBTOTAL 4 * (1+ SUBTOTAL 5)</t>
    </r>
  </si>
  <si>
    <t>Precio c/coef. de pase</t>
  </si>
  <si>
    <t>m2/t</t>
  </si>
  <si>
    <t>El tiempo de carga del trailer (load_hr) es una función de la opción elegida de diseño de la ET. Para diseños con</t>
  </si>
  <si>
    <t>descarga en el piso, el tiempo de carga de trailer designa el tiempo para carga continua desde el piso . Para diseños</t>
  </si>
  <si>
    <t>con carga directa del piso, el tiempo de carga del trailer representa el tiempo con el pico de tráfico de vehículos recolectores. La proporción del área de oficina</t>
  </si>
  <si>
    <t>Chipeadora</t>
  </si>
  <si>
    <t>% s/COp.</t>
  </si>
  <si>
    <t>Costo unitario de electricidad</t>
  </si>
  <si>
    <t>1m2</t>
  </si>
  <si>
    <t>ft2</t>
  </si>
  <si>
    <t>Costo Operativo de Energía Eléctrica</t>
  </si>
  <si>
    <t>Costo Operativo Alquiler Pala Cargadora (incluye combustible)</t>
  </si>
  <si>
    <t>Nro. de compactadores x cada Supervisor</t>
  </si>
  <si>
    <t>Nº de chipeadoras</t>
  </si>
  <si>
    <t>Personal de servicios especiales (Nro)</t>
  </si>
  <si>
    <t>Personal mantenimiento (Nro)</t>
  </si>
  <si>
    <t>Nro. de personal por cada Administrativo</t>
  </si>
  <si>
    <t>Alquiler Pala Cargadora (incluye combustible)</t>
  </si>
  <si>
    <t>NOTAS DE HECTOR:</t>
  </si>
  <si>
    <t>Días</t>
  </si>
  <si>
    <t>Criterio que es razonable</t>
  </si>
  <si>
    <r>
      <rPr>
        <b/>
        <sz val="10"/>
        <color indexed="10"/>
        <rFont val="Arial"/>
        <family val="2"/>
      </rPr>
      <t>Impuesto a los débitos y créditos bancario</t>
    </r>
    <r>
      <rPr>
        <sz val="10"/>
        <rFont val="Arial"/>
        <family val="2"/>
      </rPr>
      <t>s: La tasa es del 1,2% porque grava con el 0,6% los débitos y otro 0,6% los créditos.</t>
    </r>
  </si>
  <si>
    <t>kWh/m2-día</t>
  </si>
  <si>
    <t>Número de viajes necesarios por un único camión</t>
  </si>
  <si>
    <t>Tiempo consumido por un camión en la flota</t>
  </si>
  <si>
    <t>ELIMINAR FILAS</t>
  </si>
  <si>
    <t>PODA (SI O NO?)</t>
  </si>
  <si>
    <t>SI</t>
  </si>
  <si>
    <t>SI o NO</t>
  </si>
  <si>
    <t>Opción con ET y TA</t>
  </si>
  <si>
    <t>Completo (Compactador + Chasis)</t>
  </si>
  <si>
    <t>Capac.</t>
  </si>
  <si>
    <t>Precio</t>
  </si>
  <si>
    <t>% aum.</t>
  </si>
  <si>
    <t>% aum x m3</t>
  </si>
  <si>
    <t>Promedio % aum x m3</t>
  </si>
  <si>
    <t>Total</t>
  </si>
  <si>
    <t>Batea de 25m3</t>
  </si>
  <si>
    <t>Evaluación Económica de Alternativas de equipos de Transporte Asociado</t>
  </si>
  <si>
    <t xml:space="preserve">Estructura de Costos Mano de Obra </t>
  </si>
  <si>
    <t>CON HORAS EXTRAS</t>
  </si>
  <si>
    <t>Conceptos</t>
  </si>
  <si>
    <t>% ó valor fijo</t>
  </si>
  <si>
    <t>OF. ESPEC.</t>
  </si>
  <si>
    <t>Valor Hora</t>
  </si>
  <si>
    <t>HORAS LIQUIDADAS</t>
  </si>
  <si>
    <t>Horas Normales</t>
  </si>
  <si>
    <t>Horas al 50 %</t>
  </si>
  <si>
    <t>Horas al 100 %</t>
  </si>
  <si>
    <t>Adicional Título</t>
  </si>
  <si>
    <t>Feriado trabajado</t>
  </si>
  <si>
    <t>Adicional trabajo nocturno</t>
  </si>
  <si>
    <t>Viáticos</t>
  </si>
  <si>
    <t xml:space="preserve">Dto. PEN </t>
  </si>
  <si>
    <t>Franco Compensatorio</t>
  </si>
  <si>
    <t>Asistencia</t>
  </si>
  <si>
    <t>vacaciones</t>
  </si>
  <si>
    <t>aguinaldo proporcional</t>
  </si>
  <si>
    <t>Subtotal - SUELDO BRUTO</t>
  </si>
  <si>
    <t>Cargas sociales - Aportes</t>
  </si>
  <si>
    <t>Seguro Vida</t>
  </si>
  <si>
    <t>Total de Aportes Empleado</t>
  </si>
  <si>
    <t>TOTAL SUELDO NETO</t>
  </si>
  <si>
    <t>CANTIDAD DE HORAS A DISMINUIR</t>
  </si>
  <si>
    <t>CANTIDAD DE DÍAS A DISMINUIR</t>
  </si>
  <si>
    <t>Cargas sociales - seguridad social</t>
  </si>
  <si>
    <t xml:space="preserve">Aporte Extraordinario </t>
  </si>
  <si>
    <t>Cargas Sociales - obra social</t>
  </si>
  <si>
    <t>Cargas Sociales Ley 19032</t>
  </si>
  <si>
    <t>ART</t>
  </si>
  <si>
    <t>Fondo Desempleo</t>
  </si>
  <si>
    <t>Aporte Patronal FD</t>
  </si>
  <si>
    <t xml:space="preserve">Total de Contribuciones </t>
  </si>
  <si>
    <t xml:space="preserve">COSTO TOTAL </t>
  </si>
  <si>
    <t>SOÑEZ</t>
  </si>
  <si>
    <t>OFICIAL</t>
  </si>
  <si>
    <t>MEDIO OF.</t>
  </si>
  <si>
    <t>AYUDANTE</t>
  </si>
  <si>
    <t>Costo empresa</t>
  </si>
  <si>
    <t>Categoría UOCRA</t>
  </si>
  <si>
    <t>Valor</t>
  </si>
  <si>
    <t>Sereno (mensual)</t>
  </si>
  <si>
    <t>COMPOSICIÓN DE LAS CUADRILLAS</t>
  </si>
  <si>
    <t>Mano de Obra camión recolector PODAS</t>
  </si>
  <si>
    <t>Mano de Obra camión de TA</t>
  </si>
  <si>
    <t>Cantidad de localidades o parajes atendidos</t>
  </si>
  <si>
    <t>Precios de Contenedores</t>
  </si>
  <si>
    <t>Nro de contenedores para atender localidades o parajes (2 m3)</t>
  </si>
  <si>
    <t>Interior a la localidad cebecera</t>
  </si>
  <si>
    <t>Salida de localidades menores</t>
  </si>
  <si>
    <t>Contenedores Interiores a la localidad cebecera</t>
  </si>
  <si>
    <t>Contenedores a la Salida de localidades menores</t>
  </si>
  <si>
    <t>C.UNIT. 
(PLANTA MUNICIPAL)</t>
  </si>
  <si>
    <t>UOCRA</t>
  </si>
  <si>
    <t>PLANTA MUNICIPAL</t>
  </si>
  <si>
    <t>Escala salarial a utilizar (poner 1 en la q se use)</t>
  </si>
  <si>
    <t>C.UNIT. 
(ADOPTADO)</t>
  </si>
  <si>
    <t>C.UNIT. 
(UOCRA)</t>
  </si>
  <si>
    <t>Coeficiente de actualización de sueldos municipales</t>
  </si>
  <si>
    <t>Nro. de compactadores existentes utilizables</t>
  </si>
  <si>
    <t>Nro. de volcadores existentes utilizables</t>
  </si>
  <si>
    <t>COMPACTADORES (SI O NO?)</t>
  </si>
  <si>
    <t>BARRIDO MECANICO (SI O NO?)</t>
  </si>
  <si>
    <t>Nro. de localidades o parajes x cada Barrendero</t>
  </si>
  <si>
    <t>Nro. de contenedores existentes utilizables</t>
  </si>
  <si>
    <t>Se considera una  Reserva Regional de camiones?</t>
  </si>
  <si>
    <t>NO</t>
  </si>
  <si>
    <t>Nro de contenedores a vaciar (1,5 m3) (c/100 m en 20% de la long. de recolección)</t>
  </si>
  <si>
    <t>Dólares</t>
  </si>
  <si>
    <t xml:space="preserve">Dólares </t>
  </si>
  <si>
    <t>USD/L</t>
  </si>
  <si>
    <t>USD/neumático</t>
  </si>
  <si>
    <t>USD</t>
  </si>
  <si>
    <t>USD/t/d</t>
  </si>
  <si>
    <t>USD/td/año</t>
  </si>
  <si>
    <t>USD/mes</t>
  </si>
  <si>
    <t>USD/a</t>
  </si>
  <si>
    <t>USD/h</t>
  </si>
  <si>
    <t>USD/año</t>
  </si>
  <si>
    <r>
      <t xml:space="preserve">Los </t>
    </r>
    <r>
      <rPr>
        <b/>
        <sz val="10"/>
        <color indexed="10"/>
        <rFont val="Arial"/>
        <family val="2"/>
      </rPr>
      <t xml:space="preserve">Gastos Financieros </t>
    </r>
    <r>
      <rPr>
        <sz val="10"/>
        <rFont val="Arial"/>
        <family val="2"/>
      </rPr>
      <t xml:space="preserve">reflejan el costo financiero entre el momento de la certificación por parte del proveedor </t>
    </r>
  </si>
  <si>
    <t xml:space="preserve">y el momento de cobro de su Factura. Aquí estamos estimando un período aproximado de 75 días corridos </t>
  </si>
  <si>
    <t xml:space="preserve">bajo un supuesto de de tasa efectiva mensual vencida del Banco Nación Argentina del 9,036 % </t>
  </si>
  <si>
    <t>Tasa Mensual</t>
  </si>
  <si>
    <t>Tasa final</t>
  </si>
  <si>
    <t xml:space="preserve">Fuente: https://www.bna.com.ar/home/informacionalusuariofinanciero </t>
  </si>
  <si>
    <r>
      <rPr>
        <b/>
        <sz val="10"/>
        <color indexed="10"/>
        <rFont val="Arial"/>
        <family val="2"/>
      </rPr>
      <t>Ingresos Brutos</t>
    </r>
    <r>
      <rPr>
        <sz val="10"/>
        <rFont val="Arial"/>
        <family val="2"/>
      </rPr>
      <t xml:space="preserve">: La Ley Impositiva de 2023 (Ley 15.391 Artóculo 11 Inciso E apartado 381100, para el servicio de </t>
    </r>
  </si>
  <si>
    <t>Recolección, transporte, tratamiento y disposición final de residuos no peligrosos.</t>
  </si>
  <si>
    <t>Impuesto a los Débitos y Créditos bancarios - Ley 25.413</t>
  </si>
  <si>
    <t>Coeficiente actualización JULIO 2023 - RESTO DE EQUIPOS</t>
  </si>
  <si>
    <t>COEFICIENTE DE PASE - Resto de equipos</t>
  </si>
  <si>
    <t>Coeficiente actualización JULIO 2023 - VEHÍCULOS RECOLECTORES</t>
  </si>
  <si>
    <t>USD en Junio 2013</t>
  </si>
  <si>
    <t>USD Construcción</t>
  </si>
  <si>
    <t>USD
Pavimentación y Servicios</t>
  </si>
  <si>
    <t>Costo unitario (USD/m2)</t>
  </si>
  <si>
    <t>Dólar / Peso al 30/6/2023</t>
  </si>
  <si>
    <t>USD/m2</t>
  </si>
  <si>
    <t>USD/sq.ft</t>
  </si>
  <si>
    <t>USD/ha</t>
  </si>
  <si>
    <t>USD/acre</t>
  </si>
  <si>
    <t>USD/kWh</t>
  </si>
  <si>
    <t>hab/viv</t>
  </si>
  <si>
    <t>Relación de habitantes por vivienda</t>
  </si>
  <si>
    <t>V(10)</t>
  </si>
  <si>
    <t>Viviendas</t>
  </si>
  <si>
    <t>Residuo de poda promedio por ejemplar</t>
  </si>
  <si>
    <t>Poda a recoger por el servicio de recolección en día normal</t>
  </si>
  <si>
    <t>Freciencia del servicio de recolección (días a la semana)</t>
  </si>
  <si>
    <t>Factor de incremento para el día crítica en función de F</t>
  </si>
  <si>
    <t>Poda a recoger por el servicio de recolección en día crítico</t>
  </si>
  <si>
    <t>Porcentaje de incremento por residuos de poda domiciliarios</t>
  </si>
  <si>
    <t>gct(10)</t>
  </si>
  <si>
    <t>hab/vivienda</t>
  </si>
  <si>
    <t>viviendas</t>
  </si>
  <si>
    <t>t/año/ejemplar</t>
  </si>
  <si>
    <t>USD/TPD</t>
  </si>
  <si>
    <t>USD/TPD-año</t>
  </si>
  <si>
    <t>25 de Mayo</t>
  </si>
  <si>
    <t>Insertar código de localidad</t>
  </si>
  <si>
    <t>Localidad N°</t>
  </si>
  <si>
    <t>Partido</t>
  </si>
  <si>
    <t>Localidad</t>
  </si>
  <si>
    <t>Población a 10 años</t>
  </si>
  <si>
    <t>Población 10 años
(+ turismo)</t>
  </si>
  <si>
    <t>GPC
[kg*hab.día]</t>
  </si>
  <si>
    <t>Generación año 10
[Tn/día]</t>
  </si>
  <si>
    <t>¿Se necesita compactador?</t>
  </si>
  <si>
    <t>Transporte hasta BCA por camino asfalto
L3</t>
  </si>
  <si>
    <t xml:space="preserve">Transporte hasta BCA por tierra
L4 </t>
  </si>
  <si>
    <t xml:space="preserve">BCA - Centro
L5 </t>
  </si>
  <si>
    <t>FRECUENCIA DE RECOLECCIÓN</t>
  </si>
  <si>
    <t>HAB/VIV</t>
  </si>
  <si>
    <t>TIEMPO LOCALIDA AL CA (MINUTOS)</t>
  </si>
  <si>
    <t>DISTANCIA LOCALIDA AL CA (KM)</t>
  </si>
  <si>
    <t>Reg. Propuesta</t>
  </si>
  <si>
    <t>Generación Año 10 (2035) (Incluye Turismo (Tn/dí) Regionalización</t>
  </si>
  <si>
    <t>Población Año 10 (2035) (Incluye Turismo (hab) Regionalización</t>
  </si>
  <si>
    <t>Almirante Brown</t>
  </si>
  <si>
    <t>CEAMSE Norte III</t>
  </si>
  <si>
    <t>Avellaneda</t>
  </si>
  <si>
    <t>Berazategui</t>
  </si>
  <si>
    <t>Esteban Echeverría</t>
  </si>
  <si>
    <t>Ezeiza</t>
  </si>
  <si>
    <t>CEAMSE Ezeiza</t>
  </si>
  <si>
    <t>Florencio Varela</t>
  </si>
  <si>
    <t>General San Martín</t>
  </si>
  <si>
    <t>Hurlingham</t>
  </si>
  <si>
    <t>Ituzaingó</t>
  </si>
  <si>
    <t>José C. Paz</t>
  </si>
  <si>
    <t>La Matanza</t>
  </si>
  <si>
    <t>CEAMSE Gonzalez Catan</t>
  </si>
  <si>
    <t>Lanús</t>
  </si>
  <si>
    <t>Lomas de Zamora</t>
  </si>
  <si>
    <t>Malvinas Argentinas</t>
  </si>
  <si>
    <t>Merlo</t>
  </si>
  <si>
    <t>Moreno</t>
  </si>
  <si>
    <t>Morón</t>
  </si>
  <si>
    <t>Quilmes</t>
  </si>
  <si>
    <t>San Fernando</t>
  </si>
  <si>
    <t>San Isidro</t>
  </si>
  <si>
    <t>San Miguel</t>
  </si>
  <si>
    <t>Tigre</t>
  </si>
  <si>
    <t>Tres de Febrero</t>
  </si>
  <si>
    <t>Vicente López</t>
  </si>
  <si>
    <t>R. SALADILLO</t>
  </si>
  <si>
    <t>9 de Julio</t>
  </si>
  <si>
    <t>R. CARLOS CASARES</t>
  </si>
  <si>
    <t>Adolfo Alsina</t>
  </si>
  <si>
    <t>Carhué</t>
  </si>
  <si>
    <t>R. CARHUE</t>
  </si>
  <si>
    <t>Adolfo Gonzáles Chaves</t>
  </si>
  <si>
    <t>R. TRES ARROYOS</t>
  </si>
  <si>
    <t>Alberti</t>
  </si>
  <si>
    <t>R. ALBERTI</t>
  </si>
  <si>
    <t>Arrecifes</t>
  </si>
  <si>
    <t>R. PERGAMINO</t>
  </si>
  <si>
    <t>Ayacucho</t>
  </si>
  <si>
    <t>R. AYACUCHO</t>
  </si>
  <si>
    <t>Azul</t>
  </si>
  <si>
    <t>R. AZUL</t>
  </si>
  <si>
    <t>Bahía Blanca</t>
  </si>
  <si>
    <t>R. BAHIA BLANCA</t>
  </si>
  <si>
    <t>Balcarce</t>
  </si>
  <si>
    <t>Independiente</t>
  </si>
  <si>
    <t>Baradero</t>
  </si>
  <si>
    <t>R. SAN PEDRO</t>
  </si>
  <si>
    <t>Benito Juárez</t>
  </si>
  <si>
    <t>Berisso</t>
  </si>
  <si>
    <t>CEAMSE Ensenada</t>
  </si>
  <si>
    <t>Bolívar</t>
  </si>
  <si>
    <t>San Carlos de Bolívar</t>
  </si>
  <si>
    <t>R. BOLIVAR</t>
  </si>
  <si>
    <t>Bragado</t>
  </si>
  <si>
    <t>Brandsen</t>
  </si>
  <si>
    <t>Coronel Brandsen</t>
  </si>
  <si>
    <t>R. GRAL PAZ RANCHO</t>
  </si>
  <si>
    <t>Campana</t>
  </si>
  <si>
    <t>R. ZÁRATE</t>
  </si>
  <si>
    <t>Cañuelas</t>
  </si>
  <si>
    <t>Capitán Sarmiento</t>
  </si>
  <si>
    <t>R, S. A. ARECO</t>
  </si>
  <si>
    <t>Carlos Casares</t>
  </si>
  <si>
    <t>Carlos Tejedor</t>
  </si>
  <si>
    <t>R. GRAL VILLEGAS</t>
  </si>
  <si>
    <t>Carmen de Areco</t>
  </si>
  <si>
    <t>Castelli</t>
  </si>
  <si>
    <t>R. DOLORES</t>
  </si>
  <si>
    <t>Chacabuco</t>
  </si>
  <si>
    <t>R. JUNIN</t>
  </si>
  <si>
    <t>Chascomús</t>
  </si>
  <si>
    <t>Chivilcoy</t>
  </si>
  <si>
    <t>Colón</t>
  </si>
  <si>
    <t>Coronel de Marina L. Rosales</t>
  </si>
  <si>
    <t>Punta Alta</t>
  </si>
  <si>
    <t>Coronel Dorrego</t>
  </si>
  <si>
    <t>R. MONTE HERMOSO</t>
  </si>
  <si>
    <t>Coronel Pringles</t>
  </si>
  <si>
    <t>R. CNEL PRINGLES</t>
  </si>
  <si>
    <t>Coronel Suárez</t>
  </si>
  <si>
    <t>R. CNEL SUÁREZ</t>
  </si>
  <si>
    <t>Daireaux</t>
  </si>
  <si>
    <t>Dolores</t>
  </si>
  <si>
    <t>Ensenada</t>
  </si>
  <si>
    <t>Escobar</t>
  </si>
  <si>
    <t>Exaltación de la Cruz</t>
  </si>
  <si>
    <t>Capilla del Señor</t>
  </si>
  <si>
    <t>R. CAPILLA DEL SEÑOR</t>
  </si>
  <si>
    <t>Florentino Ameghino</t>
  </si>
  <si>
    <t>General Alvarado</t>
  </si>
  <si>
    <t>Miramar</t>
  </si>
  <si>
    <t>R. GRAL. PUEYRREDÓN - MDQ</t>
  </si>
  <si>
    <t>General Alvear</t>
  </si>
  <si>
    <t>General Arenales</t>
  </si>
  <si>
    <t>R. GRAL. ARENALES</t>
  </si>
  <si>
    <t>General Belgrano</t>
  </si>
  <si>
    <t>General Guido</t>
  </si>
  <si>
    <t>General Juan Madariaga</t>
  </si>
  <si>
    <t>R. MADARIAGA</t>
  </si>
  <si>
    <t>General La Madrid</t>
  </si>
  <si>
    <t>General Las Heras</t>
  </si>
  <si>
    <t>R. NAVARRO</t>
  </si>
  <si>
    <t>General Lavalle</t>
  </si>
  <si>
    <t>General Paz</t>
  </si>
  <si>
    <t>Ranchos</t>
  </si>
  <si>
    <t>General Pinto</t>
  </si>
  <si>
    <t>R. LINCOLN</t>
  </si>
  <si>
    <t>General Pueyrredón</t>
  </si>
  <si>
    <t>Mar del Plata</t>
  </si>
  <si>
    <t>General Rodríguez</t>
  </si>
  <si>
    <t>General Viamonte</t>
  </si>
  <si>
    <t>Los Toldos</t>
  </si>
  <si>
    <t>General Villegas</t>
  </si>
  <si>
    <t>Guaminí</t>
  </si>
  <si>
    <t>Hipólito Yrigoyen</t>
  </si>
  <si>
    <t>Henderson</t>
  </si>
  <si>
    <t>Junín</t>
  </si>
  <si>
    <t>La Costa</t>
  </si>
  <si>
    <t>Mar de Ajó - San Bernardo</t>
  </si>
  <si>
    <t>Santa Teresita - Mar del Tuyú</t>
  </si>
  <si>
    <t>La Plata</t>
  </si>
  <si>
    <t>Laprida</t>
  </si>
  <si>
    <t>Las Flores</t>
  </si>
  <si>
    <t>Leandro N. Alem</t>
  </si>
  <si>
    <t>Vedia</t>
  </si>
  <si>
    <t>Lincoln</t>
  </si>
  <si>
    <t>Lobería</t>
  </si>
  <si>
    <t>R. NECOCHEA</t>
  </si>
  <si>
    <t>Lobos</t>
  </si>
  <si>
    <t>Luján</t>
  </si>
  <si>
    <t>Magdalena</t>
  </si>
  <si>
    <t>Maipú</t>
  </si>
  <si>
    <t>Mar Chiquita</t>
  </si>
  <si>
    <t>Coronel Vidal</t>
  </si>
  <si>
    <t>Marcos Paz</t>
  </si>
  <si>
    <t>Mercedes</t>
  </si>
  <si>
    <t>Monte</t>
  </si>
  <si>
    <t>San Miguel del Monte</t>
  </si>
  <si>
    <t>Monte Hermoso</t>
  </si>
  <si>
    <t>Navarro</t>
  </si>
  <si>
    <t>Necochea</t>
  </si>
  <si>
    <t>Necochea - Quequén</t>
  </si>
  <si>
    <t>Olavarría</t>
  </si>
  <si>
    <t>Patagones</t>
  </si>
  <si>
    <t>Carmen de Patagones</t>
  </si>
  <si>
    <t>Pehuajó</t>
  </si>
  <si>
    <t>Pellegrini</t>
  </si>
  <si>
    <t>R. TRENQUE LAUQUEN</t>
  </si>
  <si>
    <t>Pergamino</t>
  </si>
  <si>
    <t>Pila</t>
  </si>
  <si>
    <t>Pilar</t>
  </si>
  <si>
    <t>Pinamar</t>
  </si>
  <si>
    <t>Presidente Perón</t>
  </si>
  <si>
    <t>Puán</t>
  </si>
  <si>
    <t>Punta Indio</t>
  </si>
  <si>
    <t>Verónica</t>
  </si>
  <si>
    <t>Ramallo</t>
  </si>
  <si>
    <t>R. S. N. ARROYOS</t>
  </si>
  <si>
    <t>Rauch</t>
  </si>
  <si>
    <t>R. TANDIL</t>
  </si>
  <si>
    <t>Rivadavia</t>
  </si>
  <si>
    <t>América</t>
  </si>
  <si>
    <t>Rojas</t>
  </si>
  <si>
    <t>Roque Pérez</t>
  </si>
  <si>
    <t>Saavedra</t>
  </si>
  <si>
    <t>Pigüé</t>
  </si>
  <si>
    <t>Saladillo</t>
  </si>
  <si>
    <t>Salliqueló</t>
  </si>
  <si>
    <t>Salto</t>
  </si>
  <si>
    <t>San Andrés de Giles</t>
  </si>
  <si>
    <t>San Antonio de Areco</t>
  </si>
  <si>
    <t>San Cayetano</t>
  </si>
  <si>
    <t>San Nicolás</t>
  </si>
  <si>
    <t>San Nicolás de los Arroyos</t>
  </si>
  <si>
    <t>San Pedro</t>
  </si>
  <si>
    <t>San Vicente</t>
  </si>
  <si>
    <t>Suipacha</t>
  </si>
  <si>
    <t>Tandil</t>
  </si>
  <si>
    <t>Tapalqué</t>
  </si>
  <si>
    <t>Tordillo</t>
  </si>
  <si>
    <t>General Conesa</t>
  </si>
  <si>
    <t>Tornquist</t>
  </si>
  <si>
    <t>Trenque Lauquen</t>
  </si>
  <si>
    <t>Tres Arroyos</t>
  </si>
  <si>
    <t>Tres Lomas</t>
  </si>
  <si>
    <t>Villa Gesell</t>
  </si>
  <si>
    <t>Villarino</t>
  </si>
  <si>
    <t>Médanos</t>
  </si>
  <si>
    <t>Zárate</t>
  </si>
  <si>
    <t>CABA</t>
  </si>
  <si>
    <t>Rivera</t>
  </si>
  <si>
    <t>Tres Algarrobos</t>
  </si>
  <si>
    <t>Los Cardales</t>
  </si>
  <si>
    <t>Parada Robles - Pavón</t>
  </si>
  <si>
    <t>Comandante Nicanor Otamendi</t>
  </si>
  <si>
    <t>Arribeños</t>
  </si>
  <si>
    <t>Ascensión</t>
  </si>
  <si>
    <t>Labarden</t>
  </si>
  <si>
    <t>Pavón</t>
  </si>
  <si>
    <t>Casbas</t>
  </si>
  <si>
    <t>San Clemente del Tuyú</t>
  </si>
  <si>
    <t>Juan Bautista Alberdi</t>
  </si>
  <si>
    <t>Santa Clara del Mar</t>
  </si>
  <si>
    <t>Darregueira</t>
  </si>
  <si>
    <t>Villa Ramallo</t>
  </si>
  <si>
    <t>Sierra de la Ventana</t>
  </si>
  <si>
    <t>Mayor Buratovich</t>
  </si>
  <si>
    <t>R. VILLARINO</t>
  </si>
  <si>
    <t>Pedro Luro</t>
  </si>
  <si>
    <t>M3 a compactar</t>
  </si>
  <si>
    <t>Distancia L3
[Regional]</t>
  </si>
  <si>
    <t>Velocidad L3
[km/h]</t>
  </si>
  <si>
    <t>CA La Rioja</t>
  </si>
  <si>
    <t>revista web</t>
  </si>
  <si>
    <t>bien</t>
  </si>
  <si>
    <t>lista cotizacion, pero tu valor tambien puede ser</t>
  </si>
  <si>
    <t>pero esto es en PVC, tu estimación puede estar buena</t>
  </si>
  <si>
    <t>cotizacion</t>
  </si>
  <si>
    <t>Antonio</t>
  </si>
  <si>
    <t>ar$ REFERENCIA</t>
  </si>
  <si>
    <t>REFERENCIA</t>
  </si>
  <si>
    <t>USD MENSUAL</t>
  </si>
  <si>
    <t>SUPERVISOR</t>
  </si>
  <si>
    <t>OFICIAL ESPECIALIZADO</t>
  </si>
  <si>
    <t>SERENO</t>
  </si>
  <si>
    <t>MEDIO OFICIAL</t>
  </si>
  <si>
    <t>ENCARGADO</t>
  </si>
  <si>
    <t>Precio (chasis + volcador)</t>
  </si>
  <si>
    <t>camión para batea</t>
  </si>
  <si>
    <t>volcador</t>
  </si>
  <si>
    <t>Distancia L4
[Regional]</t>
  </si>
  <si>
    <t>Poda total a recoger por el servicio de recolección día crítico</t>
  </si>
  <si>
    <t>Población a servir al año 10 (estable)</t>
  </si>
  <si>
    <t>Valor Residual (% de reventa respecto al costo inicial)</t>
  </si>
  <si>
    <t>Distancia a la ET 
[km]</t>
  </si>
  <si>
    <t>Tiempo a la ET
[min]</t>
  </si>
  <si>
    <t>Velocidad a la ET
[km/h]</t>
  </si>
  <si>
    <t>ÁREA URBANA
[km2]</t>
  </si>
  <si>
    <t>Distancia de ET al CA 
[km]</t>
  </si>
  <si>
    <t>Tiempo de ET a CA
[min]</t>
  </si>
  <si>
    <t>Velocidad de ET a CA
[km/h]</t>
  </si>
  <si>
    <t>ET2Piso</t>
  </si>
  <si>
    <t>ET1Piso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</si>
</sst>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_-* #,##0.00\ &quot;€&quot;_-;\-* #,##0.00\ &quot;€&quot;_-;_-* &quot;-&quot;??\ &quot;€&quot;_-;_-@_-"/>
    <numFmt numFmtId="165" formatCode="_-* #,##0.00\ _€_-;\-* #,##0.00\ _€_-;_-* &quot;-&quot;??\ _€_-;_-@_-"/>
    <numFmt numFmtId="166" formatCode="&quot;$&quot;\ #,##0;&quot;$&quot;\ \-#,##0"/>
    <numFmt numFmtId="167" formatCode="&quot;$&quot;\ #,##0.00;[Red]&quot;$&quot;\ \-#,##0.00"/>
    <numFmt numFmtId="168" formatCode="_ &quot;$&quot;\ * #,##0.00_ ;_ &quot;$&quot;\ * \-#,##0.00_ ;_ &quot;$&quot;\ * &quot;-&quot;??_ ;_ @_ "/>
    <numFmt numFmtId="169" formatCode="&quot;$&quot;#,##0_);\(&quot;$&quot;#,##0\)"/>
    <numFmt numFmtId="170" formatCode="&quot;$&quot;#,##0"/>
    <numFmt numFmtId="171" formatCode="_(* #,##0.00_);_(* \(#,##0.00\);_(* &quot;-&quot;??_);_(@_)"/>
    <numFmt numFmtId="172" formatCode="_(&quot;$&quot;* #,##0.00_);_(&quot;$&quot;* \(#,##0.00\);_(&quot;$&quot;* &quot;-&quot;??_);_(@_)"/>
    <numFmt numFmtId="173" formatCode="&quot;$&quot;#,##0.00_);\(&quot;$&quot;#,##0.00\)"/>
    <numFmt numFmtId="174" formatCode="#,##0.0_);\(#,##0.0\)"/>
    <numFmt numFmtId="175" formatCode="&quot;$&quot;#,##0.000_);\(&quot;$&quot;#,##0.000\)"/>
    <numFmt numFmtId="176" formatCode="&quot;$&quot;#,##0.00"/>
    <numFmt numFmtId="177" formatCode="_ [$$-2C0A]\ * #,##0_ ;_ [$$-2C0A]\ * \-#,##0_ ;_ [$$-2C0A]\ * &quot;-&quot;??_ ;_ @_ "/>
    <numFmt numFmtId="178" formatCode="0.0"/>
    <numFmt numFmtId="179" formatCode="#,##0.000000_ ;[Red]\-#,##0.000000\ "/>
    <numFmt numFmtId="180" formatCode="#,##0.00_ ;[Red]\-#,##0.00\ "/>
    <numFmt numFmtId="181" formatCode="#,##0.0"/>
    <numFmt numFmtId="182" formatCode="#,##0.0000"/>
    <numFmt numFmtId="183" formatCode="#,##0.000"/>
    <numFmt numFmtId="184" formatCode="_([$B/.-180A]\ * #,##0.00_);_([$B/.-180A]\ * \(#,##0.00\);_([$B/.-180A]\ * &quot;-&quot;??_);_(@_)"/>
    <numFmt numFmtId="185" formatCode="0.000"/>
    <numFmt numFmtId="186" formatCode="#,##0_);\(#,##0\)"/>
    <numFmt numFmtId="187" formatCode="#,##0.0;\-#,##0.0"/>
    <numFmt numFmtId="188" formatCode="_ [$$-2C0A]\ * #,##0.0_ ;_ [$$-2C0A]\ * \-#,##0.0_ ;_ [$$-2C0A]\ * &quot;-&quot;??_ ;_ @_ "/>
    <numFmt numFmtId="189" formatCode="_-[$USD]\ * #,##0_-;\-[$USD]\ * #,##0_-;_-[$USD]\ * &quot;-&quot;_-;_-@_-"/>
    <numFmt numFmtId="190" formatCode="_-[$USD]\ * #,##0.0_-;\-[$USD]\ * #,##0.0_-;_-[$USD]\ * &quot;-&quot;_-;_-@_-"/>
    <numFmt numFmtId="191" formatCode="0.0000"/>
  </numFmts>
  <fonts count="86" x14ac:knownFonts="1">
    <font>
      <sz val="11"/>
      <color theme="1"/>
      <name val="Calibri"/>
      <family val="2"/>
      <scheme val="minor"/>
    </font>
    <font>
      <b/>
      <sz val="11"/>
      <color theme="1"/>
      <name val="Calibri"/>
      <family val="2"/>
      <scheme val="minor"/>
    </font>
    <font>
      <u/>
      <sz val="11"/>
      <color theme="1"/>
      <name val="Calibri"/>
      <family val="2"/>
      <scheme val="minor"/>
    </font>
    <font>
      <b/>
      <u/>
      <sz val="11"/>
      <color theme="1"/>
      <name val="Calibri"/>
      <family val="2"/>
      <scheme val="minor"/>
    </font>
    <font>
      <b/>
      <sz val="11"/>
      <color rgb="FFFF0000"/>
      <name val="Calibri"/>
      <family val="2"/>
      <scheme val="minor"/>
    </font>
    <font>
      <sz val="11"/>
      <color theme="3"/>
      <name val="Calibri"/>
      <family val="2"/>
      <scheme val="minor"/>
    </font>
    <font>
      <sz val="11"/>
      <color theme="1"/>
      <name val="Calibri"/>
      <family val="2"/>
      <scheme val="minor"/>
    </font>
    <font>
      <sz val="10"/>
      <name val="Arial"/>
      <family val="2"/>
    </font>
    <font>
      <b/>
      <sz val="16"/>
      <name val="Arial"/>
      <family val="2"/>
    </font>
    <font>
      <sz val="9"/>
      <name val="Arial"/>
      <family val="2"/>
    </font>
    <font>
      <b/>
      <sz val="12"/>
      <name val="Arial"/>
      <family val="2"/>
    </font>
    <font>
      <b/>
      <sz val="10"/>
      <name val="Arial"/>
      <family val="2"/>
    </font>
    <font>
      <b/>
      <u/>
      <sz val="10"/>
      <name val="Arial"/>
      <family val="2"/>
    </font>
    <font>
      <u/>
      <sz val="10"/>
      <name val="Arial"/>
      <family val="2"/>
    </font>
    <font>
      <i/>
      <sz val="8"/>
      <name val="Arial"/>
      <family val="2"/>
    </font>
    <font>
      <b/>
      <sz val="11"/>
      <name val="Arial"/>
      <family val="2"/>
    </font>
    <font>
      <sz val="11"/>
      <name val="Arial"/>
      <family val="2"/>
    </font>
    <font>
      <sz val="11"/>
      <color theme="1"/>
      <name val="Arial"/>
      <family val="2"/>
    </font>
    <font>
      <b/>
      <i/>
      <sz val="11"/>
      <name val="Arial"/>
      <family val="2"/>
    </font>
    <font>
      <i/>
      <sz val="11"/>
      <name val="Arial"/>
      <family val="2"/>
    </font>
    <font>
      <i/>
      <sz val="11"/>
      <color theme="1"/>
      <name val="Arial"/>
      <family val="2"/>
    </font>
    <font>
      <sz val="10"/>
      <color rgb="FFFF0000"/>
      <name val="Arial"/>
      <family val="2"/>
    </font>
    <font>
      <b/>
      <sz val="11"/>
      <color theme="3"/>
      <name val="Calibri"/>
      <family val="2"/>
      <scheme val="minor"/>
    </font>
    <font>
      <sz val="11"/>
      <name val="Calibri"/>
      <family val="2"/>
      <scheme val="minor"/>
    </font>
    <font>
      <b/>
      <sz val="11"/>
      <name val="Calibri"/>
      <family val="2"/>
      <scheme val="minor"/>
    </font>
    <font>
      <sz val="11"/>
      <color rgb="FFFF0000"/>
      <name val="Calibri"/>
      <family val="2"/>
      <scheme val="minor"/>
    </font>
    <font>
      <b/>
      <sz val="14"/>
      <color theme="1"/>
      <name val="Calibri"/>
      <family val="2"/>
      <scheme val="minor"/>
    </font>
    <font>
      <sz val="11"/>
      <color indexed="8"/>
      <name val="Calibri"/>
      <family val="2"/>
    </font>
    <font>
      <b/>
      <sz val="9"/>
      <color indexed="81"/>
      <name val="Tahoma"/>
      <family val="2"/>
    </font>
    <font>
      <sz val="9"/>
      <color indexed="81"/>
      <name val="Tahoma"/>
      <family val="2"/>
    </font>
    <font>
      <b/>
      <sz val="11"/>
      <color indexed="8"/>
      <name val="Calibri"/>
      <family val="2"/>
      <scheme val="minor"/>
    </font>
    <font>
      <b/>
      <sz val="11"/>
      <color indexed="56"/>
      <name val="Calibri"/>
      <family val="2"/>
      <scheme val="minor"/>
    </font>
    <font>
      <b/>
      <sz val="11"/>
      <color theme="1"/>
      <name val="Arial"/>
      <family val="2"/>
    </font>
    <font>
      <b/>
      <sz val="11"/>
      <color rgb="FFFF0000"/>
      <name val="Arial"/>
      <family val="2"/>
    </font>
    <font>
      <sz val="11"/>
      <name val="Times New Roman"/>
      <family val="1"/>
    </font>
    <font>
      <b/>
      <sz val="16"/>
      <color theme="1"/>
      <name val="Calibri"/>
      <family val="2"/>
      <scheme val="minor"/>
    </font>
    <font>
      <b/>
      <sz val="11"/>
      <color theme="5"/>
      <name val="Calibri"/>
      <family val="2"/>
      <scheme val="minor"/>
    </font>
    <font>
      <b/>
      <sz val="11"/>
      <color rgb="FF7030A0"/>
      <name val="Calibri"/>
      <family val="2"/>
      <scheme val="minor"/>
    </font>
    <font>
      <b/>
      <u/>
      <sz val="14"/>
      <color theme="1"/>
      <name val="Calibri"/>
      <family val="2"/>
      <scheme val="minor"/>
    </font>
    <font>
      <b/>
      <sz val="11"/>
      <color rgb="FF00B050"/>
      <name val="Calibri"/>
      <family val="2"/>
      <scheme val="minor"/>
    </font>
    <font>
      <b/>
      <sz val="14"/>
      <color rgb="FFFF0000"/>
      <name val="Calibri"/>
      <family val="2"/>
      <scheme val="minor"/>
    </font>
    <font>
      <b/>
      <i/>
      <sz val="11"/>
      <color theme="1"/>
      <name val="Calibri"/>
      <family val="2"/>
      <scheme val="minor"/>
    </font>
    <font>
      <b/>
      <sz val="14"/>
      <color theme="5" tint="0.39997558519241921"/>
      <name val="Calibri"/>
      <family val="2"/>
      <scheme val="minor"/>
    </font>
    <font>
      <b/>
      <sz val="9"/>
      <color theme="1"/>
      <name val="Calibri"/>
      <family val="2"/>
      <scheme val="minor"/>
    </font>
    <font>
      <b/>
      <sz val="11"/>
      <name val="Calibri"/>
      <family val="2"/>
    </font>
    <font>
      <b/>
      <sz val="11"/>
      <name val="Times New Roman"/>
      <family val="1"/>
    </font>
    <font>
      <sz val="10"/>
      <name val="Times New Roman"/>
      <family val="1"/>
    </font>
    <font>
      <sz val="11"/>
      <name val="Calibri"/>
      <family val="2"/>
    </font>
    <font>
      <b/>
      <sz val="10"/>
      <name val="Times New Roman"/>
      <family val="1"/>
    </font>
    <font>
      <sz val="3"/>
      <color indexed="9"/>
      <name val="Calibri"/>
      <family val="2"/>
    </font>
    <font>
      <vertAlign val="superscript"/>
      <sz val="11"/>
      <name val="Calibri"/>
      <family val="2"/>
    </font>
    <font>
      <b/>
      <sz val="16"/>
      <color rgb="FFFF0000"/>
      <name val="Calibri"/>
      <family val="2"/>
      <scheme val="minor"/>
    </font>
    <font>
      <b/>
      <sz val="16"/>
      <color theme="5"/>
      <name val="Calibri"/>
      <family val="2"/>
      <scheme val="minor"/>
    </font>
    <font>
      <sz val="12"/>
      <name val="Arial"/>
      <family val="2"/>
    </font>
    <font>
      <sz val="9"/>
      <color rgb="FF333333"/>
      <name val="Arial"/>
      <family val="2"/>
    </font>
    <font>
      <sz val="14"/>
      <name val="Arial"/>
      <family val="2"/>
    </font>
    <font>
      <sz val="11"/>
      <color indexed="9"/>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5"/>
      <color indexed="56"/>
      <name val="Calibri"/>
      <family val="2"/>
    </font>
    <font>
      <b/>
      <sz val="13"/>
      <color indexed="56"/>
      <name val="Calibri"/>
      <family val="2"/>
    </font>
    <font>
      <b/>
      <sz val="18"/>
      <color indexed="56"/>
      <name val="Cambria"/>
      <family val="2"/>
    </font>
    <font>
      <b/>
      <sz val="11"/>
      <color indexed="8"/>
      <name val="Calibri"/>
      <family val="2"/>
    </font>
    <font>
      <b/>
      <sz val="10"/>
      <color theme="1"/>
      <name val="Calibri"/>
      <family val="2"/>
      <scheme val="minor"/>
    </font>
    <font>
      <b/>
      <sz val="10"/>
      <name val="Calibri"/>
      <family val="2"/>
      <scheme val="minor"/>
    </font>
    <font>
      <b/>
      <sz val="14"/>
      <name val="Times New Roman"/>
      <family val="1"/>
    </font>
    <font>
      <b/>
      <sz val="10"/>
      <color indexed="10"/>
      <name val="Arial"/>
      <family val="2"/>
    </font>
    <font>
      <sz val="10"/>
      <name val="Comic Sans MS"/>
      <family val="4"/>
    </font>
    <font>
      <b/>
      <sz val="10"/>
      <name val="Comic Sans MS"/>
      <family val="4"/>
    </font>
    <font>
      <b/>
      <sz val="8"/>
      <name val="Comic Sans MS"/>
      <family val="4"/>
    </font>
    <font>
      <sz val="8"/>
      <name val="Comic Sans MS"/>
      <family val="4"/>
    </font>
    <font>
      <b/>
      <u/>
      <sz val="11"/>
      <name val="Calibri"/>
      <family val="2"/>
      <scheme val="minor"/>
    </font>
    <font>
      <b/>
      <u/>
      <sz val="12"/>
      <color rgb="FF000080"/>
      <name val="Calibri"/>
      <family val="2"/>
    </font>
    <font>
      <b/>
      <sz val="12"/>
      <color rgb="FF000080"/>
      <name val="Calibri"/>
      <family val="2"/>
    </font>
    <font>
      <sz val="11"/>
      <color rgb="FFFF0000"/>
      <name val="Arial"/>
      <family val="2"/>
    </font>
    <font>
      <sz val="11"/>
      <color rgb="FF0070C0"/>
      <name val="Calibri"/>
      <family val="2"/>
      <scheme val="minor"/>
    </font>
    <font>
      <sz val="11"/>
      <color rgb="FF0070C0"/>
      <name val="Arial"/>
      <family val="2"/>
    </font>
  </fonts>
  <fills count="57">
    <fill>
      <patternFill patternType="none"/>
    </fill>
    <fill>
      <patternFill patternType="gray125"/>
    </fill>
    <fill>
      <patternFill patternType="solid">
        <fgColor rgb="FFFFFF00"/>
        <bgColor indexed="64"/>
      </patternFill>
    </fill>
    <fill>
      <patternFill patternType="solid">
        <fgColor theme="5" tint="0.59999389629810485"/>
        <bgColor indexed="64"/>
      </patternFill>
    </fill>
    <fill>
      <patternFill patternType="solid">
        <fgColor rgb="FF92D050"/>
        <bgColor indexed="64"/>
      </patternFill>
    </fill>
    <fill>
      <patternFill patternType="solid">
        <fgColor indexed="43"/>
        <bgColor indexed="64"/>
      </patternFill>
    </fill>
    <fill>
      <patternFill patternType="solid">
        <fgColor theme="9" tint="0.39997558519241921"/>
        <bgColor indexed="64"/>
      </patternFill>
    </fill>
    <fill>
      <patternFill patternType="solid">
        <fgColor theme="0"/>
        <bgColor indexed="64"/>
      </patternFill>
    </fill>
    <fill>
      <patternFill patternType="solid">
        <fgColor indexed="22"/>
        <bgColor indexed="64"/>
      </patternFill>
    </fill>
    <fill>
      <patternFill patternType="solid">
        <fgColor indexed="9"/>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9"/>
        <bgColor indexed="64"/>
      </patternFill>
    </fill>
    <fill>
      <patternFill patternType="solid">
        <fgColor theme="3" tint="0.39997558519241921"/>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0" tint="-0.14996795556505021"/>
        <bgColor indexed="64"/>
      </patternFill>
    </fill>
    <fill>
      <patternFill patternType="solid">
        <fgColor theme="5" tint="0.39997558519241921"/>
        <bgColor indexed="64"/>
      </patternFill>
    </fill>
    <fill>
      <patternFill patternType="solid">
        <fgColor theme="6" tint="-0.249977111117893"/>
        <bgColor indexed="64"/>
      </patternFill>
    </fill>
    <fill>
      <patternFill patternType="solid">
        <fgColor indexed="14"/>
        <bgColor indexed="64"/>
      </patternFill>
    </fill>
    <fill>
      <patternFill patternType="darkDown">
        <fgColor theme="0"/>
        <bgColor theme="3" tint="0.59996337778862885"/>
      </patternFill>
    </fill>
    <fill>
      <patternFill patternType="solid">
        <fgColor theme="0" tint="-4.9989318521683403E-2"/>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rgb="FF0070C0"/>
        <bgColor indexed="64"/>
      </patternFill>
    </fill>
    <fill>
      <patternFill patternType="solid">
        <fgColor theme="4" tint="0.59999389629810485"/>
        <bgColor indexed="64"/>
      </patternFill>
    </fill>
    <fill>
      <patternFill patternType="solid">
        <fgColor rgb="FFFF0000"/>
        <bgColor indexed="64"/>
      </patternFill>
    </fill>
    <fill>
      <patternFill patternType="solid">
        <fgColor theme="1" tint="0.499984740745262"/>
        <bgColor indexed="64"/>
      </patternFill>
    </fill>
    <fill>
      <patternFill patternType="solid">
        <fgColor indexed="11"/>
        <bgColor indexed="64"/>
      </patternFill>
    </fill>
    <fill>
      <patternFill patternType="solid">
        <fgColor indexed="42"/>
        <bgColor indexed="64"/>
      </patternFill>
    </fill>
    <fill>
      <patternFill patternType="solid">
        <fgColor indexed="45"/>
        <bgColor indexed="64"/>
      </patternFill>
    </fill>
    <fill>
      <patternFill patternType="solid">
        <fgColor theme="2"/>
        <bgColor indexed="64"/>
      </patternFill>
    </fill>
    <fill>
      <patternFill patternType="solid">
        <fgColor theme="4" tint="0.79998168889431442"/>
        <bgColor indexed="64"/>
      </patternFill>
    </fill>
    <fill>
      <patternFill patternType="solid">
        <fgColor theme="7" tint="0.39997558519241921"/>
        <bgColor indexed="64"/>
      </patternFill>
    </fill>
  </fills>
  <borders count="106">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auto="1"/>
      </left>
      <right/>
      <top style="thin">
        <color auto="1"/>
      </top>
      <bottom/>
      <diagonal/>
    </border>
  </borders>
  <cellStyleXfs count="98">
    <xf numFmtId="0" fontId="0" fillId="0" borderId="0"/>
    <xf numFmtId="9" fontId="6" fillId="0" borderId="0" applyFont="0" applyFill="0" applyBorder="0" applyAlignment="0" applyProtection="0"/>
    <xf numFmtId="0" fontId="7" fillId="0" borderId="0"/>
    <xf numFmtId="171" fontId="7" fillId="0" borderId="0" applyFont="0" applyFill="0" applyBorder="0" applyAlignment="0" applyProtection="0"/>
    <xf numFmtId="172" fontId="7" fillId="0" borderId="0" applyFont="0" applyFill="0" applyBorder="0" applyAlignment="0" applyProtection="0"/>
    <xf numFmtId="9" fontId="7" fillId="0" borderId="0" applyFont="0" applyFill="0" applyBorder="0" applyAlignment="0" applyProtection="0"/>
    <xf numFmtId="0" fontId="7" fillId="0" borderId="0"/>
    <xf numFmtId="168" fontId="7" fillId="0" borderId="0" applyFont="0" applyFill="0" applyBorder="0" applyAlignment="0" applyProtection="0"/>
    <xf numFmtId="0" fontId="7" fillId="0" borderId="0"/>
    <xf numFmtId="9" fontId="27" fillId="0" borderId="0" applyFont="0" applyFill="0" applyBorder="0" applyAlignment="0" applyProtection="0"/>
    <xf numFmtId="166" fontId="27" fillId="0" borderId="0" applyFont="0" applyFill="0" applyBorder="0" applyAlignment="0" applyProtection="0"/>
    <xf numFmtId="9" fontId="7" fillId="0" borderId="0" applyFont="0" applyFill="0" applyBorder="0" applyAlignment="0" applyProtection="0"/>
    <xf numFmtId="9" fontId="27" fillId="0" borderId="0" applyFont="0" applyFill="0" applyBorder="0" applyAlignment="0" applyProtection="0"/>
    <xf numFmtId="164" fontId="7" fillId="0" borderId="0" applyFont="0" applyFill="0" applyBorder="0" applyAlignment="0" applyProtection="0"/>
    <xf numFmtId="0" fontId="7" fillId="0" borderId="0"/>
    <xf numFmtId="0" fontId="7" fillId="0" borderId="0"/>
    <xf numFmtId="0" fontId="7" fillId="0" borderId="0"/>
    <xf numFmtId="0" fontId="27" fillId="25" borderId="0" applyNumberFormat="0" applyBorder="0" applyAlignment="0" applyProtection="0"/>
    <xf numFmtId="0" fontId="27" fillId="25" borderId="0" applyNumberFormat="0" applyBorder="0" applyAlignment="0" applyProtection="0"/>
    <xf numFmtId="0" fontId="27" fillId="26" borderId="0" applyNumberFormat="0" applyBorder="0" applyAlignment="0" applyProtection="0"/>
    <xf numFmtId="0" fontId="27" fillId="26"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8" borderId="0" applyNumberFormat="0" applyBorder="0" applyAlignment="0" applyProtection="0"/>
    <xf numFmtId="0" fontId="27" fillId="28" borderId="0" applyNumberFormat="0" applyBorder="0" applyAlignment="0" applyProtection="0"/>
    <xf numFmtId="0" fontId="27" fillId="29" borderId="0" applyNumberFormat="0" applyBorder="0" applyAlignment="0" applyProtection="0"/>
    <xf numFmtId="0" fontId="27" fillId="29" borderId="0" applyNumberFormat="0" applyBorder="0" applyAlignment="0" applyProtection="0"/>
    <xf numFmtId="0" fontId="27" fillId="30" borderId="0" applyNumberFormat="0" applyBorder="0" applyAlignment="0" applyProtection="0"/>
    <xf numFmtId="0" fontId="27" fillId="30" borderId="0" applyNumberFormat="0" applyBorder="0" applyAlignment="0" applyProtection="0"/>
    <xf numFmtId="0" fontId="27" fillId="31" borderId="0" applyNumberFormat="0" applyBorder="0" applyAlignment="0" applyProtection="0"/>
    <xf numFmtId="0" fontId="27" fillId="31" borderId="0" applyNumberFormat="0" applyBorder="0" applyAlignment="0" applyProtection="0"/>
    <xf numFmtId="0" fontId="27" fillId="32" borderId="0" applyNumberFormat="0" applyBorder="0" applyAlignment="0" applyProtection="0"/>
    <xf numFmtId="0" fontId="27" fillId="32" borderId="0" applyNumberFormat="0" applyBorder="0" applyAlignment="0" applyProtection="0"/>
    <xf numFmtId="0" fontId="27" fillId="33" borderId="0" applyNumberFormat="0" applyBorder="0" applyAlignment="0" applyProtection="0"/>
    <xf numFmtId="0" fontId="27" fillId="33" borderId="0" applyNumberFormat="0" applyBorder="0" applyAlignment="0" applyProtection="0"/>
    <xf numFmtId="0" fontId="27" fillId="28" borderId="0" applyNumberFormat="0" applyBorder="0" applyAlignment="0" applyProtection="0"/>
    <xf numFmtId="0" fontId="27" fillId="28" borderId="0" applyNumberFormat="0" applyBorder="0" applyAlignment="0" applyProtection="0"/>
    <xf numFmtId="0" fontId="27" fillId="31" borderId="0" applyNumberFormat="0" applyBorder="0" applyAlignment="0" applyProtection="0"/>
    <xf numFmtId="0" fontId="27" fillId="31" borderId="0" applyNumberFormat="0" applyBorder="0" applyAlignment="0" applyProtection="0"/>
    <xf numFmtId="0" fontId="27" fillId="34" borderId="0" applyNumberFormat="0" applyBorder="0" applyAlignment="0" applyProtection="0"/>
    <xf numFmtId="0" fontId="27" fillId="34" borderId="0" applyNumberFormat="0" applyBorder="0" applyAlignment="0" applyProtection="0"/>
    <xf numFmtId="0" fontId="56" fillId="35" borderId="0" applyNumberFormat="0" applyBorder="0" applyAlignment="0" applyProtection="0"/>
    <xf numFmtId="0" fontId="56" fillId="35" borderId="0" applyNumberFormat="0" applyBorder="0" applyAlignment="0" applyProtection="0"/>
    <xf numFmtId="0" fontId="56" fillId="32" borderId="0" applyNumberFormat="0" applyBorder="0" applyAlignment="0" applyProtection="0"/>
    <xf numFmtId="0" fontId="56" fillId="32" borderId="0" applyNumberFormat="0" applyBorder="0" applyAlignment="0" applyProtection="0"/>
    <xf numFmtId="0" fontId="56" fillId="33" borderId="0" applyNumberFormat="0" applyBorder="0" applyAlignment="0" applyProtection="0"/>
    <xf numFmtId="0" fontId="56" fillId="33" borderId="0" applyNumberFormat="0" applyBorder="0" applyAlignment="0" applyProtection="0"/>
    <xf numFmtId="0" fontId="56" fillId="36" borderId="0" applyNumberFormat="0" applyBorder="0" applyAlignment="0" applyProtection="0"/>
    <xf numFmtId="0" fontId="56" fillId="36" borderId="0" applyNumberFormat="0" applyBorder="0" applyAlignment="0" applyProtection="0"/>
    <xf numFmtId="0" fontId="56" fillId="37" borderId="0" applyNumberFormat="0" applyBorder="0" applyAlignment="0" applyProtection="0"/>
    <xf numFmtId="0" fontId="56" fillId="37" borderId="0" applyNumberFormat="0" applyBorder="0" applyAlignment="0" applyProtection="0"/>
    <xf numFmtId="0" fontId="56" fillId="38" borderId="0" applyNumberFormat="0" applyBorder="0" applyAlignment="0" applyProtection="0"/>
    <xf numFmtId="0" fontId="56" fillId="38" borderId="0" applyNumberFormat="0" applyBorder="0" applyAlignment="0" applyProtection="0"/>
    <xf numFmtId="0" fontId="57" fillId="27" borderId="0" applyNumberFormat="0" applyBorder="0" applyAlignment="0" applyProtection="0"/>
    <xf numFmtId="0" fontId="57" fillId="27" borderId="0" applyNumberFormat="0" applyBorder="0" applyAlignment="0" applyProtection="0"/>
    <xf numFmtId="0" fontId="58" fillId="39" borderId="80" applyNumberFormat="0" applyAlignment="0" applyProtection="0"/>
    <xf numFmtId="0" fontId="59" fillId="40" borderId="81" applyNumberFormat="0" applyAlignment="0" applyProtection="0"/>
    <xf numFmtId="0" fontId="59" fillId="40" borderId="81" applyNumberFormat="0" applyAlignment="0" applyProtection="0"/>
    <xf numFmtId="0" fontId="60" fillId="0" borderId="82" applyNumberFormat="0" applyFill="0" applyAlignment="0" applyProtection="0"/>
    <xf numFmtId="0" fontId="61" fillId="0" borderId="0" applyNumberFormat="0" applyFill="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2" borderId="0" applyNumberFormat="0" applyBorder="0" applyAlignment="0" applyProtection="0"/>
    <xf numFmtId="0" fontId="56" fillId="42" borderId="0" applyNumberFormat="0" applyBorder="0" applyAlignment="0" applyProtection="0"/>
    <xf numFmtId="0" fontId="56" fillId="43" borderId="0" applyNumberFormat="0" applyBorder="0" applyAlignment="0" applyProtection="0"/>
    <xf numFmtId="0" fontId="56" fillId="43" borderId="0" applyNumberFormat="0" applyBorder="0" applyAlignment="0" applyProtection="0"/>
    <xf numFmtId="0" fontId="56" fillId="36" borderId="0" applyNumberFormat="0" applyBorder="0" applyAlignment="0" applyProtection="0"/>
    <xf numFmtId="0" fontId="56" fillId="36" borderId="0" applyNumberFormat="0" applyBorder="0" applyAlignment="0" applyProtection="0"/>
    <xf numFmtId="0" fontId="56" fillId="37" borderId="0" applyNumberFormat="0" applyBorder="0" applyAlignment="0" applyProtection="0"/>
    <xf numFmtId="0" fontId="56" fillId="37" borderId="0" applyNumberFormat="0" applyBorder="0" applyAlignment="0" applyProtection="0"/>
    <xf numFmtId="0" fontId="56" fillId="44" borderId="0" applyNumberFormat="0" applyBorder="0" applyAlignment="0" applyProtection="0"/>
    <xf numFmtId="0" fontId="56" fillId="44" borderId="0" applyNumberFormat="0" applyBorder="0" applyAlignment="0" applyProtection="0"/>
    <xf numFmtId="0" fontId="62" fillId="30" borderId="80" applyNumberFormat="0" applyAlignment="0" applyProtection="0"/>
    <xf numFmtId="0" fontId="62" fillId="30" borderId="80" applyNumberFormat="0" applyAlignment="0" applyProtection="0"/>
    <xf numFmtId="0" fontId="63" fillId="26" borderId="0" applyNumberFormat="0" applyBorder="0" applyAlignment="0" applyProtection="0"/>
    <xf numFmtId="0" fontId="63" fillId="26" borderId="0" applyNumberFormat="0" applyBorder="0" applyAlignment="0" applyProtection="0"/>
    <xf numFmtId="0" fontId="64" fillId="45" borderId="0" applyNumberFormat="0" applyBorder="0" applyAlignment="0" applyProtection="0"/>
    <xf numFmtId="0" fontId="27" fillId="0" borderId="0"/>
    <xf numFmtId="0" fontId="7" fillId="46" borderId="31" applyNumberFormat="0" applyFont="0" applyAlignment="0" applyProtection="0"/>
    <xf numFmtId="9" fontId="27" fillId="0" borderId="0" applyFont="0" applyFill="0" applyBorder="0" applyAlignment="0" applyProtection="0"/>
    <xf numFmtId="0" fontId="65" fillId="39" borderId="83" applyNumberFormat="0" applyAlignment="0" applyProtection="0"/>
    <xf numFmtId="0" fontId="65" fillId="39" borderId="83" applyNumberFormat="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8" fillId="0" borderId="84" applyNumberFormat="0" applyFill="0" applyAlignment="0" applyProtection="0"/>
    <xf numFmtId="0" fontId="69" fillId="0" borderId="85" applyNumberFormat="0" applyFill="0" applyAlignment="0" applyProtection="0"/>
    <xf numFmtId="0" fontId="61" fillId="0" borderId="86" applyNumberFormat="0" applyFill="0" applyAlignment="0" applyProtection="0"/>
    <xf numFmtId="0" fontId="70" fillId="0" borderId="0" applyNumberFormat="0" applyFill="0" applyBorder="0" applyAlignment="0" applyProtection="0"/>
    <xf numFmtId="0" fontId="71" fillId="0" borderId="87" applyNumberFormat="0" applyFill="0" applyAlignment="0" applyProtection="0"/>
    <xf numFmtId="0" fontId="71" fillId="0" borderId="87" applyNumberFormat="0" applyFill="0" applyAlignment="0" applyProtection="0"/>
    <xf numFmtId="0" fontId="6" fillId="0" borderId="0"/>
    <xf numFmtId="0" fontId="76" fillId="0" borderId="0"/>
    <xf numFmtId="9" fontId="76" fillId="0" borderId="0" applyFont="0" applyFill="0" applyBorder="0" applyAlignment="0" applyProtection="0"/>
    <xf numFmtId="0" fontId="7" fillId="0" borderId="0"/>
    <xf numFmtId="0" fontId="7" fillId="0" borderId="0"/>
    <xf numFmtId="165" fontId="6" fillId="0" borderId="0" applyFont="0" applyFill="0" applyBorder="0" applyAlignment="0" applyProtection="0"/>
  </cellStyleXfs>
  <cellXfs count="843">
    <xf numFmtId="0" fontId="0" fillId="0" borderId="0" xfId="0"/>
    <xf numFmtId="0" fontId="0" fillId="2" borderId="0" xfId="0" applyFill="1"/>
    <xf numFmtId="0" fontId="1" fillId="0" borderId="0" xfId="0" applyFont="1"/>
    <xf numFmtId="0" fontId="2" fillId="0" borderId="0" xfId="0" applyFont="1"/>
    <xf numFmtId="2" fontId="0" fillId="0" borderId="0" xfId="0" applyNumberFormat="1"/>
    <xf numFmtId="0" fontId="3" fillId="0" borderId="0" xfId="0" applyFont="1"/>
    <xf numFmtId="3" fontId="0" fillId="2" borderId="0" xfId="0" applyNumberFormat="1" applyFill="1"/>
    <xf numFmtId="0" fontId="1" fillId="0" borderId="0" xfId="0" applyFont="1" applyAlignment="1">
      <alignment horizontal="center"/>
    </xf>
    <xf numFmtId="0" fontId="4" fillId="0" borderId="0" xfId="0" applyFont="1" applyAlignment="1">
      <alignment horizontal="center"/>
    </xf>
    <xf numFmtId="0" fontId="4" fillId="0" borderId="3" xfId="0" applyFont="1" applyBorder="1" applyAlignment="1">
      <alignment horizontal="center" wrapText="1"/>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0" fillId="3" borderId="5" xfId="0" applyFill="1" applyBorder="1" applyAlignment="1">
      <alignment horizontal="center"/>
    </xf>
    <xf numFmtId="0" fontId="0" fillId="3" borderId="0" xfId="0" applyFill="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0" borderId="7" xfId="0" applyBorder="1" applyAlignment="1">
      <alignment horizontal="center"/>
    </xf>
    <xf numFmtId="0" fontId="0" fillId="3" borderId="8" xfId="0" applyFill="1" applyBorder="1" applyAlignment="1">
      <alignment horizontal="center"/>
    </xf>
    <xf numFmtId="0" fontId="5" fillId="0" borderId="0" xfId="0" applyFont="1"/>
    <xf numFmtId="2" fontId="5" fillId="0" borderId="0" xfId="0" applyNumberFormat="1" applyFont="1"/>
    <xf numFmtId="1" fontId="0" fillId="0" borderId="0" xfId="0" applyNumberFormat="1"/>
    <xf numFmtId="9" fontId="0" fillId="0" borderId="0" xfId="1" applyFont="1"/>
    <xf numFmtId="0" fontId="0" fillId="4" borderId="9" xfId="0" applyFill="1" applyBorder="1"/>
    <xf numFmtId="0" fontId="0" fillId="4" borderId="10" xfId="0" applyFill="1" applyBorder="1"/>
    <xf numFmtId="0" fontId="0" fillId="4" borderId="11" xfId="0" applyFill="1" applyBorder="1"/>
    <xf numFmtId="0" fontId="0" fillId="0" borderId="4" xfId="0" applyBorder="1"/>
    <xf numFmtId="0" fontId="0" fillId="0" borderId="0" xfId="0" applyAlignment="1">
      <alignment horizontal="right"/>
    </xf>
    <xf numFmtId="0" fontId="0" fillId="0" borderId="5" xfId="0" applyBorder="1"/>
    <xf numFmtId="0" fontId="0" fillId="0" borderId="6" xfId="0" applyBorder="1"/>
    <xf numFmtId="0" fontId="0" fillId="0" borderId="7" xfId="0" applyBorder="1"/>
    <xf numFmtId="0" fontId="0" fillId="0" borderId="8" xfId="0" applyBorder="1"/>
    <xf numFmtId="0" fontId="4" fillId="0" borderId="0" xfId="0" applyFont="1"/>
    <xf numFmtId="0" fontId="8" fillId="0" borderId="0" xfId="2" applyFont="1"/>
    <xf numFmtId="0" fontId="7" fillId="0" borderId="0" xfId="2"/>
    <xf numFmtId="0" fontId="9" fillId="5" borderId="16" xfId="2" applyFont="1" applyFill="1" applyBorder="1"/>
    <xf numFmtId="0" fontId="9" fillId="0" borderId="0" xfId="2" applyFont="1"/>
    <xf numFmtId="0" fontId="10" fillId="0" borderId="0" xfId="2" applyFont="1" applyAlignment="1">
      <alignment horizontal="center"/>
    </xf>
    <xf numFmtId="0" fontId="11" fillId="0" borderId="0" xfId="2" applyFont="1" applyAlignment="1">
      <alignment horizontal="left"/>
    </xf>
    <xf numFmtId="0" fontId="11" fillId="0" borderId="0" xfId="2" applyFont="1" applyAlignment="1" applyProtection="1">
      <alignment horizontal="center"/>
      <protection hidden="1"/>
    </xf>
    <xf numFmtId="0" fontId="9" fillId="0" borderId="0" xfId="2" applyFont="1" applyAlignment="1">
      <alignment horizontal="left"/>
    </xf>
    <xf numFmtId="0" fontId="7" fillId="0" borderId="0" xfId="2" applyProtection="1">
      <protection hidden="1"/>
    </xf>
    <xf numFmtId="169" fontId="7" fillId="5" borderId="16" xfId="2" applyNumberFormat="1" applyFill="1" applyBorder="1" applyProtection="1">
      <protection locked="0"/>
    </xf>
    <xf numFmtId="170" fontId="7" fillId="0" borderId="0" xfId="2" applyNumberFormat="1"/>
    <xf numFmtId="37" fontId="7" fillId="5" borderId="16" xfId="2" applyNumberFormat="1" applyFill="1" applyBorder="1" applyProtection="1">
      <protection locked="0"/>
    </xf>
    <xf numFmtId="169" fontId="7" fillId="0" borderId="0" xfId="2" applyNumberFormat="1"/>
    <xf numFmtId="37" fontId="7" fillId="5" borderId="16" xfId="3" applyNumberFormat="1" applyFill="1" applyBorder="1" applyProtection="1">
      <protection locked="0"/>
    </xf>
    <xf numFmtId="0" fontId="7" fillId="0" borderId="0" xfId="2" quotePrefix="1"/>
    <xf numFmtId="169" fontId="7" fillId="5" borderId="16" xfId="4" applyNumberFormat="1" applyFill="1" applyBorder="1" applyProtection="1">
      <protection locked="0"/>
    </xf>
    <xf numFmtId="169" fontId="7" fillId="0" borderId="0" xfId="4" applyNumberFormat="1" applyFill="1" applyBorder="1"/>
    <xf numFmtId="9" fontId="7" fillId="5" borderId="16" xfId="5" applyFill="1" applyBorder="1" applyProtection="1">
      <protection locked="0"/>
    </xf>
    <xf numFmtId="174" fontId="7" fillId="5" borderId="16" xfId="3" applyNumberFormat="1" applyFill="1" applyBorder="1" applyProtection="1">
      <protection locked="0"/>
    </xf>
    <xf numFmtId="3" fontId="7" fillId="0" borderId="0" xfId="2" applyNumberFormat="1"/>
    <xf numFmtId="0" fontId="7" fillId="0" borderId="12" xfId="2" applyBorder="1"/>
    <xf numFmtId="0" fontId="12" fillId="0" borderId="17" xfId="2" applyFont="1" applyBorder="1" applyAlignment="1">
      <alignment horizontal="center"/>
    </xf>
    <xf numFmtId="0" fontId="11" fillId="0" borderId="4" xfId="2" applyFont="1" applyBorder="1"/>
    <xf numFmtId="0" fontId="12" fillId="0" borderId="19" xfId="2" applyFont="1" applyBorder="1" applyAlignment="1">
      <alignment horizontal="center"/>
    </xf>
    <xf numFmtId="0" fontId="12" fillId="0" borderId="0" xfId="2" applyFont="1" applyAlignment="1">
      <alignment horizontal="center"/>
    </xf>
    <xf numFmtId="0" fontId="7" fillId="0" borderId="4" xfId="2" applyBorder="1"/>
    <xf numFmtId="169" fontId="7" fillId="0" borderId="19" xfId="2" applyNumberFormat="1" applyBorder="1" applyAlignment="1">
      <alignment horizontal="right"/>
    </xf>
    <xf numFmtId="175" fontId="7" fillId="0" borderId="0" xfId="2" applyNumberFormat="1"/>
    <xf numFmtId="37" fontId="13" fillId="0" borderId="19" xfId="2" applyNumberFormat="1" applyFont="1" applyBorder="1" applyAlignment="1">
      <alignment horizontal="right"/>
    </xf>
    <xf numFmtId="169" fontId="13" fillId="0" borderId="0" xfId="2" applyNumberFormat="1" applyFont="1"/>
    <xf numFmtId="175" fontId="13" fillId="0" borderId="0" xfId="2" applyNumberFormat="1" applyFont="1"/>
    <xf numFmtId="0" fontId="7" fillId="0" borderId="19" xfId="2" applyBorder="1" applyAlignment="1">
      <alignment horizontal="right"/>
    </xf>
    <xf numFmtId="169" fontId="7" fillId="0" borderId="0" xfId="2" applyNumberFormat="1" applyAlignment="1">
      <alignment horizontal="right"/>
    </xf>
    <xf numFmtId="37" fontId="7" fillId="0" borderId="19" xfId="3" applyNumberFormat="1" applyBorder="1" applyAlignment="1">
      <alignment horizontal="right"/>
    </xf>
    <xf numFmtId="37" fontId="7" fillId="0" borderId="0" xfId="2" applyNumberFormat="1" applyAlignment="1">
      <alignment horizontal="right"/>
    </xf>
    <xf numFmtId="37" fontId="7" fillId="0" borderId="19" xfId="2" applyNumberFormat="1" applyBorder="1" applyAlignment="1">
      <alignment horizontal="right"/>
    </xf>
    <xf numFmtId="37" fontId="13" fillId="0" borderId="0" xfId="2" applyNumberFormat="1" applyFont="1" applyAlignment="1">
      <alignment horizontal="right"/>
    </xf>
    <xf numFmtId="170" fontId="7" fillId="0" borderId="0" xfId="2" applyNumberFormat="1" applyAlignment="1">
      <alignment horizontal="right"/>
    </xf>
    <xf numFmtId="176" fontId="7" fillId="0" borderId="0" xfId="2" applyNumberFormat="1" applyAlignment="1">
      <alignment horizontal="right"/>
    </xf>
    <xf numFmtId="0" fontId="11" fillId="0" borderId="6" xfId="2" applyFont="1" applyBorder="1"/>
    <xf numFmtId="169" fontId="11" fillId="0" borderId="20" xfId="2" applyNumberFormat="1" applyFont="1" applyBorder="1" applyAlignment="1">
      <alignment horizontal="right"/>
    </xf>
    <xf numFmtId="0" fontId="14" fillId="0" borderId="0" xfId="2" applyFont="1"/>
    <xf numFmtId="167" fontId="11" fillId="6" borderId="3" xfId="2" applyNumberFormat="1" applyFont="1" applyFill="1" applyBorder="1"/>
    <xf numFmtId="0" fontId="7" fillId="7" borderId="0" xfId="2" applyFill="1"/>
    <xf numFmtId="0" fontId="15" fillId="7" borderId="17" xfId="2" applyFont="1" applyFill="1" applyBorder="1" applyAlignment="1">
      <alignment horizontal="center"/>
    </xf>
    <xf numFmtId="1" fontId="15" fillId="7" borderId="17" xfId="2" applyNumberFormat="1" applyFont="1" applyFill="1" applyBorder="1" applyAlignment="1">
      <alignment horizontal="right" vertical="center"/>
    </xf>
    <xf numFmtId="4" fontId="15" fillId="7" borderId="17" xfId="2" applyNumberFormat="1" applyFont="1" applyFill="1" applyBorder="1" applyAlignment="1">
      <alignment horizontal="right" vertical="center"/>
    </xf>
    <xf numFmtId="4" fontId="15" fillId="7" borderId="17" xfId="2" applyNumberFormat="1" applyFont="1" applyFill="1" applyBorder="1" applyAlignment="1">
      <alignment horizontal="center"/>
    </xf>
    <xf numFmtId="0" fontId="15" fillId="7" borderId="21" xfId="2" applyFont="1" applyFill="1" applyBorder="1" applyAlignment="1">
      <alignment horizontal="center"/>
    </xf>
    <xf numFmtId="0" fontId="18" fillId="8" borderId="1" xfId="2" applyFont="1" applyFill="1" applyBorder="1" applyAlignment="1">
      <alignment vertical="center"/>
    </xf>
    <xf numFmtId="0" fontId="19" fillId="8" borderId="2" xfId="2" applyFont="1" applyFill="1" applyBorder="1" applyAlignment="1">
      <alignment vertical="center"/>
    </xf>
    <xf numFmtId="3" fontId="19" fillId="8" borderId="3" xfId="2" applyNumberFormat="1" applyFont="1" applyFill="1" applyBorder="1" applyAlignment="1">
      <alignment vertical="center"/>
    </xf>
    <xf numFmtId="0" fontId="16" fillId="7" borderId="22" xfId="6" applyFont="1" applyFill="1" applyBorder="1" applyAlignment="1">
      <alignment horizontal="left"/>
    </xf>
    <xf numFmtId="0" fontId="16" fillId="7" borderId="23" xfId="6" applyFont="1" applyFill="1" applyBorder="1" applyAlignment="1">
      <alignment horizontal="left"/>
    </xf>
    <xf numFmtId="177" fontId="16" fillId="0" borderId="24" xfId="7" applyNumberFormat="1" applyFont="1" applyFill="1" applyBorder="1"/>
    <xf numFmtId="0" fontId="16" fillId="0" borderId="25" xfId="6" applyFont="1" applyBorder="1" applyAlignment="1">
      <alignment horizontal="left"/>
    </xf>
    <xf numFmtId="0" fontId="16" fillId="7" borderId="26" xfId="6" applyFont="1" applyFill="1" applyBorder="1" applyAlignment="1">
      <alignment horizontal="left"/>
    </xf>
    <xf numFmtId="0" fontId="16" fillId="7" borderId="27" xfId="6" applyFont="1" applyFill="1" applyBorder="1" applyAlignment="1">
      <alignment horizontal="left"/>
    </xf>
    <xf numFmtId="0" fontId="16" fillId="0" borderId="24" xfId="6" applyFont="1" applyBorder="1" applyAlignment="1">
      <alignment horizontal="center"/>
    </xf>
    <xf numFmtId="3" fontId="17" fillId="0" borderId="24" xfId="6" applyNumberFormat="1" applyFont="1" applyBorder="1"/>
    <xf numFmtId="0" fontId="16" fillId="0" borderId="24" xfId="6" applyFont="1" applyBorder="1" applyAlignment="1">
      <alignment horizontal="left"/>
    </xf>
    <xf numFmtId="0" fontId="16" fillId="0" borderId="29" xfId="6" applyFont="1" applyBorder="1" applyAlignment="1">
      <alignment horizontal="center"/>
    </xf>
    <xf numFmtId="177" fontId="16" fillId="0" borderId="29" xfId="7" applyNumberFormat="1" applyFont="1" applyFill="1" applyBorder="1"/>
    <xf numFmtId="0" fontId="16" fillId="0" borderId="29" xfId="6" applyFont="1" applyBorder="1" applyAlignment="1">
      <alignment horizontal="left"/>
    </xf>
    <xf numFmtId="0" fontId="16" fillId="6" borderId="1" xfId="6" applyFont="1" applyFill="1" applyBorder="1"/>
    <xf numFmtId="0" fontId="16" fillId="6" borderId="2" xfId="6" applyFont="1" applyFill="1" applyBorder="1"/>
    <xf numFmtId="0" fontId="7" fillId="6" borderId="2" xfId="2" applyFill="1" applyBorder="1"/>
    <xf numFmtId="3" fontId="20" fillId="8" borderId="2" xfId="2" applyNumberFormat="1" applyFont="1" applyFill="1" applyBorder="1" applyAlignment="1">
      <alignment vertical="center"/>
    </xf>
    <xf numFmtId="0" fontId="19" fillId="8" borderId="15" xfId="2" applyFont="1" applyFill="1" applyBorder="1" applyAlignment="1">
      <alignment vertical="center"/>
    </xf>
    <xf numFmtId="0" fontId="16" fillId="0" borderId="25" xfId="6" applyFont="1" applyBorder="1" applyAlignment="1">
      <alignment horizontal="center"/>
    </xf>
    <xf numFmtId="3" fontId="17" fillId="0" borderId="25" xfId="6" applyNumberFormat="1" applyFont="1" applyBorder="1"/>
    <xf numFmtId="0" fontId="18" fillId="7" borderId="26" xfId="6" applyFont="1" applyFill="1" applyBorder="1" applyAlignment="1">
      <alignment horizontal="left" indent="2"/>
    </xf>
    <xf numFmtId="0" fontId="18" fillId="7" borderId="28" xfId="6" applyFont="1" applyFill="1" applyBorder="1" applyAlignment="1">
      <alignment horizontal="left" indent="3"/>
    </xf>
    <xf numFmtId="9" fontId="16" fillId="0" borderId="29" xfId="6" applyNumberFormat="1" applyFont="1" applyBorder="1"/>
    <xf numFmtId="0" fontId="15" fillId="6" borderId="1" xfId="6" applyFont="1" applyFill="1" applyBorder="1"/>
    <xf numFmtId="0" fontId="15" fillId="9" borderId="12" xfId="6" applyFont="1" applyFill="1" applyBorder="1" applyAlignment="1">
      <alignment vertical="center"/>
    </xf>
    <xf numFmtId="0" fontId="16" fillId="9" borderId="13" xfId="6" applyFont="1" applyFill="1" applyBorder="1" applyAlignment="1">
      <alignment vertical="center"/>
    </xf>
    <xf numFmtId="177" fontId="7" fillId="0" borderId="0" xfId="2" applyNumberFormat="1"/>
    <xf numFmtId="169" fontId="21" fillId="5" borderId="16" xfId="2" applyNumberFormat="1" applyFont="1" applyFill="1" applyBorder="1" applyProtection="1">
      <protection locked="0"/>
    </xf>
    <xf numFmtId="169" fontId="21" fillId="5" borderId="16" xfId="4" applyNumberFormat="1" applyFont="1" applyFill="1" applyBorder="1" applyProtection="1">
      <protection locked="0"/>
    </xf>
    <xf numFmtId="37" fontId="7" fillId="0" borderId="16" xfId="2" applyNumberFormat="1" applyBorder="1" applyProtection="1">
      <protection locked="0"/>
    </xf>
    <xf numFmtId="169" fontId="7" fillId="0" borderId="16" xfId="2" applyNumberFormat="1" applyBorder="1" applyProtection="1">
      <protection locked="0"/>
    </xf>
    <xf numFmtId="37" fontId="7" fillId="0" borderId="16" xfId="3" applyNumberFormat="1" applyFill="1" applyBorder="1" applyAlignment="1" applyProtection="1">
      <alignment horizontal="right"/>
      <protection locked="0"/>
    </xf>
    <xf numFmtId="173" fontId="7" fillId="0" borderId="16" xfId="2" applyNumberFormat="1" applyBorder="1" applyProtection="1">
      <protection locked="0"/>
    </xf>
    <xf numFmtId="0" fontId="0" fillId="0" borderId="16" xfId="0" applyBorder="1" applyAlignment="1">
      <alignment horizontal="center"/>
    </xf>
    <xf numFmtId="0" fontId="11" fillId="0" borderId="9" xfId="2" applyFont="1" applyBorder="1" applyAlignment="1">
      <alignment horizontal="center" vertical="center"/>
    </xf>
    <xf numFmtId="0" fontId="11" fillId="0" borderId="11" xfId="2" applyFont="1" applyBorder="1" applyAlignment="1">
      <alignment horizontal="center" vertical="center"/>
    </xf>
    <xf numFmtId="0" fontId="11" fillId="6" borderId="15" xfId="2" applyFont="1" applyFill="1" applyBorder="1"/>
    <xf numFmtId="2" fontId="0" fillId="2" borderId="0" xfId="0" applyNumberFormat="1" applyFill="1"/>
    <xf numFmtId="9" fontId="0" fillId="0" borderId="16" xfId="0" applyNumberFormat="1" applyBorder="1" applyAlignment="1">
      <alignment horizontal="center"/>
    </xf>
    <xf numFmtId="0" fontId="0" fillId="10" borderId="0" xfId="0" applyFill="1"/>
    <xf numFmtId="2" fontId="0" fillId="10" borderId="0" xfId="0" applyNumberFormat="1" applyFill="1"/>
    <xf numFmtId="0" fontId="0" fillId="11" borderId="0" xfId="0" applyFill="1"/>
    <xf numFmtId="2" fontId="0" fillId="11" borderId="0" xfId="0" applyNumberFormat="1" applyFill="1"/>
    <xf numFmtId="0" fontId="22" fillId="0" borderId="0" xfId="0" applyFont="1"/>
    <xf numFmtId="178" fontId="0" fillId="0" borderId="16" xfId="0" applyNumberFormat="1" applyBorder="1" applyAlignment="1">
      <alignment horizontal="center"/>
    </xf>
    <xf numFmtId="4" fontId="23" fillId="2" borderId="31" xfId="8" applyNumberFormat="1" applyFont="1" applyFill="1" applyBorder="1" applyAlignment="1">
      <alignment horizontal="right" vertical="center"/>
    </xf>
    <xf numFmtId="0" fontId="23" fillId="0" borderId="32" xfId="8" applyFont="1" applyBorder="1" applyAlignment="1">
      <alignment horizontal="center" vertical="center"/>
    </xf>
    <xf numFmtId="0" fontId="23" fillId="0" borderId="0" xfId="0" applyFont="1" applyAlignment="1">
      <alignment vertical="center"/>
    </xf>
    <xf numFmtId="4" fontId="23" fillId="0" borderId="0" xfId="0" applyNumberFormat="1" applyFont="1" applyAlignment="1">
      <alignment vertical="center"/>
    </xf>
    <xf numFmtId="4" fontId="23" fillId="0" borderId="0" xfId="0" applyNumberFormat="1" applyFont="1" applyAlignment="1">
      <alignment horizontal="left" vertical="center" indent="1"/>
    </xf>
    <xf numFmtId="4" fontId="24" fillId="0" borderId="0" xfId="0" applyNumberFormat="1" applyFont="1" applyAlignment="1">
      <alignment vertical="center"/>
    </xf>
    <xf numFmtId="4" fontId="24" fillId="0" borderId="0" xfId="0" applyNumberFormat="1" applyFont="1" applyAlignment="1">
      <alignment horizontal="left" vertical="center" indent="1"/>
    </xf>
    <xf numFmtId="3" fontId="0" fillId="0" borderId="0" xfId="0" applyNumberFormat="1"/>
    <xf numFmtId="178" fontId="0" fillId="0" borderId="0" xfId="0" applyNumberFormat="1"/>
    <xf numFmtId="0" fontId="0" fillId="12" borderId="16" xfId="0" applyFill="1" applyBorder="1" applyAlignment="1">
      <alignment horizontal="center"/>
    </xf>
    <xf numFmtId="178" fontId="0" fillId="12" borderId="16" xfId="0" applyNumberFormat="1" applyFill="1" applyBorder="1" applyAlignment="1">
      <alignment horizontal="center"/>
    </xf>
    <xf numFmtId="9" fontId="0" fillId="12" borderId="16" xfId="0" applyNumberFormat="1" applyFill="1" applyBorder="1" applyAlignment="1">
      <alignment horizontal="center"/>
    </xf>
    <xf numFmtId="0" fontId="1" fillId="13" borderId="16" xfId="0" applyFont="1" applyFill="1" applyBorder="1" applyAlignment="1">
      <alignment horizontal="center" vertical="center" wrapText="1"/>
    </xf>
    <xf numFmtId="167" fontId="0" fillId="12" borderId="16" xfId="0" applyNumberFormat="1" applyFill="1" applyBorder="1"/>
    <xf numFmtId="167" fontId="0" fillId="0" borderId="16" xfId="0" applyNumberFormat="1" applyBorder="1"/>
    <xf numFmtId="0" fontId="24" fillId="0" borderId="16" xfId="0" applyFont="1" applyBorder="1" applyAlignment="1">
      <alignment horizontal="center"/>
    </xf>
    <xf numFmtId="0" fontId="24" fillId="12" borderId="16" xfId="0" applyFont="1" applyFill="1" applyBorder="1" applyAlignment="1">
      <alignment horizontal="center"/>
    </xf>
    <xf numFmtId="4" fontId="0" fillId="0" borderId="0" xfId="0" applyNumberFormat="1"/>
    <xf numFmtId="0" fontId="7" fillId="0" borderId="19" xfId="2" applyBorder="1"/>
    <xf numFmtId="0" fontId="0" fillId="0" borderId="12" xfId="0" applyBorder="1"/>
    <xf numFmtId="0" fontId="0" fillId="0" borderId="14" xfId="0" applyBorder="1"/>
    <xf numFmtId="0" fontId="26" fillId="0" borderId="0" xfId="0" applyFont="1"/>
    <xf numFmtId="179" fontId="0" fillId="0" borderId="0" xfId="0" applyNumberFormat="1"/>
    <xf numFmtId="37" fontId="7" fillId="0" borderId="16" xfId="3" applyNumberFormat="1" applyFill="1" applyBorder="1" applyProtection="1">
      <protection locked="0"/>
    </xf>
    <xf numFmtId="0" fontId="1" fillId="14" borderId="1" xfId="0" applyFont="1" applyFill="1" applyBorder="1"/>
    <xf numFmtId="0" fontId="0" fillId="14" borderId="2" xfId="0" applyFill="1" applyBorder="1"/>
    <xf numFmtId="0" fontId="0" fillId="14" borderId="3" xfId="0" applyFill="1" applyBorder="1"/>
    <xf numFmtId="0" fontId="24" fillId="0" borderId="16" xfId="8" applyFont="1" applyBorder="1" applyAlignment="1">
      <alignment horizontal="center" vertical="center"/>
    </xf>
    <xf numFmtId="4" fontId="24" fillId="0" borderId="16" xfId="8" applyNumberFormat="1" applyFont="1" applyBorder="1" applyAlignment="1">
      <alignment vertical="center"/>
    </xf>
    <xf numFmtId="3" fontId="24" fillId="0" borderId="16" xfId="8" applyNumberFormat="1" applyFont="1" applyBorder="1" applyAlignment="1">
      <alignment horizontal="center" vertical="center"/>
    </xf>
    <xf numFmtId="178" fontId="22" fillId="0" borderId="0" xfId="0" applyNumberFormat="1" applyFont="1"/>
    <xf numFmtId="0" fontId="25" fillId="0" borderId="0" xfId="0" applyFont="1"/>
    <xf numFmtId="2" fontId="25" fillId="0" borderId="0" xfId="0" applyNumberFormat="1" applyFont="1"/>
    <xf numFmtId="178" fontId="25" fillId="0" borderId="0" xfId="0" applyNumberFormat="1" applyFont="1"/>
    <xf numFmtId="0" fontId="0" fillId="0" borderId="0" xfId="0" applyAlignment="1">
      <alignment horizontal="center" vertical="center"/>
    </xf>
    <xf numFmtId="0" fontId="1" fillId="0" borderId="0" xfId="0" applyFont="1" applyAlignment="1">
      <alignment horizontal="center" vertical="center" wrapText="1"/>
    </xf>
    <xf numFmtId="0" fontId="1" fillId="0" borderId="0" xfId="0" applyFont="1" applyAlignment="1">
      <alignment vertical="center"/>
    </xf>
    <xf numFmtId="176" fontId="7" fillId="0" borderId="0" xfId="2" applyNumberFormat="1"/>
    <xf numFmtId="175" fontId="7" fillId="0" borderId="0" xfId="2" applyNumberFormat="1" applyAlignment="1">
      <alignment horizontal="right"/>
    </xf>
    <xf numFmtId="169" fontId="11" fillId="0" borderId="0" xfId="2" applyNumberFormat="1" applyFont="1" applyAlignment="1">
      <alignment horizontal="right"/>
    </xf>
    <xf numFmtId="175" fontId="11" fillId="0" borderId="0" xfId="2" applyNumberFormat="1" applyFont="1"/>
    <xf numFmtId="0" fontId="12" fillId="0" borderId="21" xfId="2" applyFont="1" applyBorder="1" applyAlignment="1">
      <alignment horizontal="center"/>
    </xf>
    <xf numFmtId="0" fontId="12" fillId="0" borderId="33" xfId="2" applyFont="1" applyBorder="1" applyAlignment="1">
      <alignment horizontal="center"/>
    </xf>
    <xf numFmtId="175" fontId="7" fillId="0" borderId="19" xfId="2" applyNumberFormat="1" applyBorder="1"/>
    <xf numFmtId="175" fontId="13" fillId="0" borderId="33" xfId="2" applyNumberFormat="1" applyFont="1" applyBorder="1"/>
    <xf numFmtId="175" fontId="13" fillId="0" borderId="19" xfId="2" applyNumberFormat="1" applyFont="1" applyBorder="1"/>
    <xf numFmtId="175" fontId="7" fillId="0" borderId="33" xfId="2" applyNumberFormat="1" applyBorder="1"/>
    <xf numFmtId="0" fontId="7" fillId="0" borderId="33" xfId="2" applyBorder="1"/>
    <xf numFmtId="170" fontId="7" fillId="0" borderId="19" xfId="2" applyNumberFormat="1" applyBorder="1" applyAlignment="1">
      <alignment horizontal="right"/>
    </xf>
    <xf numFmtId="170" fontId="7" fillId="0" borderId="33" xfId="2" applyNumberFormat="1" applyBorder="1" applyAlignment="1">
      <alignment horizontal="right"/>
    </xf>
    <xf numFmtId="175" fontId="11" fillId="0" borderId="20" xfId="2" applyNumberFormat="1" applyFont="1" applyBorder="1"/>
    <xf numFmtId="175" fontId="11" fillId="0" borderId="34" xfId="2" applyNumberFormat="1" applyFont="1" applyBorder="1"/>
    <xf numFmtId="0" fontId="12" fillId="0" borderId="4" xfId="2" applyFont="1" applyBorder="1"/>
    <xf numFmtId="0" fontId="12" fillId="0" borderId="0" xfId="2" applyFont="1"/>
    <xf numFmtId="0" fontId="12" fillId="0" borderId="4" xfId="2" applyFont="1" applyBorder="1" applyAlignment="1">
      <alignment horizontal="center"/>
    </xf>
    <xf numFmtId="175" fontId="7" fillId="0" borderId="4" xfId="2" applyNumberFormat="1" applyBorder="1"/>
    <xf numFmtId="175" fontId="13" fillId="0" borderId="4" xfId="2" applyNumberFormat="1" applyFont="1" applyBorder="1"/>
    <xf numFmtId="176" fontId="7" fillId="0" borderId="4" xfId="2" applyNumberFormat="1" applyBorder="1" applyAlignment="1">
      <alignment horizontal="right"/>
    </xf>
    <xf numFmtId="175" fontId="11" fillId="0" borderId="4" xfId="2" applyNumberFormat="1" applyFont="1" applyBorder="1"/>
    <xf numFmtId="180" fontId="7" fillId="0" borderId="0" xfId="2" applyNumberFormat="1"/>
    <xf numFmtId="167" fontId="7" fillId="0" borderId="0" xfId="2" applyNumberFormat="1"/>
    <xf numFmtId="0" fontId="1" fillId="0" borderId="1" xfId="0" applyFont="1" applyBorder="1" applyAlignment="1">
      <alignment horizontal="right"/>
    </xf>
    <xf numFmtId="9" fontId="0" fillId="0" borderId="0" xfId="0" applyNumberFormat="1"/>
    <xf numFmtId="0" fontId="24" fillId="0" borderId="0" xfId="0" applyFont="1"/>
    <xf numFmtId="0" fontId="22" fillId="0" borderId="0" xfId="0" applyFont="1" applyAlignment="1">
      <alignment horizontal="left" wrapText="1"/>
    </xf>
    <xf numFmtId="0" fontId="0" fillId="0" borderId="0" xfId="0" applyAlignment="1">
      <alignment horizontal="center" vertical="center" wrapText="1"/>
    </xf>
    <xf numFmtId="167" fontId="0" fillId="0" borderId="0" xfId="0" applyNumberFormat="1"/>
    <xf numFmtId="0" fontId="22" fillId="0" borderId="0" xfId="0" applyFont="1" applyAlignment="1">
      <alignment wrapText="1"/>
    </xf>
    <xf numFmtId="178" fontId="22" fillId="0" borderId="0" xfId="0" applyNumberFormat="1" applyFont="1" applyAlignment="1">
      <alignment wrapText="1"/>
    </xf>
    <xf numFmtId="0" fontId="30" fillId="0" borderId="0" xfId="0" applyFont="1"/>
    <xf numFmtId="0" fontId="31" fillId="0" borderId="0" xfId="0" applyFont="1" applyAlignment="1">
      <alignment wrapText="1"/>
    </xf>
    <xf numFmtId="178" fontId="31" fillId="0" borderId="0" xfId="0" applyNumberFormat="1" applyFont="1" applyAlignment="1">
      <alignment wrapText="1"/>
    </xf>
    <xf numFmtId="0" fontId="31" fillId="0" borderId="0" xfId="0" applyFont="1"/>
    <xf numFmtId="0" fontId="16" fillId="0" borderId="0" xfId="2" applyFont="1"/>
    <xf numFmtId="0" fontId="32" fillId="0" borderId="1" xfId="2" applyFont="1" applyBorder="1"/>
    <xf numFmtId="0" fontId="15" fillId="0" borderId="2" xfId="2" applyFont="1" applyBorder="1"/>
    <xf numFmtId="0" fontId="15" fillId="0" borderId="2" xfId="2" applyFont="1" applyBorder="1" applyAlignment="1">
      <alignment horizontal="center"/>
    </xf>
    <xf numFmtId="0" fontId="15" fillId="0" borderId="3" xfId="2" applyFont="1" applyBorder="1" applyAlignment="1">
      <alignment horizontal="center"/>
    </xf>
    <xf numFmtId="0" fontId="15" fillId="0" borderId="4" xfId="2" applyFont="1" applyBorder="1"/>
    <xf numFmtId="0" fontId="16" fillId="0" borderId="0" xfId="2" applyFont="1" applyAlignment="1">
      <alignment horizontal="center"/>
    </xf>
    <xf numFmtId="0" fontId="16" fillId="0" borderId="5" xfId="2" applyFont="1" applyBorder="1" applyAlignment="1">
      <alignment horizontal="center"/>
    </xf>
    <xf numFmtId="0" fontId="16" fillId="0" borderId="4" xfId="2" applyFont="1" applyBorder="1"/>
    <xf numFmtId="3" fontId="16" fillId="0" borderId="0" xfId="2" applyNumberFormat="1" applyFont="1" applyAlignment="1">
      <alignment horizontal="center"/>
    </xf>
    <xf numFmtId="0" fontId="32" fillId="0" borderId="4" xfId="2" applyFont="1" applyBorder="1"/>
    <xf numFmtId="3" fontId="16" fillId="0" borderId="5" xfId="2" applyNumberFormat="1" applyFont="1" applyBorder="1" applyAlignment="1">
      <alignment horizontal="center"/>
    </xf>
    <xf numFmtId="0" fontId="32" fillId="0" borderId="1" xfId="2" applyFont="1" applyBorder="1" applyAlignment="1">
      <alignment horizontal="left" vertical="center"/>
    </xf>
    <xf numFmtId="0" fontId="15" fillId="0" borderId="2" xfId="2" applyFont="1" applyBorder="1" applyAlignment="1">
      <alignment horizontal="center" vertical="center"/>
    </xf>
    <xf numFmtId="3" fontId="15" fillId="0" borderId="2" xfId="2" applyNumberFormat="1" applyFont="1" applyBorder="1" applyAlignment="1">
      <alignment horizontal="center" vertical="center"/>
    </xf>
    <xf numFmtId="3" fontId="10" fillId="0" borderId="3" xfId="2" applyNumberFormat="1" applyFont="1" applyBorder="1" applyAlignment="1">
      <alignment horizontal="center" vertical="center"/>
    </xf>
    <xf numFmtId="3" fontId="16" fillId="0" borderId="0" xfId="2" applyNumberFormat="1" applyFont="1"/>
    <xf numFmtId="0" fontId="32" fillId="0" borderId="4" xfId="2" applyFont="1" applyBorder="1" applyAlignment="1">
      <alignment horizontal="left" vertical="center"/>
    </xf>
    <xf numFmtId="9" fontId="16" fillId="0" borderId="0" xfId="2" applyNumberFormat="1" applyFont="1" applyAlignment="1">
      <alignment horizontal="center" vertical="center"/>
    </xf>
    <xf numFmtId="3" fontId="15" fillId="0" borderId="0" xfId="2" applyNumberFormat="1" applyFont="1" applyAlignment="1">
      <alignment horizontal="center" vertical="center"/>
    </xf>
    <xf numFmtId="0" fontId="16" fillId="0" borderId="2" xfId="2" applyFont="1" applyBorder="1"/>
    <xf numFmtId="0" fontId="15" fillId="0" borderId="0" xfId="2" applyFont="1" applyAlignment="1">
      <alignment horizontal="center" vertical="center"/>
    </xf>
    <xf numFmtId="0" fontId="32" fillId="7" borderId="1" xfId="2" applyFont="1" applyFill="1" applyBorder="1"/>
    <xf numFmtId="0" fontId="16" fillId="7" borderId="1" xfId="2" applyFont="1" applyFill="1" applyBorder="1"/>
    <xf numFmtId="0" fontId="16" fillId="7" borderId="2" xfId="2" applyFont="1" applyFill="1" applyBorder="1"/>
    <xf numFmtId="0" fontId="16" fillId="7" borderId="2" xfId="2" applyFont="1" applyFill="1" applyBorder="1" applyAlignment="1">
      <alignment horizontal="center"/>
    </xf>
    <xf numFmtId="0" fontId="15" fillId="7" borderId="4" xfId="2" applyFont="1" applyFill="1" applyBorder="1"/>
    <xf numFmtId="0" fontId="16" fillId="7" borderId="0" xfId="2" applyFont="1" applyFill="1"/>
    <xf numFmtId="0" fontId="16" fillId="7" borderId="0" xfId="2" applyFont="1" applyFill="1" applyAlignment="1">
      <alignment horizontal="center"/>
    </xf>
    <xf numFmtId="0" fontId="32" fillId="16" borderId="0" xfId="2" applyFont="1" applyFill="1"/>
    <xf numFmtId="0" fontId="16" fillId="16" borderId="0" xfId="2" applyFont="1" applyFill="1"/>
    <xf numFmtId="0" fontId="16" fillId="16" borderId="0" xfId="2" applyFont="1" applyFill="1" applyAlignment="1">
      <alignment horizontal="center"/>
    </xf>
    <xf numFmtId="3" fontId="16" fillId="16" borderId="0" xfId="2" applyNumberFormat="1" applyFont="1" applyFill="1" applyAlignment="1">
      <alignment horizontal="center"/>
    </xf>
    <xf numFmtId="0" fontId="17" fillId="16" borderId="0" xfId="2" applyFont="1" applyFill="1"/>
    <xf numFmtId="0" fontId="16" fillId="17" borderId="0" xfId="2" applyFont="1" applyFill="1"/>
    <xf numFmtId="0" fontId="16" fillId="17" borderId="0" xfId="2" applyFont="1" applyFill="1" applyAlignment="1">
      <alignment horizontal="center"/>
    </xf>
    <xf numFmtId="3" fontId="16" fillId="17" borderId="0" xfId="2" applyNumberFormat="1" applyFont="1" applyFill="1" applyAlignment="1">
      <alignment horizontal="center"/>
    </xf>
    <xf numFmtId="0" fontId="16" fillId="2" borderId="0" xfId="2" applyFont="1" applyFill="1" applyAlignment="1">
      <alignment horizontal="center"/>
    </xf>
    <xf numFmtId="3" fontId="16" fillId="2" borderId="0" xfId="2" applyNumberFormat="1" applyFont="1" applyFill="1" applyAlignment="1">
      <alignment horizontal="center"/>
    </xf>
    <xf numFmtId="0" fontId="32" fillId="7" borderId="0" xfId="2" applyFont="1" applyFill="1"/>
    <xf numFmtId="3" fontId="16" fillId="7" borderId="0" xfId="2" applyNumberFormat="1" applyFont="1" applyFill="1" applyAlignment="1">
      <alignment horizontal="center"/>
    </xf>
    <xf numFmtId="3" fontId="33" fillId="7" borderId="0" xfId="2" applyNumberFormat="1" applyFont="1" applyFill="1" applyAlignment="1">
      <alignment horizontal="center"/>
    </xf>
    <xf numFmtId="3" fontId="15" fillId="0" borderId="3" xfId="2" applyNumberFormat="1" applyFont="1" applyBorder="1" applyAlignment="1">
      <alignment horizontal="center"/>
    </xf>
    <xf numFmtId="9" fontId="16" fillId="0" borderId="0" xfId="1" applyFont="1"/>
    <xf numFmtId="3" fontId="15" fillId="0" borderId="2" xfId="2" applyNumberFormat="1" applyFont="1" applyBorder="1" applyAlignment="1">
      <alignment horizontal="center"/>
    </xf>
    <xf numFmtId="0" fontId="32" fillId="0" borderId="0" xfId="2" applyFont="1"/>
    <xf numFmtId="0" fontId="16" fillId="0" borderId="0" xfId="2" applyFont="1" applyAlignment="1">
      <alignment horizontal="left" indent="1"/>
    </xf>
    <xf numFmtId="0" fontId="16" fillId="0" borderId="0" xfId="2" applyFont="1" applyAlignment="1">
      <alignment horizontal="center" vertical="center"/>
    </xf>
    <xf numFmtId="0" fontId="16" fillId="0" borderId="0" xfId="2" applyFont="1" applyAlignment="1">
      <alignment horizontal="center" vertical="center" wrapText="1"/>
    </xf>
    <xf numFmtId="0" fontId="16" fillId="0" borderId="7" xfId="2" applyFont="1" applyBorder="1"/>
    <xf numFmtId="0" fontId="0" fillId="7" borderId="0" xfId="0" applyFill="1"/>
    <xf numFmtId="0" fontId="15" fillId="7" borderId="36" xfId="2" applyFont="1" applyFill="1" applyBorder="1" applyAlignment="1">
      <alignment horizontal="center"/>
    </xf>
    <xf numFmtId="1" fontId="15" fillId="7" borderId="36" xfId="2" applyNumberFormat="1" applyFont="1" applyFill="1" applyBorder="1" applyAlignment="1">
      <alignment horizontal="right" vertical="center"/>
    </xf>
    <xf numFmtId="4" fontId="15" fillId="7" borderId="36" xfId="2" applyNumberFormat="1" applyFont="1" applyFill="1" applyBorder="1" applyAlignment="1">
      <alignment horizontal="right" vertical="center"/>
    </xf>
    <xf numFmtId="4" fontId="15" fillId="7" borderId="36" xfId="2" applyNumberFormat="1" applyFont="1" applyFill="1" applyBorder="1" applyAlignment="1">
      <alignment horizontal="center"/>
    </xf>
    <xf numFmtId="0" fontId="15" fillId="7" borderId="37" xfId="2" applyFont="1" applyFill="1" applyBorder="1" applyAlignment="1">
      <alignment horizontal="center"/>
    </xf>
    <xf numFmtId="3" fontId="19" fillId="8" borderId="2" xfId="2" applyNumberFormat="1" applyFont="1" applyFill="1" applyBorder="1" applyAlignment="1">
      <alignment vertical="center"/>
    </xf>
    <xf numFmtId="0" fontId="16" fillId="7" borderId="38" xfId="6" applyFont="1" applyFill="1" applyBorder="1" applyAlignment="1">
      <alignment horizontal="left"/>
    </xf>
    <xf numFmtId="0" fontId="16" fillId="0" borderId="39" xfId="6" applyFont="1" applyBorder="1" applyAlignment="1">
      <alignment horizontal="center"/>
    </xf>
    <xf numFmtId="3" fontId="17" fillId="9" borderId="24" xfId="6" applyNumberFormat="1" applyFont="1" applyFill="1" applyBorder="1"/>
    <xf numFmtId="0" fontId="16" fillId="7" borderId="40" xfId="6" applyFont="1" applyFill="1" applyBorder="1" applyAlignment="1">
      <alignment horizontal="left"/>
    </xf>
    <xf numFmtId="0" fontId="34" fillId="0" borderId="10" xfId="6" applyFont="1" applyBorder="1"/>
    <xf numFmtId="0" fontId="16" fillId="7" borderId="41" xfId="6" applyFont="1" applyFill="1" applyBorder="1" applyAlignment="1">
      <alignment horizontal="left"/>
    </xf>
    <xf numFmtId="0" fontId="0" fillId="6" borderId="2" xfId="0" applyFill="1" applyBorder="1"/>
    <xf numFmtId="177" fontId="15" fillId="6" borderId="2" xfId="6" applyNumberFormat="1" applyFont="1" applyFill="1" applyBorder="1"/>
    <xf numFmtId="0" fontId="16" fillId="0" borderId="42" xfId="2" applyFont="1" applyBorder="1"/>
    <xf numFmtId="177" fontId="17" fillId="0" borderId="24" xfId="7" applyNumberFormat="1" applyFont="1" applyFill="1" applyBorder="1"/>
    <xf numFmtId="0" fontId="16" fillId="0" borderId="26" xfId="2" applyFont="1" applyBorder="1"/>
    <xf numFmtId="0" fontId="16" fillId="0" borderId="26" xfId="6" applyFont="1" applyBorder="1" applyAlignment="1">
      <alignment horizontal="left"/>
    </xf>
    <xf numFmtId="0" fontId="1" fillId="0" borderId="2" xfId="0" applyFont="1" applyBorder="1" applyAlignment="1">
      <alignment horizontal="center"/>
    </xf>
    <xf numFmtId="0" fontId="15" fillId="0" borderId="0" xfId="2" applyFont="1" applyAlignment="1">
      <alignment horizontal="left" vertical="center"/>
    </xf>
    <xf numFmtId="3" fontId="15" fillId="0" borderId="0" xfId="2" applyNumberFormat="1" applyFont="1" applyAlignment="1">
      <alignment horizontal="left" vertical="center"/>
    </xf>
    <xf numFmtId="3" fontId="10" fillId="0" borderId="0" xfId="2" applyNumberFormat="1" applyFont="1" applyAlignment="1">
      <alignment horizontal="left" vertical="center"/>
    </xf>
    <xf numFmtId="3" fontId="0" fillId="0" borderId="0" xfId="0" applyNumberFormat="1" applyAlignment="1">
      <alignment horizontal="center"/>
    </xf>
    <xf numFmtId="0" fontId="15" fillId="0" borderId="0" xfId="2" applyFont="1" applyAlignment="1">
      <alignment horizontal="center"/>
    </xf>
    <xf numFmtId="181" fontId="0" fillId="0" borderId="0" xfId="0" applyNumberFormat="1" applyAlignment="1">
      <alignment horizontal="center"/>
    </xf>
    <xf numFmtId="181" fontId="1" fillId="0" borderId="2" xfId="0" applyNumberFormat="1" applyFont="1" applyBorder="1" applyAlignment="1">
      <alignment horizontal="center"/>
    </xf>
    <xf numFmtId="3" fontId="1" fillId="0" borderId="2" xfId="0" applyNumberFormat="1" applyFont="1" applyBorder="1" applyAlignment="1">
      <alignment horizontal="center"/>
    </xf>
    <xf numFmtId="0" fontId="1" fillId="0" borderId="2" xfId="0" applyFont="1" applyBorder="1" applyAlignment="1">
      <alignment horizontal="right"/>
    </xf>
    <xf numFmtId="0" fontId="23" fillId="0" borderId="0" xfId="0" applyFont="1"/>
    <xf numFmtId="0" fontId="1" fillId="0" borderId="44" xfId="0" applyFont="1" applyBorder="1" applyAlignment="1">
      <alignment horizontal="center" vertical="center" wrapText="1"/>
    </xf>
    <xf numFmtId="0" fontId="1" fillId="13" borderId="43" xfId="0" applyFont="1" applyFill="1" applyBorder="1" applyAlignment="1">
      <alignment horizontal="center" vertical="center" wrapText="1"/>
    </xf>
    <xf numFmtId="0" fontId="0" fillId="0" borderId="43" xfId="0" applyBorder="1" applyAlignment="1">
      <alignment horizontal="center"/>
    </xf>
    <xf numFmtId="178" fontId="0" fillId="0" borderId="43" xfId="0" applyNumberFormat="1" applyBorder="1" applyAlignment="1">
      <alignment horizontal="center"/>
    </xf>
    <xf numFmtId="9" fontId="0" fillId="0" borderId="43" xfId="0" applyNumberFormat="1" applyBorder="1" applyAlignment="1">
      <alignment horizontal="center"/>
    </xf>
    <xf numFmtId="167" fontId="0" fillId="0" borderId="43" xfId="0" applyNumberFormat="1" applyBorder="1"/>
    <xf numFmtId="0" fontId="24" fillId="0" borderId="43" xfId="0" applyFont="1" applyBorder="1" applyAlignment="1">
      <alignment horizontal="center"/>
    </xf>
    <xf numFmtId="0" fontId="0" fillId="12" borderId="43" xfId="0" applyFill="1" applyBorder="1" applyAlignment="1">
      <alignment horizontal="center"/>
    </xf>
    <xf numFmtId="178" fontId="0" fillId="12" borderId="43" xfId="0" applyNumberFormat="1" applyFill="1" applyBorder="1" applyAlignment="1">
      <alignment horizontal="center"/>
    </xf>
    <xf numFmtId="9" fontId="0" fillId="12" borderId="43" xfId="0" applyNumberFormat="1" applyFill="1" applyBorder="1" applyAlignment="1">
      <alignment horizontal="center"/>
    </xf>
    <xf numFmtId="167" fontId="0" fillId="12" borderId="43" xfId="0" applyNumberFormat="1" applyFill="1" applyBorder="1"/>
    <xf numFmtId="0" fontId="24" fillId="12" borderId="43" xfId="0" applyFont="1" applyFill="1" applyBorder="1" applyAlignment="1">
      <alignment horizontal="center"/>
    </xf>
    <xf numFmtId="0" fontId="0" fillId="0" borderId="13" xfId="0" applyBorder="1"/>
    <xf numFmtId="0" fontId="0" fillId="0" borderId="13" xfId="0" applyBorder="1" applyAlignment="1">
      <alignment horizontal="center"/>
    </xf>
    <xf numFmtId="3" fontId="0" fillId="0" borderId="13" xfId="0" applyNumberFormat="1" applyBorder="1" applyAlignment="1">
      <alignment horizontal="center"/>
    </xf>
    <xf numFmtId="181" fontId="0" fillId="0" borderId="13" xfId="0" applyNumberFormat="1" applyBorder="1" applyAlignment="1">
      <alignment horizontal="center"/>
    </xf>
    <xf numFmtId="0" fontId="1" fillId="0" borderId="0" xfId="0" applyFont="1" applyAlignment="1">
      <alignment horizontal="right"/>
    </xf>
    <xf numFmtId="3" fontId="1" fillId="0" borderId="0" xfId="0" applyNumberFormat="1" applyFont="1" applyAlignment="1">
      <alignment horizontal="center"/>
    </xf>
    <xf numFmtId="181" fontId="1" fillId="0" borderId="0" xfId="0" applyNumberFormat="1" applyFont="1" applyAlignment="1">
      <alignment horizontal="center"/>
    </xf>
    <xf numFmtId="0" fontId="9" fillId="5" borderId="43" xfId="2" applyFont="1" applyFill="1" applyBorder="1"/>
    <xf numFmtId="169" fontId="21" fillId="5" borderId="43" xfId="2" applyNumberFormat="1" applyFont="1" applyFill="1" applyBorder="1" applyProtection="1">
      <protection locked="0"/>
    </xf>
    <xf numFmtId="37" fontId="7" fillId="5" borderId="43" xfId="2" applyNumberFormat="1" applyFill="1" applyBorder="1" applyProtection="1">
      <protection locked="0"/>
    </xf>
    <xf numFmtId="169" fontId="7" fillId="0" borderId="43" xfId="2" applyNumberFormat="1" applyBorder="1" applyProtection="1">
      <protection locked="0"/>
    </xf>
    <xf numFmtId="37" fontId="7" fillId="5" borderId="43" xfId="3" applyNumberFormat="1" applyFill="1" applyBorder="1" applyProtection="1">
      <protection locked="0"/>
    </xf>
    <xf numFmtId="169" fontId="21" fillId="5" borderId="43" xfId="4" applyNumberFormat="1" applyFont="1" applyFill="1" applyBorder="1" applyProtection="1">
      <protection locked="0"/>
    </xf>
    <xf numFmtId="37" fontId="7" fillId="0" borderId="43" xfId="2" applyNumberFormat="1" applyBorder="1" applyProtection="1">
      <protection locked="0"/>
    </xf>
    <xf numFmtId="37" fontId="7" fillId="0" borderId="43" xfId="3" applyNumberFormat="1" applyFill="1" applyBorder="1" applyAlignment="1" applyProtection="1">
      <alignment horizontal="right"/>
      <protection locked="0"/>
    </xf>
    <xf numFmtId="9" fontId="7" fillId="5" borderId="43" xfId="5" applyFill="1" applyBorder="1" applyProtection="1">
      <protection locked="0"/>
    </xf>
    <xf numFmtId="173" fontId="7" fillId="0" borderId="43" xfId="2" applyNumberFormat="1" applyBorder="1" applyProtection="1">
      <protection locked="0"/>
    </xf>
    <xf numFmtId="174" fontId="7" fillId="5" borderId="43" xfId="3" applyNumberFormat="1" applyFill="1" applyBorder="1" applyProtection="1">
      <protection locked="0"/>
    </xf>
    <xf numFmtId="37" fontId="7" fillId="0" borderId="43" xfId="3" applyNumberFormat="1" applyFill="1" applyBorder="1" applyProtection="1">
      <protection locked="0"/>
    </xf>
    <xf numFmtId="169" fontId="7" fillId="5" borderId="43" xfId="2" applyNumberFormat="1" applyFill="1" applyBorder="1" applyProtection="1">
      <protection locked="0"/>
    </xf>
    <xf numFmtId="169" fontId="7" fillId="5" borderId="43" xfId="4" applyNumberFormat="1" applyFill="1" applyBorder="1" applyProtection="1">
      <protection locked="0"/>
    </xf>
    <xf numFmtId="169" fontId="21" fillId="0" borderId="45" xfId="4" applyNumberFormat="1" applyFont="1" applyFill="1" applyBorder="1" applyProtection="1">
      <protection locked="0"/>
    </xf>
    <xf numFmtId="0" fontId="18" fillId="6" borderId="2" xfId="6" applyFont="1" applyFill="1" applyBorder="1" applyAlignment="1">
      <alignment vertical="center"/>
    </xf>
    <xf numFmtId="0" fontId="0" fillId="6" borderId="2" xfId="0" applyFill="1" applyBorder="1" applyAlignment="1">
      <alignment vertical="center"/>
    </xf>
    <xf numFmtId="0" fontId="18" fillId="6" borderId="1" xfId="6" applyFont="1" applyFill="1" applyBorder="1" applyAlignment="1">
      <alignment vertical="center"/>
    </xf>
    <xf numFmtId="10" fontId="0" fillId="0" borderId="43" xfId="0" applyNumberFormat="1" applyBorder="1"/>
    <xf numFmtId="0" fontId="35" fillId="0" borderId="0" xfId="0" applyFont="1" applyAlignment="1">
      <alignment vertical="center"/>
    </xf>
    <xf numFmtId="0" fontId="0" fillId="0" borderId="0" xfId="0" applyAlignment="1">
      <alignment vertical="center"/>
    </xf>
    <xf numFmtId="0" fontId="0" fillId="18" borderId="46" xfId="0" applyFill="1" applyBorder="1" applyAlignment="1">
      <alignment vertical="center"/>
    </xf>
    <xf numFmtId="0" fontId="0" fillId="18" borderId="47" xfId="0" applyFill="1" applyBorder="1" applyAlignment="1">
      <alignment vertical="center"/>
    </xf>
    <xf numFmtId="0" fontId="0" fillId="0" borderId="43" xfId="0" applyBorder="1" applyAlignment="1">
      <alignment vertical="center"/>
    </xf>
    <xf numFmtId="0" fontId="0" fillId="2" borderId="43" xfId="0" applyFill="1" applyBorder="1" applyAlignment="1">
      <alignment horizontal="center" vertical="center"/>
    </xf>
    <xf numFmtId="0" fontId="0" fillId="0" borderId="45" xfId="0" applyBorder="1" applyAlignment="1">
      <alignment vertical="center"/>
    </xf>
    <xf numFmtId="0" fontId="4" fillId="0" borderId="0" xfId="0" applyFont="1" applyAlignment="1">
      <alignment vertical="center" wrapText="1"/>
    </xf>
    <xf numFmtId="0" fontId="0" fillId="18" borderId="49" xfId="0" applyFill="1" applyBorder="1" applyAlignment="1">
      <alignment vertical="center"/>
    </xf>
    <xf numFmtId="0" fontId="0" fillId="18" borderId="0" xfId="0" applyFill="1" applyAlignment="1">
      <alignment vertical="center"/>
    </xf>
    <xf numFmtId="0" fontId="0" fillId="18" borderId="50" xfId="0" applyFill="1" applyBorder="1" applyAlignment="1">
      <alignment vertical="center"/>
    </xf>
    <xf numFmtId="0" fontId="36" fillId="0" borderId="0" xfId="0" applyFont="1" applyAlignment="1">
      <alignment vertical="center"/>
    </xf>
    <xf numFmtId="0" fontId="0" fillId="0" borderId="51" xfId="0" applyBorder="1" applyAlignment="1">
      <alignment vertical="center"/>
    </xf>
    <xf numFmtId="0" fontId="0" fillId="0" borderId="47" xfId="0" applyBorder="1" applyAlignment="1">
      <alignment vertical="center"/>
    </xf>
    <xf numFmtId="4" fontId="0" fillId="2" borderId="51" xfId="0" applyNumberFormat="1" applyFill="1" applyBorder="1" applyAlignment="1">
      <alignment horizontal="center" vertical="center"/>
    </xf>
    <xf numFmtId="0" fontId="0" fillId="6" borderId="52" xfId="0" applyFill="1" applyBorder="1" applyAlignment="1">
      <alignment vertical="center"/>
    </xf>
    <xf numFmtId="0" fontId="0" fillId="6" borderId="52" xfId="0" applyFill="1" applyBorder="1" applyAlignment="1">
      <alignment horizontal="center" vertical="center"/>
    </xf>
    <xf numFmtId="0" fontId="0" fillId="6" borderId="44" xfId="0" applyFill="1" applyBorder="1" applyAlignment="1">
      <alignment vertical="center"/>
    </xf>
    <xf numFmtId="4" fontId="0" fillId="6" borderId="44" xfId="0" applyNumberFormat="1" applyFill="1" applyBorder="1" applyAlignment="1">
      <alignment horizontal="center" vertical="center"/>
    </xf>
    <xf numFmtId="0" fontId="0" fillId="6" borderId="0" xfId="0" applyFill="1" applyAlignment="1">
      <alignment vertical="center"/>
    </xf>
    <xf numFmtId="0" fontId="37" fillId="0" borderId="0" xfId="0" applyFont="1" applyAlignment="1">
      <alignment vertical="center" wrapText="1"/>
    </xf>
    <xf numFmtId="0" fontId="0" fillId="18" borderId="53" xfId="0" applyFill="1" applyBorder="1" applyAlignment="1">
      <alignment vertical="center"/>
    </xf>
    <xf numFmtId="0" fontId="0" fillId="12" borderId="44" xfId="0" applyFill="1" applyBorder="1" applyAlignment="1">
      <alignment vertical="center"/>
    </xf>
    <xf numFmtId="0" fontId="0" fillId="18" borderId="44" xfId="0" applyFill="1" applyBorder="1" applyAlignment="1">
      <alignment vertical="center"/>
    </xf>
    <xf numFmtId="0" fontId="0" fillId="18" borderId="54" xfId="0" applyFill="1" applyBorder="1" applyAlignment="1">
      <alignment vertical="center"/>
    </xf>
    <xf numFmtId="4" fontId="0" fillId="2" borderId="43" xfId="0" applyNumberFormat="1" applyFill="1" applyBorder="1" applyAlignment="1">
      <alignment horizontal="center" vertical="center"/>
    </xf>
    <xf numFmtId="0" fontId="38" fillId="0" borderId="12" xfId="0" applyFont="1" applyBorder="1" applyAlignment="1">
      <alignment vertical="center"/>
    </xf>
    <xf numFmtId="0" fontId="1" fillId="0" borderId="13" xfId="0" applyFont="1" applyBorder="1" applyAlignment="1">
      <alignment vertical="center"/>
    </xf>
    <xf numFmtId="0" fontId="0" fillId="0" borderId="13" xfId="0" applyBorder="1" applyAlignment="1">
      <alignment vertical="center"/>
    </xf>
    <xf numFmtId="0" fontId="0" fillId="0" borderId="14" xfId="0" applyBorder="1" applyAlignment="1">
      <alignment vertical="center"/>
    </xf>
    <xf numFmtId="0" fontId="1" fillId="0" borderId="4" xfId="0" applyFont="1" applyBorder="1" applyAlignment="1">
      <alignment vertical="center"/>
    </xf>
    <xf numFmtId="0" fontId="0" fillId="0" borderId="5" xfId="0" applyBorder="1" applyAlignment="1">
      <alignment vertical="center"/>
    </xf>
    <xf numFmtId="0" fontId="0" fillId="6" borderId="19" xfId="0" applyFill="1" applyBorder="1" applyAlignment="1">
      <alignment vertical="center"/>
    </xf>
    <xf numFmtId="0" fontId="0" fillId="6" borderId="19" xfId="0" applyFill="1" applyBorder="1" applyAlignment="1">
      <alignment horizontal="center" vertical="center"/>
    </xf>
    <xf numFmtId="182" fontId="0" fillId="6" borderId="0" xfId="0" applyNumberFormat="1" applyFill="1" applyAlignment="1">
      <alignment horizontal="center" vertical="center"/>
    </xf>
    <xf numFmtId="0" fontId="0" fillId="0" borderId="4" xfId="0" applyBorder="1" applyAlignment="1">
      <alignment vertical="center"/>
    </xf>
    <xf numFmtId="182" fontId="0" fillId="6" borderId="44" xfId="0" applyNumberFormat="1" applyFill="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39" fillId="0" borderId="0" xfId="0" applyFont="1" applyAlignment="1">
      <alignment vertical="center" wrapText="1"/>
    </xf>
    <xf numFmtId="0" fontId="40" fillId="19" borderId="43" xfId="0" applyFont="1" applyFill="1" applyBorder="1" applyAlignment="1">
      <alignment vertical="center"/>
    </xf>
    <xf numFmtId="0" fontId="4" fillId="19" borderId="43" xfId="0" applyFont="1" applyFill="1" applyBorder="1" applyAlignment="1">
      <alignment vertical="center"/>
    </xf>
    <xf numFmtId="0" fontId="4" fillId="19" borderId="45" xfId="0" applyFont="1" applyFill="1" applyBorder="1" applyAlignment="1">
      <alignment vertical="center"/>
    </xf>
    <xf numFmtId="0" fontId="0" fillId="19" borderId="43" xfId="0" applyFill="1" applyBorder="1" applyAlignment="1">
      <alignment horizontal="center" vertical="center"/>
    </xf>
    <xf numFmtId="183" fontId="0" fillId="2" borderId="43" xfId="0" applyNumberFormat="1" applyFill="1" applyBorder="1" applyAlignment="1">
      <alignment horizontal="center" vertical="center"/>
    </xf>
    <xf numFmtId="182" fontId="0" fillId="2" borderId="43" xfId="0" applyNumberFormat="1" applyFill="1" applyBorder="1" applyAlignment="1">
      <alignment horizontal="center" vertical="center"/>
    </xf>
    <xf numFmtId="0" fontId="41" fillId="0" borderId="0" xfId="0" applyFont="1"/>
    <xf numFmtId="0" fontId="35" fillId="0" borderId="0" xfId="0" applyFont="1"/>
    <xf numFmtId="4" fontId="0" fillId="13" borderId="0" xfId="0" applyNumberFormat="1" applyFill="1"/>
    <xf numFmtId="0" fontId="25" fillId="0" borderId="0" xfId="0" applyFont="1" applyAlignment="1">
      <alignment vertical="center"/>
    </xf>
    <xf numFmtId="0" fontId="1" fillId="0" borderId="0" xfId="0" applyFont="1" applyAlignment="1">
      <alignment horizontal="center" vertical="center"/>
    </xf>
    <xf numFmtId="182" fontId="0" fillId="0" borderId="0" xfId="0" applyNumberFormat="1"/>
    <xf numFmtId="0" fontId="43" fillId="0" borderId="0" xfId="0" applyFont="1"/>
    <xf numFmtId="4" fontId="0" fillId="13" borderId="0" xfId="0" applyNumberFormat="1" applyFill="1" applyAlignment="1">
      <alignment horizontal="center" vertical="center"/>
    </xf>
    <xf numFmtId="4" fontId="0" fillId="20" borderId="0" xfId="0" applyNumberFormat="1" applyFill="1" applyAlignment="1">
      <alignment horizontal="center" vertical="center"/>
    </xf>
    <xf numFmtId="4" fontId="0" fillId="0" borderId="0" xfId="0" applyNumberFormat="1" applyAlignment="1">
      <alignment vertical="center"/>
    </xf>
    <xf numFmtId="4" fontId="0" fillId="0" borderId="0" xfId="0" applyNumberFormat="1" applyAlignment="1">
      <alignment horizontal="center" vertical="center"/>
    </xf>
    <xf numFmtId="0" fontId="45" fillId="8" borderId="58" xfId="0" applyFont="1" applyFill="1" applyBorder="1" applyAlignment="1">
      <alignment vertical="center" wrapText="1"/>
    </xf>
    <xf numFmtId="0" fontId="46" fillId="0" borderId="0" xfId="0" applyFont="1" applyAlignment="1">
      <alignment vertical="center"/>
    </xf>
    <xf numFmtId="0" fontId="44" fillId="0" borderId="59" xfId="0" applyFont="1" applyBorder="1" applyAlignment="1">
      <alignment horizontal="left" vertical="center"/>
    </xf>
    <xf numFmtId="0" fontId="44" fillId="0" borderId="43" xfId="0" applyFont="1" applyBorder="1" applyAlignment="1">
      <alignment vertical="center" wrapText="1"/>
    </xf>
    <xf numFmtId="0" fontId="47" fillId="0" borderId="43" xfId="0" applyFont="1" applyBorder="1" applyAlignment="1">
      <alignment vertical="center" wrapText="1"/>
    </xf>
    <xf numFmtId="4" fontId="44" fillId="0" borderId="43" xfId="0" applyNumberFormat="1" applyFont="1" applyBorder="1" applyAlignment="1">
      <alignment horizontal="center" vertical="center" wrapText="1"/>
    </xf>
    <xf numFmtId="0" fontId="44" fillId="0" borderId="60" xfId="0" applyFont="1" applyBorder="1" applyAlignment="1">
      <alignment horizontal="center" vertical="center" wrapText="1"/>
    </xf>
    <xf numFmtId="0" fontId="48" fillId="0" borderId="61" xfId="0" applyFont="1" applyBorder="1" applyAlignment="1">
      <alignment vertical="center" wrapText="1"/>
    </xf>
    <xf numFmtId="0" fontId="48" fillId="8" borderId="61" xfId="0" applyFont="1" applyFill="1" applyBorder="1" applyAlignment="1">
      <alignment vertical="center" wrapText="1"/>
    </xf>
    <xf numFmtId="0" fontId="47" fillId="0" borderId="60" xfId="0" applyFont="1" applyBorder="1" applyAlignment="1">
      <alignment vertical="center" wrapText="1"/>
    </xf>
    <xf numFmtId="0" fontId="48" fillId="8" borderId="61" xfId="0" applyFont="1" applyFill="1" applyBorder="1" applyAlignment="1">
      <alignment horizontal="center" vertical="center" wrapText="1"/>
    </xf>
    <xf numFmtId="0" fontId="48" fillId="0" borderId="0" xfId="0" applyFont="1" applyAlignment="1">
      <alignment vertical="center"/>
    </xf>
    <xf numFmtId="0" fontId="44" fillId="0" borderId="59" xfId="0" applyFont="1" applyBorder="1" applyAlignment="1">
      <alignment horizontal="center" vertical="center"/>
    </xf>
    <xf numFmtId="0" fontId="44" fillId="0" borderId="43" xfId="0" applyFont="1" applyBorder="1" applyAlignment="1">
      <alignment vertical="center"/>
    </xf>
    <xf numFmtId="0" fontId="47" fillId="0" borderId="43" xfId="0" applyFont="1" applyBorder="1" applyAlignment="1">
      <alignment vertical="center"/>
    </xf>
    <xf numFmtId="4" fontId="47" fillId="0" borderId="43" xfId="0" applyNumberFormat="1" applyFont="1" applyBorder="1" applyAlignment="1">
      <alignment horizontal="center" vertical="center"/>
    </xf>
    <xf numFmtId="4" fontId="49" fillId="0" borderId="43" xfId="0" applyNumberFormat="1" applyFont="1" applyBorder="1" applyAlignment="1">
      <alignment horizontal="center" vertical="center"/>
    </xf>
    <xf numFmtId="0" fontId="47" fillId="0" borderId="60" xfId="0" applyFont="1" applyBorder="1" applyAlignment="1">
      <alignment horizontal="center" vertical="center"/>
    </xf>
    <xf numFmtId="0" fontId="46" fillId="0" borderId="61" xfId="0" applyFont="1" applyBorder="1" applyAlignment="1">
      <alignment vertical="center"/>
    </xf>
    <xf numFmtId="0" fontId="44" fillId="8" borderId="59" xfId="0" applyFont="1" applyFill="1" applyBorder="1" applyAlignment="1">
      <alignment horizontal="center" vertical="center" wrapText="1"/>
    </xf>
    <xf numFmtId="0" fontId="44" fillId="8" borderId="43" xfId="0" applyFont="1" applyFill="1" applyBorder="1" applyAlignment="1">
      <alignment horizontal="center" vertical="center"/>
    </xf>
    <xf numFmtId="4" fontId="44" fillId="8" borderId="43" xfId="0" applyNumberFormat="1" applyFont="1" applyFill="1" applyBorder="1" applyAlignment="1">
      <alignment horizontal="center" vertical="center" wrapText="1"/>
    </xf>
    <xf numFmtId="0" fontId="44" fillId="8" borderId="60" xfId="0" applyFont="1" applyFill="1" applyBorder="1" applyAlignment="1">
      <alignment vertical="center" wrapText="1"/>
    </xf>
    <xf numFmtId="0" fontId="48" fillId="8" borderId="61" xfId="0" applyFont="1" applyFill="1" applyBorder="1" applyAlignment="1">
      <alignment horizontal="center" vertical="center"/>
    </xf>
    <xf numFmtId="0" fontId="44" fillId="0" borderId="59" xfId="0" applyFont="1" applyBorder="1" applyAlignment="1">
      <alignment vertical="center"/>
    </xf>
    <xf numFmtId="4" fontId="44" fillId="0" borderId="43" xfId="0" applyNumberFormat="1" applyFont="1" applyBorder="1" applyAlignment="1">
      <alignment horizontal="center" vertical="center"/>
    </xf>
    <xf numFmtId="0" fontId="44" fillId="0" borderId="60" xfId="0" applyFont="1" applyBorder="1" applyAlignment="1">
      <alignment vertical="center"/>
    </xf>
    <xf numFmtId="0" fontId="48" fillId="0" borderId="61" xfId="0" applyFont="1" applyBorder="1" applyAlignment="1">
      <alignment vertical="center"/>
    </xf>
    <xf numFmtId="0" fontId="46" fillId="0" borderId="43" xfId="0" applyFont="1" applyBorder="1" applyAlignment="1">
      <alignment vertical="center"/>
    </xf>
    <xf numFmtId="0" fontId="44" fillId="8" borderId="59" xfId="0" applyFont="1" applyFill="1" applyBorder="1" applyAlignment="1">
      <alignment horizontal="center" vertical="center"/>
    </xf>
    <xf numFmtId="0" fontId="44" fillId="8" borderId="43" xfId="0" applyFont="1" applyFill="1" applyBorder="1" applyAlignment="1">
      <alignment vertical="center" wrapText="1"/>
    </xf>
    <xf numFmtId="0" fontId="47" fillId="0" borderId="43" xfId="0" applyFont="1" applyBorder="1" applyAlignment="1">
      <alignment horizontal="left" vertical="center" wrapText="1"/>
    </xf>
    <xf numFmtId="0" fontId="47" fillId="0" borderId="43" xfId="0" applyFont="1" applyBorder="1" applyAlignment="1">
      <alignment horizontal="center" vertical="center"/>
    </xf>
    <xf numFmtId="0" fontId="46" fillId="0" borderId="61" xfId="0" applyFont="1" applyBorder="1" applyAlignment="1">
      <alignment horizontal="right" vertical="center"/>
    </xf>
    <xf numFmtId="4" fontId="46" fillId="0" borderId="43" xfId="0" applyNumberFormat="1" applyFont="1" applyBorder="1" applyAlignment="1">
      <alignment vertical="center"/>
    </xf>
    <xf numFmtId="0" fontId="44" fillId="0" borderId="60" xfId="0" applyFont="1" applyBorder="1" applyAlignment="1">
      <alignment vertical="center" wrapText="1"/>
    </xf>
    <xf numFmtId="4" fontId="47" fillId="21" borderId="43" xfId="0" applyNumberFormat="1" applyFont="1" applyFill="1" applyBorder="1" applyAlignment="1">
      <alignment horizontal="center" vertical="center"/>
    </xf>
    <xf numFmtId="0" fontId="46" fillId="0" borderId="0" xfId="0" applyFont="1" applyAlignment="1">
      <alignment vertical="center" wrapText="1"/>
    </xf>
    <xf numFmtId="0" fontId="47" fillId="0" borderId="43" xfId="0" applyFont="1" applyBorder="1" applyAlignment="1">
      <alignment vertical="top" wrapText="1"/>
    </xf>
    <xf numFmtId="0" fontId="46" fillId="21" borderId="0" xfId="0" applyFont="1" applyFill="1" applyAlignment="1">
      <alignment vertical="center"/>
    </xf>
    <xf numFmtId="4" fontId="46" fillId="0" borderId="62" xfId="0" applyNumberFormat="1" applyFont="1" applyBorder="1" applyAlignment="1">
      <alignment vertical="center"/>
    </xf>
    <xf numFmtId="0" fontId="46" fillId="0" borderId="45" xfId="0" applyFont="1" applyBorder="1" applyAlignment="1">
      <alignment horizontal="right" vertical="center"/>
    </xf>
    <xf numFmtId="0" fontId="46" fillId="0" borderId="0" xfId="0" applyFont="1" applyAlignment="1">
      <alignment horizontal="center" vertical="center"/>
    </xf>
    <xf numFmtId="4" fontId="46" fillId="0" borderId="61" xfId="0" applyNumberFormat="1" applyFont="1" applyBorder="1" applyAlignment="1">
      <alignment vertical="center"/>
    </xf>
    <xf numFmtId="0" fontId="48" fillId="0" borderId="61" xfId="0" applyFont="1" applyBorder="1" applyAlignment="1">
      <alignment horizontal="center" vertical="center"/>
    </xf>
    <xf numFmtId="0" fontId="48" fillId="0" borderId="0" xfId="0" applyFont="1" applyAlignment="1">
      <alignment horizontal="center" vertical="center"/>
    </xf>
    <xf numFmtId="0" fontId="44" fillId="8" borderId="43" xfId="0" applyFont="1" applyFill="1" applyBorder="1" applyAlignment="1">
      <alignment horizontal="left" vertical="center" wrapText="1"/>
    </xf>
    <xf numFmtId="0" fontId="44" fillId="8" borderId="60" xfId="0" applyFont="1" applyFill="1" applyBorder="1" applyAlignment="1">
      <alignment horizontal="left" vertical="center" wrapText="1"/>
    </xf>
    <xf numFmtId="0" fontId="48" fillId="8" borderId="61" xfId="0" applyFont="1" applyFill="1" applyBorder="1" applyAlignment="1">
      <alignment horizontal="left" vertical="center" wrapText="1"/>
    </xf>
    <xf numFmtId="4" fontId="46" fillId="21" borderId="0" xfId="0" applyNumberFormat="1" applyFont="1" applyFill="1" applyAlignment="1">
      <alignment horizontal="center" vertical="center"/>
    </xf>
    <xf numFmtId="0" fontId="44" fillId="21" borderId="59" xfId="0" applyFont="1" applyFill="1" applyBorder="1" applyAlignment="1">
      <alignment horizontal="center" vertical="center"/>
    </xf>
    <xf numFmtId="0" fontId="44" fillId="21" borderId="43" xfId="0" applyFont="1" applyFill="1" applyBorder="1" applyAlignment="1">
      <alignment vertical="center" wrapText="1"/>
    </xf>
    <xf numFmtId="0" fontId="47" fillId="0" borderId="43" xfId="0" applyFont="1" applyBorder="1" applyAlignment="1">
      <alignment horizontal="center" vertical="center" wrapText="1"/>
    </xf>
    <xf numFmtId="0" fontId="47" fillId="0" borderId="63" xfId="0" applyFont="1" applyBorder="1" applyAlignment="1">
      <alignment vertical="center"/>
    </xf>
    <xf numFmtId="0" fontId="47" fillId="0" borderId="64" xfId="0" applyFont="1" applyBorder="1" applyAlignment="1">
      <alignment vertical="center" wrapText="1"/>
    </xf>
    <xf numFmtId="0" fontId="47" fillId="0" borderId="64" xfId="0" applyFont="1" applyBorder="1" applyAlignment="1">
      <alignment vertical="center"/>
    </xf>
    <xf numFmtId="4" fontId="47" fillId="21" borderId="64" xfId="0" applyNumberFormat="1" applyFont="1" applyFill="1" applyBorder="1" applyAlignment="1">
      <alignment horizontal="center" vertical="center"/>
    </xf>
    <xf numFmtId="4" fontId="47" fillId="0" borderId="64" xfId="0" applyNumberFormat="1" applyFont="1" applyBorder="1" applyAlignment="1">
      <alignment horizontal="center" vertical="center"/>
    </xf>
    <xf numFmtId="0" fontId="46" fillId="0" borderId="65" xfId="0" applyFont="1" applyBorder="1" applyAlignment="1">
      <alignment vertical="center"/>
    </xf>
    <xf numFmtId="0" fontId="47" fillId="0" borderId="66" xfId="0" applyFont="1" applyBorder="1" applyAlignment="1">
      <alignment vertical="center"/>
    </xf>
    <xf numFmtId="0" fontId="47" fillId="0" borderId="51" xfId="0" applyFont="1" applyBorder="1" applyAlignment="1">
      <alignment vertical="center" wrapText="1"/>
    </xf>
    <xf numFmtId="0" fontId="47" fillId="0" borderId="51" xfId="0" applyFont="1" applyBorder="1" applyAlignment="1">
      <alignment vertical="center"/>
    </xf>
    <xf numFmtId="4" fontId="47" fillId="21" borderId="51" xfId="0" applyNumberFormat="1" applyFont="1" applyFill="1" applyBorder="1" applyAlignment="1">
      <alignment horizontal="center" vertical="center"/>
    </xf>
    <xf numFmtId="4" fontId="47" fillId="0" borderId="51" xfId="0" applyNumberFormat="1" applyFont="1" applyBorder="1" applyAlignment="1">
      <alignment horizontal="center" vertical="center"/>
    </xf>
    <xf numFmtId="0" fontId="47" fillId="0" borderId="62" xfId="0" applyFont="1" applyBorder="1" applyAlignment="1">
      <alignment vertical="center" wrapText="1"/>
    </xf>
    <xf numFmtId="2" fontId="47" fillId="0" borderId="43" xfId="0" applyNumberFormat="1" applyFont="1" applyBorder="1" applyAlignment="1">
      <alignment horizontal="center" vertical="center" wrapText="1"/>
    </xf>
    <xf numFmtId="0" fontId="47" fillId="9" borderId="62" xfId="2" applyFont="1" applyFill="1" applyBorder="1"/>
    <xf numFmtId="0" fontId="47" fillId="9" borderId="53" xfId="2" applyFont="1" applyFill="1" applyBorder="1"/>
    <xf numFmtId="0" fontId="44" fillId="0" borderId="66" xfId="0" applyFont="1" applyBorder="1" applyAlignment="1">
      <alignment horizontal="center" vertical="center"/>
    </xf>
    <xf numFmtId="0" fontId="47" fillId="9" borderId="49" xfId="2" applyFont="1" applyFill="1" applyBorder="1"/>
    <xf numFmtId="0" fontId="47" fillId="0" borderId="51" xfId="0" applyFont="1" applyBorder="1" applyAlignment="1">
      <alignment horizontal="center" vertical="center" wrapText="1"/>
    </xf>
    <xf numFmtId="0" fontId="47" fillId="0" borderId="51" xfId="0" applyFont="1" applyBorder="1" applyAlignment="1">
      <alignment horizontal="center" vertical="center"/>
    </xf>
    <xf numFmtId="0" fontId="44" fillId="0" borderId="63" xfId="0" applyFont="1" applyBorder="1" applyAlignment="1">
      <alignment horizontal="center" vertical="center"/>
    </xf>
    <xf numFmtId="0" fontId="47" fillId="0" borderId="64" xfId="0" applyFont="1" applyBorder="1" applyAlignment="1">
      <alignment horizontal="center" vertical="center"/>
    </xf>
    <xf numFmtId="184" fontId="47" fillId="9" borderId="64" xfId="2" applyNumberFormat="1" applyFont="1" applyFill="1" applyBorder="1"/>
    <xf numFmtId="4" fontId="46" fillId="0" borderId="0" xfId="0" applyNumberFormat="1" applyFont="1" applyAlignment="1">
      <alignment horizontal="center" vertical="center"/>
    </xf>
    <xf numFmtId="0" fontId="48" fillId="0" borderId="1" xfId="0" applyFont="1" applyBorder="1" applyAlignment="1">
      <alignment horizontal="center" vertical="center"/>
    </xf>
    <xf numFmtId="0" fontId="46" fillId="0" borderId="2" xfId="0" applyFont="1" applyBorder="1" applyAlignment="1">
      <alignment vertical="center"/>
    </xf>
    <xf numFmtId="4" fontId="46" fillId="0" borderId="2" xfId="0" applyNumberFormat="1" applyFont="1" applyBorder="1" applyAlignment="1">
      <alignment horizontal="center" vertical="center"/>
    </xf>
    <xf numFmtId="4" fontId="48" fillId="0" borderId="2" xfId="0" applyNumberFormat="1" applyFont="1" applyBorder="1" applyAlignment="1">
      <alignment horizontal="center" vertical="center"/>
    </xf>
    <xf numFmtId="0" fontId="47" fillId="0" borderId="15" xfId="0" applyFont="1" applyBorder="1" applyAlignment="1">
      <alignment horizontal="center" vertical="center"/>
    </xf>
    <xf numFmtId="4" fontId="48" fillId="0" borderId="7" xfId="0" applyNumberFormat="1" applyFont="1" applyBorder="1" applyAlignment="1">
      <alignment horizontal="center" vertical="center"/>
    </xf>
    <xf numFmtId="0" fontId="46" fillId="0" borderId="0" xfId="0" applyFont="1" applyAlignment="1">
      <alignment horizontal="right" vertical="center"/>
    </xf>
    <xf numFmtId="0" fontId="16" fillId="0" borderId="0" xfId="2" applyFont="1" applyAlignment="1">
      <alignment horizontal="right" vertical="center"/>
    </xf>
    <xf numFmtId="4" fontId="16" fillId="0" borderId="0" xfId="2" applyNumberFormat="1" applyFont="1" applyAlignment="1">
      <alignment vertical="center"/>
    </xf>
    <xf numFmtId="4" fontId="16" fillId="0" borderId="0" xfId="2" applyNumberFormat="1" applyFont="1" applyAlignment="1">
      <alignment horizontal="center" vertical="center"/>
    </xf>
    <xf numFmtId="4" fontId="16" fillId="0" borderId="14" xfId="2" applyNumberFormat="1" applyFont="1" applyBorder="1" applyAlignment="1">
      <alignment horizontal="center" vertical="center"/>
    </xf>
    <xf numFmtId="0" fontId="16" fillId="0" borderId="0" xfId="2" applyFont="1" applyAlignment="1">
      <alignment vertical="center"/>
    </xf>
    <xf numFmtId="0" fontId="16" fillId="0" borderId="5" xfId="2" applyFont="1" applyBorder="1" applyAlignment="1">
      <alignment horizontal="center" vertical="center"/>
    </xf>
    <xf numFmtId="0" fontId="16" fillId="0" borderId="4" xfId="2" applyFont="1" applyBorder="1" applyAlignment="1">
      <alignment vertical="center"/>
    </xf>
    <xf numFmtId="3" fontId="16" fillId="0" borderId="0" xfId="2" applyNumberFormat="1" applyFont="1" applyAlignment="1">
      <alignment horizontal="center" vertical="center"/>
    </xf>
    <xf numFmtId="4" fontId="16" fillId="0" borderId="5" xfId="2" applyNumberFormat="1" applyFont="1" applyBorder="1" applyAlignment="1">
      <alignment horizontal="center" vertical="center"/>
    </xf>
    <xf numFmtId="0" fontId="17" fillId="0" borderId="4" xfId="0" applyFont="1" applyBorder="1" applyAlignment="1">
      <alignment horizontal="left" vertical="center" wrapText="1"/>
    </xf>
    <xf numFmtId="0" fontId="17" fillId="0" borderId="0" xfId="0" applyFont="1" applyAlignment="1">
      <alignment horizontal="left" vertical="center" wrapText="1"/>
    </xf>
    <xf numFmtId="3" fontId="53" fillId="0" borderId="0" xfId="2" applyNumberFormat="1" applyFont="1" applyAlignment="1">
      <alignment horizontal="center" vertical="center"/>
    </xf>
    <xf numFmtId="0" fontId="16" fillId="0" borderId="67" xfId="6" applyFont="1" applyBorder="1" applyAlignment="1">
      <alignment horizontal="left"/>
    </xf>
    <xf numFmtId="0" fontId="16" fillId="7" borderId="45" xfId="6" applyFont="1" applyFill="1" applyBorder="1" applyAlignment="1">
      <alignment horizontal="left"/>
    </xf>
    <xf numFmtId="0" fontId="16" fillId="7" borderId="69" xfId="6" applyFont="1" applyFill="1" applyBorder="1" applyAlignment="1">
      <alignment horizontal="left"/>
    </xf>
    <xf numFmtId="3" fontId="17" fillId="9" borderId="25" xfId="6" applyNumberFormat="1" applyFont="1" applyFill="1" applyBorder="1"/>
    <xf numFmtId="0" fontId="16" fillId="0" borderId="67" xfId="6" applyFont="1" applyBorder="1" applyAlignment="1">
      <alignment horizontal="center"/>
    </xf>
    <xf numFmtId="9" fontId="16" fillId="0" borderId="67" xfId="6" applyNumberFormat="1" applyFont="1" applyBorder="1"/>
    <xf numFmtId="0" fontId="16" fillId="7" borderId="25" xfId="6" applyFont="1" applyFill="1" applyBorder="1" applyAlignment="1">
      <alignment horizontal="left"/>
    </xf>
    <xf numFmtId="0" fontId="16" fillId="7" borderId="24" xfId="6" applyFont="1" applyFill="1" applyBorder="1" applyAlignment="1">
      <alignment horizontal="left"/>
    </xf>
    <xf numFmtId="0" fontId="0" fillId="22" borderId="0" xfId="0" applyFill="1"/>
    <xf numFmtId="0" fontId="11" fillId="0" borderId="71" xfId="2" applyFont="1" applyBorder="1"/>
    <xf numFmtId="0" fontId="7" fillId="0" borderId="72" xfId="2" applyBorder="1"/>
    <xf numFmtId="185" fontId="7" fillId="0" borderId="73" xfId="2" applyNumberFormat="1" applyBorder="1"/>
    <xf numFmtId="0" fontId="7" fillId="0" borderId="74" xfId="2" applyBorder="1"/>
    <xf numFmtId="0" fontId="7" fillId="0" borderId="75" xfId="2" applyBorder="1"/>
    <xf numFmtId="185" fontId="7" fillId="0" borderId="76" xfId="2" applyNumberFormat="1" applyBorder="1"/>
    <xf numFmtId="9" fontId="7" fillId="0" borderId="75" xfId="2" applyNumberFormat="1" applyBorder="1"/>
    <xf numFmtId="0" fontId="11" fillId="0" borderId="74" xfId="2" applyFont="1" applyBorder="1"/>
    <xf numFmtId="10" fontId="7" fillId="0" borderId="75" xfId="2" applyNumberFormat="1" applyBorder="1"/>
    <xf numFmtId="0" fontId="11" fillId="0" borderId="77" xfId="2" applyFont="1" applyBorder="1"/>
    <xf numFmtId="0" fontId="7" fillId="0" borderId="78" xfId="2" applyBorder="1"/>
    <xf numFmtId="2" fontId="7" fillId="0" borderId="78" xfId="2" applyNumberFormat="1" applyBorder="1"/>
    <xf numFmtId="185" fontId="11" fillId="0" borderId="79" xfId="2" applyNumberFormat="1" applyFont="1" applyBorder="1"/>
    <xf numFmtId="0" fontId="7" fillId="0" borderId="59" xfId="2" applyBorder="1"/>
    <xf numFmtId="0" fontId="11" fillId="0" borderId="59" xfId="16" applyFont="1" applyBorder="1"/>
    <xf numFmtId="0" fontId="7" fillId="0" borderId="60" xfId="2" applyBorder="1"/>
    <xf numFmtId="0" fontId="72" fillId="0" borderId="0" xfId="0" applyFont="1" applyAlignment="1">
      <alignment vertical="center" wrapText="1"/>
    </xf>
    <xf numFmtId="0" fontId="0" fillId="0" borderId="43" xfId="0" applyBorder="1" applyAlignment="1">
      <alignment horizontal="center" vertical="center"/>
    </xf>
    <xf numFmtId="4" fontId="0" fillId="0" borderId="43" xfId="0" applyNumberFormat="1" applyBorder="1" applyAlignment="1">
      <alignment horizontal="center" vertical="center"/>
    </xf>
    <xf numFmtId="4" fontId="0" fillId="0" borderId="51" xfId="0" applyNumberFormat="1" applyBorder="1" applyAlignment="1">
      <alignment horizontal="center" vertical="center"/>
    </xf>
    <xf numFmtId="0" fontId="23" fillId="0" borderId="16" xfId="0" applyFont="1" applyBorder="1"/>
    <xf numFmtId="0" fontId="24" fillId="0" borderId="0" xfId="0" applyFont="1" applyAlignment="1">
      <alignment vertical="center"/>
    </xf>
    <xf numFmtId="0" fontId="73" fillId="0" borderId="0" xfId="0" applyFont="1" applyAlignment="1">
      <alignment vertical="center" wrapText="1"/>
    </xf>
    <xf numFmtId="0" fontId="23" fillId="0" borderId="0" xfId="0" applyFont="1" applyAlignment="1">
      <alignment horizontal="center" vertical="center"/>
    </xf>
    <xf numFmtId="169" fontId="7" fillId="0" borderId="0" xfId="2" applyNumberFormat="1" applyAlignment="1" applyProtection="1">
      <alignment horizontal="center"/>
      <protection locked="0"/>
    </xf>
    <xf numFmtId="0" fontId="48" fillId="4" borderId="43" xfId="0" applyFont="1" applyFill="1" applyBorder="1" applyAlignment="1">
      <alignment horizontal="center" vertical="center" wrapText="1"/>
    </xf>
    <xf numFmtId="184" fontId="47" fillId="0" borderId="43" xfId="2" applyNumberFormat="1" applyFont="1" applyBorder="1"/>
    <xf numFmtId="0" fontId="74" fillId="4" borderId="1" xfId="0" applyFont="1" applyFill="1" applyBorder="1" applyAlignment="1">
      <alignment vertical="center"/>
    </xf>
    <xf numFmtId="2" fontId="74" fillId="4" borderId="2" xfId="0" applyNumberFormat="1" applyFont="1" applyFill="1" applyBorder="1" applyAlignment="1">
      <alignment vertical="center"/>
    </xf>
    <xf numFmtId="2" fontId="74" fillId="4" borderId="3" xfId="0" applyNumberFormat="1" applyFont="1" applyFill="1" applyBorder="1" applyAlignment="1">
      <alignment vertical="center"/>
    </xf>
    <xf numFmtId="9" fontId="17" fillId="0" borderId="24" xfId="1" applyFont="1" applyFill="1" applyBorder="1"/>
    <xf numFmtId="0" fontId="32" fillId="6" borderId="1" xfId="2" applyFont="1" applyFill="1" applyBorder="1" applyAlignment="1">
      <alignment vertical="center"/>
    </xf>
    <xf numFmtId="0" fontId="16" fillId="6" borderId="2" xfId="2" applyFont="1" applyFill="1" applyBorder="1" applyAlignment="1">
      <alignment vertical="center"/>
    </xf>
    <xf numFmtId="3" fontId="10" fillId="6" borderId="3" xfId="2" applyNumberFormat="1" applyFont="1" applyFill="1" applyBorder="1" applyAlignment="1">
      <alignment horizontal="center" vertical="center"/>
    </xf>
    <xf numFmtId="0" fontId="15" fillId="47" borderId="0" xfId="2" applyFont="1" applyFill="1" applyAlignment="1">
      <alignment horizontal="center" vertical="center"/>
    </xf>
    <xf numFmtId="3" fontId="15" fillId="47" borderId="0" xfId="2" applyNumberFormat="1" applyFont="1" applyFill="1" applyAlignment="1">
      <alignment horizontal="center" vertical="center"/>
    </xf>
    <xf numFmtId="3" fontId="10" fillId="47" borderId="0" xfId="2" applyNumberFormat="1" applyFont="1" applyFill="1" applyAlignment="1">
      <alignment horizontal="center" vertical="center"/>
    </xf>
    <xf numFmtId="0" fontId="32" fillId="4" borderId="1" xfId="2" applyFont="1" applyFill="1" applyBorder="1" applyAlignment="1">
      <alignment vertical="center"/>
    </xf>
    <xf numFmtId="0" fontId="16" fillId="4" borderId="2" xfId="2" applyFont="1" applyFill="1" applyBorder="1" applyAlignment="1">
      <alignment vertical="center"/>
    </xf>
    <xf numFmtId="3" fontId="10" fillId="4" borderId="3" xfId="2" applyNumberFormat="1" applyFont="1" applyFill="1" applyBorder="1" applyAlignment="1">
      <alignment horizontal="center" vertical="center"/>
    </xf>
    <xf numFmtId="0" fontId="0" fillId="0" borderId="0" xfId="0" applyAlignment="1">
      <alignment horizontal="left" vertical="center"/>
    </xf>
    <xf numFmtId="169" fontId="7" fillId="0" borderId="88" xfId="2" applyNumberFormat="1" applyBorder="1" applyAlignment="1" applyProtection="1">
      <alignment horizontal="center"/>
      <protection locked="0"/>
    </xf>
    <xf numFmtId="10" fontId="0" fillId="0" borderId="0" xfId="0" applyNumberFormat="1"/>
    <xf numFmtId="0" fontId="11" fillId="0" borderId="0" xfId="2" applyFont="1" applyAlignment="1">
      <alignment horizontal="center"/>
    </xf>
    <xf numFmtId="0" fontId="7" fillId="0" borderId="47" xfId="2" applyBorder="1" applyAlignment="1">
      <alignment horizontal="center"/>
    </xf>
    <xf numFmtId="0" fontId="7" fillId="0" borderId="48" xfId="2" applyBorder="1" applyAlignment="1">
      <alignment horizontal="center"/>
    </xf>
    <xf numFmtId="0" fontId="11" fillId="0" borderId="0" xfId="2" applyFont="1"/>
    <xf numFmtId="2" fontId="7" fillId="0" borderId="44" xfId="2" applyNumberFormat="1" applyBorder="1" applyAlignment="1">
      <alignment horizontal="center"/>
    </xf>
    <xf numFmtId="9" fontId="7" fillId="0" borderId="0" xfId="11" applyFont="1"/>
    <xf numFmtId="0" fontId="0" fillId="18" borderId="89" xfId="0" applyFill="1" applyBorder="1" applyAlignment="1">
      <alignment vertical="center"/>
    </xf>
    <xf numFmtId="0" fontId="0" fillId="0" borderId="51" xfId="0" applyBorder="1" applyAlignment="1">
      <alignment horizontal="center" vertical="center"/>
    </xf>
    <xf numFmtId="178" fontId="23" fillId="0" borderId="0" xfId="0" applyNumberFormat="1" applyFont="1"/>
    <xf numFmtId="2" fontId="23" fillId="0" borderId="0" xfId="0" applyNumberFormat="1" applyFont="1"/>
    <xf numFmtId="0" fontId="0" fillId="49" borderId="0" xfId="0" applyFill="1"/>
    <xf numFmtId="2" fontId="0" fillId="49" borderId="0" xfId="0" applyNumberFormat="1" applyFill="1"/>
    <xf numFmtId="2" fontId="22" fillId="0" borderId="0" xfId="0" applyNumberFormat="1" applyFont="1"/>
    <xf numFmtId="1" fontId="4" fillId="0" borderId="0" xfId="0" applyNumberFormat="1" applyFont="1"/>
    <xf numFmtId="0" fontId="23" fillId="0" borderId="30" xfId="8" applyFont="1" applyBorder="1" applyAlignment="1">
      <alignment horizontal="left" vertical="center" indent="2"/>
    </xf>
    <xf numFmtId="4" fontId="23" fillId="0" borderId="31" xfId="8" applyNumberFormat="1" applyFont="1" applyBorder="1" applyAlignment="1">
      <alignment horizontal="right" vertical="center"/>
    </xf>
    <xf numFmtId="0" fontId="23" fillId="0" borderId="31" xfId="8" applyFont="1" applyBorder="1" applyAlignment="1">
      <alignment horizontal="center" vertical="center"/>
    </xf>
    <xf numFmtId="187" fontId="7" fillId="0" borderId="16" xfId="2" applyNumberFormat="1" applyBorder="1" applyProtection="1">
      <protection locked="0"/>
    </xf>
    <xf numFmtId="2" fontId="0" fillId="2" borderId="0" xfId="0" applyNumberFormat="1" applyFill="1" applyAlignment="1">
      <alignment horizontal="center"/>
    </xf>
    <xf numFmtId="10" fontId="0" fillId="0" borderId="0" xfId="1" applyNumberFormat="1" applyFont="1"/>
    <xf numFmtId="10" fontId="0" fillId="0" borderId="0" xfId="1" applyNumberFormat="1" applyFont="1" applyAlignment="1">
      <alignment horizontal="center"/>
    </xf>
    <xf numFmtId="0" fontId="1" fillId="0" borderId="90" xfId="0" applyFont="1" applyBorder="1"/>
    <xf numFmtId="0" fontId="0" fillId="0" borderId="88" xfId="0" applyBorder="1"/>
    <xf numFmtId="10" fontId="1" fillId="0" borderId="89" xfId="0" applyNumberFormat="1" applyFont="1" applyBorder="1" applyAlignment="1">
      <alignment horizontal="center"/>
    </xf>
    <xf numFmtId="10" fontId="0" fillId="0" borderId="0" xfId="0" applyNumberFormat="1" applyAlignment="1">
      <alignment horizontal="center"/>
    </xf>
    <xf numFmtId="0" fontId="0" fillId="0" borderId="91" xfId="0" applyBorder="1" applyAlignment="1">
      <alignment vertical="center"/>
    </xf>
    <xf numFmtId="0" fontId="0" fillId="0" borderId="92" xfId="0" applyBorder="1" applyAlignment="1">
      <alignment vertical="center"/>
    </xf>
    <xf numFmtId="0" fontId="0" fillId="0" borderId="93" xfId="0" applyBorder="1" applyAlignment="1">
      <alignment vertical="center"/>
    </xf>
    <xf numFmtId="0" fontId="0" fillId="0" borderId="94" xfId="0" applyBorder="1" applyAlignment="1">
      <alignment vertical="center"/>
    </xf>
    <xf numFmtId="3" fontId="0" fillId="50" borderId="0" xfId="0" applyNumberFormat="1" applyFill="1" applyAlignment="1">
      <alignment vertical="center"/>
    </xf>
    <xf numFmtId="0" fontId="0" fillId="50" borderId="0" xfId="0" applyFill="1" applyAlignment="1">
      <alignment vertical="center"/>
    </xf>
    <xf numFmtId="0" fontId="0" fillId="0" borderId="95" xfId="0" applyBorder="1" applyAlignment="1">
      <alignment vertical="center"/>
    </xf>
    <xf numFmtId="3" fontId="0" fillId="2" borderId="46" xfId="0" applyNumberFormat="1" applyFill="1" applyBorder="1" applyAlignment="1">
      <alignment vertical="center"/>
    </xf>
    <xf numFmtId="0" fontId="0" fillId="2" borderId="47" xfId="0" applyFill="1" applyBorder="1" applyAlignment="1">
      <alignment vertical="center"/>
    </xf>
    <xf numFmtId="0" fontId="0" fillId="0" borderId="48" xfId="0" applyBorder="1" applyAlignment="1">
      <alignment vertical="center"/>
    </xf>
    <xf numFmtId="3" fontId="0" fillId="2" borderId="49" xfId="0" applyNumberFormat="1" applyFill="1" applyBorder="1" applyAlignment="1">
      <alignment vertical="center"/>
    </xf>
    <xf numFmtId="0" fontId="0" fillId="2" borderId="0" xfId="0" applyFill="1" applyAlignment="1">
      <alignment vertical="center"/>
    </xf>
    <xf numFmtId="0" fontId="0" fillId="0" borderId="50" xfId="0" applyBorder="1" applyAlignment="1">
      <alignment vertical="center"/>
    </xf>
    <xf numFmtId="3" fontId="0" fillId="0" borderId="90" xfId="0" applyNumberFormat="1" applyBorder="1" applyAlignment="1">
      <alignment vertical="center"/>
    </xf>
    <xf numFmtId="0" fontId="0" fillId="0" borderId="44" xfId="0" applyBorder="1" applyAlignment="1">
      <alignment vertical="center"/>
    </xf>
    <xf numFmtId="0" fontId="0" fillId="0" borderId="54" xfId="0" applyBorder="1" applyAlignment="1">
      <alignment vertical="center"/>
    </xf>
    <xf numFmtId="0" fontId="0" fillId="0" borderId="96" xfId="0" applyBorder="1" applyAlignment="1">
      <alignment vertical="center"/>
    </xf>
    <xf numFmtId="0" fontId="0" fillId="0" borderId="97" xfId="0" applyBorder="1" applyAlignment="1">
      <alignment vertical="center"/>
    </xf>
    <xf numFmtId="0" fontId="0" fillId="0" borderId="98" xfId="0" applyBorder="1" applyAlignment="1">
      <alignment vertical="center"/>
    </xf>
    <xf numFmtId="0" fontId="0" fillId="24" borderId="0" xfId="0" applyFill="1"/>
    <xf numFmtId="3" fontId="0" fillId="24" borderId="0" xfId="0" applyNumberFormat="1" applyFill="1"/>
    <xf numFmtId="3" fontId="0" fillId="24" borderId="44" xfId="0" applyNumberFormat="1" applyFill="1" applyBorder="1"/>
    <xf numFmtId="0" fontId="6" fillId="0" borderId="0" xfId="92"/>
    <xf numFmtId="0" fontId="77" fillId="0" borderId="62" xfId="93" applyFont="1" applyBorder="1"/>
    <xf numFmtId="0" fontId="77" fillId="0" borderId="45" xfId="93" applyFont="1" applyBorder="1"/>
    <xf numFmtId="0" fontId="77" fillId="0" borderId="61" xfId="93" applyFont="1" applyBorder="1"/>
    <xf numFmtId="0" fontId="76" fillId="0" borderId="0" xfId="93"/>
    <xf numFmtId="0" fontId="78" fillId="0" borderId="100" xfId="93" applyFont="1" applyBorder="1" applyAlignment="1">
      <alignment horizontal="center" vertical="center" wrapText="1"/>
    </xf>
    <xf numFmtId="4" fontId="77" fillId="5" borderId="100" xfId="93" applyNumberFormat="1" applyFont="1" applyFill="1" applyBorder="1" applyAlignment="1">
      <alignment horizontal="center"/>
    </xf>
    <xf numFmtId="0" fontId="78" fillId="0" borderId="52" xfId="93" applyFont="1" applyBorder="1" applyAlignment="1">
      <alignment horizontal="center" vertical="center" wrapText="1"/>
    </xf>
    <xf numFmtId="4" fontId="77" fillId="5" borderId="43" xfId="93" applyNumberFormat="1" applyFont="1" applyFill="1" applyBorder="1" applyAlignment="1">
      <alignment horizontal="center"/>
    </xf>
    <xf numFmtId="0" fontId="77" fillId="0" borderId="53" xfId="93" applyFont="1" applyBorder="1" applyAlignment="1">
      <alignment horizontal="center" vertical="center"/>
    </xf>
    <xf numFmtId="0" fontId="78" fillId="0" borderId="0" xfId="93" applyFont="1" applyAlignment="1">
      <alignment horizontal="center" vertical="center" wrapText="1"/>
    </xf>
    <xf numFmtId="2" fontId="78" fillId="51" borderId="0" xfId="93" applyNumberFormat="1" applyFont="1" applyFill="1" applyAlignment="1">
      <alignment horizontal="center" vertical="center" wrapText="1"/>
    </xf>
    <xf numFmtId="0" fontId="79" fillId="52" borderId="52" xfId="93" applyFont="1" applyFill="1" applyBorder="1" applyAlignment="1">
      <alignment horizontal="left"/>
    </xf>
    <xf numFmtId="0" fontId="79" fillId="52" borderId="43" xfId="93" applyFont="1" applyFill="1" applyBorder="1" applyAlignment="1">
      <alignment horizontal="center"/>
    </xf>
    <xf numFmtId="4" fontId="76" fillId="52" borderId="43" xfId="93" applyNumberFormat="1" applyFill="1" applyBorder="1"/>
    <xf numFmtId="2" fontId="79" fillId="52" borderId="43" xfId="93" applyNumberFormat="1" applyFont="1" applyFill="1" applyBorder="1" applyAlignment="1">
      <alignment horizontal="center"/>
    </xf>
    <xf numFmtId="0" fontId="79" fillId="0" borderId="52" xfId="93" applyFont="1" applyBorder="1" applyAlignment="1">
      <alignment horizontal="left"/>
    </xf>
    <xf numFmtId="9" fontId="79" fillId="0" borderId="43" xfId="93" applyNumberFormat="1" applyFont="1" applyBorder="1" applyAlignment="1">
      <alignment horizontal="center"/>
    </xf>
    <xf numFmtId="4" fontId="76" fillId="5" borderId="43" xfId="93" applyNumberFormat="1" applyFill="1" applyBorder="1"/>
    <xf numFmtId="0" fontId="76" fillId="0" borderId="43" xfId="93" applyBorder="1"/>
    <xf numFmtId="0" fontId="79" fillId="0" borderId="43" xfId="93" applyFont="1" applyBorder="1" applyAlignment="1">
      <alignment horizontal="center"/>
    </xf>
    <xf numFmtId="0" fontId="76" fillId="53" borderId="43" xfId="93" applyFill="1" applyBorder="1"/>
    <xf numFmtId="0" fontId="79" fillId="53" borderId="43" xfId="93" applyFont="1" applyFill="1" applyBorder="1" applyAlignment="1">
      <alignment horizontal="center"/>
    </xf>
    <xf numFmtId="4" fontId="76" fillId="53" borderId="43" xfId="93" applyNumberFormat="1" applyFill="1" applyBorder="1"/>
    <xf numFmtId="0" fontId="76" fillId="53" borderId="0" xfId="93" applyFill="1"/>
    <xf numFmtId="2" fontId="79" fillId="0" borderId="43" xfId="93" applyNumberFormat="1" applyFont="1" applyBorder="1" applyAlignment="1">
      <alignment horizontal="center"/>
    </xf>
    <xf numFmtId="183" fontId="76" fillId="5" borderId="43" xfId="93" applyNumberFormat="1" applyFill="1" applyBorder="1"/>
    <xf numFmtId="4" fontId="79" fillId="0" borderId="43" xfId="93" applyNumberFormat="1" applyFont="1" applyBorder="1" applyAlignment="1">
      <alignment horizontal="center"/>
    </xf>
    <xf numFmtId="4" fontId="76" fillId="0" borderId="43" xfId="93" applyNumberFormat="1" applyBorder="1" applyAlignment="1">
      <alignment horizontal="center"/>
    </xf>
    <xf numFmtId="0" fontId="79" fillId="0" borderId="0" xfId="93" applyFont="1" applyAlignment="1">
      <alignment horizontal="center"/>
    </xf>
    <xf numFmtId="0" fontId="77" fillId="0" borderId="43" xfId="93" applyFont="1" applyBorder="1"/>
    <xf numFmtId="4" fontId="77" fillId="5" borderId="43" xfId="93" applyNumberFormat="1" applyFont="1" applyFill="1" applyBorder="1"/>
    <xf numFmtId="10" fontId="79" fillId="0" borderId="43" xfId="93" applyNumberFormat="1" applyFont="1" applyBorder="1" applyAlignment="1">
      <alignment horizontal="center"/>
    </xf>
    <xf numFmtId="0" fontId="77" fillId="53" borderId="43" xfId="93" applyFont="1" applyFill="1" applyBorder="1"/>
    <xf numFmtId="4" fontId="77" fillId="53" borderId="43" xfId="93" applyNumberFormat="1" applyFont="1" applyFill="1" applyBorder="1"/>
    <xf numFmtId="1" fontId="77" fillId="0" borderId="43" xfId="93" applyNumberFormat="1" applyFont="1" applyBorder="1"/>
    <xf numFmtId="1" fontId="78" fillId="0" borderId="43" xfId="93" applyNumberFormat="1" applyFont="1" applyBorder="1" applyAlignment="1">
      <alignment horizontal="center"/>
    </xf>
    <xf numFmtId="1" fontId="77" fillId="5" borderId="43" xfId="93" applyNumberFormat="1" applyFont="1" applyFill="1" applyBorder="1"/>
    <xf numFmtId="1" fontId="77" fillId="0" borderId="0" xfId="93" applyNumberFormat="1" applyFont="1"/>
    <xf numFmtId="10" fontId="79" fillId="0" borderId="43" xfId="94" applyNumberFormat="1" applyFont="1" applyBorder="1" applyAlignment="1">
      <alignment horizontal="center"/>
    </xf>
    <xf numFmtId="0" fontId="77" fillId="52" borderId="43" xfId="93" applyFont="1" applyFill="1" applyBorder="1" applyAlignment="1">
      <alignment vertical="center" wrapText="1"/>
    </xf>
    <xf numFmtId="4" fontId="77" fillId="52" borderId="43" xfId="93" applyNumberFormat="1" applyFont="1" applyFill="1" applyBorder="1"/>
    <xf numFmtId="0" fontId="77" fillId="0" borderId="0" xfId="93" applyFont="1"/>
    <xf numFmtId="0" fontId="78" fillId="0" borderId="0" xfId="93" applyFont="1" applyAlignment="1">
      <alignment horizontal="center"/>
    </xf>
    <xf numFmtId="4" fontId="77" fillId="0" borderId="0" xfId="93" applyNumberFormat="1" applyFont="1"/>
    <xf numFmtId="9" fontId="79" fillId="0" borderId="0" xfId="93" applyNumberFormat="1" applyFont="1" applyAlignment="1">
      <alignment horizontal="center"/>
    </xf>
    <xf numFmtId="4" fontId="76" fillId="0" borderId="0" xfId="93" applyNumberFormat="1"/>
    <xf numFmtId="0" fontId="18" fillId="8" borderId="70" xfId="15" applyFont="1" applyFill="1" applyBorder="1" applyAlignment="1">
      <alignment vertical="center"/>
    </xf>
    <xf numFmtId="0" fontId="19" fillId="8" borderId="36" xfId="15" applyFont="1" applyFill="1" applyBorder="1" applyAlignment="1">
      <alignment vertical="center"/>
    </xf>
    <xf numFmtId="3" fontId="20" fillId="8" borderId="36" xfId="15" applyNumberFormat="1" applyFont="1" applyFill="1" applyBorder="1" applyAlignment="1">
      <alignment vertical="center"/>
    </xf>
    <xf numFmtId="3" fontId="19" fillId="8" borderId="36" xfId="15" applyNumberFormat="1" applyFont="1" applyFill="1" applyBorder="1" applyAlignment="1">
      <alignment vertical="center"/>
    </xf>
    <xf numFmtId="0" fontId="19" fillId="8" borderId="37" xfId="15" applyFont="1" applyFill="1" applyBorder="1" applyAlignment="1">
      <alignment vertical="center"/>
    </xf>
    <xf numFmtId="0" fontId="19" fillId="54" borderId="9" xfId="15" applyFont="1" applyFill="1" applyBorder="1" applyAlignment="1">
      <alignment vertical="center"/>
    </xf>
    <xf numFmtId="0" fontId="19" fillId="23" borderId="3" xfId="15" applyFont="1" applyFill="1" applyBorder="1" applyAlignment="1">
      <alignment vertical="center"/>
    </xf>
    <xf numFmtId="0" fontId="15" fillId="7" borderId="70" xfId="15" applyFont="1" applyFill="1" applyBorder="1" applyAlignment="1">
      <alignment horizontal="center" vertical="center"/>
    </xf>
    <xf numFmtId="0" fontId="15" fillId="7" borderId="36" xfId="15" applyFont="1" applyFill="1" applyBorder="1" applyAlignment="1">
      <alignment horizontal="center" vertical="center"/>
    </xf>
    <xf numFmtId="1" fontId="15" fillId="7" borderId="36" xfId="15" applyNumberFormat="1" applyFont="1" applyFill="1" applyBorder="1" applyAlignment="1">
      <alignment horizontal="right" vertical="center"/>
    </xf>
    <xf numFmtId="0" fontId="15" fillId="7" borderId="37" xfId="15" applyFont="1" applyFill="1" applyBorder="1" applyAlignment="1">
      <alignment horizontal="center" vertical="center"/>
    </xf>
    <xf numFmtId="0" fontId="15" fillId="54" borderId="10" xfId="15" applyFont="1" applyFill="1" applyBorder="1" applyAlignment="1">
      <alignment horizontal="center" vertical="center" wrapText="1"/>
    </xf>
    <xf numFmtId="0" fontId="15" fillId="23" borderId="5" xfId="15" applyFont="1" applyFill="1" applyBorder="1" applyAlignment="1">
      <alignment horizontal="center" vertical="center" wrapText="1"/>
    </xf>
    <xf numFmtId="0" fontId="16" fillId="0" borderId="55" xfId="15" applyFont="1" applyBorder="1"/>
    <xf numFmtId="0" fontId="16" fillId="0" borderId="56" xfId="96" applyFont="1" applyBorder="1" applyAlignment="1">
      <alignment horizontal="center"/>
    </xf>
    <xf numFmtId="3" fontId="17" fillId="0" borderId="56" xfId="96" applyNumberFormat="1" applyFont="1" applyBorder="1" applyAlignment="1">
      <alignment horizontal="center"/>
    </xf>
    <xf numFmtId="177" fontId="17" fillId="0" borderId="43" xfId="13" applyNumberFormat="1" applyFont="1" applyFill="1" applyBorder="1"/>
    <xf numFmtId="177" fontId="16" fillId="0" borderId="43" xfId="13" applyNumberFormat="1" applyFont="1" applyFill="1" applyBorder="1"/>
    <xf numFmtId="177" fontId="16" fillId="54" borderId="24" xfId="13" applyNumberFormat="1" applyFont="1" applyFill="1" applyBorder="1"/>
    <xf numFmtId="177" fontId="16" fillId="54" borderId="40" xfId="13" applyNumberFormat="1" applyFont="1" applyFill="1" applyBorder="1"/>
    <xf numFmtId="0" fontId="16" fillId="0" borderId="59" xfId="15" applyFont="1" applyBorder="1"/>
    <xf numFmtId="0" fontId="16" fillId="0" borderId="43" xfId="96" applyFont="1" applyBorder="1" applyAlignment="1">
      <alignment horizontal="center"/>
    </xf>
    <xf numFmtId="3" fontId="17" fillId="0" borderId="43" xfId="96" applyNumberFormat="1" applyFont="1" applyBorder="1" applyAlignment="1">
      <alignment horizontal="center"/>
    </xf>
    <xf numFmtId="0" fontId="16" fillId="0" borderId="60" xfId="96" applyFont="1" applyBorder="1" applyAlignment="1">
      <alignment horizontal="left"/>
    </xf>
    <xf numFmtId="0" fontId="16" fillId="0" borderId="59" xfId="96" applyFont="1" applyBorder="1" applyAlignment="1">
      <alignment horizontal="left"/>
    </xf>
    <xf numFmtId="0" fontId="16" fillId="7" borderId="59" xfId="96" applyFont="1" applyFill="1" applyBorder="1" applyAlignment="1">
      <alignment horizontal="left"/>
    </xf>
    <xf numFmtId="3" fontId="17" fillId="0" borderId="43" xfId="96" applyNumberFormat="1" applyFont="1" applyBorder="1"/>
    <xf numFmtId="0" fontId="6" fillId="54" borderId="10" xfId="92" applyFill="1" applyBorder="1"/>
    <xf numFmtId="0" fontId="6" fillId="54" borderId="5" xfId="92" applyFill="1" applyBorder="1"/>
    <xf numFmtId="0" fontId="18" fillId="7" borderId="63" xfId="96" applyFont="1" applyFill="1" applyBorder="1" applyAlignment="1">
      <alignment horizontal="left" indent="2"/>
    </xf>
    <xf numFmtId="0" fontId="16" fillId="0" borderId="64" xfId="96" applyFont="1" applyBorder="1" applyAlignment="1">
      <alignment horizontal="center"/>
    </xf>
    <xf numFmtId="177" fontId="16" fillId="0" borderId="64" xfId="13" applyNumberFormat="1" applyFont="1" applyFill="1" applyBorder="1"/>
    <xf numFmtId="0" fontId="16" fillId="0" borderId="68" xfId="96" applyFont="1" applyBorder="1" applyAlignment="1">
      <alignment horizontal="left"/>
    </xf>
    <xf numFmtId="0" fontId="6" fillId="54" borderId="11" xfId="92" applyFill="1" applyBorder="1"/>
    <xf numFmtId="0" fontId="6" fillId="54" borderId="8" xfId="92" applyFill="1" applyBorder="1"/>
    <xf numFmtId="0" fontId="15" fillId="6" borderId="1" xfId="96" applyFont="1" applyFill="1" applyBorder="1"/>
    <xf numFmtId="0" fontId="16" fillId="6" borderId="2" xfId="96" applyFont="1" applyFill="1" applyBorder="1"/>
    <xf numFmtId="0" fontId="6" fillId="6" borderId="2" xfId="92" applyFill="1" applyBorder="1"/>
    <xf numFmtId="0" fontId="6" fillId="0" borderId="1" xfId="92" applyBorder="1" applyAlignment="1">
      <alignment horizontal="right"/>
    </xf>
    <xf numFmtId="0" fontId="6" fillId="2" borderId="15" xfId="92" applyFill="1" applyBorder="1" applyAlignment="1">
      <alignment horizontal="center"/>
    </xf>
    <xf numFmtId="0" fontId="1" fillId="0" borderId="1" xfId="92" applyFont="1" applyBorder="1" applyAlignment="1">
      <alignment horizontal="center"/>
    </xf>
    <xf numFmtId="0" fontId="6" fillId="55" borderId="9" xfId="92" applyFill="1" applyBorder="1"/>
    <xf numFmtId="0" fontId="54" fillId="0" borderId="4" xfId="92" applyFont="1" applyBorder="1" applyAlignment="1">
      <alignment horizontal="center" vertical="top" wrapText="1"/>
    </xf>
    <xf numFmtId="188" fontId="9" fillId="55" borderId="10" xfId="13" applyNumberFormat="1" applyFont="1" applyFill="1" applyBorder="1"/>
    <xf numFmtId="0" fontId="54" fillId="0" borderId="41" xfId="92" applyFont="1" applyBorder="1" applyAlignment="1">
      <alignment horizontal="center" vertical="top" wrapText="1"/>
    </xf>
    <xf numFmtId="0" fontId="38" fillId="0" borderId="0" xfId="92" applyFont="1"/>
    <xf numFmtId="167" fontId="11" fillId="0" borderId="6" xfId="2" applyNumberFormat="1" applyFont="1" applyBorder="1"/>
    <xf numFmtId="0" fontId="11" fillId="0" borderId="6" xfId="2" applyFont="1" applyBorder="1" applyAlignment="1">
      <alignment horizontal="center" vertical="center"/>
    </xf>
    <xf numFmtId="167" fontId="11" fillId="0" borderId="13" xfId="2" applyNumberFormat="1" applyFont="1" applyBorder="1"/>
    <xf numFmtId="0" fontId="0" fillId="4" borderId="0" xfId="0" applyFill="1"/>
    <xf numFmtId="2" fontId="0" fillId="4" borderId="0" xfId="0" applyNumberFormat="1" applyFill="1"/>
    <xf numFmtId="4" fontId="0" fillId="0" borderId="16" xfId="0" applyNumberFormat="1" applyBorder="1" applyAlignment="1">
      <alignment horizontal="center"/>
    </xf>
    <xf numFmtId="4" fontId="0" fillId="12" borderId="16" xfId="0" applyNumberFormat="1" applyFill="1" applyBorder="1" applyAlignment="1">
      <alignment horizontal="center"/>
    </xf>
    <xf numFmtId="2" fontId="0" fillId="12" borderId="16" xfId="0" applyNumberFormat="1" applyFill="1" applyBorder="1" applyAlignment="1">
      <alignment horizontal="center"/>
    </xf>
    <xf numFmtId="2" fontId="0" fillId="0" borderId="16" xfId="0" applyNumberFormat="1" applyBorder="1" applyAlignment="1">
      <alignment horizontal="center"/>
    </xf>
    <xf numFmtId="4" fontId="0" fillId="0" borderId="43" xfId="0" applyNumberFormat="1" applyBorder="1" applyAlignment="1">
      <alignment horizontal="center"/>
    </xf>
    <xf numFmtId="4" fontId="0" fillId="12" borderId="43" xfId="0" applyNumberFormat="1" applyFill="1" applyBorder="1" applyAlignment="1">
      <alignment horizontal="center"/>
    </xf>
    <xf numFmtId="0" fontId="17" fillId="0" borderId="0" xfId="0" applyFont="1"/>
    <xf numFmtId="177" fontId="16" fillId="0" borderId="101" xfId="7" applyNumberFormat="1" applyFont="1" applyFill="1" applyBorder="1"/>
    <xf numFmtId="4" fontId="15" fillId="7" borderId="36" xfId="15" applyNumberFormat="1" applyFont="1" applyFill="1" applyBorder="1" applyAlignment="1">
      <alignment horizontal="center" vertical="center" wrapText="1"/>
    </xf>
    <xf numFmtId="0" fontId="80" fillId="0" borderId="0" xfId="92" applyFont="1"/>
    <xf numFmtId="0" fontId="23" fillId="0" borderId="0" xfId="92" applyFont="1"/>
    <xf numFmtId="0" fontId="24" fillId="0" borderId="0" xfId="92" applyFont="1"/>
    <xf numFmtId="0" fontId="24" fillId="2" borderId="0" xfId="92" applyFont="1" applyFill="1"/>
    <xf numFmtId="3" fontId="16" fillId="2" borderId="25" xfId="6" applyNumberFormat="1" applyFont="1" applyFill="1" applyBorder="1"/>
    <xf numFmtId="3" fontId="16" fillId="2" borderId="24" xfId="6" applyNumberFormat="1" applyFont="1" applyFill="1" applyBorder="1"/>
    <xf numFmtId="0" fontId="0" fillId="0" borderId="0" xfId="0" applyAlignment="1">
      <alignment wrapText="1"/>
    </xf>
    <xf numFmtId="189" fontId="16" fillId="9" borderId="24" xfId="7" applyNumberFormat="1" applyFont="1" applyFill="1" applyBorder="1"/>
    <xf numFmtId="190" fontId="16" fillId="9" borderId="24" xfId="7" applyNumberFormat="1" applyFont="1" applyFill="1" applyBorder="1"/>
    <xf numFmtId="190" fontId="20" fillId="8" borderId="2" xfId="2" applyNumberFormat="1" applyFont="1" applyFill="1" applyBorder="1" applyAlignment="1">
      <alignment vertical="center"/>
    </xf>
    <xf numFmtId="190" fontId="19" fillId="8" borderId="3" xfId="2" applyNumberFormat="1" applyFont="1" applyFill="1" applyBorder="1" applyAlignment="1">
      <alignment vertical="center"/>
    </xf>
    <xf numFmtId="0" fontId="16" fillId="7" borderId="102" xfId="6" applyFont="1" applyFill="1" applyBorder="1" applyAlignment="1">
      <alignment horizontal="left"/>
    </xf>
    <xf numFmtId="0" fontId="16" fillId="7" borderId="103" xfId="6" applyFont="1" applyFill="1" applyBorder="1" applyAlignment="1">
      <alignment horizontal="left"/>
    </xf>
    <xf numFmtId="0" fontId="16" fillId="0" borderId="101" xfId="6" applyFont="1" applyBorder="1" applyAlignment="1">
      <alignment horizontal="center"/>
    </xf>
    <xf numFmtId="3" fontId="17" fillId="0" borderId="101" xfId="6" applyNumberFormat="1" applyFont="1" applyBorder="1"/>
    <xf numFmtId="177" fontId="17" fillId="0" borderId="101" xfId="7" applyNumberFormat="1" applyFont="1" applyFill="1" applyBorder="1"/>
    <xf numFmtId="0" fontId="16" fillId="0" borderId="101" xfId="6" applyFont="1" applyBorder="1" applyAlignment="1">
      <alignment horizontal="left"/>
    </xf>
    <xf numFmtId="0" fontId="18" fillId="4" borderId="6" xfId="6" applyFont="1" applyFill="1" applyBorder="1"/>
    <xf numFmtId="0" fontId="18" fillId="4" borderId="7" xfId="6" applyFont="1" applyFill="1" applyBorder="1"/>
    <xf numFmtId="0" fontId="0" fillId="4" borderId="7" xfId="0" applyFill="1" applyBorder="1"/>
    <xf numFmtId="189" fontId="18" fillId="4" borderId="8" xfId="7" applyNumberFormat="1" applyFont="1" applyFill="1" applyBorder="1" applyAlignment="1">
      <alignment horizontal="center" vertical="center"/>
    </xf>
    <xf numFmtId="189" fontId="18" fillId="6" borderId="3" xfId="7" applyNumberFormat="1" applyFont="1" applyFill="1" applyBorder="1" applyAlignment="1">
      <alignment horizontal="center" vertical="center"/>
    </xf>
    <xf numFmtId="0" fontId="15" fillId="9" borderId="4" xfId="6" applyFont="1" applyFill="1" applyBorder="1" applyAlignment="1">
      <alignment vertical="center"/>
    </xf>
    <xf numFmtId="0" fontId="16" fillId="9" borderId="0" xfId="6" applyFont="1" applyFill="1" applyAlignment="1">
      <alignment vertical="center"/>
    </xf>
    <xf numFmtId="189" fontId="15" fillId="6" borderId="3" xfId="7" applyNumberFormat="1" applyFont="1" applyFill="1" applyBorder="1" applyAlignment="1">
      <alignment horizontal="center" vertical="center"/>
    </xf>
    <xf numFmtId="0" fontId="16" fillId="7" borderId="104" xfId="6" applyFont="1" applyFill="1" applyBorder="1" applyAlignment="1">
      <alignment horizontal="left"/>
    </xf>
    <xf numFmtId="9" fontId="16" fillId="0" borderId="101" xfId="6" applyNumberFormat="1" applyFont="1" applyBorder="1"/>
    <xf numFmtId="189" fontId="16" fillId="9" borderId="101" xfId="7" applyNumberFormat="1" applyFont="1" applyFill="1" applyBorder="1"/>
    <xf numFmtId="0" fontId="18" fillId="8" borderId="6" xfId="2" applyFont="1" applyFill="1" applyBorder="1" applyAlignment="1">
      <alignment vertical="center"/>
    </xf>
    <xf numFmtId="0" fontId="19" fillId="8" borderId="7" xfId="2" applyFont="1" applyFill="1" applyBorder="1" applyAlignment="1">
      <alignment vertical="center"/>
    </xf>
    <xf numFmtId="3" fontId="20" fillId="8" borderId="7" xfId="2" applyNumberFormat="1" applyFont="1" applyFill="1" applyBorder="1" applyAlignment="1">
      <alignment vertical="center"/>
    </xf>
    <xf numFmtId="3" fontId="19" fillId="8" borderId="8" xfId="2" applyNumberFormat="1" applyFont="1" applyFill="1" applyBorder="1" applyAlignment="1">
      <alignment vertical="center"/>
    </xf>
    <xf numFmtId="0" fontId="19" fillId="8" borderId="11" xfId="2" applyFont="1" applyFill="1" applyBorder="1" applyAlignment="1">
      <alignment vertical="center"/>
    </xf>
    <xf numFmtId="189" fontId="15" fillId="6" borderId="3" xfId="7" applyNumberFormat="1" applyFont="1" applyFill="1" applyBorder="1"/>
    <xf numFmtId="189" fontId="18" fillId="6" borderId="3" xfId="7" applyNumberFormat="1" applyFont="1" applyFill="1" applyBorder="1"/>
    <xf numFmtId="9" fontId="0" fillId="0" borderId="62" xfId="0" applyNumberFormat="1" applyBorder="1" applyAlignment="1">
      <alignment horizontal="center"/>
    </xf>
    <xf numFmtId="9" fontId="0" fillId="12" borderId="62" xfId="0" applyNumberFormat="1" applyFill="1" applyBorder="1" applyAlignment="1">
      <alignment horizontal="center"/>
    </xf>
    <xf numFmtId="0" fontId="24" fillId="0" borderId="61" xfId="0" applyFont="1" applyBorder="1" applyAlignment="1">
      <alignment horizontal="center"/>
    </xf>
    <xf numFmtId="0" fontId="24" fillId="12" borderId="61" xfId="0" applyFont="1" applyFill="1" applyBorder="1" applyAlignment="1">
      <alignment horizontal="center"/>
    </xf>
    <xf numFmtId="189" fontId="83" fillId="9" borderId="43" xfId="7" applyNumberFormat="1" applyFont="1" applyFill="1" applyBorder="1"/>
    <xf numFmtId="189" fontId="17" fillId="9" borderId="43" xfId="7" applyNumberFormat="1" applyFont="1" applyFill="1" applyBorder="1"/>
    <xf numFmtId="189" fontId="17" fillId="4" borderId="43" xfId="7" applyNumberFormat="1" applyFont="1" applyFill="1" applyBorder="1"/>
    <xf numFmtId="1" fontId="17" fillId="0" borderId="43" xfId="7" applyNumberFormat="1" applyFont="1" applyFill="1" applyBorder="1"/>
    <xf numFmtId="189" fontId="17" fillId="0" borderId="43" xfId="7" applyNumberFormat="1" applyFont="1" applyFill="1" applyBorder="1"/>
    <xf numFmtId="191" fontId="6" fillId="0" borderId="0" xfId="92" applyNumberFormat="1"/>
    <xf numFmtId="189" fontId="17" fillId="6" borderId="43" xfId="7" applyNumberFormat="1" applyFont="1" applyFill="1" applyBorder="1"/>
    <xf numFmtId="189" fontId="32" fillId="6" borderId="43" xfId="7" applyNumberFormat="1" applyFont="1" applyFill="1" applyBorder="1"/>
    <xf numFmtId="189" fontId="17" fillId="0" borderId="0" xfId="7" applyNumberFormat="1" applyFont="1" applyFill="1" applyBorder="1"/>
    <xf numFmtId="0" fontId="1" fillId="0" borderId="2" xfId="92" applyFont="1" applyBorder="1" applyAlignment="1">
      <alignment horizontal="center"/>
    </xf>
    <xf numFmtId="2" fontId="54" fillId="2" borderId="0" xfId="92" applyNumberFormat="1" applyFont="1" applyFill="1" applyAlignment="1">
      <alignment horizontal="center" vertical="top" wrapText="1"/>
    </xf>
    <xf numFmtId="178" fontId="54" fillId="2" borderId="69" xfId="92" applyNumberFormat="1" applyFont="1" applyFill="1" applyBorder="1" applyAlignment="1">
      <alignment horizontal="center" vertical="top" wrapText="1"/>
    </xf>
    <xf numFmtId="189" fontId="17" fillId="55" borderId="11" xfId="7" applyNumberFormat="1" applyFont="1" applyFill="1" applyBorder="1"/>
    <xf numFmtId="0" fontId="7" fillId="0" borderId="105" xfId="2" applyBorder="1" applyAlignment="1">
      <alignment horizontal="center"/>
    </xf>
    <xf numFmtId="10" fontId="7" fillId="0" borderId="53" xfId="1" applyNumberFormat="1" applyFont="1" applyBorder="1" applyAlignment="1">
      <alignment horizontal="center"/>
    </xf>
    <xf numFmtId="9" fontId="7" fillId="0" borderId="54" xfId="1" applyFont="1" applyBorder="1" applyAlignment="1">
      <alignment horizontal="center"/>
    </xf>
    <xf numFmtId="185" fontId="7" fillId="0" borderId="60" xfId="2" applyNumberFormat="1" applyBorder="1"/>
    <xf numFmtId="189" fontId="32" fillId="6" borderId="37" xfId="7" applyNumberFormat="1" applyFont="1" applyFill="1" applyBorder="1"/>
    <xf numFmtId="4" fontId="0" fillId="2" borderId="0" xfId="0" applyNumberFormat="1" applyFill="1"/>
    <xf numFmtId="0" fontId="0" fillId="0" borderId="0" xfId="0" applyAlignment="1">
      <alignment horizontal="left" vertical="center" wrapText="1"/>
    </xf>
    <xf numFmtId="2" fontId="0" fillId="0" borderId="0" xfId="0" applyNumberFormat="1" applyAlignment="1">
      <alignment horizontal="center"/>
    </xf>
    <xf numFmtId="4" fontId="1" fillId="0" borderId="0" xfId="0" applyNumberFormat="1" applyFont="1"/>
    <xf numFmtId="189" fontId="17" fillId="0" borderId="43" xfId="7" applyNumberFormat="1" applyFont="1" applyFill="1" applyBorder="1" applyAlignment="1">
      <alignment horizontal="center" vertical="center"/>
    </xf>
    <xf numFmtId="10" fontId="17" fillId="4" borderId="43" xfId="0" applyNumberFormat="1" applyFont="1" applyFill="1" applyBorder="1"/>
    <xf numFmtId="0" fontId="17" fillId="4" borderId="16" xfId="0" applyFont="1" applyFill="1" applyBorder="1"/>
    <xf numFmtId="169" fontId="83" fillId="0" borderId="45" xfId="4" applyNumberFormat="1" applyFont="1" applyFill="1" applyBorder="1" applyProtection="1">
      <protection locked="0"/>
    </xf>
    <xf numFmtId="0" fontId="1" fillId="14" borderId="1" xfId="0" applyFont="1" applyFill="1" applyBorder="1" applyAlignment="1">
      <alignment vertical="center"/>
    </xf>
    <xf numFmtId="0" fontId="0" fillId="14" borderId="2" xfId="0" applyFill="1" applyBorder="1" applyAlignment="1">
      <alignment vertical="center"/>
    </xf>
    <xf numFmtId="0" fontId="1" fillId="2" borderId="0" xfId="0" applyFont="1" applyFill="1" applyAlignment="1">
      <alignment vertical="center"/>
    </xf>
    <xf numFmtId="0" fontId="2" fillId="0" borderId="0" xfId="0" applyFont="1" applyAlignment="1">
      <alignment vertical="center"/>
    </xf>
    <xf numFmtId="0" fontId="3" fillId="0" borderId="0" xfId="0" applyFont="1" applyAlignment="1">
      <alignment vertical="center"/>
    </xf>
    <xf numFmtId="0" fontId="5" fillId="0" borderId="0" xfId="0" applyFont="1" applyAlignment="1">
      <alignment vertical="center"/>
    </xf>
    <xf numFmtId="0" fontId="22" fillId="0" borderId="0" xfId="0" applyFont="1" applyAlignment="1">
      <alignment vertical="center"/>
    </xf>
    <xf numFmtId="0" fontId="23" fillId="0" borderId="30" xfId="8" applyFont="1" applyBorder="1" applyAlignment="1">
      <alignment horizontal="left" vertical="center"/>
    </xf>
    <xf numFmtId="3" fontId="17" fillId="4" borderId="0" xfId="7" applyNumberFormat="1" applyFont="1" applyFill="1" applyBorder="1"/>
    <xf numFmtId="189" fontId="17" fillId="4" borderId="43" xfId="7" applyNumberFormat="1" applyFont="1" applyFill="1" applyBorder="1" applyAlignment="1">
      <alignment vertical="center"/>
    </xf>
    <xf numFmtId="186" fontId="7" fillId="4" borderId="16" xfId="3" applyNumberFormat="1" applyFont="1" applyFill="1" applyBorder="1" applyProtection="1">
      <protection locked="0"/>
    </xf>
    <xf numFmtId="0" fontId="23" fillId="4" borderId="16" xfId="0" applyFont="1" applyFill="1" applyBorder="1"/>
    <xf numFmtId="0" fontId="16" fillId="4" borderId="16" xfId="0" applyFont="1" applyFill="1" applyBorder="1"/>
    <xf numFmtId="37" fontId="7" fillId="0" borderId="0" xfId="2" applyNumberFormat="1" applyProtection="1">
      <protection locked="0"/>
    </xf>
    <xf numFmtId="174" fontId="7" fillId="4" borderId="0" xfId="3" applyNumberFormat="1" applyFont="1" applyFill="1" applyBorder="1" applyProtection="1">
      <protection locked="0"/>
    </xf>
    <xf numFmtId="3" fontId="0" fillId="4" borderId="0" xfId="0" applyNumberFormat="1" applyFill="1"/>
    <xf numFmtId="2" fontId="1" fillId="4" borderId="0" xfId="0" applyNumberFormat="1" applyFont="1" applyFill="1" applyAlignment="1">
      <alignment horizontal="center"/>
    </xf>
    <xf numFmtId="2" fontId="0" fillId="4" borderId="0" xfId="0" applyNumberFormat="1" applyFill="1" applyAlignment="1">
      <alignment horizontal="right"/>
    </xf>
    <xf numFmtId="4" fontId="16" fillId="0" borderId="0" xfId="0" applyNumberFormat="1" applyFont="1" applyAlignment="1">
      <alignment vertical="center"/>
    </xf>
    <xf numFmtId="0" fontId="17" fillId="4" borderId="0" xfId="0" applyFont="1" applyFill="1"/>
    <xf numFmtId="1" fontId="17" fillId="0" borderId="0" xfId="0" applyNumberFormat="1" applyFont="1"/>
    <xf numFmtId="3" fontId="17" fillId="4" borderId="0" xfId="0" applyNumberFormat="1" applyFont="1" applyFill="1"/>
    <xf numFmtId="0" fontId="0" fillId="56" borderId="0" xfId="0" applyFill="1" applyAlignment="1">
      <alignment horizontal="center" vertical="center"/>
    </xf>
    <xf numFmtId="4" fontId="0" fillId="56" borderId="0" xfId="0" applyNumberFormat="1" applyFill="1" applyAlignment="1">
      <alignment horizontal="center" vertical="center"/>
    </xf>
    <xf numFmtId="0" fontId="0" fillId="56" borderId="0" xfId="0" applyFill="1" applyAlignment="1">
      <alignment horizontal="center" vertical="center" wrapText="1"/>
    </xf>
    <xf numFmtId="0" fontId="0" fillId="56" borderId="0" xfId="0" applyFill="1"/>
    <xf numFmtId="165" fontId="16" fillId="0" borderId="0" xfId="97" applyFont="1" applyAlignment="1">
      <alignment vertical="center"/>
    </xf>
    <xf numFmtId="165" fontId="46" fillId="0" borderId="0" xfId="0" applyNumberFormat="1" applyFont="1" applyAlignment="1">
      <alignment vertical="center"/>
    </xf>
    <xf numFmtId="165" fontId="16" fillId="2" borderId="0" xfId="97" applyFont="1" applyFill="1" applyAlignment="1">
      <alignment vertical="center"/>
    </xf>
    <xf numFmtId="0" fontId="46" fillId="2" borderId="0" xfId="0" applyFont="1" applyFill="1" applyAlignment="1">
      <alignment vertical="center"/>
    </xf>
    <xf numFmtId="165" fontId="46" fillId="2" borderId="0" xfId="0" applyNumberFormat="1" applyFont="1" applyFill="1" applyAlignment="1">
      <alignment vertical="center"/>
    </xf>
    <xf numFmtId="0" fontId="46" fillId="2" borderId="0" xfId="0" applyFont="1" applyFill="1" applyAlignment="1">
      <alignment horizontal="center" vertical="center"/>
    </xf>
    <xf numFmtId="0" fontId="84" fillId="0" borderId="0" xfId="92" applyFont="1"/>
    <xf numFmtId="0" fontId="85" fillId="0" borderId="55" xfId="15" applyFont="1" applyBorder="1"/>
    <xf numFmtId="0" fontId="85" fillId="0" borderId="59" xfId="15" applyFont="1" applyBorder="1"/>
    <xf numFmtId="0" fontId="85" fillId="0" borderId="59" xfId="96" applyFont="1" applyBorder="1" applyAlignment="1">
      <alignment horizontal="left"/>
    </xf>
    <xf numFmtId="0" fontId="85" fillId="7" borderId="59" xfId="96" applyFont="1" applyFill="1" applyBorder="1" applyAlignment="1">
      <alignment horizontal="left"/>
    </xf>
    <xf numFmtId="3" fontId="0" fillId="0" borderId="94" xfId="0" applyNumberFormat="1" applyBorder="1" applyAlignment="1">
      <alignment vertical="center"/>
    </xf>
    <xf numFmtId="183" fontId="0" fillId="0" borderId="0" xfId="0" applyNumberFormat="1"/>
    <xf numFmtId="4" fontId="0" fillId="0" borderId="0" xfId="0" applyNumberFormat="1" applyFill="1" applyAlignment="1">
      <alignment horizontal="center" vertical="center"/>
    </xf>
    <xf numFmtId="178" fontId="0" fillId="0" borderId="0" xfId="0" applyNumberFormat="1" applyFill="1"/>
    <xf numFmtId="0" fontId="32" fillId="48" borderId="12" xfId="2" applyFont="1" applyFill="1" applyBorder="1" applyAlignment="1">
      <alignment horizontal="center" vertical="center"/>
    </xf>
    <xf numFmtId="0" fontId="32" fillId="48" borderId="13" xfId="2" applyFont="1" applyFill="1" applyBorder="1" applyAlignment="1">
      <alignment horizontal="center" vertical="center"/>
    </xf>
    <xf numFmtId="0" fontId="32" fillId="48" borderId="14" xfId="2" applyFont="1" applyFill="1" applyBorder="1" applyAlignment="1">
      <alignment horizontal="center" vertical="center"/>
    </xf>
    <xf numFmtId="0" fontId="32" fillId="48" borderId="6" xfId="2" applyFont="1" applyFill="1" applyBorder="1" applyAlignment="1">
      <alignment horizontal="center" vertical="center"/>
    </xf>
    <xf numFmtId="0" fontId="32" fillId="48" borderId="7" xfId="2" applyFont="1" applyFill="1" applyBorder="1" applyAlignment="1">
      <alignment horizontal="center" vertical="center"/>
    </xf>
    <xf numFmtId="0" fontId="32" fillId="48" borderId="8" xfId="2" applyFont="1" applyFill="1" applyBorder="1" applyAlignment="1">
      <alignment horizontal="center" vertical="center"/>
    </xf>
    <xf numFmtId="0" fontId="16" fillId="0" borderId="13" xfId="2" applyFont="1" applyBorder="1" applyAlignment="1">
      <alignment horizontal="center" vertical="center" wrapText="1"/>
    </xf>
    <xf numFmtId="0" fontId="32" fillId="15" borderId="1" xfId="2" applyFont="1" applyFill="1" applyBorder="1" applyAlignment="1">
      <alignment horizontal="center"/>
    </xf>
    <xf numFmtId="0" fontId="32" fillId="15" borderId="2" xfId="2" applyFont="1" applyFill="1" applyBorder="1" applyAlignment="1">
      <alignment horizontal="center"/>
    </xf>
    <xf numFmtId="0" fontId="17" fillId="0" borderId="12" xfId="0" applyFont="1" applyBorder="1" applyAlignment="1">
      <alignment horizontal="left" vertical="center" wrapText="1"/>
    </xf>
    <xf numFmtId="0" fontId="17" fillId="0" borderId="13" xfId="0" applyFont="1" applyBorder="1" applyAlignment="1">
      <alignment horizontal="left" vertical="center" wrapText="1"/>
    </xf>
    <xf numFmtId="0" fontId="17" fillId="0" borderId="4" xfId="0" applyFont="1" applyBorder="1" applyAlignment="1">
      <alignment horizontal="left" vertical="center" wrapText="1"/>
    </xf>
    <xf numFmtId="0" fontId="17" fillId="0" borderId="0" xfId="0" applyFont="1" applyAlignment="1">
      <alignment horizontal="left" vertical="center" wrapText="1"/>
    </xf>
    <xf numFmtId="0" fontId="15" fillId="48" borderId="1" xfId="2" applyFont="1" applyFill="1" applyBorder="1" applyAlignment="1">
      <alignment horizontal="center"/>
    </xf>
    <xf numFmtId="0" fontId="15" fillId="48" borderId="2" xfId="2" applyFont="1" applyFill="1" applyBorder="1" applyAlignment="1">
      <alignment horizontal="center"/>
    </xf>
    <xf numFmtId="0" fontId="15" fillId="48" borderId="3" xfId="2" applyFont="1" applyFill="1" applyBorder="1" applyAlignment="1">
      <alignment horizontal="center"/>
    </xf>
    <xf numFmtId="0" fontId="15" fillId="7" borderId="1" xfId="2" applyFont="1" applyFill="1" applyBorder="1" applyAlignment="1">
      <alignment horizontal="center" wrapText="1"/>
    </xf>
    <xf numFmtId="0" fontId="15" fillId="7" borderId="35" xfId="2" applyFont="1" applyFill="1" applyBorder="1" applyAlignment="1">
      <alignment horizontal="center" wrapText="1"/>
    </xf>
    <xf numFmtId="0" fontId="4" fillId="0" borderId="49" xfId="0" applyFont="1" applyBorder="1" applyAlignment="1">
      <alignment horizontal="center" vertical="center" wrapText="1"/>
    </xf>
    <xf numFmtId="4" fontId="24" fillId="0" borderId="0" xfId="0" applyNumberFormat="1" applyFont="1" applyAlignment="1">
      <alignment horizontal="left" vertical="center"/>
    </xf>
    <xf numFmtId="4" fontId="23" fillId="0" borderId="0" xfId="0" applyNumberFormat="1" applyFont="1" applyAlignment="1">
      <alignment horizontal="left" vertical="center"/>
    </xf>
    <xf numFmtId="4" fontId="23" fillId="0" borderId="0" xfId="0" applyNumberFormat="1" applyFont="1" applyAlignment="1">
      <alignment horizontal="left" vertical="center" indent="1"/>
    </xf>
    <xf numFmtId="4" fontId="24" fillId="0" borderId="0" xfId="0" applyNumberFormat="1" applyFont="1" applyAlignment="1">
      <alignment horizontal="left" vertical="center" indent="1"/>
    </xf>
    <xf numFmtId="0" fontId="0" fillId="0" borderId="0" xfId="0" applyAlignment="1">
      <alignment horizontal="center" vertical="center"/>
    </xf>
    <xf numFmtId="4" fontId="0" fillId="13" borderId="0" xfId="0" applyNumberFormat="1" applyFill="1" applyAlignment="1">
      <alignment horizontal="center" vertical="center"/>
    </xf>
    <xf numFmtId="0" fontId="1" fillId="0" borderId="47" xfId="0" applyFont="1" applyBorder="1" applyAlignment="1">
      <alignment horizontal="center"/>
    </xf>
    <xf numFmtId="0" fontId="0" fillId="0" borderId="45" xfId="0" applyBorder="1" applyAlignment="1">
      <alignment horizontal="left" vertical="center" wrapText="1"/>
    </xf>
    <xf numFmtId="0" fontId="1" fillId="0" borderId="0" xfId="0" applyFont="1" applyAlignment="1">
      <alignment horizontal="center" vertical="center"/>
    </xf>
    <xf numFmtId="4" fontId="0" fillId="20" borderId="0" xfId="0" applyNumberFormat="1" applyFill="1" applyAlignment="1">
      <alignment horizontal="center" vertical="center"/>
    </xf>
    <xf numFmtId="0" fontId="43" fillId="0" borderId="44" xfId="0" applyFont="1" applyBorder="1" applyAlignment="1">
      <alignment horizontal="center"/>
    </xf>
    <xf numFmtId="0" fontId="0" fillId="0" borderId="0" xfId="0" applyAlignment="1">
      <alignment horizontal="left" vertical="center" wrapText="1"/>
    </xf>
    <xf numFmtId="0" fontId="1" fillId="0" borderId="44" xfId="0" applyFont="1" applyBorder="1" applyAlignment="1">
      <alignment horizontal="center"/>
    </xf>
    <xf numFmtId="0" fontId="0" fillId="0" borderId="47" xfId="0" applyBorder="1" applyAlignment="1">
      <alignment horizontal="left" vertical="center" wrapText="1"/>
    </xf>
    <xf numFmtId="0" fontId="15" fillId="7" borderId="12" xfId="2" applyFont="1" applyFill="1" applyBorder="1" applyAlignment="1">
      <alignment horizontal="center" wrapText="1"/>
    </xf>
    <xf numFmtId="0" fontId="15" fillId="7" borderId="18" xfId="2" applyFont="1" applyFill="1" applyBorder="1" applyAlignment="1">
      <alignment horizontal="center" wrapText="1"/>
    </xf>
    <xf numFmtId="0" fontId="10" fillId="7" borderId="1" xfId="2" applyFont="1" applyFill="1" applyBorder="1" applyAlignment="1">
      <alignment horizontal="center"/>
    </xf>
    <xf numFmtId="0" fontId="10" fillId="7" borderId="2" xfId="2" applyFont="1" applyFill="1" applyBorder="1" applyAlignment="1">
      <alignment horizontal="center"/>
    </xf>
    <xf numFmtId="0" fontId="10" fillId="7" borderId="3" xfId="2" applyFont="1" applyFill="1" applyBorder="1" applyAlignment="1">
      <alignment horizontal="center"/>
    </xf>
    <xf numFmtId="0" fontId="77" fillId="0" borderId="62" xfId="93" applyFont="1" applyBorder="1" applyAlignment="1">
      <alignment horizontal="center" vertical="center"/>
    </xf>
    <xf numFmtId="0" fontId="78" fillId="0" borderId="99" xfId="93" applyFont="1" applyBorder="1" applyAlignment="1">
      <alignment horizontal="center" vertical="center" wrapText="1"/>
    </xf>
    <xf numFmtId="0" fontId="78" fillId="0" borderId="52" xfId="93" applyFont="1" applyBorder="1" applyAlignment="1">
      <alignment horizontal="center" vertical="center" wrapText="1"/>
    </xf>
    <xf numFmtId="0" fontId="55" fillId="0" borderId="70" xfId="14" applyFont="1" applyBorder="1" applyAlignment="1">
      <alignment horizontal="center" vertical="center"/>
    </xf>
    <xf numFmtId="0" fontId="7" fillId="0" borderId="36" xfId="2" applyBorder="1" applyAlignment="1">
      <alignment horizontal="center" vertical="center"/>
    </xf>
    <xf numFmtId="0" fontId="7" fillId="0" borderId="37" xfId="2" applyBorder="1" applyAlignment="1">
      <alignment horizontal="center" vertical="center"/>
    </xf>
    <xf numFmtId="0" fontId="44" fillId="8" borderId="55" xfId="0" applyFont="1" applyFill="1" applyBorder="1" applyAlignment="1">
      <alignment horizontal="center" vertical="center" wrapText="1"/>
    </xf>
    <xf numFmtId="0" fontId="44" fillId="8" borderId="56" xfId="0" applyFont="1" applyFill="1" applyBorder="1" applyAlignment="1">
      <alignment horizontal="center" vertical="center" wrapText="1"/>
    </xf>
    <xf numFmtId="0" fontId="44" fillId="8" borderId="57" xfId="0" applyFont="1" applyFill="1" applyBorder="1" applyAlignment="1">
      <alignment horizontal="center" vertical="center" wrapText="1"/>
    </xf>
    <xf numFmtId="0" fontId="44" fillId="8" borderId="59" xfId="0" applyFont="1" applyFill="1" applyBorder="1" applyAlignment="1">
      <alignment horizontal="center" vertical="center" wrapText="1"/>
    </xf>
    <xf numFmtId="0" fontId="44" fillId="8" borderId="43" xfId="0" applyFont="1" applyFill="1" applyBorder="1" applyAlignment="1">
      <alignment horizontal="center" vertical="center" wrapText="1"/>
    </xf>
    <xf numFmtId="0" fontId="44" fillId="8" borderId="60" xfId="0" applyFont="1" applyFill="1" applyBorder="1" applyAlignment="1">
      <alignment horizontal="center" vertical="center" wrapText="1"/>
    </xf>
    <xf numFmtId="0" fontId="1"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2" fillId="0" borderId="0" xfId="2" applyFont="1" applyAlignment="1">
      <alignment horizontal="center"/>
    </xf>
  </cellXfs>
  <cellStyles count="98">
    <cellStyle name="20% - Énfasis1 2" xfId="17" xr:uid="{00000000-0005-0000-0000-000000000000}"/>
    <cellStyle name="20% - Énfasis1 3" xfId="18" xr:uid="{00000000-0005-0000-0000-000001000000}"/>
    <cellStyle name="20% - Énfasis2 2" xfId="19" xr:uid="{00000000-0005-0000-0000-000002000000}"/>
    <cellStyle name="20% - Énfasis2 3" xfId="20" xr:uid="{00000000-0005-0000-0000-000003000000}"/>
    <cellStyle name="20% - Énfasis3 2" xfId="21" xr:uid="{00000000-0005-0000-0000-000004000000}"/>
    <cellStyle name="20% - Énfasis3 3" xfId="22" xr:uid="{00000000-0005-0000-0000-000005000000}"/>
    <cellStyle name="20% - Énfasis4 2" xfId="23" xr:uid="{00000000-0005-0000-0000-000006000000}"/>
    <cellStyle name="20% - Énfasis4 3" xfId="24" xr:uid="{00000000-0005-0000-0000-000007000000}"/>
    <cellStyle name="20% - Énfasis5 2" xfId="25" xr:uid="{00000000-0005-0000-0000-000008000000}"/>
    <cellStyle name="20% - Énfasis5 3" xfId="26" xr:uid="{00000000-0005-0000-0000-000009000000}"/>
    <cellStyle name="20% - Énfasis6 2" xfId="27" xr:uid="{00000000-0005-0000-0000-00000A000000}"/>
    <cellStyle name="20% - Énfasis6 3" xfId="28" xr:uid="{00000000-0005-0000-0000-00000B000000}"/>
    <cellStyle name="40% - Énfasis1 2" xfId="29" xr:uid="{00000000-0005-0000-0000-00000C000000}"/>
    <cellStyle name="40% - Énfasis1 3" xfId="30" xr:uid="{00000000-0005-0000-0000-00000D000000}"/>
    <cellStyle name="40% - Énfasis2 2" xfId="31" xr:uid="{00000000-0005-0000-0000-00000E000000}"/>
    <cellStyle name="40% - Énfasis2 3" xfId="32" xr:uid="{00000000-0005-0000-0000-00000F000000}"/>
    <cellStyle name="40% - Énfasis3 2" xfId="33" xr:uid="{00000000-0005-0000-0000-000010000000}"/>
    <cellStyle name="40% - Énfasis3 3" xfId="34" xr:uid="{00000000-0005-0000-0000-000011000000}"/>
    <cellStyle name="40% - Énfasis4 2" xfId="35" xr:uid="{00000000-0005-0000-0000-000012000000}"/>
    <cellStyle name="40% - Énfasis4 3" xfId="36" xr:uid="{00000000-0005-0000-0000-000013000000}"/>
    <cellStyle name="40% - Énfasis5 2" xfId="37" xr:uid="{00000000-0005-0000-0000-000014000000}"/>
    <cellStyle name="40% - Énfasis5 3" xfId="38" xr:uid="{00000000-0005-0000-0000-000015000000}"/>
    <cellStyle name="40% - Énfasis6 2" xfId="39" xr:uid="{00000000-0005-0000-0000-000016000000}"/>
    <cellStyle name="40% - Énfasis6 3" xfId="40" xr:uid="{00000000-0005-0000-0000-000017000000}"/>
    <cellStyle name="60% - Énfasis1 2" xfId="41" xr:uid="{00000000-0005-0000-0000-000018000000}"/>
    <cellStyle name="60% - Énfasis1 3" xfId="42" xr:uid="{00000000-0005-0000-0000-000019000000}"/>
    <cellStyle name="60% - Énfasis2 2" xfId="43" xr:uid="{00000000-0005-0000-0000-00001A000000}"/>
    <cellStyle name="60% - Énfasis2 3" xfId="44" xr:uid="{00000000-0005-0000-0000-00001B000000}"/>
    <cellStyle name="60% - Énfasis3 2" xfId="45" xr:uid="{00000000-0005-0000-0000-00001C000000}"/>
    <cellStyle name="60% - Énfasis3 3" xfId="46" xr:uid="{00000000-0005-0000-0000-00001D000000}"/>
    <cellStyle name="60% - Énfasis4 2" xfId="47" xr:uid="{00000000-0005-0000-0000-00001E000000}"/>
    <cellStyle name="60% - Énfasis4 3" xfId="48" xr:uid="{00000000-0005-0000-0000-00001F000000}"/>
    <cellStyle name="60% - Énfasis5 2" xfId="49" xr:uid="{00000000-0005-0000-0000-000020000000}"/>
    <cellStyle name="60% - Énfasis5 3" xfId="50" xr:uid="{00000000-0005-0000-0000-000021000000}"/>
    <cellStyle name="60% - Énfasis6 2" xfId="51" xr:uid="{00000000-0005-0000-0000-000022000000}"/>
    <cellStyle name="60% - Énfasis6 3" xfId="52" xr:uid="{00000000-0005-0000-0000-000023000000}"/>
    <cellStyle name="Buena 2" xfId="53" xr:uid="{00000000-0005-0000-0000-000024000000}"/>
    <cellStyle name="Buena 3" xfId="54" xr:uid="{00000000-0005-0000-0000-000025000000}"/>
    <cellStyle name="Cálculo 2" xfId="55" xr:uid="{00000000-0005-0000-0000-000026000000}"/>
    <cellStyle name="Celda de comprobación 2" xfId="56" xr:uid="{00000000-0005-0000-0000-000027000000}"/>
    <cellStyle name="Celda de comprobación 3" xfId="57" xr:uid="{00000000-0005-0000-0000-000028000000}"/>
    <cellStyle name="Celda vinculada 2" xfId="58" xr:uid="{00000000-0005-0000-0000-000029000000}"/>
    <cellStyle name="Encabezado 4 2" xfId="59" xr:uid="{00000000-0005-0000-0000-00002A000000}"/>
    <cellStyle name="Énfasis1 2" xfId="60" xr:uid="{00000000-0005-0000-0000-00002B000000}"/>
    <cellStyle name="Énfasis1 3" xfId="61" xr:uid="{00000000-0005-0000-0000-00002C000000}"/>
    <cellStyle name="Énfasis2 2" xfId="62" xr:uid="{00000000-0005-0000-0000-00002D000000}"/>
    <cellStyle name="Énfasis2 3" xfId="63" xr:uid="{00000000-0005-0000-0000-00002E000000}"/>
    <cellStyle name="Énfasis3 2" xfId="64" xr:uid="{00000000-0005-0000-0000-00002F000000}"/>
    <cellStyle name="Énfasis3 3" xfId="65" xr:uid="{00000000-0005-0000-0000-000030000000}"/>
    <cellStyle name="Énfasis4 2" xfId="66" xr:uid="{00000000-0005-0000-0000-000031000000}"/>
    <cellStyle name="Énfasis4 3" xfId="67" xr:uid="{00000000-0005-0000-0000-000032000000}"/>
    <cellStyle name="Énfasis5 2" xfId="68" xr:uid="{00000000-0005-0000-0000-000033000000}"/>
    <cellStyle name="Énfasis5 3" xfId="69" xr:uid="{00000000-0005-0000-0000-000034000000}"/>
    <cellStyle name="Énfasis6 2" xfId="70" xr:uid="{00000000-0005-0000-0000-000035000000}"/>
    <cellStyle name="Énfasis6 3" xfId="71" xr:uid="{00000000-0005-0000-0000-000036000000}"/>
    <cellStyle name="Entrada 2" xfId="72" xr:uid="{00000000-0005-0000-0000-000037000000}"/>
    <cellStyle name="Entrada 3" xfId="73" xr:uid="{00000000-0005-0000-0000-000038000000}"/>
    <cellStyle name="Euro 2" xfId="7" xr:uid="{00000000-0005-0000-0000-000039000000}"/>
    <cellStyle name="Euro 2 2" xfId="13" xr:uid="{00000000-0005-0000-0000-00003A000000}"/>
    <cellStyle name="Incorrecto 2" xfId="74" xr:uid="{00000000-0005-0000-0000-00003B000000}"/>
    <cellStyle name="Incorrecto 3" xfId="75" xr:uid="{00000000-0005-0000-0000-00003C000000}"/>
    <cellStyle name="Millares" xfId="97" builtinId="3"/>
    <cellStyle name="Millares 2" xfId="3" xr:uid="{00000000-0005-0000-0000-00003E000000}"/>
    <cellStyle name="Moneda 2" xfId="4" xr:uid="{00000000-0005-0000-0000-00003F000000}"/>
    <cellStyle name="Moneda 3" xfId="10" xr:uid="{00000000-0005-0000-0000-000040000000}"/>
    <cellStyle name="Neutral 2" xfId="76" xr:uid="{00000000-0005-0000-0000-000041000000}"/>
    <cellStyle name="Normal" xfId="0" builtinId="0"/>
    <cellStyle name="Normal 2" xfId="2" xr:uid="{00000000-0005-0000-0000-000043000000}"/>
    <cellStyle name="Normal 2 2" xfId="15" xr:uid="{00000000-0005-0000-0000-000044000000}"/>
    <cellStyle name="Normal 3" xfId="95" xr:uid="{00000000-0005-0000-0000-000045000000}"/>
    <cellStyle name="Normal 3 2" xfId="93" xr:uid="{00000000-0005-0000-0000-000046000000}"/>
    <cellStyle name="Normal 4" xfId="92" xr:uid="{00000000-0005-0000-0000-000047000000}"/>
    <cellStyle name="Normal 5" xfId="77" xr:uid="{00000000-0005-0000-0000-000048000000}"/>
    <cellStyle name="Normal 6" xfId="6" xr:uid="{00000000-0005-0000-0000-000049000000}"/>
    <cellStyle name="Normal 6 2" xfId="96" xr:uid="{00000000-0005-0000-0000-00004A000000}"/>
    <cellStyle name="Normal_Det.K-An.Precios" xfId="16" xr:uid="{00000000-0005-0000-0000-00004B000000}"/>
    <cellStyle name="Normal_Libro1" xfId="14" xr:uid="{00000000-0005-0000-0000-00004C000000}"/>
    <cellStyle name="Normal_RECOLECCIÓN_CAMPANA" xfId="8" xr:uid="{00000000-0005-0000-0000-00004D000000}"/>
    <cellStyle name="Notas 2" xfId="78" xr:uid="{00000000-0005-0000-0000-00004E000000}"/>
    <cellStyle name="Porcentaje" xfId="1" builtinId="5"/>
    <cellStyle name="Porcentaje 2" xfId="5" xr:uid="{00000000-0005-0000-0000-000050000000}"/>
    <cellStyle name="Porcentual 2" xfId="11" xr:uid="{00000000-0005-0000-0000-000051000000}"/>
    <cellStyle name="Porcentual 2 2" xfId="94" xr:uid="{00000000-0005-0000-0000-000052000000}"/>
    <cellStyle name="Porcentual 3" xfId="12" xr:uid="{00000000-0005-0000-0000-000053000000}"/>
    <cellStyle name="Porcentual 4" xfId="9" xr:uid="{00000000-0005-0000-0000-000054000000}"/>
    <cellStyle name="Porcentual 4 2" xfId="79" xr:uid="{00000000-0005-0000-0000-000055000000}"/>
    <cellStyle name="Salida 2" xfId="80" xr:uid="{00000000-0005-0000-0000-000056000000}"/>
    <cellStyle name="Salida 3" xfId="81" xr:uid="{00000000-0005-0000-0000-000057000000}"/>
    <cellStyle name="Texto de advertencia 2" xfId="82" xr:uid="{00000000-0005-0000-0000-000058000000}"/>
    <cellStyle name="Texto de advertencia 3" xfId="83" xr:uid="{00000000-0005-0000-0000-000059000000}"/>
    <cellStyle name="Texto explicativo 2" xfId="84" xr:uid="{00000000-0005-0000-0000-00005A000000}"/>
    <cellStyle name="Texto explicativo 3" xfId="85" xr:uid="{00000000-0005-0000-0000-00005B000000}"/>
    <cellStyle name="Título 1 2" xfId="86" xr:uid="{00000000-0005-0000-0000-00005C000000}"/>
    <cellStyle name="Título 2 2" xfId="87" xr:uid="{00000000-0005-0000-0000-00005D000000}"/>
    <cellStyle name="Título 3 2" xfId="88" xr:uid="{00000000-0005-0000-0000-00005E000000}"/>
    <cellStyle name="Título 4" xfId="89" xr:uid="{00000000-0005-0000-0000-00005F000000}"/>
    <cellStyle name="Total 2" xfId="90" xr:uid="{00000000-0005-0000-0000-000060000000}"/>
    <cellStyle name="Total 3" xfId="91" xr:uid="{00000000-0005-0000-0000-000061000000}"/>
  </cellStyles>
  <dxfs count="8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1" indent="0" justifyLastLine="0" shrinkToFit="0" readingOrder="0"/>
    </dxf>
    <dxf>
      <numFmt numFmtId="4" formatCode="#,##0.00"/>
      <fill>
        <patternFill patternType="none">
          <fgColor indexed="64"/>
          <bgColor indexed="65"/>
        </patternFill>
      </fill>
      <alignment horizontal="center" vertical="center" textRotation="0" wrapText="0" indent="0" justifyLastLine="0" shrinkToFit="0" readingOrder="0"/>
    </dxf>
    <dxf>
      <numFmt numFmtId="4" formatCode="#,##0.00"/>
      <fill>
        <patternFill patternType="none">
          <fgColor indexed="64"/>
          <bgColor indexed="65"/>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numFmt numFmtId="4" formatCode="#,##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externalLink" Target="externalLinks/externalLink4.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theme" Target="theme/theme1.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styles" Target="styles.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externalLink" Target="externalLinks/externalLink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externalLink" Target="externalLinks/externalLink2.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calcChain" Target="calcChain.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a:solidFill>
                <a:srgbClr val="FF0000"/>
              </a:solidFill>
            </a:ln>
          </c:spPr>
          <c:trendline>
            <c:spPr>
              <a:ln w="34925">
                <a:solidFill>
                  <a:srgbClr val="0070C0"/>
                </a:solidFill>
                <a:prstDash val="sysDash"/>
              </a:ln>
            </c:spPr>
            <c:trendlineType val="linear"/>
            <c:dispRSqr val="1"/>
            <c:dispEq val="1"/>
            <c:trendlineLbl>
              <c:layout>
                <c:manualLayout>
                  <c:x val="-0.13384306660537509"/>
                  <c:y val="0.39106135545454462"/>
                </c:manualLayout>
              </c:layout>
              <c:numFmt formatCode="#,##0.00" sourceLinked="0"/>
            </c:trendlineLbl>
          </c:trendline>
          <c:xVal>
            <c:numRef>
              <c:f>(Datos!$H$98,Datos!$H$102)</c:f>
              <c:numCache>
                <c:formatCode>General</c:formatCode>
                <c:ptCount val="2"/>
                <c:pt idx="0">
                  <c:v>9</c:v>
                </c:pt>
                <c:pt idx="1">
                  <c:v>17</c:v>
                </c:pt>
              </c:numCache>
            </c:numRef>
          </c:xVal>
          <c:yVal>
            <c:numRef>
              <c:f>(Datos!$I$98,Datos!$I$102)</c:f>
              <c:numCache>
                <c:formatCode>#,##0</c:formatCode>
                <c:ptCount val="2"/>
                <c:pt idx="0">
                  <c:v>146334.31228261493</c:v>
                </c:pt>
                <c:pt idx="1">
                  <c:v>160809.3853647896</c:v>
                </c:pt>
              </c:numCache>
            </c:numRef>
          </c:yVal>
          <c:smooth val="0"/>
          <c:extLst>
            <c:ext xmlns:c16="http://schemas.microsoft.com/office/drawing/2014/chart" uri="{C3380CC4-5D6E-409C-BE32-E72D297353CC}">
              <c16:uniqueId val="{00000001-257B-4344-9350-2CC5A12C9804}"/>
            </c:ext>
          </c:extLst>
        </c:ser>
        <c:dLbls>
          <c:showLegendKey val="0"/>
          <c:showVal val="0"/>
          <c:showCatName val="0"/>
          <c:showSerName val="0"/>
          <c:showPercent val="0"/>
          <c:showBubbleSize val="0"/>
        </c:dLbls>
        <c:axId val="336642984"/>
        <c:axId val="433801744"/>
      </c:scatterChart>
      <c:valAx>
        <c:axId val="336642984"/>
        <c:scaling>
          <c:orientation val="minMax"/>
          <c:max val="25"/>
          <c:min val="0"/>
        </c:scaling>
        <c:delete val="0"/>
        <c:axPos val="b"/>
        <c:numFmt formatCode="General" sourceLinked="1"/>
        <c:majorTickMark val="out"/>
        <c:minorTickMark val="none"/>
        <c:tickLblPos val="nextTo"/>
        <c:crossAx val="433801744"/>
        <c:crosses val="autoZero"/>
        <c:crossBetween val="midCat"/>
        <c:majorUnit val="1"/>
      </c:valAx>
      <c:valAx>
        <c:axId val="433801744"/>
        <c:scaling>
          <c:orientation val="minMax"/>
        </c:scaling>
        <c:delete val="0"/>
        <c:axPos val="l"/>
        <c:majorGridlines/>
        <c:numFmt formatCode="#,##0" sourceLinked="1"/>
        <c:majorTickMark val="out"/>
        <c:minorTickMark val="none"/>
        <c:tickLblPos val="nextTo"/>
        <c:crossAx val="336642984"/>
        <c:crosses val="autoZero"/>
        <c:crossBetween val="midCat"/>
      </c:valAx>
      <c:spPr>
        <a:ln>
          <a:solidFill>
            <a:schemeClr val="tx1"/>
          </a:solidFill>
        </a:ln>
      </c:spPr>
    </c:plotArea>
    <c:plotVisOnly val="1"/>
    <c:dispBlanksAs val="gap"/>
    <c:showDLblsOverMax val="0"/>
  </c:chart>
  <c:printSettings>
    <c:headerFooter/>
    <c:pageMargins b="0.75000000000000488" l="0.70000000000000062" r="0.70000000000000062" t="0.7500000000000048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es-AR"/>
          </a:pPr>
          <a:endParaRPr lang="es-AR"/>
        </a:p>
      </c:txPr>
    </c:title>
    <c:autoTitleDeleted val="0"/>
    <c:plotArea>
      <c:layout/>
      <c:scatterChart>
        <c:scatterStyle val="smoothMarker"/>
        <c:varyColors val="0"/>
        <c:ser>
          <c:idx val="0"/>
          <c:order val="0"/>
          <c:tx>
            <c:strRef>
              <c:f>Gráficos!$C$4</c:f>
              <c:strCache>
                <c:ptCount val="1"/>
                <c:pt idx="0">
                  <c:v>Valor Actual (Inv + COp)</c:v>
                </c:pt>
              </c:strCache>
            </c:strRef>
          </c:tx>
          <c:xVal>
            <c:numRef>
              <c:f>Gráficos!$B$5:$B$13</c:f>
              <c:numCache>
                <c:formatCode>General</c:formatCode>
                <c:ptCount val="9"/>
                <c:pt idx="0">
                  <c:v>9</c:v>
                </c:pt>
                <c:pt idx="1">
                  <c:v>12</c:v>
                </c:pt>
                <c:pt idx="2">
                  <c:v>15</c:v>
                </c:pt>
                <c:pt idx="3">
                  <c:v>16</c:v>
                </c:pt>
                <c:pt idx="4">
                  <c:v>17</c:v>
                </c:pt>
                <c:pt idx="5">
                  <c:v>18</c:v>
                </c:pt>
                <c:pt idx="6">
                  <c:v>19</c:v>
                </c:pt>
                <c:pt idx="7">
                  <c:v>21</c:v>
                </c:pt>
                <c:pt idx="8">
                  <c:v>24</c:v>
                </c:pt>
              </c:numCache>
            </c:numRef>
          </c:xVal>
          <c:yVal>
            <c:numRef>
              <c:f>Gráficos!$C$5:$C$13</c:f>
              <c:numCache>
                <c:formatCode>"$"\ #,##0.00;[Red]"$"\ \-#,##0.00</c:formatCode>
                <c:ptCount val="9"/>
                <c:pt idx="0">
                  <c:v>-7990860.9565497041</c:v>
                </c:pt>
                <c:pt idx="1">
                  <c:v>-6744417.4450748805</c:v>
                </c:pt>
                <c:pt idx="2">
                  <c:v>-6760766.3742151242</c:v>
                </c:pt>
                <c:pt idx="3">
                  <c:v>-6768962.5756431185</c:v>
                </c:pt>
                <c:pt idx="4">
                  <c:v>-6773039.062414065</c:v>
                </c:pt>
                <c:pt idx="5">
                  <c:v>-6781235.2638420621</c:v>
                </c:pt>
                <c:pt idx="6">
                  <c:v>-6789431.4652700564</c:v>
                </c:pt>
                <c:pt idx="7">
                  <c:v>-6840302.6374618709</c:v>
                </c:pt>
                <c:pt idx="8">
                  <c:v>-6864891.2417458585</c:v>
                </c:pt>
              </c:numCache>
            </c:numRef>
          </c:yVal>
          <c:smooth val="1"/>
          <c:extLst>
            <c:ext xmlns:c16="http://schemas.microsoft.com/office/drawing/2014/chart" uri="{C3380CC4-5D6E-409C-BE32-E72D297353CC}">
              <c16:uniqueId val="{00000000-BAF6-49E3-8462-900E4BC42F3F}"/>
            </c:ext>
          </c:extLst>
        </c:ser>
        <c:dLbls>
          <c:showLegendKey val="0"/>
          <c:showVal val="0"/>
          <c:showCatName val="0"/>
          <c:showSerName val="0"/>
          <c:showPercent val="0"/>
          <c:showBubbleSize val="0"/>
        </c:dLbls>
        <c:axId val="436772912"/>
        <c:axId val="436770560"/>
      </c:scatterChart>
      <c:valAx>
        <c:axId val="436772912"/>
        <c:scaling>
          <c:orientation val="minMax"/>
        </c:scaling>
        <c:delete val="0"/>
        <c:axPos val="b"/>
        <c:title>
          <c:overlay val="0"/>
          <c:txPr>
            <a:bodyPr/>
            <a:lstStyle/>
            <a:p>
              <a:pPr>
                <a:defRPr lang="es-AR"/>
              </a:pPr>
              <a:endParaRPr lang="es-AR"/>
            </a:p>
          </c:txPr>
        </c:title>
        <c:numFmt formatCode="General" sourceLinked="1"/>
        <c:majorTickMark val="none"/>
        <c:minorTickMark val="none"/>
        <c:tickLblPos val="nextTo"/>
        <c:txPr>
          <a:bodyPr/>
          <a:lstStyle/>
          <a:p>
            <a:pPr>
              <a:defRPr lang="es-AR"/>
            </a:pPr>
            <a:endParaRPr lang="es-AR"/>
          </a:p>
        </c:txPr>
        <c:crossAx val="436770560"/>
        <c:crosses val="autoZero"/>
        <c:crossBetween val="midCat"/>
      </c:valAx>
      <c:valAx>
        <c:axId val="436770560"/>
        <c:scaling>
          <c:orientation val="minMax"/>
        </c:scaling>
        <c:delete val="0"/>
        <c:axPos val="l"/>
        <c:majorGridlines/>
        <c:title>
          <c:overlay val="0"/>
          <c:txPr>
            <a:bodyPr/>
            <a:lstStyle/>
            <a:p>
              <a:pPr>
                <a:defRPr lang="es-AR"/>
              </a:pPr>
              <a:endParaRPr lang="es-AR"/>
            </a:p>
          </c:txPr>
        </c:title>
        <c:numFmt formatCode="&quot;$&quot;\ #,##0.00;[Red]&quot;$&quot;\ \-#,##0.00" sourceLinked="1"/>
        <c:majorTickMark val="none"/>
        <c:minorTickMark val="none"/>
        <c:tickLblPos val="nextTo"/>
        <c:txPr>
          <a:bodyPr/>
          <a:lstStyle/>
          <a:p>
            <a:pPr>
              <a:defRPr lang="es-AR"/>
            </a:pPr>
            <a:endParaRPr lang="es-AR"/>
          </a:p>
        </c:txPr>
        <c:crossAx val="436772912"/>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es-AR"/>
          </a:pPr>
          <a:endParaRPr lang="es-AR"/>
        </a:p>
      </c:txPr>
    </c:title>
    <c:autoTitleDeleted val="0"/>
    <c:plotArea>
      <c:layout/>
      <c:scatterChart>
        <c:scatterStyle val="smoothMarker"/>
        <c:varyColors val="0"/>
        <c:ser>
          <c:idx val="0"/>
          <c:order val="0"/>
          <c:tx>
            <c:strRef>
              <c:f>Gráficos!$C$18</c:f>
              <c:strCache>
                <c:ptCount val="1"/>
                <c:pt idx="0">
                  <c:v>Valor Actual (Inv + COp)</c:v>
                </c:pt>
              </c:strCache>
            </c:strRef>
          </c:tx>
          <c:xVal>
            <c:numRef>
              <c:f>Gráficos!$B$19:$B$27</c:f>
              <c:numCache>
                <c:formatCode>General</c:formatCode>
                <c:ptCount val="9"/>
                <c:pt idx="0">
                  <c:v>9</c:v>
                </c:pt>
                <c:pt idx="1">
                  <c:v>12</c:v>
                </c:pt>
                <c:pt idx="2">
                  <c:v>15</c:v>
                </c:pt>
                <c:pt idx="3">
                  <c:v>16</c:v>
                </c:pt>
                <c:pt idx="4">
                  <c:v>17</c:v>
                </c:pt>
                <c:pt idx="5">
                  <c:v>18</c:v>
                </c:pt>
                <c:pt idx="6">
                  <c:v>19</c:v>
                </c:pt>
                <c:pt idx="7">
                  <c:v>21</c:v>
                </c:pt>
                <c:pt idx="8">
                  <c:v>24</c:v>
                </c:pt>
              </c:numCache>
            </c:numRef>
          </c:xVal>
          <c:yVal>
            <c:numRef>
              <c:f>Gráficos!$C$19:$C$27</c:f>
              <c:numCache>
                <c:formatCode>"$"\ #,##0.00;[Red]"$"\ \-#,##0.00</c:formatCode>
                <c:ptCount val="9"/>
                <c:pt idx="0">
                  <c:v>-2710045.7228870071</c:v>
                </c:pt>
                <c:pt idx="1">
                  <c:v>-2270429.3151687803</c:v>
                </c:pt>
                <c:pt idx="2">
                  <c:v>-2299064.9203312048</c:v>
                </c:pt>
                <c:pt idx="3">
                  <c:v>-2311359.2224731985</c:v>
                </c:pt>
                <c:pt idx="4">
                  <c:v>-2319530.3213409912</c:v>
                </c:pt>
                <c:pt idx="5">
                  <c:v>-2331824.623482984</c:v>
                </c:pt>
                <c:pt idx="6">
                  <c:v>-2344118.9256249773</c:v>
                </c:pt>
                <c:pt idx="7">
                  <c:v>-2403916.3425087547</c:v>
                </c:pt>
                <c:pt idx="8">
                  <c:v>-2440799.2489347341</c:v>
                </c:pt>
              </c:numCache>
            </c:numRef>
          </c:yVal>
          <c:smooth val="1"/>
          <c:extLst>
            <c:ext xmlns:c16="http://schemas.microsoft.com/office/drawing/2014/chart" uri="{C3380CC4-5D6E-409C-BE32-E72D297353CC}">
              <c16:uniqueId val="{00000000-6E6E-43BE-BB31-CE7BCD3F6733}"/>
            </c:ext>
          </c:extLst>
        </c:ser>
        <c:dLbls>
          <c:showLegendKey val="0"/>
          <c:showVal val="0"/>
          <c:showCatName val="0"/>
          <c:showSerName val="0"/>
          <c:showPercent val="0"/>
          <c:showBubbleSize val="0"/>
        </c:dLbls>
        <c:axId val="436767032"/>
        <c:axId val="436772128"/>
      </c:scatterChart>
      <c:valAx>
        <c:axId val="436767032"/>
        <c:scaling>
          <c:orientation val="minMax"/>
        </c:scaling>
        <c:delete val="0"/>
        <c:axPos val="b"/>
        <c:numFmt formatCode="General" sourceLinked="1"/>
        <c:majorTickMark val="out"/>
        <c:minorTickMark val="none"/>
        <c:tickLblPos val="nextTo"/>
        <c:txPr>
          <a:bodyPr/>
          <a:lstStyle/>
          <a:p>
            <a:pPr>
              <a:defRPr lang="es-AR"/>
            </a:pPr>
            <a:endParaRPr lang="es-AR"/>
          </a:p>
        </c:txPr>
        <c:crossAx val="436772128"/>
        <c:crosses val="autoZero"/>
        <c:crossBetween val="midCat"/>
      </c:valAx>
      <c:valAx>
        <c:axId val="436772128"/>
        <c:scaling>
          <c:orientation val="minMax"/>
        </c:scaling>
        <c:delete val="0"/>
        <c:axPos val="l"/>
        <c:majorGridlines/>
        <c:numFmt formatCode="&quot;$&quot;\ #,##0.00;[Red]&quot;$&quot;\ \-#,##0.00" sourceLinked="1"/>
        <c:majorTickMark val="out"/>
        <c:minorTickMark val="none"/>
        <c:tickLblPos val="nextTo"/>
        <c:txPr>
          <a:bodyPr/>
          <a:lstStyle/>
          <a:p>
            <a:pPr>
              <a:defRPr lang="es-AR"/>
            </a:pPr>
            <a:endParaRPr lang="es-AR"/>
          </a:p>
        </c:txPr>
        <c:crossAx val="436767032"/>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AR"/>
            </a:pPr>
            <a:r>
              <a:rPr lang="en-US"/>
              <a:t>Valor Actual (Inv + COp) - 2 Turnos</a:t>
            </a:r>
          </a:p>
        </c:rich>
      </c:tx>
      <c:overlay val="0"/>
    </c:title>
    <c:autoTitleDeleted val="0"/>
    <c:plotArea>
      <c:layout/>
      <c:scatterChart>
        <c:scatterStyle val="smoothMarker"/>
        <c:varyColors val="0"/>
        <c:ser>
          <c:idx val="0"/>
          <c:order val="0"/>
          <c:tx>
            <c:strRef>
              <c:f>P_Gráficos!$C$4</c:f>
              <c:strCache>
                <c:ptCount val="1"/>
                <c:pt idx="0">
                  <c:v>Valor Actual (Inv + COp)</c:v>
                </c:pt>
              </c:strCache>
            </c:strRef>
          </c:tx>
          <c:xVal>
            <c:numRef>
              <c:f>P_Gráficos!$B$5:$B$12</c:f>
              <c:numCache>
                <c:formatCode>General</c:formatCode>
                <c:ptCount val="8"/>
                <c:pt idx="0">
                  <c:v>12</c:v>
                </c:pt>
                <c:pt idx="1">
                  <c:v>15</c:v>
                </c:pt>
                <c:pt idx="2">
                  <c:v>16</c:v>
                </c:pt>
                <c:pt idx="3">
                  <c:v>17</c:v>
                </c:pt>
                <c:pt idx="4">
                  <c:v>18</c:v>
                </c:pt>
                <c:pt idx="5">
                  <c:v>19</c:v>
                </c:pt>
                <c:pt idx="6">
                  <c:v>21</c:v>
                </c:pt>
                <c:pt idx="7">
                  <c:v>24</c:v>
                </c:pt>
              </c:numCache>
            </c:numRef>
          </c:xVal>
          <c:yVal>
            <c:numRef>
              <c:f>P_Gráficos!$C$5:$C$12</c:f>
              <c:numCache>
                <c:formatCode>"$"\ #,##0.00;[Red]"$"\ \-#,##0.00</c:formatCode>
                <c:ptCount val="8"/>
                <c:pt idx="0">
                  <c:v>-10769794.617806913</c:v>
                </c:pt>
                <c:pt idx="1">
                  <c:v>-10794383.165894672</c:v>
                </c:pt>
                <c:pt idx="2">
                  <c:v>-10802579.348590594</c:v>
                </c:pt>
                <c:pt idx="3">
                  <c:v>-10810775.531286512</c:v>
                </c:pt>
                <c:pt idx="4">
                  <c:v>-10818971.713982431</c:v>
                </c:pt>
                <c:pt idx="5">
                  <c:v>-10827167.896678351</c:v>
                </c:pt>
                <c:pt idx="6">
                  <c:v>-10876292.459938288</c:v>
                </c:pt>
                <c:pt idx="7">
                  <c:v>-10900881.008026049</c:v>
                </c:pt>
              </c:numCache>
            </c:numRef>
          </c:yVal>
          <c:smooth val="1"/>
          <c:extLst>
            <c:ext xmlns:c16="http://schemas.microsoft.com/office/drawing/2014/chart" uri="{C3380CC4-5D6E-409C-BE32-E72D297353CC}">
              <c16:uniqueId val="{00000000-F0FA-4BB0-A892-85806F70A79F}"/>
            </c:ext>
          </c:extLst>
        </c:ser>
        <c:dLbls>
          <c:showLegendKey val="0"/>
          <c:showVal val="0"/>
          <c:showCatName val="0"/>
          <c:showSerName val="0"/>
          <c:showPercent val="0"/>
          <c:showBubbleSize val="0"/>
        </c:dLbls>
        <c:axId val="436902856"/>
        <c:axId val="436903640"/>
      </c:scatterChart>
      <c:valAx>
        <c:axId val="436902856"/>
        <c:scaling>
          <c:orientation val="minMax"/>
        </c:scaling>
        <c:delete val="0"/>
        <c:axPos val="b"/>
        <c:title>
          <c:tx>
            <c:rich>
              <a:bodyPr/>
              <a:lstStyle/>
              <a:p>
                <a:pPr>
                  <a:defRPr lang="es-AR"/>
                </a:pPr>
                <a:r>
                  <a:rPr lang="es-AR"/>
                  <a:t>Capacidad (m3)</a:t>
                </a:r>
              </a:p>
            </c:rich>
          </c:tx>
          <c:overlay val="0"/>
        </c:title>
        <c:numFmt formatCode="General" sourceLinked="1"/>
        <c:majorTickMark val="none"/>
        <c:minorTickMark val="none"/>
        <c:tickLblPos val="nextTo"/>
        <c:txPr>
          <a:bodyPr/>
          <a:lstStyle/>
          <a:p>
            <a:pPr>
              <a:defRPr lang="es-AR"/>
            </a:pPr>
            <a:endParaRPr lang="es-AR"/>
          </a:p>
        </c:txPr>
        <c:crossAx val="436903640"/>
        <c:crosses val="autoZero"/>
        <c:crossBetween val="midCat"/>
      </c:valAx>
      <c:valAx>
        <c:axId val="436903640"/>
        <c:scaling>
          <c:orientation val="minMax"/>
        </c:scaling>
        <c:delete val="0"/>
        <c:axPos val="l"/>
        <c:majorGridlines/>
        <c:title>
          <c:tx>
            <c:rich>
              <a:bodyPr/>
              <a:lstStyle/>
              <a:p>
                <a:pPr>
                  <a:defRPr lang="es-AR"/>
                </a:pPr>
                <a:r>
                  <a:rPr lang="es-AR"/>
                  <a:t>VA ($)</a:t>
                </a:r>
              </a:p>
            </c:rich>
          </c:tx>
          <c:overlay val="0"/>
        </c:title>
        <c:numFmt formatCode="&quot;$&quot;\ #,##0.00;[Red]&quot;$&quot;\ \-#,##0.00" sourceLinked="1"/>
        <c:majorTickMark val="none"/>
        <c:minorTickMark val="none"/>
        <c:tickLblPos val="nextTo"/>
        <c:txPr>
          <a:bodyPr/>
          <a:lstStyle/>
          <a:p>
            <a:pPr>
              <a:defRPr lang="es-AR"/>
            </a:pPr>
            <a:endParaRPr lang="es-AR"/>
          </a:p>
        </c:txPr>
        <c:crossAx val="436902856"/>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AR"/>
            </a:pPr>
            <a:r>
              <a:rPr lang="es-AR"/>
              <a:t>Valor Actual (Inv + COp) -</a:t>
            </a:r>
            <a:r>
              <a:rPr lang="es-AR" baseline="0"/>
              <a:t> 1 Turno</a:t>
            </a:r>
            <a:endParaRPr lang="es-AR"/>
          </a:p>
        </c:rich>
      </c:tx>
      <c:overlay val="0"/>
    </c:title>
    <c:autoTitleDeleted val="0"/>
    <c:plotArea>
      <c:layout/>
      <c:scatterChart>
        <c:scatterStyle val="smoothMarker"/>
        <c:varyColors val="0"/>
        <c:ser>
          <c:idx val="0"/>
          <c:order val="0"/>
          <c:tx>
            <c:strRef>
              <c:f>P_Gráficos!$C$17</c:f>
              <c:strCache>
                <c:ptCount val="1"/>
                <c:pt idx="0">
                  <c:v>Valor Actual (Inv + COp)</c:v>
                </c:pt>
              </c:strCache>
            </c:strRef>
          </c:tx>
          <c:xVal>
            <c:numRef>
              <c:f>P_Gráficos!$B$18:$B$25</c:f>
              <c:numCache>
                <c:formatCode>General</c:formatCode>
                <c:ptCount val="8"/>
                <c:pt idx="0">
                  <c:v>12</c:v>
                </c:pt>
                <c:pt idx="1">
                  <c:v>15</c:v>
                </c:pt>
                <c:pt idx="2">
                  <c:v>16</c:v>
                </c:pt>
                <c:pt idx="3">
                  <c:v>17</c:v>
                </c:pt>
                <c:pt idx="4">
                  <c:v>18</c:v>
                </c:pt>
                <c:pt idx="5">
                  <c:v>19</c:v>
                </c:pt>
                <c:pt idx="6">
                  <c:v>21</c:v>
                </c:pt>
                <c:pt idx="7">
                  <c:v>24</c:v>
                </c:pt>
              </c:numCache>
            </c:numRef>
          </c:xVal>
          <c:yVal>
            <c:numRef>
              <c:f>P_Gráficos!$C$18:$C$25</c:f>
              <c:numCache>
                <c:formatCode>"$"\ #,##0.00;[Red]"$"\ \-#,##0.00</c:formatCode>
                <c:ptCount val="8"/>
                <c:pt idx="0">
                  <c:v>-2180716.0652135815</c:v>
                </c:pt>
                <c:pt idx="1">
                  <c:v>-2401518.1364737339</c:v>
                </c:pt>
                <c:pt idx="2">
                  <c:v>-2409714.3191696536</c:v>
                </c:pt>
                <c:pt idx="3">
                  <c:v>-2417910.5018655732</c:v>
                </c:pt>
                <c:pt idx="4">
                  <c:v>-2426106.6845614929</c:v>
                </c:pt>
                <c:pt idx="5">
                  <c:v>-2434302.8672574125</c:v>
                </c:pt>
                <c:pt idx="6">
                  <c:v>-2483427.4305173499</c:v>
                </c:pt>
                <c:pt idx="7">
                  <c:v>-2508015.9786051083</c:v>
                </c:pt>
              </c:numCache>
            </c:numRef>
          </c:yVal>
          <c:smooth val="1"/>
          <c:extLst>
            <c:ext xmlns:c16="http://schemas.microsoft.com/office/drawing/2014/chart" uri="{C3380CC4-5D6E-409C-BE32-E72D297353CC}">
              <c16:uniqueId val="{00000000-56CC-4E1D-8082-ABC7699BEEDD}"/>
            </c:ext>
          </c:extLst>
        </c:ser>
        <c:dLbls>
          <c:showLegendKey val="0"/>
          <c:showVal val="0"/>
          <c:showCatName val="0"/>
          <c:showSerName val="0"/>
          <c:showPercent val="0"/>
          <c:showBubbleSize val="0"/>
        </c:dLbls>
        <c:axId val="436900112"/>
        <c:axId val="436903248"/>
      </c:scatterChart>
      <c:valAx>
        <c:axId val="436900112"/>
        <c:scaling>
          <c:orientation val="minMax"/>
        </c:scaling>
        <c:delete val="0"/>
        <c:axPos val="b"/>
        <c:numFmt formatCode="General" sourceLinked="1"/>
        <c:majorTickMark val="out"/>
        <c:minorTickMark val="none"/>
        <c:tickLblPos val="nextTo"/>
        <c:txPr>
          <a:bodyPr/>
          <a:lstStyle/>
          <a:p>
            <a:pPr>
              <a:defRPr lang="es-AR"/>
            </a:pPr>
            <a:endParaRPr lang="es-AR"/>
          </a:p>
        </c:txPr>
        <c:crossAx val="436903248"/>
        <c:crosses val="autoZero"/>
        <c:crossBetween val="midCat"/>
      </c:valAx>
      <c:valAx>
        <c:axId val="436903248"/>
        <c:scaling>
          <c:orientation val="minMax"/>
        </c:scaling>
        <c:delete val="0"/>
        <c:axPos val="l"/>
        <c:majorGridlines/>
        <c:numFmt formatCode="&quot;$&quot;\ #,##0.00;[Red]&quot;$&quot;\ \-#,##0.00" sourceLinked="1"/>
        <c:majorTickMark val="out"/>
        <c:minorTickMark val="none"/>
        <c:tickLblPos val="nextTo"/>
        <c:txPr>
          <a:bodyPr/>
          <a:lstStyle/>
          <a:p>
            <a:pPr>
              <a:defRPr lang="es-AR"/>
            </a:pPr>
            <a:endParaRPr lang="es-AR"/>
          </a:p>
        </c:txPr>
        <c:crossAx val="436900112"/>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es-AR"/>
          </a:pPr>
          <a:endParaRPr lang="es-AR"/>
        </a:p>
      </c:txPr>
    </c:title>
    <c:autoTitleDeleted val="0"/>
    <c:plotArea>
      <c:layout/>
      <c:scatterChart>
        <c:scatterStyle val="smoothMarker"/>
        <c:varyColors val="0"/>
        <c:ser>
          <c:idx val="0"/>
          <c:order val="0"/>
          <c:tx>
            <c:strRef>
              <c:f>TA_Gráficos!$C$4</c:f>
              <c:strCache>
                <c:ptCount val="1"/>
                <c:pt idx="0">
                  <c:v>Valor Actual (Inv + COp)</c:v>
                </c:pt>
              </c:strCache>
            </c:strRef>
          </c:tx>
          <c:xVal>
            <c:numRef>
              <c:f>TA_Gráficos!$B$5:$B$10</c:f>
              <c:numCache>
                <c:formatCode>General</c:formatCode>
                <c:ptCount val="6"/>
                <c:pt idx="0">
                  <c:v>25</c:v>
                </c:pt>
                <c:pt idx="1">
                  <c:v>30</c:v>
                </c:pt>
                <c:pt idx="2">
                  <c:v>35</c:v>
                </c:pt>
                <c:pt idx="3">
                  <c:v>40</c:v>
                </c:pt>
                <c:pt idx="4">
                  <c:v>45</c:v>
                </c:pt>
                <c:pt idx="5">
                  <c:v>50</c:v>
                </c:pt>
              </c:numCache>
            </c:numRef>
          </c:xVal>
          <c:yVal>
            <c:numRef>
              <c:f>TA_Gráficos!$C$5:$C$10</c:f>
              <c:numCache>
                <c:formatCode>"$"\ #,##0.00;[Red]"$"\ \-#,##0.00</c:formatCode>
                <c:ptCount val="6"/>
                <c:pt idx="0">
                  <c:v>-1928079.6664642626</c:v>
                </c:pt>
                <c:pt idx="1">
                  <c:v>-1784124.3330311582</c:v>
                </c:pt>
                <c:pt idx="2">
                  <c:v>-1640168.9995980533</c:v>
                </c:pt>
                <c:pt idx="3">
                  <c:v>-1496213.6661649484</c:v>
                </c:pt>
                <c:pt idx="4">
                  <c:v>-1555939.5891649041</c:v>
                </c:pt>
                <c:pt idx="5">
                  <c:v>-1411984.2557317994</c:v>
                </c:pt>
              </c:numCache>
            </c:numRef>
          </c:yVal>
          <c:smooth val="1"/>
          <c:extLst>
            <c:ext xmlns:c16="http://schemas.microsoft.com/office/drawing/2014/chart" uri="{C3380CC4-5D6E-409C-BE32-E72D297353CC}">
              <c16:uniqueId val="{00000000-B171-4FCF-ABB2-1C447693E6EB}"/>
            </c:ext>
          </c:extLst>
        </c:ser>
        <c:dLbls>
          <c:showLegendKey val="0"/>
          <c:showVal val="0"/>
          <c:showCatName val="0"/>
          <c:showSerName val="0"/>
          <c:showPercent val="0"/>
          <c:showBubbleSize val="0"/>
        </c:dLbls>
        <c:axId val="448878992"/>
        <c:axId val="448873112"/>
      </c:scatterChart>
      <c:valAx>
        <c:axId val="448878992"/>
        <c:scaling>
          <c:orientation val="minMax"/>
        </c:scaling>
        <c:delete val="0"/>
        <c:axPos val="b"/>
        <c:title>
          <c:overlay val="0"/>
          <c:txPr>
            <a:bodyPr/>
            <a:lstStyle/>
            <a:p>
              <a:pPr>
                <a:defRPr lang="es-AR"/>
              </a:pPr>
              <a:endParaRPr lang="es-AR"/>
            </a:p>
          </c:txPr>
        </c:title>
        <c:numFmt formatCode="General" sourceLinked="1"/>
        <c:majorTickMark val="none"/>
        <c:minorTickMark val="none"/>
        <c:tickLblPos val="nextTo"/>
        <c:txPr>
          <a:bodyPr/>
          <a:lstStyle/>
          <a:p>
            <a:pPr>
              <a:defRPr lang="es-AR"/>
            </a:pPr>
            <a:endParaRPr lang="es-AR"/>
          </a:p>
        </c:txPr>
        <c:crossAx val="448873112"/>
        <c:crosses val="autoZero"/>
        <c:crossBetween val="midCat"/>
      </c:valAx>
      <c:valAx>
        <c:axId val="448873112"/>
        <c:scaling>
          <c:orientation val="minMax"/>
        </c:scaling>
        <c:delete val="0"/>
        <c:axPos val="l"/>
        <c:majorGridlines/>
        <c:title>
          <c:overlay val="0"/>
          <c:txPr>
            <a:bodyPr/>
            <a:lstStyle/>
            <a:p>
              <a:pPr>
                <a:defRPr lang="es-AR"/>
              </a:pPr>
              <a:endParaRPr lang="es-AR"/>
            </a:p>
          </c:txPr>
        </c:title>
        <c:numFmt formatCode="&quot;$&quot;\ #,##0.00;[Red]&quot;$&quot;\ \-#,##0.00" sourceLinked="1"/>
        <c:majorTickMark val="none"/>
        <c:minorTickMark val="none"/>
        <c:tickLblPos val="nextTo"/>
        <c:txPr>
          <a:bodyPr/>
          <a:lstStyle/>
          <a:p>
            <a:pPr>
              <a:defRPr lang="es-AR"/>
            </a:pPr>
            <a:endParaRPr lang="es-AR"/>
          </a:p>
        </c:txPr>
        <c:crossAx val="448878992"/>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lang="es-AR"/>
          </a:pPr>
          <a:endParaRPr lang="es-AR"/>
        </a:p>
      </c:txPr>
    </c:title>
    <c:autoTitleDeleted val="0"/>
    <c:plotArea>
      <c:layout/>
      <c:scatterChart>
        <c:scatterStyle val="smoothMarker"/>
        <c:varyColors val="0"/>
        <c:ser>
          <c:idx val="0"/>
          <c:order val="0"/>
          <c:tx>
            <c:strRef>
              <c:f>TA_Gráficos!$C$18</c:f>
              <c:strCache>
                <c:ptCount val="1"/>
                <c:pt idx="0">
                  <c:v>Valor Actual (Inv + COp)</c:v>
                </c:pt>
              </c:strCache>
            </c:strRef>
          </c:tx>
          <c:xVal>
            <c:numRef>
              <c:f>TA_Gráficos!$B$19:$B$27</c:f>
              <c:numCache>
                <c:formatCode>General</c:formatCode>
                <c:ptCount val="9"/>
                <c:pt idx="0">
                  <c:v>25</c:v>
                </c:pt>
                <c:pt idx="1">
                  <c:v>30</c:v>
                </c:pt>
                <c:pt idx="2">
                  <c:v>35</c:v>
                </c:pt>
                <c:pt idx="3">
                  <c:v>40</c:v>
                </c:pt>
                <c:pt idx="4">
                  <c:v>45</c:v>
                </c:pt>
                <c:pt idx="5">
                  <c:v>50</c:v>
                </c:pt>
              </c:numCache>
            </c:numRef>
          </c:xVal>
          <c:yVal>
            <c:numRef>
              <c:f>TA_Gráficos!$C$19:$C$27</c:f>
              <c:numCache>
                <c:formatCode>"$"\ #,##0.00;[Red]"$"\ \-#,##0.00</c:formatCode>
                <c:ptCount val="9"/>
                <c:pt idx="0">
                  <c:v>-1106728.2275767457</c:v>
                </c:pt>
                <c:pt idx="1">
                  <c:v>-1065441.8240045807</c:v>
                </c:pt>
                <c:pt idx="2">
                  <c:v>-1024155.4204324156</c:v>
                </c:pt>
                <c:pt idx="3">
                  <c:v>-982869.01686025038</c:v>
                </c:pt>
                <c:pt idx="4">
                  <c:v>-1042594.9398602061</c:v>
                </c:pt>
                <c:pt idx="5">
                  <c:v>-1001308.5362880412</c:v>
                </c:pt>
              </c:numCache>
            </c:numRef>
          </c:yVal>
          <c:smooth val="1"/>
          <c:extLst>
            <c:ext xmlns:c16="http://schemas.microsoft.com/office/drawing/2014/chart" uri="{C3380CC4-5D6E-409C-BE32-E72D297353CC}">
              <c16:uniqueId val="{00000000-68E0-469D-AAC6-C64F58EA178D}"/>
            </c:ext>
          </c:extLst>
        </c:ser>
        <c:dLbls>
          <c:showLegendKey val="0"/>
          <c:showVal val="0"/>
          <c:showCatName val="0"/>
          <c:showSerName val="0"/>
          <c:showPercent val="0"/>
          <c:showBubbleSize val="0"/>
        </c:dLbls>
        <c:axId val="448873896"/>
        <c:axId val="448876640"/>
      </c:scatterChart>
      <c:valAx>
        <c:axId val="448873896"/>
        <c:scaling>
          <c:orientation val="minMax"/>
        </c:scaling>
        <c:delete val="0"/>
        <c:axPos val="b"/>
        <c:numFmt formatCode="General" sourceLinked="1"/>
        <c:majorTickMark val="out"/>
        <c:minorTickMark val="none"/>
        <c:tickLblPos val="nextTo"/>
        <c:txPr>
          <a:bodyPr/>
          <a:lstStyle/>
          <a:p>
            <a:pPr>
              <a:defRPr lang="es-AR"/>
            </a:pPr>
            <a:endParaRPr lang="es-AR"/>
          </a:p>
        </c:txPr>
        <c:crossAx val="448876640"/>
        <c:crosses val="autoZero"/>
        <c:crossBetween val="midCat"/>
      </c:valAx>
      <c:valAx>
        <c:axId val="448876640"/>
        <c:scaling>
          <c:orientation val="minMax"/>
        </c:scaling>
        <c:delete val="0"/>
        <c:axPos val="l"/>
        <c:majorGridlines/>
        <c:numFmt formatCode="&quot;$&quot;\ #,##0.00;[Red]&quot;$&quot;\ \-#,##0.00" sourceLinked="1"/>
        <c:majorTickMark val="out"/>
        <c:minorTickMark val="none"/>
        <c:tickLblPos val="nextTo"/>
        <c:txPr>
          <a:bodyPr/>
          <a:lstStyle/>
          <a:p>
            <a:pPr>
              <a:defRPr lang="es-AR"/>
            </a:pPr>
            <a:endParaRPr lang="es-AR"/>
          </a:p>
        </c:txPr>
        <c:crossAx val="448873896"/>
        <c:crosses val="autoZero"/>
        <c:crossBetween val="midCat"/>
      </c:valAx>
    </c:plotArea>
    <c:legend>
      <c:legendPos val="r"/>
      <c:overlay val="0"/>
      <c:txPr>
        <a:bodyPr/>
        <a:lstStyle/>
        <a:p>
          <a:pPr>
            <a:defRPr lang="es-AR"/>
          </a:pPr>
          <a:endParaRPr lang="es-AR"/>
        </a:p>
      </c:txPr>
    </c:legend>
    <c:plotVisOnly val="1"/>
    <c:dispBlanksAs val="gap"/>
    <c:showDLblsOverMax val="0"/>
  </c:chart>
  <c:printSettings>
    <c:headerFooter/>
    <c:pageMargins b="0.75000000000000833" l="0.70000000000000062" r="0.70000000000000062" t="0.75000000000000833"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6.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9.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6</xdr:col>
      <xdr:colOff>172861</xdr:colOff>
      <xdr:row>77</xdr:row>
      <xdr:rowOff>21167</xdr:rowOff>
    </xdr:from>
    <xdr:to>
      <xdr:col>12</xdr:col>
      <xdr:colOff>754944</xdr:colOff>
      <xdr:row>93</xdr:row>
      <xdr:rowOff>116416</xdr:rowOff>
    </xdr:to>
    <xdr:graphicFrame macro="">
      <xdr:nvGraphicFramePr>
        <xdr:cNvPr id="2" name="1 Gráfico">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114300</xdr:colOff>
          <xdr:row>65</xdr:row>
          <xdr:rowOff>85725</xdr:rowOff>
        </xdr:from>
        <xdr:to>
          <xdr:col>5</xdr:col>
          <xdr:colOff>2019300</xdr:colOff>
          <xdr:row>68</xdr:row>
          <xdr:rowOff>180975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sng" strike="noStrike" baseline="0">
                  <a:solidFill>
                    <a:srgbClr val="000080"/>
                  </a:solidFill>
                  <a:latin typeface="Calibri"/>
                  <a:cs typeface="Calibri"/>
                </a:rPr>
                <a:t>PARA TODOS LOS CASOS</a:t>
              </a:r>
              <a:endParaRPr lang="es-AR" sz="1200" b="1" i="0" u="none" strike="noStrike" baseline="0">
                <a:solidFill>
                  <a:srgbClr val="000080"/>
                </a:solidFill>
                <a:latin typeface="Calibri"/>
                <a:cs typeface="Calibri"/>
              </a:endParaRPr>
            </a:p>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114300</xdr:colOff>
          <xdr:row>68</xdr:row>
          <xdr:rowOff>85725</xdr:rowOff>
        </xdr:from>
        <xdr:to>
          <xdr:col>7</xdr:col>
          <xdr:colOff>495300</xdr:colOff>
          <xdr:row>71</xdr:row>
          <xdr:rowOff>180975</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700-000001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sng" strike="noStrike" baseline="0">
                  <a:solidFill>
                    <a:srgbClr val="000080"/>
                  </a:solidFill>
                  <a:latin typeface="Calibri"/>
                  <a:cs typeface="Calibri"/>
                </a:rPr>
                <a:t>PARA TODOS LOS CASOS</a:t>
              </a:r>
              <a:endParaRPr lang="es-AR" sz="1200" b="1" i="0" u="none" strike="noStrike" baseline="0">
                <a:solidFill>
                  <a:srgbClr val="000080"/>
                </a:solidFill>
                <a:latin typeface="Calibri"/>
                <a:cs typeface="Calibri"/>
              </a:endParaRPr>
            </a:p>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161925</xdr:colOff>
          <xdr:row>33</xdr:row>
          <xdr:rowOff>0</xdr:rowOff>
        </xdr:from>
        <xdr:to>
          <xdr:col>7</xdr:col>
          <xdr:colOff>676275</xdr:colOff>
          <xdr:row>36</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0800-000001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sng" strike="noStrike" baseline="0">
                  <a:solidFill>
                    <a:srgbClr val="000080"/>
                  </a:solidFill>
                  <a:latin typeface="Calibri"/>
                  <a:cs typeface="Calibri"/>
                </a:rPr>
                <a:t>PARA TODOS LOS CASOS</a:t>
              </a:r>
              <a:endParaRPr lang="es-AR" sz="1200" b="1" i="0" u="none" strike="noStrike" baseline="0">
                <a:solidFill>
                  <a:srgbClr val="000080"/>
                </a:solidFill>
                <a:latin typeface="Calibri"/>
                <a:cs typeface="Calibri"/>
              </a:endParaRPr>
            </a:p>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514350</xdr:colOff>
      <xdr:row>1</xdr:row>
      <xdr:rowOff>104775</xdr:rowOff>
    </xdr:from>
    <xdr:to>
      <xdr:col>6</xdr:col>
      <xdr:colOff>285302</xdr:colOff>
      <xdr:row>12</xdr:row>
      <xdr:rowOff>85465</xdr:rowOff>
    </xdr:to>
    <xdr:pic>
      <xdr:nvPicPr>
        <xdr:cNvPr id="2" name="Imagen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1276350" y="295275"/>
          <a:ext cx="3580952" cy="207619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742950</xdr:colOff>
          <xdr:row>67</xdr:row>
          <xdr:rowOff>66675</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1300-000001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400-000001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15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16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700-000002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18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9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1A00-000002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B00-000002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C00-000002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1D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1E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1F00-000002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2000-000002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2100-000002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2200-00000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57150</xdr:colOff>
          <xdr:row>62</xdr:row>
          <xdr:rowOff>57150</xdr:rowOff>
        </xdr:from>
        <xdr:to>
          <xdr:col>8</xdr:col>
          <xdr:colOff>733425</xdr:colOff>
          <xdr:row>65</xdr:row>
          <xdr:rowOff>114300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23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63</xdr:row>
          <xdr:rowOff>57150</xdr:rowOff>
        </xdr:from>
        <xdr:to>
          <xdr:col>8</xdr:col>
          <xdr:colOff>733425</xdr:colOff>
          <xdr:row>67</xdr:row>
          <xdr:rowOff>57150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24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4</xdr:col>
      <xdr:colOff>273050</xdr:colOff>
      <xdr:row>0</xdr:row>
      <xdr:rowOff>169333</xdr:rowOff>
    </xdr:from>
    <xdr:to>
      <xdr:col>12</xdr:col>
      <xdr:colOff>347133</xdr:colOff>
      <xdr:row>50</xdr:row>
      <xdr:rowOff>31750</xdr:rowOff>
    </xdr:to>
    <xdr:sp macro="" textlink="">
      <xdr:nvSpPr>
        <xdr:cNvPr id="2" name="Text Box 2">
          <a:extLst>
            <a:ext uri="{FF2B5EF4-FFF2-40B4-BE49-F238E27FC236}">
              <a16:creationId xmlns:a16="http://schemas.microsoft.com/office/drawing/2014/main" id="{00000000-0008-0000-2600-000002000000}"/>
            </a:ext>
          </a:extLst>
        </xdr:cNvPr>
        <xdr:cNvSpPr txBox="1">
          <a:spLocks noChangeArrowheads="1"/>
        </xdr:cNvSpPr>
      </xdr:nvSpPr>
      <xdr:spPr bwMode="auto">
        <a:xfrm>
          <a:off x="6009217" y="169333"/>
          <a:ext cx="5291666" cy="6371167"/>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AR" sz="1000" b="0" i="0" u="none" strike="noStrike" baseline="0">
              <a:solidFill>
                <a:srgbClr val="000000"/>
              </a:solidFill>
              <a:latin typeface="Arial"/>
              <a:cs typeface="Arial"/>
            </a:rPr>
            <a:t>Notas:</a:t>
          </a:r>
        </a:p>
        <a:p>
          <a:pPr algn="l" rtl="0">
            <a:defRPr sz="1000"/>
          </a:pPr>
          <a:endParaRPr lang="es-AR" sz="1000" b="0" i="0" u="none" strike="noStrike" baseline="0">
            <a:solidFill>
              <a:srgbClr val="000000"/>
            </a:solidFill>
            <a:latin typeface="Arial"/>
            <a:cs typeface="Arial"/>
          </a:endParaRPr>
        </a:p>
        <a:p>
          <a:pPr algn="l" rtl="0">
            <a:defRPr sz="1000"/>
          </a:pPr>
          <a:r>
            <a:rPr lang="es-AR" sz="1000" b="0" i="1" u="none" strike="noStrike" baseline="0">
              <a:solidFill>
                <a:srgbClr val="000000"/>
              </a:solidFill>
              <a:latin typeface="Arial"/>
              <a:cs typeface="Arial"/>
            </a:rPr>
            <a:t>Tasa de Interés ( O Costo de Oportunidad)</a:t>
          </a:r>
          <a:r>
            <a:rPr lang="es-AR" sz="1000" b="0" i="0" u="none" strike="noStrike" baseline="0">
              <a:solidFill>
                <a:srgbClr val="000000"/>
              </a:solidFill>
              <a:latin typeface="Arial"/>
              <a:cs typeface="Arial"/>
            </a:rPr>
            <a:t>- Si se pide un préstamo, el prestamista determina la tasa de interés.  Si se usa el capital propio, la tasa a cobrar dependerá del costo de oportunidad para ese capital que podría haber usado en otro lugar en la municipalidad.  Si sólo una parte del dinero es prestado, debería usarse un promedio de las 2 tasas .</a:t>
          </a:r>
        </a:p>
        <a:p>
          <a:pPr algn="l" rtl="0">
            <a:defRPr sz="1000"/>
          </a:pPr>
          <a:endParaRPr lang="es-AR" sz="1000" b="0" i="0" u="none" strike="noStrike" baseline="0">
            <a:solidFill>
              <a:srgbClr val="000000"/>
            </a:solidFill>
            <a:latin typeface="Arial"/>
            <a:cs typeface="Arial"/>
          </a:endParaRPr>
        </a:p>
        <a:p>
          <a:pPr algn="l" rtl="0">
            <a:defRPr sz="1000"/>
          </a:pPr>
          <a:r>
            <a:rPr lang="es-ES">
              <a:latin typeface="Arial" pitchFamily="34" charset="0"/>
              <a:cs typeface="Arial" pitchFamily="34" charset="0"/>
            </a:rPr>
            <a:t>La inflación reduce el costo real de la inversión de capital en maquinaria ya que los préstamos pueden ser pagados con dólares "más baratos".</a:t>
          </a:r>
          <a:r>
            <a:rPr lang="es-AR" sz="1000" b="0" i="0" u="none" strike="noStrike" baseline="0">
              <a:solidFill>
                <a:srgbClr val="000000"/>
              </a:solidFill>
              <a:latin typeface="Arial" pitchFamily="34" charset="0"/>
              <a:cs typeface="Arial" pitchFamily="34" charset="0"/>
            </a:rPr>
            <a:t>  </a:t>
          </a:r>
          <a:r>
            <a:rPr lang="es-ES">
              <a:latin typeface="Arial" pitchFamily="34" charset="0"/>
              <a:cs typeface="Arial" pitchFamily="34" charset="0"/>
            </a:rPr>
            <a:t>La tasa de interés puede ajustarse restando la tasa esperada de inflación</a:t>
          </a:r>
          <a:r>
            <a:rPr lang="es-AR" sz="1000" b="0" i="0" u="none" strike="noStrike" baseline="0">
              <a:solidFill>
                <a:srgbClr val="000000"/>
              </a:solidFill>
              <a:latin typeface="Arial" pitchFamily="34" charset="0"/>
              <a:cs typeface="Arial" pitchFamily="34" charset="0"/>
            </a:rPr>
            <a:t>.  Por ejemplo, si la tasa de interés promedio es del 8% y la tasa de inflación es del 3%, la tasa de interés ajustada o "real" es del 5%.</a:t>
          </a:r>
        </a:p>
        <a:p>
          <a:pPr algn="l" rtl="0">
            <a:defRPr sz="1000"/>
          </a:pPr>
          <a:endParaRPr lang="es-AR" sz="1000" b="0" i="0" u="none" strike="noStrike" baseline="0">
            <a:solidFill>
              <a:srgbClr val="000000"/>
            </a:solidFill>
            <a:latin typeface="Arial"/>
            <a:cs typeface="Arial"/>
          </a:endParaRPr>
        </a:p>
        <a:p>
          <a:pPr algn="l" rtl="0">
            <a:defRPr sz="1000"/>
          </a:pPr>
          <a:r>
            <a:rPr lang="es-AR" sz="1000" b="0" i="1" u="none" strike="noStrike" baseline="0">
              <a:solidFill>
                <a:srgbClr val="000000"/>
              </a:solidFill>
              <a:latin typeface="Arial"/>
              <a:cs typeface="Arial"/>
            </a:rPr>
            <a:t>Recuperación de Capital</a:t>
          </a:r>
          <a:r>
            <a:rPr lang="es-AR" sz="1000" b="0" i="0" u="none" strike="noStrike" baseline="0">
              <a:solidFill>
                <a:srgbClr val="000000"/>
              </a:solidFill>
              <a:latin typeface="Arial"/>
              <a:cs typeface="Arial"/>
            </a:rPr>
            <a:t> - </a:t>
          </a:r>
          <a:r>
            <a:rPr lang="es-ES">
              <a:latin typeface="Arial" pitchFamily="34" charset="0"/>
              <a:cs typeface="Arial" pitchFamily="34" charset="0"/>
            </a:rPr>
            <a:t>Los costos conjuntos de las amortizaciones e intereses se puede calcular mediante el uso de un factor de recuperación de capital.</a:t>
          </a:r>
          <a:r>
            <a:rPr lang="es-AR" sz="1000" b="0" i="0" u="none" strike="noStrike" baseline="0">
              <a:solidFill>
                <a:srgbClr val="000000"/>
              </a:solidFill>
              <a:latin typeface="Arial"/>
              <a:cs typeface="Arial"/>
            </a:rPr>
            <a:t> La recuperación de capital es la cantidad de dólares que deberían ahorrar cada año para </a:t>
          </a:r>
          <a:r>
            <a:rPr lang="es-ES">
              <a:latin typeface="Arial" pitchFamily="34" charset="0"/>
              <a:cs typeface="Arial" pitchFamily="34" charset="0"/>
            </a:rPr>
            <a:t>devolver el valor perdido debido por la depreciación, y pagar los costos de interés</a:t>
          </a:r>
          <a:r>
            <a:rPr lang="es-AR" sz="1000" b="0" i="0" u="none" strike="noStrike" baseline="0">
              <a:solidFill>
                <a:srgbClr val="000000"/>
              </a:solidFill>
              <a:latin typeface="Arial" pitchFamily="34" charset="0"/>
              <a:cs typeface="Arial" pitchFamily="34" charset="0"/>
            </a:rPr>
            <a:t>.</a:t>
          </a:r>
          <a:endParaRPr lang="es-AR" sz="1000" b="0" i="0"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algn="l" rtl="0">
            <a:defRPr sz="1000"/>
          </a:pPr>
          <a:r>
            <a:rPr lang="es-ES">
              <a:latin typeface="Arial" pitchFamily="34" charset="0"/>
              <a:cs typeface="Arial" pitchFamily="34" charset="0"/>
            </a:rPr>
            <a:t>El costo anual de recuperación del capital se encuentra primero multiplicando el factor adecuado de recuperación de capital por la diferencia entre la depreciación total y luego sumando el producto de</a:t>
          </a:r>
          <a:r>
            <a:rPr lang="es-ES" baseline="0">
              <a:latin typeface="Arial" pitchFamily="34" charset="0"/>
              <a:cs typeface="Arial" pitchFamily="34" charset="0"/>
            </a:rPr>
            <a:t> la tasa de interés y el valor de rescate a la misma. La fórmula es la siguiente:</a:t>
          </a:r>
          <a:endParaRPr lang="es-ES">
            <a:latin typeface="Arial" pitchFamily="34" charset="0"/>
            <a:cs typeface="Arial" pitchFamily="34" charset="0"/>
          </a:endParaRPr>
        </a:p>
        <a:p>
          <a:pPr algn="l" rtl="0">
            <a:defRPr sz="1000"/>
          </a:pPr>
          <a:endParaRPr lang="es-AR" sz="1000" b="0" i="0" u="none" strike="noStrike" baseline="0">
            <a:solidFill>
              <a:srgbClr val="000000"/>
            </a:solidFill>
            <a:latin typeface="Arial" pitchFamily="34" charset="0"/>
            <a:cs typeface="Arial" pitchFamily="34" charset="0"/>
          </a:endParaRPr>
        </a:p>
        <a:p>
          <a:pPr algn="l" rtl="0">
            <a:defRPr sz="1000"/>
          </a:pPr>
          <a:r>
            <a:rPr lang="es-AR" sz="1000" b="0" i="0" u="none" strike="noStrike" baseline="0">
              <a:solidFill>
                <a:srgbClr val="000000"/>
              </a:solidFill>
              <a:latin typeface="Arial"/>
              <a:cs typeface="Arial"/>
            </a:rPr>
            <a:t>Recuperación de capital = (Depreciación total  x factor de recuperación de capital) + (Valor de rescate x tasa de interés)</a:t>
          </a:r>
        </a:p>
        <a:p>
          <a:pPr algn="l" rtl="0">
            <a:defRPr sz="1000"/>
          </a:pPr>
          <a:endParaRPr lang="es-AR" sz="1000" b="0" i="0" u="none" strike="noStrike" baseline="0">
            <a:solidFill>
              <a:srgbClr val="000000"/>
            </a:solidFill>
            <a:latin typeface="Arial"/>
            <a:cs typeface="Arial"/>
          </a:endParaRPr>
        </a:p>
        <a:p>
          <a:pPr algn="l" rtl="0">
            <a:defRPr sz="1000"/>
          </a:pPr>
          <a:r>
            <a:rPr lang="es-ES" i="1">
              <a:latin typeface="Arial" pitchFamily="34" charset="0"/>
              <a:cs typeface="Arial" pitchFamily="34" charset="0"/>
            </a:rPr>
            <a:t>Combustible y Lubricantes </a:t>
          </a:r>
          <a:r>
            <a:rPr lang="es-ES">
              <a:latin typeface="Arial" pitchFamily="34" charset="0"/>
              <a:cs typeface="Arial" pitchFamily="34" charset="0"/>
            </a:rPr>
            <a:t>- Las encuestas indican que los costos totales promedio de lubricantes en la mayoría de los camiones de granos es de alrededor del 10% de los costos del combustible</a:t>
          </a:r>
          <a:endParaRPr lang="es-AR" sz="1000" b="0" i="1" u="none" strike="noStrike" baseline="0">
            <a:solidFill>
              <a:srgbClr val="000000"/>
            </a:solidFill>
            <a:latin typeface="Arial" pitchFamily="34" charset="0"/>
            <a:cs typeface="Arial" pitchFamily="34" charset="0"/>
          </a:endParaRPr>
        </a:p>
        <a:p>
          <a:pPr algn="l" rtl="0">
            <a:defRPr sz="1000"/>
          </a:pPr>
          <a:endParaRPr lang="es-AR" sz="1000" b="0" i="0" u="none" strike="noStrike" baseline="0">
            <a:solidFill>
              <a:srgbClr val="000000"/>
            </a:solidFill>
            <a:latin typeface="Arial"/>
            <a:cs typeface="Arial"/>
          </a:endParaRPr>
        </a:p>
        <a:p>
          <a:pPr algn="l" rtl="0">
            <a:defRPr sz="1000"/>
          </a:pPr>
          <a:r>
            <a:rPr lang="es-ES" i="1">
              <a:latin typeface="Arial" pitchFamily="34" charset="0"/>
              <a:cs typeface="Arial" pitchFamily="34" charset="0"/>
            </a:rPr>
            <a:t>Laborales</a:t>
          </a:r>
          <a:r>
            <a:rPr lang="es-ES">
              <a:latin typeface="Arial" pitchFamily="34" charset="0"/>
              <a:cs typeface="Arial" pitchFamily="34" charset="0"/>
            </a:rPr>
            <a:t> - Las horas de trabajo suelen superar el tiempo de conducción. Se añadió a los costos de mano de obra una estimación de un 10% adicional para la carga y descarga.</a:t>
          </a:r>
          <a:endParaRPr lang="es-AR" sz="1000" b="0" i="1" u="none" strike="noStrike" baseline="0">
            <a:solidFill>
              <a:srgbClr val="000000"/>
            </a:solidFill>
            <a:latin typeface="Arial" pitchFamily="34" charset="0"/>
            <a:cs typeface="Arial" pitchFamily="34" charset="0"/>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rtl="0"/>
          <a:r>
            <a:rPr lang="es-ES" sz="1000">
              <a:latin typeface="Arial" pitchFamily="34" charset="0"/>
              <a:cs typeface="Arial" pitchFamily="34" charset="0"/>
            </a:rPr>
            <a:t>¿Debería haber costos "garage" para guardar el vehículo?</a:t>
          </a:r>
        </a:p>
        <a:p>
          <a:pPr algn="l" rtl="0">
            <a:defRPr sz="1000"/>
          </a:pPr>
          <a:endParaRPr lang="es-AR" sz="1000" b="0" i="0" u="none" strike="noStrike" baseline="0">
            <a:solidFill>
              <a:srgbClr val="000000"/>
            </a:solidFill>
            <a:latin typeface="Arial"/>
            <a:cs typeface="Arial"/>
          </a:endParaRPr>
        </a:p>
        <a:p>
          <a:endParaRPr lang="es-ES" sz="1000"/>
        </a:p>
        <a:p>
          <a:pPr rtl="0"/>
          <a:r>
            <a:rPr lang="es-ES" sz="1000">
              <a:latin typeface="Arial" pitchFamily="34" charset="0"/>
              <a:cs typeface="Arial" pitchFamily="34" charset="0"/>
            </a:rPr>
            <a:t>¿Debería haber "contenedor" de los costos de compra? Esto puede o no ser un ???? en comparación con la contratación de un contratista dependiendo de los términos del contrato relativo a los contenedores.</a:t>
          </a:r>
        </a:p>
        <a:p>
          <a:pPr algn="l" rtl="0">
            <a:defRPr sz="1000"/>
          </a:pPr>
          <a:endParaRPr lang="es-AR" sz="1000" b="0" i="0" u="none" strike="noStrike" baseline="0">
            <a:solidFill>
              <a:srgbClr val="000000"/>
            </a:solidFill>
            <a:latin typeface="Arial"/>
            <a:cs typeface="Aria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180974</xdr:colOff>
      <xdr:row>2</xdr:row>
      <xdr:rowOff>119062</xdr:rowOff>
    </xdr:from>
    <xdr:to>
      <xdr:col>12</xdr:col>
      <xdr:colOff>609599</xdr:colOff>
      <xdr:row>17</xdr:row>
      <xdr:rowOff>4762</xdr:rowOff>
    </xdr:to>
    <xdr:graphicFrame macro="">
      <xdr:nvGraphicFramePr>
        <xdr:cNvPr id="2" name="1 Gráfico">
          <a:extLst>
            <a:ext uri="{FF2B5EF4-FFF2-40B4-BE49-F238E27FC236}">
              <a16:creationId xmlns:a16="http://schemas.microsoft.com/office/drawing/2014/main" id="{00000000-0008-0000-3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419100</xdr:colOff>
      <xdr:row>17</xdr:row>
      <xdr:rowOff>242887</xdr:rowOff>
    </xdr:from>
    <xdr:to>
      <xdr:col>12</xdr:col>
      <xdr:colOff>704850</xdr:colOff>
      <xdr:row>32</xdr:row>
      <xdr:rowOff>128587</xdr:rowOff>
    </xdr:to>
    <xdr:graphicFrame macro="">
      <xdr:nvGraphicFramePr>
        <xdr:cNvPr id="3" name="2 Gráfico">
          <a:extLst>
            <a:ext uri="{FF2B5EF4-FFF2-40B4-BE49-F238E27FC236}">
              <a16:creationId xmlns:a16="http://schemas.microsoft.com/office/drawing/2014/main" id="{00000000-0008-0000-3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39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3A00-0000011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3B00-0000011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3C00-0000011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3D00-0000012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3E00-000001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3F00-000001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4000-000001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63</xdr:row>
          <xdr:rowOff>152400</xdr:rowOff>
        </xdr:from>
        <xdr:to>
          <xdr:col>8</xdr:col>
          <xdr:colOff>695325</xdr:colOff>
          <xdr:row>67</xdr:row>
          <xdr:rowOff>57150</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4100-000001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42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63</xdr:row>
          <xdr:rowOff>180975</xdr:rowOff>
        </xdr:from>
        <xdr:to>
          <xdr:col>8</xdr:col>
          <xdr:colOff>676275</xdr:colOff>
          <xdr:row>67</xdr:row>
          <xdr:rowOff>57150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43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4400-000001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65</xdr:row>
          <xdr:rowOff>9525</xdr:rowOff>
        </xdr:from>
        <xdr:to>
          <xdr:col>8</xdr:col>
          <xdr:colOff>714375</xdr:colOff>
          <xdr:row>68</xdr:row>
          <xdr:rowOff>66675</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4500-0000014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4600-0000014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64</xdr:row>
          <xdr:rowOff>0</xdr:rowOff>
        </xdr:from>
        <xdr:to>
          <xdr:col>8</xdr:col>
          <xdr:colOff>685800</xdr:colOff>
          <xdr:row>67</xdr:row>
          <xdr:rowOff>57150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4700-0000014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48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64</xdr:row>
          <xdr:rowOff>57150</xdr:rowOff>
        </xdr:from>
        <xdr:to>
          <xdr:col>8</xdr:col>
          <xdr:colOff>723900</xdr:colOff>
          <xdr:row>67</xdr:row>
          <xdr:rowOff>114300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4900-000001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62</xdr:row>
          <xdr:rowOff>57150</xdr:rowOff>
        </xdr:from>
        <xdr:to>
          <xdr:col>8</xdr:col>
          <xdr:colOff>733425</xdr:colOff>
          <xdr:row>67</xdr:row>
          <xdr:rowOff>57150</xdr:rowOff>
        </xdr:to>
        <xdr:sp macro="" textlink="">
          <xdr:nvSpPr>
            <xdr:cNvPr id="87041" name="Button 1" hidden="1">
              <a:extLst>
                <a:ext uri="{63B3BB69-23CF-44E3-9099-C40C66FF867C}">
                  <a14:compatExt spid="_x0000_s87041"/>
                </a:ext>
                <a:ext uri="{FF2B5EF4-FFF2-40B4-BE49-F238E27FC236}">
                  <a16:creationId xmlns:a16="http://schemas.microsoft.com/office/drawing/2014/main" id="{00000000-0008-0000-4A00-0000015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295275</xdr:colOff>
          <xdr:row>65</xdr:row>
          <xdr:rowOff>133350</xdr:rowOff>
        </xdr:from>
        <xdr:to>
          <xdr:col>8</xdr:col>
          <xdr:colOff>276225</xdr:colOff>
          <xdr:row>68</xdr:row>
          <xdr:rowOff>85725</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4B00-0000015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63</xdr:row>
          <xdr:rowOff>57150</xdr:rowOff>
        </xdr:from>
        <xdr:to>
          <xdr:col>8</xdr:col>
          <xdr:colOff>733425</xdr:colOff>
          <xdr:row>67</xdr:row>
          <xdr:rowOff>57150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4C00-0000015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xdr:from>
      <xdr:col>5</xdr:col>
      <xdr:colOff>133350</xdr:colOff>
      <xdr:row>0</xdr:row>
      <xdr:rowOff>152400</xdr:rowOff>
    </xdr:from>
    <xdr:to>
      <xdr:col>13</xdr:col>
      <xdr:colOff>548216</xdr:colOff>
      <xdr:row>52</xdr:row>
      <xdr:rowOff>28575</xdr:rowOff>
    </xdr:to>
    <xdr:sp macro="" textlink="">
      <xdr:nvSpPr>
        <xdr:cNvPr id="2" name="Text Box 2">
          <a:extLst>
            <a:ext uri="{FF2B5EF4-FFF2-40B4-BE49-F238E27FC236}">
              <a16:creationId xmlns:a16="http://schemas.microsoft.com/office/drawing/2014/main" id="{00000000-0008-0000-4E00-000002000000}"/>
            </a:ext>
          </a:extLst>
        </xdr:cNvPr>
        <xdr:cNvSpPr txBox="1">
          <a:spLocks noChangeArrowheads="1"/>
        </xdr:cNvSpPr>
      </xdr:nvSpPr>
      <xdr:spPr bwMode="auto">
        <a:xfrm>
          <a:off x="6562725" y="152400"/>
          <a:ext cx="5291666" cy="68389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AR" sz="1000" b="0" i="0" u="none" strike="noStrike" baseline="0">
              <a:solidFill>
                <a:srgbClr val="000000"/>
              </a:solidFill>
              <a:latin typeface="Arial"/>
              <a:cs typeface="Arial"/>
            </a:rPr>
            <a:t>Notas:</a:t>
          </a:r>
        </a:p>
        <a:p>
          <a:pPr algn="l" rtl="0">
            <a:defRPr sz="1000"/>
          </a:pPr>
          <a:endParaRPr lang="es-AR" sz="1000" b="0" i="0" u="none" strike="noStrike" baseline="0">
            <a:solidFill>
              <a:srgbClr val="000000"/>
            </a:solidFill>
            <a:latin typeface="Arial"/>
            <a:cs typeface="Arial"/>
          </a:endParaRPr>
        </a:p>
        <a:p>
          <a:pPr algn="l" rtl="0">
            <a:defRPr sz="1000"/>
          </a:pPr>
          <a:r>
            <a:rPr lang="es-AR" sz="1000" b="0" i="1" u="none" strike="noStrike" baseline="0">
              <a:solidFill>
                <a:srgbClr val="000000"/>
              </a:solidFill>
              <a:latin typeface="Arial"/>
              <a:cs typeface="Arial"/>
            </a:rPr>
            <a:t>Tasa de Interés ( O Costo de Oportunidad)</a:t>
          </a:r>
          <a:r>
            <a:rPr lang="es-AR" sz="1000" b="0" i="0" u="none" strike="noStrike" baseline="0">
              <a:solidFill>
                <a:srgbClr val="000000"/>
              </a:solidFill>
              <a:latin typeface="Arial"/>
              <a:cs typeface="Arial"/>
            </a:rPr>
            <a:t>- Si se pide un préstamo, el prestamista determina la tasa de interés.  Si se usa el capital propio, la tasa a cobrar dependerá del costo de oportunidad para ese capital que podría haber usado en otro lugar en la municipalidad.  Si sólo una parte del dinero es prestado, debería usarse un promedio de las 2 tasas .</a:t>
          </a:r>
        </a:p>
        <a:p>
          <a:pPr algn="l" rtl="0">
            <a:defRPr sz="1000"/>
          </a:pPr>
          <a:endParaRPr lang="es-AR" sz="1000" b="0" i="0" u="none" strike="noStrike" baseline="0">
            <a:solidFill>
              <a:srgbClr val="000000"/>
            </a:solidFill>
            <a:latin typeface="Arial"/>
            <a:cs typeface="Arial"/>
          </a:endParaRPr>
        </a:p>
        <a:p>
          <a:pPr algn="l" rtl="0">
            <a:defRPr sz="1000"/>
          </a:pPr>
          <a:r>
            <a:rPr lang="es-ES">
              <a:latin typeface="Arial" pitchFamily="34" charset="0"/>
              <a:cs typeface="Arial" pitchFamily="34" charset="0"/>
            </a:rPr>
            <a:t>La inflación reduce el costo real de la inversión de capital en maquinaria ya que los préstamos pueden ser pagados con dólares "más baratos".</a:t>
          </a:r>
          <a:r>
            <a:rPr lang="es-AR" sz="1000" b="0" i="0" u="none" strike="noStrike" baseline="0">
              <a:solidFill>
                <a:srgbClr val="000000"/>
              </a:solidFill>
              <a:latin typeface="Arial" pitchFamily="34" charset="0"/>
              <a:cs typeface="Arial" pitchFamily="34" charset="0"/>
            </a:rPr>
            <a:t>  </a:t>
          </a:r>
          <a:r>
            <a:rPr lang="es-ES">
              <a:latin typeface="Arial" pitchFamily="34" charset="0"/>
              <a:cs typeface="Arial" pitchFamily="34" charset="0"/>
            </a:rPr>
            <a:t>La tasa de interés puede ajustarse restando la tasa esperada de inflación</a:t>
          </a:r>
          <a:r>
            <a:rPr lang="es-AR" sz="1000" b="0" i="0" u="none" strike="noStrike" baseline="0">
              <a:solidFill>
                <a:srgbClr val="000000"/>
              </a:solidFill>
              <a:latin typeface="Arial" pitchFamily="34" charset="0"/>
              <a:cs typeface="Arial" pitchFamily="34" charset="0"/>
            </a:rPr>
            <a:t>.  Por ejemplo, si la tasa de interés promedio es del 8% y la tasa de inflación es del 3%, la tasa de interés ajustada o "real" es del 5%.</a:t>
          </a:r>
        </a:p>
        <a:p>
          <a:pPr algn="l" rtl="0">
            <a:defRPr sz="1000"/>
          </a:pPr>
          <a:endParaRPr lang="es-AR" sz="1000" b="0" i="0" u="none" strike="noStrike" baseline="0">
            <a:solidFill>
              <a:srgbClr val="000000"/>
            </a:solidFill>
            <a:latin typeface="Arial"/>
            <a:cs typeface="Arial"/>
          </a:endParaRPr>
        </a:p>
        <a:p>
          <a:pPr algn="l" rtl="0">
            <a:defRPr sz="1000"/>
          </a:pPr>
          <a:r>
            <a:rPr lang="es-AR" sz="1000" b="0" i="1" u="none" strike="noStrike" baseline="0">
              <a:solidFill>
                <a:srgbClr val="000000"/>
              </a:solidFill>
              <a:latin typeface="Arial"/>
              <a:cs typeface="Arial"/>
            </a:rPr>
            <a:t>Recuperación de Capital</a:t>
          </a:r>
          <a:r>
            <a:rPr lang="es-AR" sz="1000" b="0" i="0" u="none" strike="noStrike" baseline="0">
              <a:solidFill>
                <a:srgbClr val="000000"/>
              </a:solidFill>
              <a:latin typeface="Arial"/>
              <a:cs typeface="Arial"/>
            </a:rPr>
            <a:t> - </a:t>
          </a:r>
          <a:r>
            <a:rPr lang="es-ES">
              <a:latin typeface="Arial" pitchFamily="34" charset="0"/>
              <a:cs typeface="Arial" pitchFamily="34" charset="0"/>
            </a:rPr>
            <a:t>Los costos conjuntos de las amortizaciones e intereses se puede calcular mediante el uso de un factor de recuperación de capital.</a:t>
          </a:r>
          <a:r>
            <a:rPr lang="es-AR" sz="1000" b="0" i="0" u="none" strike="noStrike" baseline="0">
              <a:solidFill>
                <a:srgbClr val="000000"/>
              </a:solidFill>
              <a:latin typeface="Arial"/>
              <a:cs typeface="Arial"/>
            </a:rPr>
            <a:t> La recuperación de capital es la cantidad de dólares que deberían ahorrar cada año para </a:t>
          </a:r>
          <a:r>
            <a:rPr lang="es-ES">
              <a:latin typeface="Arial" pitchFamily="34" charset="0"/>
              <a:cs typeface="Arial" pitchFamily="34" charset="0"/>
            </a:rPr>
            <a:t>devolver el valor perdido debido por la depreciación, y pagar los costos de interés</a:t>
          </a:r>
          <a:r>
            <a:rPr lang="es-AR" sz="1000" b="0" i="0" u="none" strike="noStrike" baseline="0">
              <a:solidFill>
                <a:srgbClr val="000000"/>
              </a:solidFill>
              <a:latin typeface="Arial" pitchFamily="34" charset="0"/>
              <a:cs typeface="Arial" pitchFamily="34" charset="0"/>
            </a:rPr>
            <a:t>.</a:t>
          </a:r>
          <a:endParaRPr lang="es-AR" sz="1000" b="0" i="0"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algn="l" rtl="0">
            <a:defRPr sz="1000"/>
          </a:pPr>
          <a:r>
            <a:rPr lang="es-ES">
              <a:latin typeface="Arial" pitchFamily="34" charset="0"/>
              <a:cs typeface="Arial" pitchFamily="34" charset="0"/>
            </a:rPr>
            <a:t>El costo anual de recuperación del capital se encuentra primero multiplicando el factor adecuado de recuperación de capital por la diferencia entre la depreciación total y luego sumando el producto de</a:t>
          </a:r>
          <a:r>
            <a:rPr lang="es-ES" baseline="0">
              <a:latin typeface="Arial" pitchFamily="34" charset="0"/>
              <a:cs typeface="Arial" pitchFamily="34" charset="0"/>
            </a:rPr>
            <a:t> la tasa de interés y el valor de rescate a la misma. La fórmula es la siguiente:</a:t>
          </a:r>
          <a:endParaRPr lang="es-ES">
            <a:latin typeface="Arial" pitchFamily="34" charset="0"/>
            <a:cs typeface="Arial" pitchFamily="34" charset="0"/>
          </a:endParaRPr>
        </a:p>
        <a:p>
          <a:pPr algn="l" rtl="0">
            <a:defRPr sz="1000"/>
          </a:pPr>
          <a:endParaRPr lang="es-AR" sz="1000" b="0" i="0" u="none" strike="noStrike" baseline="0">
            <a:solidFill>
              <a:srgbClr val="000000"/>
            </a:solidFill>
            <a:latin typeface="Arial" pitchFamily="34" charset="0"/>
            <a:cs typeface="Arial" pitchFamily="34" charset="0"/>
          </a:endParaRPr>
        </a:p>
        <a:p>
          <a:pPr algn="l" rtl="0">
            <a:defRPr sz="1000"/>
          </a:pPr>
          <a:r>
            <a:rPr lang="es-AR" sz="1000" b="0" i="0" u="none" strike="noStrike" baseline="0">
              <a:solidFill>
                <a:srgbClr val="000000"/>
              </a:solidFill>
              <a:latin typeface="Arial"/>
              <a:cs typeface="Arial"/>
            </a:rPr>
            <a:t>Recuperación de capital = (Depreciación total  x factor de recuperación de capital) + (Valor de rescate x tasa de interés)</a:t>
          </a:r>
        </a:p>
        <a:p>
          <a:pPr algn="l" rtl="0">
            <a:defRPr sz="1000"/>
          </a:pPr>
          <a:endParaRPr lang="es-AR" sz="1000" b="0" i="0" u="none" strike="noStrike" baseline="0">
            <a:solidFill>
              <a:srgbClr val="000000"/>
            </a:solidFill>
            <a:latin typeface="Arial"/>
            <a:cs typeface="Arial"/>
          </a:endParaRPr>
        </a:p>
        <a:p>
          <a:pPr algn="l" rtl="0">
            <a:defRPr sz="1000"/>
          </a:pPr>
          <a:r>
            <a:rPr lang="es-ES" i="1">
              <a:latin typeface="Arial" pitchFamily="34" charset="0"/>
              <a:cs typeface="Arial" pitchFamily="34" charset="0"/>
            </a:rPr>
            <a:t>Combustible y Lubricantes </a:t>
          </a:r>
          <a:r>
            <a:rPr lang="es-ES">
              <a:latin typeface="Arial" pitchFamily="34" charset="0"/>
              <a:cs typeface="Arial" pitchFamily="34" charset="0"/>
            </a:rPr>
            <a:t>- Las encuestas indican que los costos totales promedio de lubricantes en la mayoría de los camiones de granos es de alrededor del 10% de los costos del combustible</a:t>
          </a:r>
          <a:endParaRPr lang="es-AR" sz="1000" b="0" i="1" u="none" strike="noStrike" baseline="0">
            <a:solidFill>
              <a:srgbClr val="000000"/>
            </a:solidFill>
            <a:latin typeface="Arial" pitchFamily="34" charset="0"/>
            <a:cs typeface="Arial" pitchFamily="34" charset="0"/>
          </a:endParaRPr>
        </a:p>
        <a:p>
          <a:pPr algn="l" rtl="0">
            <a:defRPr sz="1000"/>
          </a:pPr>
          <a:endParaRPr lang="es-AR" sz="1000" b="0" i="0" u="none" strike="noStrike" baseline="0">
            <a:solidFill>
              <a:srgbClr val="000000"/>
            </a:solidFill>
            <a:latin typeface="Arial"/>
            <a:cs typeface="Arial"/>
          </a:endParaRPr>
        </a:p>
        <a:p>
          <a:pPr algn="l" rtl="0">
            <a:defRPr sz="1000"/>
          </a:pPr>
          <a:r>
            <a:rPr lang="es-ES" i="1">
              <a:latin typeface="Arial" pitchFamily="34" charset="0"/>
              <a:cs typeface="Arial" pitchFamily="34" charset="0"/>
            </a:rPr>
            <a:t>Laborales</a:t>
          </a:r>
          <a:r>
            <a:rPr lang="es-ES">
              <a:latin typeface="Arial" pitchFamily="34" charset="0"/>
              <a:cs typeface="Arial" pitchFamily="34" charset="0"/>
            </a:rPr>
            <a:t> - Las horas de trabajo suelen superar el tiempo de conducción. Se añadió a los costos de mano de obra una estimación de un 10% adicional para la carga y descarga.</a:t>
          </a:r>
          <a:endParaRPr lang="es-AR" sz="1000" b="0" i="1" u="none" strike="noStrike" baseline="0">
            <a:solidFill>
              <a:srgbClr val="000000"/>
            </a:solidFill>
            <a:latin typeface="Arial" pitchFamily="34" charset="0"/>
            <a:cs typeface="Arial" pitchFamily="34" charset="0"/>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1"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algn="l" rtl="0">
            <a:defRPr sz="1000"/>
          </a:pPr>
          <a:endParaRPr lang="es-AR" sz="1000" b="0" i="0" u="none" strike="noStrike" baseline="0">
            <a:solidFill>
              <a:srgbClr val="000000"/>
            </a:solidFill>
            <a:latin typeface="Arial"/>
            <a:cs typeface="Arial"/>
          </a:endParaRPr>
        </a:p>
        <a:p>
          <a:pPr rtl="0"/>
          <a:r>
            <a:rPr lang="es-ES" sz="1000">
              <a:latin typeface="Arial" pitchFamily="34" charset="0"/>
              <a:cs typeface="Arial" pitchFamily="34" charset="0"/>
            </a:rPr>
            <a:t>¿Debería haber costos "garage" para guardar el vehículo?</a:t>
          </a:r>
        </a:p>
        <a:p>
          <a:pPr algn="l" rtl="0">
            <a:defRPr sz="1000"/>
          </a:pPr>
          <a:endParaRPr lang="es-AR" sz="1000" b="0" i="0" u="none" strike="noStrike" baseline="0">
            <a:solidFill>
              <a:srgbClr val="000000"/>
            </a:solidFill>
            <a:latin typeface="Arial"/>
            <a:cs typeface="Arial"/>
          </a:endParaRPr>
        </a:p>
        <a:p>
          <a:endParaRPr lang="es-ES" sz="1000"/>
        </a:p>
        <a:p>
          <a:pPr rtl="0"/>
          <a:r>
            <a:rPr lang="es-ES" sz="1000">
              <a:latin typeface="Arial" pitchFamily="34" charset="0"/>
              <a:cs typeface="Arial" pitchFamily="34" charset="0"/>
            </a:rPr>
            <a:t>¿Debería haber "contenedor" de los costos de compra? Esto puede o no ser un ???? en comparación con la contratación de un contratista dependiendo de los términos del contrato relativo a los contenedores.</a:t>
          </a:r>
        </a:p>
        <a:p>
          <a:pPr algn="l" rtl="0">
            <a:defRPr sz="1000"/>
          </a:pPr>
          <a:endParaRPr lang="es-AR" sz="1000" b="0" i="0" u="none" strike="noStrike" baseline="0">
            <a:solidFill>
              <a:srgbClr val="000000"/>
            </a:solidFill>
            <a:latin typeface="Arial"/>
            <a:cs typeface="Aria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4</xdr:col>
      <xdr:colOff>180974</xdr:colOff>
      <xdr:row>2</xdr:row>
      <xdr:rowOff>119062</xdr:rowOff>
    </xdr:from>
    <xdr:to>
      <xdr:col>12</xdr:col>
      <xdr:colOff>609599</xdr:colOff>
      <xdr:row>16</xdr:row>
      <xdr:rowOff>4762</xdr:rowOff>
    </xdr:to>
    <xdr:graphicFrame macro="">
      <xdr:nvGraphicFramePr>
        <xdr:cNvPr id="2" name="1 Gráfico">
          <a:extLst>
            <a:ext uri="{FF2B5EF4-FFF2-40B4-BE49-F238E27FC236}">
              <a16:creationId xmlns:a16="http://schemas.microsoft.com/office/drawing/2014/main" id="{00000000-0008-0000-6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419100</xdr:colOff>
      <xdr:row>16</xdr:row>
      <xdr:rowOff>242887</xdr:rowOff>
    </xdr:from>
    <xdr:to>
      <xdr:col>12</xdr:col>
      <xdr:colOff>704850</xdr:colOff>
      <xdr:row>30</xdr:row>
      <xdr:rowOff>128587</xdr:rowOff>
    </xdr:to>
    <xdr:graphicFrame macro="">
      <xdr:nvGraphicFramePr>
        <xdr:cNvPr id="3" name="2 Gráfico">
          <a:extLst>
            <a:ext uri="{FF2B5EF4-FFF2-40B4-BE49-F238E27FC236}">
              <a16:creationId xmlns:a16="http://schemas.microsoft.com/office/drawing/2014/main" id="{00000000-0008-0000-6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76200</xdr:colOff>
          <xdr:row>46</xdr:row>
          <xdr:rowOff>171450</xdr:rowOff>
        </xdr:from>
        <xdr:to>
          <xdr:col>8</xdr:col>
          <xdr:colOff>752475</xdr:colOff>
          <xdr:row>50</xdr:row>
          <xdr:rowOff>38100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6300-0000016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6400-0000016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47</xdr:row>
          <xdr:rowOff>28575</xdr:rowOff>
        </xdr:from>
        <xdr:to>
          <xdr:col>8</xdr:col>
          <xdr:colOff>695325</xdr:colOff>
          <xdr:row>50</xdr:row>
          <xdr:rowOff>85725</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6500-0000016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94209" name="Button 1" hidden="1">
              <a:extLst>
                <a:ext uri="{63B3BB69-23CF-44E3-9099-C40C66FF867C}">
                  <a14:compatExt spid="_x0000_s94209"/>
                </a:ext>
                <a:ext uri="{FF2B5EF4-FFF2-40B4-BE49-F238E27FC236}">
                  <a16:creationId xmlns:a16="http://schemas.microsoft.com/office/drawing/2014/main" id="{00000000-0008-0000-6600-0000017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47</xdr:row>
          <xdr:rowOff>19050</xdr:rowOff>
        </xdr:from>
        <xdr:to>
          <xdr:col>8</xdr:col>
          <xdr:colOff>695325</xdr:colOff>
          <xdr:row>50</xdr:row>
          <xdr:rowOff>76200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6700-000001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00000000-0008-0000-6800-0000017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46</xdr:row>
          <xdr:rowOff>123825</xdr:rowOff>
        </xdr:from>
        <xdr:to>
          <xdr:col>8</xdr:col>
          <xdr:colOff>695325</xdr:colOff>
          <xdr:row>49</xdr:row>
          <xdr:rowOff>180975</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6900-0000017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6A00-0000018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57150</xdr:colOff>
          <xdr:row>46</xdr:row>
          <xdr:rowOff>133350</xdr:rowOff>
        </xdr:from>
        <xdr:to>
          <xdr:col>8</xdr:col>
          <xdr:colOff>733425</xdr:colOff>
          <xdr:row>50</xdr:row>
          <xdr:rowOff>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6B00-000001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100353" name="Button 1" hidden="1">
              <a:extLst>
                <a:ext uri="{63B3BB69-23CF-44E3-9099-C40C66FF867C}">
                  <a14:compatExt spid="_x0000_s100353"/>
                </a:ext>
                <a:ext uri="{FF2B5EF4-FFF2-40B4-BE49-F238E27FC236}">
                  <a16:creationId xmlns:a16="http://schemas.microsoft.com/office/drawing/2014/main" id="{00000000-0008-0000-6C00-0000018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47625</xdr:colOff>
          <xdr:row>46</xdr:row>
          <xdr:rowOff>28575</xdr:rowOff>
        </xdr:from>
        <xdr:to>
          <xdr:col>8</xdr:col>
          <xdr:colOff>723900</xdr:colOff>
          <xdr:row>49</xdr:row>
          <xdr:rowOff>85725</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6D00-0000018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44</xdr:row>
          <xdr:rowOff>114300</xdr:rowOff>
        </xdr:from>
        <xdr:to>
          <xdr:col>8</xdr:col>
          <xdr:colOff>695325</xdr:colOff>
          <xdr:row>49</xdr:row>
          <xdr:rowOff>57150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6E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200" b="1" i="0" u="none" strike="noStrike" baseline="0">
                  <a:solidFill>
                    <a:srgbClr val="000080"/>
                  </a:solidFill>
                  <a:latin typeface="Calibri"/>
                  <a:cs typeface="Calibri"/>
                </a:rPr>
                <a:t>Buscar Objetivo: Nro camiones</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xdr:twoCellAnchor>
    <xdr:from>
      <xdr:col>4</xdr:col>
      <xdr:colOff>180974</xdr:colOff>
      <xdr:row>2</xdr:row>
      <xdr:rowOff>119062</xdr:rowOff>
    </xdr:from>
    <xdr:to>
      <xdr:col>12</xdr:col>
      <xdr:colOff>609599</xdr:colOff>
      <xdr:row>17</xdr:row>
      <xdr:rowOff>4762</xdr:rowOff>
    </xdr:to>
    <xdr:graphicFrame macro="">
      <xdr:nvGraphicFramePr>
        <xdr:cNvPr id="2" name="1 Gráfico">
          <a:extLst>
            <a:ext uri="{FF2B5EF4-FFF2-40B4-BE49-F238E27FC236}">
              <a16:creationId xmlns:a16="http://schemas.microsoft.com/office/drawing/2014/main" id="{00000000-0008-0000-7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419100</xdr:colOff>
      <xdr:row>17</xdr:row>
      <xdr:rowOff>242887</xdr:rowOff>
    </xdr:from>
    <xdr:to>
      <xdr:col>12</xdr:col>
      <xdr:colOff>704850</xdr:colOff>
      <xdr:row>32</xdr:row>
      <xdr:rowOff>128587</xdr:rowOff>
    </xdr:to>
    <xdr:graphicFrame macro="">
      <xdr:nvGraphicFramePr>
        <xdr:cNvPr id="3" name="2 Gráfico">
          <a:extLst>
            <a:ext uri="{FF2B5EF4-FFF2-40B4-BE49-F238E27FC236}">
              <a16:creationId xmlns:a16="http://schemas.microsoft.com/office/drawing/2014/main" id="{00000000-0008-0000-7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ALE\Catamarca\Proyecto%20Las%20Pirquitas%20Modificado\Acueducto\ANALISIS_PRECIOS_PIC.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z:\Ale\Valle%20Viejo%20y%20FM%20Esqui&#250;\Segundo%20Informe\Planilla%20de%20cotizaci&#243;n.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z:\ALE\C&#243;rdoba%20Ciudad\Iniciativa%20privada%20SIST%20CLOACAL%20CBA\Nuevo%20Plan%20Director\Archivos%20de%20Trabajo%20Agosto%2006\ANALISIS_PRECIOS_PIC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z:\ALE\Sierras%20Chicas\Pliego%20y%20Presupuesto\An&#225;lisis%20de%20Precios%20Sierras%20Chica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upuesto"/>
      <sheetName val="Det.K-An.Precios"/>
      <sheetName val="Cómputo planta"/>
      <sheetName val="Obras Especiales"/>
      <sheetName val="Obras Electromecánicas"/>
      <sheetName val="Obras Civiles"/>
      <sheetName val="Material"/>
      <sheetName val="EquipoAgua"/>
      <sheetName val="M.deO."/>
      <sheetName val="Anexo G"/>
    </sheetNames>
    <sheetDataSet>
      <sheetData sheetId="0"/>
      <sheetData sheetId="1"/>
      <sheetData sheetId="2"/>
      <sheetData sheetId="3"/>
      <sheetData sheetId="4"/>
      <sheetData sheetId="5"/>
      <sheetData sheetId="6" refreshError="1">
        <row r="70">
          <cell r="I70">
            <v>281</v>
          </cell>
        </row>
        <row r="72">
          <cell r="I72">
            <v>2.4</v>
          </cell>
        </row>
        <row r="101">
          <cell r="I101">
            <v>184.79000000000002</v>
          </cell>
        </row>
        <row r="103">
          <cell r="I103">
            <v>48.88</v>
          </cell>
        </row>
        <row r="114">
          <cell r="I114">
            <v>28.84</v>
          </cell>
        </row>
        <row r="161">
          <cell r="I161">
            <v>154.5</v>
          </cell>
        </row>
        <row r="162">
          <cell r="I162">
            <v>19.2</v>
          </cell>
        </row>
      </sheetData>
      <sheetData sheetId="7" refreshError="1">
        <row r="19">
          <cell r="H19">
            <v>100</v>
          </cell>
          <cell r="R19">
            <v>25.68</v>
          </cell>
        </row>
        <row r="25">
          <cell r="H25">
            <v>133</v>
          </cell>
          <cell r="R25">
            <v>32.78</v>
          </cell>
        </row>
        <row r="27">
          <cell r="H27">
            <v>180</v>
          </cell>
          <cell r="R27">
            <v>38.25</v>
          </cell>
        </row>
        <row r="41">
          <cell r="H41">
            <v>75</v>
          </cell>
        </row>
        <row r="48">
          <cell r="R48">
            <v>1.37</v>
          </cell>
        </row>
        <row r="54">
          <cell r="R54">
            <v>1.04</v>
          </cell>
        </row>
        <row r="69">
          <cell r="H69">
            <v>166</v>
          </cell>
          <cell r="R69">
            <v>62.84</v>
          </cell>
        </row>
        <row r="79">
          <cell r="H79">
            <v>35</v>
          </cell>
          <cell r="R79">
            <v>1.37</v>
          </cell>
        </row>
        <row r="91">
          <cell r="H91">
            <v>100</v>
          </cell>
          <cell r="R91">
            <v>37.700000000000003</v>
          </cell>
        </row>
        <row r="93">
          <cell r="H93">
            <v>150</v>
          </cell>
          <cell r="R93">
            <v>81.96</v>
          </cell>
        </row>
        <row r="118">
          <cell r="R118">
            <v>0.33</v>
          </cell>
        </row>
      </sheetData>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lla de Propuesta"/>
      <sheetName val="Det.K-An.Precios"/>
      <sheetName val="Material"/>
      <sheetName val="EquipoAgua"/>
      <sheetName val="M.deO."/>
      <sheetName val="Anexo G"/>
    </sheetNames>
    <sheetDataSet>
      <sheetData sheetId="0"/>
      <sheetData sheetId="1"/>
      <sheetData sheetId="2" refreshError="1">
        <row r="100">
          <cell r="I100">
            <v>219.27</v>
          </cell>
        </row>
        <row r="106">
          <cell r="I106">
            <v>350</v>
          </cell>
        </row>
        <row r="111">
          <cell r="I111">
            <v>2568.8000000000002</v>
          </cell>
        </row>
      </sheetData>
      <sheetData sheetId="3" refreshError="1">
        <row r="12">
          <cell r="AD12">
            <v>1.48</v>
          </cell>
        </row>
        <row r="17">
          <cell r="R17">
            <v>4.6399999999999997</v>
          </cell>
        </row>
        <row r="18">
          <cell r="H18">
            <v>5.9</v>
          </cell>
        </row>
        <row r="21">
          <cell r="H21">
            <v>45</v>
          </cell>
          <cell r="R21">
            <v>13.66</v>
          </cell>
        </row>
        <row r="30">
          <cell r="H30">
            <v>133</v>
          </cell>
          <cell r="R30">
            <v>22.4</v>
          </cell>
        </row>
        <row r="90">
          <cell r="H90">
            <v>90</v>
          </cell>
          <cell r="R90">
            <v>53.55</v>
          </cell>
        </row>
        <row r="101">
          <cell r="H101">
            <v>10</v>
          </cell>
          <cell r="R101">
            <v>0.66</v>
          </cell>
        </row>
      </sheetData>
      <sheetData sheetId="4" refreshError="1">
        <row r="19">
          <cell r="J19">
            <v>95.29</v>
          </cell>
        </row>
        <row r="20">
          <cell r="J20">
            <v>79.180000000000007</v>
          </cell>
        </row>
        <row r="21">
          <cell r="J21">
            <v>72.88</v>
          </cell>
        </row>
        <row r="22">
          <cell r="J22">
            <v>69.91</v>
          </cell>
        </row>
      </sheetData>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upuesto"/>
      <sheetName val="Planilla de Propuesta"/>
      <sheetName val="Det.K-An.Precios"/>
      <sheetName val="Cómputo planta"/>
      <sheetName val="Obras Electromecánicas"/>
      <sheetName val="Obras Civiles"/>
      <sheetName val="Material"/>
      <sheetName val="EquipoAgua"/>
      <sheetName val="M.deO."/>
      <sheetName val="Anexo G"/>
    </sheetNames>
    <sheetDataSet>
      <sheetData sheetId="0"/>
      <sheetData sheetId="1"/>
      <sheetData sheetId="2"/>
      <sheetData sheetId="3"/>
      <sheetData sheetId="4"/>
      <sheetData sheetId="5"/>
      <sheetData sheetId="6" refreshError="1">
        <row r="98">
          <cell r="I98">
            <v>224.20000000000002</v>
          </cell>
        </row>
      </sheetData>
      <sheetData sheetId="7" refreshError="1">
        <row r="85">
          <cell r="R85">
            <v>109.28</v>
          </cell>
        </row>
        <row r="88">
          <cell r="H88">
            <v>140</v>
          </cell>
        </row>
      </sheetData>
      <sheetData sheetId="8"/>
      <sheetData sheetId="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eficiente de Pase"/>
      <sheetName val="Obrador"/>
      <sheetName val="Cañerías Red"/>
      <sheetName val="Excavación Cañerías"/>
      <sheetName val="Relleno Cañerías"/>
      <sheetName val="Cama de Arena"/>
      <sheetName val="Excavación Planta"/>
      <sheetName val="Relleno Planta"/>
      <sheetName val="Bocas de Registro Redes"/>
      <sheetName val="Conexiones"/>
      <sheetName val="Hormigón"/>
      <sheetName val="Pavimento"/>
      <sheetName val="Cerco Olímpico"/>
      <sheetName val="Barandas"/>
      <sheetName val="Veredas Planta"/>
      <sheetName val="Sistema Extracción Arenas"/>
      <sheetName val="Sistema de izaje reja"/>
      <sheetName val="Sistema Gas Digestor"/>
      <sheetName val="Tapas"/>
      <sheetName val="Tapas Metal Desplegado"/>
      <sheetName val="Escaleras Marineras"/>
      <sheetName val="Losetas de Falso desar"/>
      <sheetName val="Rejas"/>
      <sheetName val="Camión Atmosférico"/>
      <sheetName val="Agua Potable"/>
      <sheetName val="Aparejos"/>
      <sheetName val="Bombas Cavidad Progresiva"/>
      <sheetName val="Cloración"/>
      <sheetName val="Barredores"/>
      <sheetName val="Bombas"/>
      <sheetName val="Medidores"/>
      <sheetName val="Desh Centrífugas"/>
      <sheetName val="Bocas de Registro Planta"/>
      <sheetName val="Cañerías de Interconexión"/>
      <sheetName val="Manto de piedras"/>
      <sheetName val="Múltiples de Impulsión"/>
      <sheetName val="Cámaras televisión"/>
      <sheetName val="Compuertas"/>
      <sheetName val="Sensores de Nivel"/>
      <sheetName val="Válvulas de aire"/>
      <sheetName val="Contenedores"/>
      <sheetName val="Cruces Puentes"/>
      <sheetName val="Cañería colgada par arroyo"/>
      <sheetName val="Cruce de Arroyos"/>
      <sheetName val="Canastos y tapas"/>
      <sheetName val="Precio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PUTS" displayName="INPUTS" ref="A2:AC156" totalsRowShown="0" headerRowDxfId="80" dataDxfId="79">
  <autoFilter ref="A2:AC156" xr:uid="{00000000-000C-0000-FFFF-FFFF00000000}">
    <filterColumn colId="2">
      <filters>
        <filter val="Pehuajó"/>
      </filters>
    </filterColumn>
  </autoFilter>
  <sortState xmlns:xlrd2="http://schemas.microsoft.com/office/spreadsheetml/2017/richdata2" ref="A3:V156">
    <sortCondition ref="L2:L156"/>
  </sortState>
  <tableColumns count="29">
    <tableColumn id="1" xr3:uid="{00000000-0010-0000-0000-000001000000}" name="Localidad N°" dataDxfId="78"/>
    <tableColumn id="2" xr3:uid="{00000000-0010-0000-0000-000002000000}" name="Partido" dataDxfId="77"/>
    <tableColumn id="3" xr3:uid="{00000000-0010-0000-0000-000003000000}" name="Localidad" dataDxfId="76"/>
    <tableColumn id="4" xr3:uid="{00000000-0010-0000-0000-000004000000}" name="Población a 10 años" dataDxfId="75"/>
    <tableColumn id="5" xr3:uid="{00000000-0010-0000-0000-000005000000}" name="Población 10 años_x000a_(+ turismo)" dataDxfId="74"/>
    <tableColumn id="6" xr3:uid="{00000000-0010-0000-0000-000006000000}" name="GPC_x000a_[kg*hab.día]" dataDxfId="73"/>
    <tableColumn id="7" xr3:uid="{00000000-0010-0000-0000-000007000000}" name="Generación año 10_x000a_[Tn/día]" dataDxfId="72"/>
    <tableColumn id="8" xr3:uid="{00000000-0010-0000-0000-000008000000}" name="M3 a compactar" dataDxfId="71"/>
    <tableColumn id="9" xr3:uid="{00000000-0010-0000-0000-000009000000}" name="¿Se necesita compactador?" dataDxfId="70"/>
    <tableColumn id="10" xr3:uid="{00000000-0010-0000-0000-00000A000000}" name="Transporte hasta BCA por camino asfalto_x000a_L3" dataDxfId="69"/>
    <tableColumn id="11" xr3:uid="{00000000-0010-0000-0000-00000B000000}" name="Transporte hasta BCA por tierra_x000a_L4 " dataDxfId="68"/>
    <tableColumn id="12" xr3:uid="{00000000-0010-0000-0000-00000C000000}" name="BCA - Centro_x000a_L5 " dataDxfId="67"/>
    <tableColumn id="13" xr3:uid="{00000000-0010-0000-0000-00000D000000}" name="FRECUENCIA DE RECOLECCIÓN" dataDxfId="66"/>
    <tableColumn id="14" xr3:uid="{00000000-0010-0000-0000-00000E000000}" name="ÁREA URBANA_x000a_[km2]" dataDxfId="65"/>
    <tableColumn id="15" xr3:uid="{00000000-0010-0000-0000-00000F000000}" name="HAB/VIV" dataDxfId="64"/>
    <tableColumn id="16" xr3:uid="{00000000-0010-0000-0000-000010000000}" name="TIEMPO LOCALIDA AL CA (MINUTOS)" dataDxfId="63"/>
    <tableColumn id="17" xr3:uid="{00000000-0010-0000-0000-000011000000}" name="DISTANCIA LOCALIDA AL CA (KM)" dataDxfId="62"/>
    <tableColumn id="21" xr3:uid="{00000000-0010-0000-0000-000015000000}" name="Distancia L3_x000a_[Regional]" dataDxfId="61">
      <calculatedColumnFormula>INPUTS[[#This Row],[DISTANCIA LOCALIDA AL CA (KM)]]-((INPUTS[[#This Row],[ÁREA URBANA
'[km2']]]*4/PI())^0.5)/2</calculatedColumnFormula>
    </tableColumn>
    <tableColumn id="22" xr3:uid="{00000000-0010-0000-0000-000016000000}" name="Velocidad L3_x000a_[km/h]" dataDxfId="60">
      <calculatedColumnFormula>INPUTS[[#This Row],[Distancia L3
'[Regional']]]/(INPUTS[[#This Row],[TIEMPO LOCALIDA AL CA (MINUTOS)]]/60)</calculatedColumnFormula>
    </tableColumn>
    <tableColumn id="18" xr3:uid="{00000000-0010-0000-0000-000012000000}" name="Reg. Propuesta" dataDxfId="59"/>
    <tableColumn id="19" xr3:uid="{00000000-0010-0000-0000-000013000000}" name="Generación Año 10 (2035) (Incluye Turismo (Tn/dí) Regionalización" dataDxfId="58"/>
    <tableColumn id="20" xr3:uid="{00000000-0010-0000-0000-000014000000}" name="Población Año 10 (2035) (Incluye Turismo (hab) Regionalización" dataDxfId="57"/>
    <tableColumn id="23" xr3:uid="{00000000-0010-0000-0000-000017000000}" name="Distancia L4_x000a_[Regional]" dataDxfId="56"/>
    <tableColumn id="24" xr3:uid="{08B448C3-3F80-480C-B6C4-D98DBC9B866C}" name="Distancia a la ET _x000a_[km]" dataDxfId="55"/>
    <tableColumn id="25" xr3:uid="{1E741D88-FC51-4D09-A401-BDB6614D2DB9}" name="Tiempo a la ET_x000a_[min]" dataDxfId="54"/>
    <tableColumn id="26" xr3:uid="{5A2EF07D-CC24-43DF-9900-DC8B26F5D907}" name="Velocidad a la ET_x000a_[km/h]" dataDxfId="53">
      <calculatedColumnFormula>INPUTS[[#This Row],[Distancia a la ET 
'[km']]]/(INPUTS[[#This Row],[Tiempo a la ET
'[min']]]/60)</calculatedColumnFormula>
    </tableColumn>
    <tableColumn id="27" xr3:uid="{2E86F8AC-9A11-4DCD-8FAD-C3DD035793EC}" name="Distancia de ET al CA _x000a_[km]" dataDxfId="52"/>
    <tableColumn id="28" xr3:uid="{754ADEBD-9BED-4CBA-ADF9-7C1C87201431}" name="Tiempo de ET a CA_x000a_[min]" dataDxfId="51"/>
    <tableColumn id="29" xr3:uid="{78FB0446-9401-46BD-A0FC-78B49F4036F7}" name="Velocidad de ET a CA_x000a_[km/h]" dataDxfId="50">
      <calculatedColumnFormula>INPUTS[[#This Row],[Distancia de ET al CA 
'[km']]]/(INPUTS[[#This Row],[Tiempo de ET a CA
'[min']]]/60)</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8.bin"/><Relationship Id="rId5" Type="http://schemas.openxmlformats.org/officeDocument/2006/relationships/comments" Target="../comments2.xml"/><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9.bin"/><Relationship Id="rId5" Type="http://schemas.openxmlformats.org/officeDocument/2006/relationships/comments" Target="../comments3.xml"/><Relationship Id="rId4" Type="http://schemas.openxmlformats.org/officeDocument/2006/relationships/ctrlProp" Target="../ctrlProps/ctrlProp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20.bin"/><Relationship Id="rId4" Type="http://schemas.openxmlformats.org/officeDocument/2006/relationships/ctrlProp" Target="../ctrlProps/ctrlProp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trlProp" Target="../ctrlProps/ctrlProp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2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23.bin"/><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24.bin"/><Relationship Id="rId4" Type="http://schemas.openxmlformats.org/officeDocument/2006/relationships/ctrlProp" Target="../ctrlProps/ctrlProp1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2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26.bin"/><Relationship Id="rId4" Type="http://schemas.openxmlformats.org/officeDocument/2006/relationships/ctrlProp" Target="../ctrlProps/ctrlProp1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27.bin"/><Relationship Id="rId4" Type="http://schemas.openxmlformats.org/officeDocument/2006/relationships/ctrlProp" Target="../ctrlProps/ctrlProp13.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8.bin"/><Relationship Id="rId4" Type="http://schemas.openxmlformats.org/officeDocument/2006/relationships/ctrlProp" Target="../ctrlProps/ctrlProp14.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9.bin"/><Relationship Id="rId4" Type="http://schemas.openxmlformats.org/officeDocument/2006/relationships/ctrlProp" Target="../ctrlProps/ctrlProp15.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30.bin"/><Relationship Id="rId4" Type="http://schemas.openxmlformats.org/officeDocument/2006/relationships/ctrlProp" Target="../ctrlProps/ctrlProp1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31.bin"/><Relationship Id="rId4" Type="http://schemas.openxmlformats.org/officeDocument/2006/relationships/ctrlProp" Target="../ctrlProps/ctrlProp1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32.bin"/><Relationship Id="rId4" Type="http://schemas.openxmlformats.org/officeDocument/2006/relationships/ctrlProp" Target="../ctrlProps/ctrlProp18.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33.bin"/><Relationship Id="rId4" Type="http://schemas.openxmlformats.org/officeDocument/2006/relationships/ctrlProp" Target="../ctrlProps/ctrlProp19.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34.bin"/><Relationship Id="rId4" Type="http://schemas.openxmlformats.org/officeDocument/2006/relationships/ctrlProp" Target="../ctrlProps/ctrlProp20.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35.bin"/><Relationship Id="rId4" Type="http://schemas.openxmlformats.org/officeDocument/2006/relationships/ctrlProp" Target="../ctrlProps/ctrlProp21.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5.xml"/><Relationship Id="rId1" Type="http://schemas.openxmlformats.org/officeDocument/2006/relationships/printerSettings" Target="../printerSettings/printerSettings54.bin"/><Relationship Id="rId4" Type="http://schemas.openxmlformats.org/officeDocument/2006/relationships/ctrlProp" Target="../ctrlProps/ctrlProp22.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6.xml"/><Relationship Id="rId1" Type="http://schemas.openxmlformats.org/officeDocument/2006/relationships/printerSettings" Target="../printerSettings/printerSettings55.bin"/><Relationship Id="rId4" Type="http://schemas.openxmlformats.org/officeDocument/2006/relationships/ctrlProp" Target="../ctrlProps/ctrlProp23.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7.xml"/><Relationship Id="rId1" Type="http://schemas.openxmlformats.org/officeDocument/2006/relationships/printerSettings" Target="../printerSettings/printerSettings56.bin"/><Relationship Id="rId4" Type="http://schemas.openxmlformats.org/officeDocument/2006/relationships/ctrlProp" Target="../ctrlProps/ctrlProp24.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8.xml"/><Relationship Id="rId1" Type="http://schemas.openxmlformats.org/officeDocument/2006/relationships/printerSettings" Target="../printerSettings/printerSettings57.bin"/><Relationship Id="rId4" Type="http://schemas.openxmlformats.org/officeDocument/2006/relationships/ctrlProp" Target="../ctrlProps/ctrlProp25.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9.xml"/><Relationship Id="rId1" Type="http://schemas.openxmlformats.org/officeDocument/2006/relationships/printerSettings" Target="../printerSettings/printerSettings58.bin"/><Relationship Id="rId4" Type="http://schemas.openxmlformats.org/officeDocument/2006/relationships/ctrlProp" Target="../ctrlProps/ctrlProp26.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0.xml"/><Relationship Id="rId1" Type="http://schemas.openxmlformats.org/officeDocument/2006/relationships/printerSettings" Target="../printerSettings/printerSettings59.bin"/><Relationship Id="rId4" Type="http://schemas.openxmlformats.org/officeDocument/2006/relationships/ctrlProp" Target="../ctrlProps/ctrlProp27.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1.xml"/><Relationship Id="rId1" Type="http://schemas.openxmlformats.org/officeDocument/2006/relationships/printerSettings" Target="../printerSettings/printerSettings60.bin"/><Relationship Id="rId4" Type="http://schemas.openxmlformats.org/officeDocument/2006/relationships/ctrlProp" Target="../ctrlProps/ctrlProp28.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2.xml"/><Relationship Id="rId1" Type="http://schemas.openxmlformats.org/officeDocument/2006/relationships/printerSettings" Target="../printerSettings/printerSettings61.bin"/><Relationship Id="rId4" Type="http://schemas.openxmlformats.org/officeDocument/2006/relationships/ctrlProp" Target="../ctrlProps/ctrlProp29.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3.xml"/><Relationship Id="rId1" Type="http://schemas.openxmlformats.org/officeDocument/2006/relationships/printerSettings" Target="../printerSettings/printerSettings62.bin"/><Relationship Id="rId4" Type="http://schemas.openxmlformats.org/officeDocument/2006/relationships/ctrlProp" Target="../ctrlProps/ctrlProp30.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4.xml"/><Relationship Id="rId1" Type="http://schemas.openxmlformats.org/officeDocument/2006/relationships/printerSettings" Target="../printerSettings/printerSettings63.bin"/><Relationship Id="rId4" Type="http://schemas.openxmlformats.org/officeDocument/2006/relationships/ctrlProp" Target="../ctrlProps/ctrlProp31.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5.xml"/><Relationship Id="rId1" Type="http://schemas.openxmlformats.org/officeDocument/2006/relationships/printerSettings" Target="../printerSettings/printerSettings64.bin"/><Relationship Id="rId4" Type="http://schemas.openxmlformats.org/officeDocument/2006/relationships/ctrlProp" Target="../ctrlProps/ctrlProp32.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6.xml"/><Relationship Id="rId1" Type="http://schemas.openxmlformats.org/officeDocument/2006/relationships/printerSettings" Target="../printerSettings/printerSettings65.bin"/><Relationship Id="rId4" Type="http://schemas.openxmlformats.org/officeDocument/2006/relationships/ctrlProp" Target="../ctrlProps/ctrlProp33.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7.xml"/><Relationship Id="rId1" Type="http://schemas.openxmlformats.org/officeDocument/2006/relationships/printerSettings" Target="../printerSettings/printerSettings66.bin"/><Relationship Id="rId4" Type="http://schemas.openxmlformats.org/officeDocument/2006/relationships/ctrlProp" Target="../ctrlProps/ctrlProp34.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8.xml"/><Relationship Id="rId1" Type="http://schemas.openxmlformats.org/officeDocument/2006/relationships/printerSettings" Target="../printerSettings/printerSettings67.bin"/><Relationship Id="rId4" Type="http://schemas.openxmlformats.org/officeDocument/2006/relationships/ctrlProp" Target="../ctrlProps/ctrlProp35.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9.xml"/><Relationship Id="rId1" Type="http://schemas.openxmlformats.org/officeDocument/2006/relationships/printerSettings" Target="../printerSettings/printerSettings68.bin"/><Relationship Id="rId4" Type="http://schemas.openxmlformats.org/officeDocument/2006/relationships/ctrlProp" Target="../ctrlProps/ctrlProp36.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0.xml"/><Relationship Id="rId1" Type="http://schemas.openxmlformats.org/officeDocument/2006/relationships/printerSettings" Target="../printerSettings/printerSettings69.bin"/><Relationship Id="rId4" Type="http://schemas.openxmlformats.org/officeDocument/2006/relationships/ctrlProp" Target="../ctrlProps/ctrlProp37.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1.xml"/><Relationship Id="rId1" Type="http://schemas.openxmlformats.org/officeDocument/2006/relationships/printerSettings" Target="../printerSettings/printerSettings70.bin"/><Relationship Id="rId4" Type="http://schemas.openxmlformats.org/officeDocument/2006/relationships/ctrlProp" Target="../ctrlProps/ctrlProp38.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2.xml"/><Relationship Id="rId1" Type="http://schemas.openxmlformats.org/officeDocument/2006/relationships/printerSettings" Target="../printerSettings/printerSettings71.bin"/><Relationship Id="rId4" Type="http://schemas.openxmlformats.org/officeDocument/2006/relationships/ctrlProp" Target="../ctrlProps/ctrlProp39.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3.xml"/><Relationship Id="rId1" Type="http://schemas.openxmlformats.org/officeDocument/2006/relationships/printerSettings" Target="../printerSettings/printerSettings72.bin"/><Relationship Id="rId4" Type="http://schemas.openxmlformats.org/officeDocument/2006/relationships/ctrlProp" Target="../ctrlProps/ctrlProp40.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4.xml"/><Relationship Id="rId1" Type="http://schemas.openxmlformats.org/officeDocument/2006/relationships/printerSettings" Target="../printerSettings/printerSettings73.bin"/><Relationship Id="rId4" Type="http://schemas.openxmlformats.org/officeDocument/2006/relationships/ctrlProp" Target="../ctrlProps/ctrlProp41.xml"/></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74.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9.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100.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7.xml"/><Relationship Id="rId1" Type="http://schemas.openxmlformats.org/officeDocument/2006/relationships/printerSettings" Target="../printerSettings/printerSettings94.bin"/><Relationship Id="rId4" Type="http://schemas.openxmlformats.org/officeDocument/2006/relationships/ctrlProp" Target="../ctrlProps/ctrlProp42.xm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8.xml"/><Relationship Id="rId1" Type="http://schemas.openxmlformats.org/officeDocument/2006/relationships/printerSettings" Target="../printerSettings/printerSettings95.bin"/><Relationship Id="rId4" Type="http://schemas.openxmlformats.org/officeDocument/2006/relationships/ctrlProp" Target="../ctrlProps/ctrlProp43.xml"/></Relationships>
</file>

<file path=xl/worksheets/_rels/sheet102.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9.xml"/><Relationship Id="rId1" Type="http://schemas.openxmlformats.org/officeDocument/2006/relationships/printerSettings" Target="../printerSettings/printerSettings96.bin"/><Relationship Id="rId4" Type="http://schemas.openxmlformats.org/officeDocument/2006/relationships/ctrlProp" Target="../ctrlProps/ctrlProp44.xml"/></Relationships>
</file>

<file path=xl/worksheets/_rels/sheet103.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0.xml"/><Relationship Id="rId1" Type="http://schemas.openxmlformats.org/officeDocument/2006/relationships/printerSettings" Target="../printerSettings/printerSettings97.bin"/><Relationship Id="rId4" Type="http://schemas.openxmlformats.org/officeDocument/2006/relationships/ctrlProp" Target="../ctrlProps/ctrlProp45.xml"/></Relationships>
</file>

<file path=xl/worksheets/_rels/sheet104.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1.xml"/><Relationship Id="rId1" Type="http://schemas.openxmlformats.org/officeDocument/2006/relationships/printerSettings" Target="../printerSettings/printerSettings98.bin"/><Relationship Id="rId4" Type="http://schemas.openxmlformats.org/officeDocument/2006/relationships/ctrlProp" Target="../ctrlProps/ctrlProp46.xml"/></Relationships>
</file>

<file path=xl/worksheets/_rels/sheet105.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2.xml"/><Relationship Id="rId1" Type="http://schemas.openxmlformats.org/officeDocument/2006/relationships/printerSettings" Target="../printerSettings/printerSettings99.bin"/><Relationship Id="rId4" Type="http://schemas.openxmlformats.org/officeDocument/2006/relationships/ctrlProp" Target="../ctrlProps/ctrlProp47.xml"/></Relationships>
</file>

<file path=xl/worksheets/_rels/sheet106.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3.xml"/><Relationship Id="rId1" Type="http://schemas.openxmlformats.org/officeDocument/2006/relationships/printerSettings" Target="../printerSettings/printerSettings100.bin"/><Relationship Id="rId4" Type="http://schemas.openxmlformats.org/officeDocument/2006/relationships/ctrlProp" Target="../ctrlProps/ctrlProp48.xml"/></Relationships>
</file>

<file path=xl/worksheets/_rels/sheet107.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4.xml"/><Relationship Id="rId1" Type="http://schemas.openxmlformats.org/officeDocument/2006/relationships/printerSettings" Target="../printerSettings/printerSettings101.bin"/><Relationship Id="rId4" Type="http://schemas.openxmlformats.org/officeDocument/2006/relationships/ctrlProp" Target="../ctrlProps/ctrlProp49.xml"/></Relationships>
</file>

<file path=xl/worksheets/_rels/sheet108.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5.xml"/><Relationship Id="rId1" Type="http://schemas.openxmlformats.org/officeDocument/2006/relationships/printerSettings" Target="../printerSettings/printerSettings102.bin"/><Relationship Id="rId5" Type="http://schemas.openxmlformats.org/officeDocument/2006/relationships/comments" Target="../comments4.xml"/><Relationship Id="rId4" Type="http://schemas.openxmlformats.org/officeDocument/2006/relationships/ctrlProp" Target="../ctrlProps/ctrlProp50.xml"/></Relationships>
</file>

<file path=xl/worksheets/_rels/sheet109.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6.xml"/><Relationship Id="rId1" Type="http://schemas.openxmlformats.org/officeDocument/2006/relationships/printerSettings" Target="../printerSettings/printerSettings103.bin"/><Relationship Id="rId4" Type="http://schemas.openxmlformats.org/officeDocument/2006/relationships/ctrlProp" Target="../ctrlProps/ctrlProp51.xml"/></Relationships>
</file>

<file path=xl/worksheets/_rels/sheet110.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7.xml"/><Relationship Id="rId1" Type="http://schemas.openxmlformats.org/officeDocument/2006/relationships/printerSettings" Target="../printerSettings/printerSettings104.bin"/><Relationship Id="rId4" Type="http://schemas.openxmlformats.org/officeDocument/2006/relationships/ctrlProp" Target="../ctrlProps/ctrlProp52.xml"/></Relationships>
</file>

<file path=xl/worksheets/_rels/sheet111.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8.xml"/><Relationship Id="rId1" Type="http://schemas.openxmlformats.org/officeDocument/2006/relationships/printerSettings" Target="../printerSettings/printerSettings105.bin"/><Relationship Id="rId4" Type="http://schemas.openxmlformats.org/officeDocument/2006/relationships/ctrlProp" Target="../ctrlProps/ctrlProp53.xml"/></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14.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24.xml.rels><?xml version="1.0" encoding="UTF-8" standalone="yes"?>
<Relationships xmlns="http://schemas.openxmlformats.org/package/2006/relationships"><Relationship Id="rId1" Type="http://schemas.openxmlformats.org/officeDocument/2006/relationships/drawing" Target="../drawings/drawing5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16"/>
  <dimension ref="A1:H171"/>
  <sheetViews>
    <sheetView view="pageBreakPreview" topLeftCell="A19" zoomScale="82" zoomScaleNormal="75" zoomScaleSheetLayoutView="82" workbookViewId="0">
      <selection activeCell="F13" sqref="F13"/>
    </sheetView>
  </sheetViews>
  <sheetFormatPr baseColWidth="10" defaultRowHeight="14.25" x14ac:dyDescent="0.2"/>
  <cols>
    <col min="1" max="1" width="4.85546875" style="206" customWidth="1"/>
    <col min="2" max="2" width="34.140625" style="206" customWidth="1"/>
    <col min="3" max="3" width="39.7109375" style="206" customWidth="1"/>
    <col min="4" max="4" width="66.7109375" style="206" customWidth="1"/>
    <col min="5" max="5" width="15" style="206" customWidth="1"/>
    <col min="6" max="6" width="20.7109375" style="206" customWidth="1"/>
    <col min="7" max="7" width="19.140625" style="206" customWidth="1"/>
    <col min="8" max="8" width="18.42578125" style="206" customWidth="1"/>
    <col min="9" max="253" width="11.42578125" style="206"/>
    <col min="254" max="254" width="4.85546875" style="206" customWidth="1"/>
    <col min="255" max="255" width="34.140625" style="206" customWidth="1"/>
    <col min="256" max="256" width="37.140625" style="206" customWidth="1"/>
    <col min="257" max="257" width="66.7109375" style="206" customWidth="1"/>
    <col min="258" max="258" width="15" style="206" customWidth="1"/>
    <col min="259" max="259" width="20.7109375" style="206" customWidth="1"/>
    <col min="260" max="260" width="5" style="206" customWidth="1"/>
    <col min="261" max="261" width="19.140625" style="206" customWidth="1"/>
    <col min="262" max="262" width="24" style="206" customWidth="1"/>
    <col min="263" max="263" width="23.85546875" style="206" customWidth="1"/>
    <col min="264" max="264" width="18.42578125" style="206" customWidth="1"/>
    <col min="265" max="509" width="11.42578125" style="206"/>
    <col min="510" max="510" width="4.85546875" style="206" customWidth="1"/>
    <col min="511" max="511" width="34.140625" style="206" customWidth="1"/>
    <col min="512" max="512" width="37.140625" style="206" customWidth="1"/>
    <col min="513" max="513" width="66.7109375" style="206" customWidth="1"/>
    <col min="514" max="514" width="15" style="206" customWidth="1"/>
    <col min="515" max="515" width="20.7109375" style="206" customWidth="1"/>
    <col min="516" max="516" width="5" style="206" customWidth="1"/>
    <col min="517" max="517" width="19.140625" style="206" customWidth="1"/>
    <col min="518" max="518" width="24" style="206" customWidth="1"/>
    <col min="519" max="519" width="23.85546875" style="206" customWidth="1"/>
    <col min="520" max="520" width="18.42578125" style="206" customWidth="1"/>
    <col min="521" max="765" width="11.42578125" style="206"/>
    <col min="766" max="766" width="4.85546875" style="206" customWidth="1"/>
    <col min="767" max="767" width="34.140625" style="206" customWidth="1"/>
    <col min="768" max="768" width="37.140625" style="206" customWidth="1"/>
    <col min="769" max="769" width="66.7109375" style="206" customWidth="1"/>
    <col min="770" max="770" width="15" style="206" customWidth="1"/>
    <col min="771" max="771" width="20.7109375" style="206" customWidth="1"/>
    <col min="772" max="772" width="5" style="206" customWidth="1"/>
    <col min="773" max="773" width="19.140625" style="206" customWidth="1"/>
    <col min="774" max="774" width="24" style="206" customWidth="1"/>
    <col min="775" max="775" width="23.85546875" style="206" customWidth="1"/>
    <col min="776" max="776" width="18.42578125" style="206" customWidth="1"/>
    <col min="777" max="1021" width="11.42578125" style="206"/>
    <col min="1022" max="1022" width="4.85546875" style="206" customWidth="1"/>
    <col min="1023" max="1023" width="34.140625" style="206" customWidth="1"/>
    <col min="1024" max="1024" width="37.140625" style="206" customWidth="1"/>
    <col min="1025" max="1025" width="66.7109375" style="206" customWidth="1"/>
    <col min="1026" max="1026" width="15" style="206" customWidth="1"/>
    <col min="1027" max="1027" width="20.7109375" style="206" customWidth="1"/>
    <col min="1028" max="1028" width="5" style="206" customWidth="1"/>
    <col min="1029" max="1029" width="19.140625" style="206" customWidth="1"/>
    <col min="1030" max="1030" width="24" style="206" customWidth="1"/>
    <col min="1031" max="1031" width="23.85546875" style="206" customWidth="1"/>
    <col min="1032" max="1032" width="18.42578125" style="206" customWidth="1"/>
    <col min="1033" max="1277" width="11.42578125" style="206"/>
    <col min="1278" max="1278" width="4.85546875" style="206" customWidth="1"/>
    <col min="1279" max="1279" width="34.140625" style="206" customWidth="1"/>
    <col min="1280" max="1280" width="37.140625" style="206" customWidth="1"/>
    <col min="1281" max="1281" width="66.7109375" style="206" customWidth="1"/>
    <col min="1282" max="1282" width="15" style="206" customWidth="1"/>
    <col min="1283" max="1283" width="20.7109375" style="206" customWidth="1"/>
    <col min="1284" max="1284" width="5" style="206" customWidth="1"/>
    <col min="1285" max="1285" width="19.140625" style="206" customWidth="1"/>
    <col min="1286" max="1286" width="24" style="206" customWidth="1"/>
    <col min="1287" max="1287" width="23.85546875" style="206" customWidth="1"/>
    <col min="1288" max="1288" width="18.42578125" style="206" customWidth="1"/>
    <col min="1289" max="1533" width="11.42578125" style="206"/>
    <col min="1534" max="1534" width="4.85546875" style="206" customWidth="1"/>
    <col min="1535" max="1535" width="34.140625" style="206" customWidth="1"/>
    <col min="1536" max="1536" width="37.140625" style="206" customWidth="1"/>
    <col min="1537" max="1537" width="66.7109375" style="206" customWidth="1"/>
    <col min="1538" max="1538" width="15" style="206" customWidth="1"/>
    <col min="1539" max="1539" width="20.7109375" style="206" customWidth="1"/>
    <col min="1540" max="1540" width="5" style="206" customWidth="1"/>
    <col min="1541" max="1541" width="19.140625" style="206" customWidth="1"/>
    <col min="1542" max="1542" width="24" style="206" customWidth="1"/>
    <col min="1543" max="1543" width="23.85546875" style="206" customWidth="1"/>
    <col min="1544" max="1544" width="18.42578125" style="206" customWidth="1"/>
    <col min="1545" max="1789" width="11.42578125" style="206"/>
    <col min="1790" max="1790" width="4.85546875" style="206" customWidth="1"/>
    <col min="1791" max="1791" width="34.140625" style="206" customWidth="1"/>
    <col min="1792" max="1792" width="37.140625" style="206" customWidth="1"/>
    <col min="1793" max="1793" width="66.7109375" style="206" customWidth="1"/>
    <col min="1794" max="1794" width="15" style="206" customWidth="1"/>
    <col min="1795" max="1795" width="20.7109375" style="206" customWidth="1"/>
    <col min="1796" max="1796" width="5" style="206" customWidth="1"/>
    <col min="1797" max="1797" width="19.140625" style="206" customWidth="1"/>
    <col min="1798" max="1798" width="24" style="206" customWidth="1"/>
    <col min="1799" max="1799" width="23.85546875" style="206" customWidth="1"/>
    <col min="1800" max="1800" width="18.42578125" style="206" customWidth="1"/>
    <col min="1801" max="2045" width="11.42578125" style="206"/>
    <col min="2046" max="2046" width="4.85546875" style="206" customWidth="1"/>
    <col min="2047" max="2047" width="34.140625" style="206" customWidth="1"/>
    <col min="2048" max="2048" width="37.140625" style="206" customWidth="1"/>
    <col min="2049" max="2049" width="66.7109375" style="206" customWidth="1"/>
    <col min="2050" max="2050" width="15" style="206" customWidth="1"/>
    <col min="2051" max="2051" width="20.7109375" style="206" customWidth="1"/>
    <col min="2052" max="2052" width="5" style="206" customWidth="1"/>
    <col min="2053" max="2053" width="19.140625" style="206" customWidth="1"/>
    <col min="2054" max="2054" width="24" style="206" customWidth="1"/>
    <col min="2055" max="2055" width="23.85546875" style="206" customWidth="1"/>
    <col min="2056" max="2056" width="18.42578125" style="206" customWidth="1"/>
    <col min="2057" max="2301" width="11.42578125" style="206"/>
    <col min="2302" max="2302" width="4.85546875" style="206" customWidth="1"/>
    <col min="2303" max="2303" width="34.140625" style="206" customWidth="1"/>
    <col min="2304" max="2304" width="37.140625" style="206" customWidth="1"/>
    <col min="2305" max="2305" width="66.7109375" style="206" customWidth="1"/>
    <col min="2306" max="2306" width="15" style="206" customWidth="1"/>
    <col min="2307" max="2307" width="20.7109375" style="206" customWidth="1"/>
    <col min="2308" max="2308" width="5" style="206" customWidth="1"/>
    <col min="2309" max="2309" width="19.140625" style="206" customWidth="1"/>
    <col min="2310" max="2310" width="24" style="206" customWidth="1"/>
    <col min="2311" max="2311" width="23.85546875" style="206" customWidth="1"/>
    <col min="2312" max="2312" width="18.42578125" style="206" customWidth="1"/>
    <col min="2313" max="2557" width="11.42578125" style="206"/>
    <col min="2558" max="2558" width="4.85546875" style="206" customWidth="1"/>
    <col min="2559" max="2559" width="34.140625" style="206" customWidth="1"/>
    <col min="2560" max="2560" width="37.140625" style="206" customWidth="1"/>
    <col min="2561" max="2561" width="66.7109375" style="206" customWidth="1"/>
    <col min="2562" max="2562" width="15" style="206" customWidth="1"/>
    <col min="2563" max="2563" width="20.7109375" style="206" customWidth="1"/>
    <col min="2564" max="2564" width="5" style="206" customWidth="1"/>
    <col min="2565" max="2565" width="19.140625" style="206" customWidth="1"/>
    <col min="2566" max="2566" width="24" style="206" customWidth="1"/>
    <col min="2567" max="2567" width="23.85546875" style="206" customWidth="1"/>
    <col min="2568" max="2568" width="18.42578125" style="206" customWidth="1"/>
    <col min="2569" max="2813" width="11.42578125" style="206"/>
    <col min="2814" max="2814" width="4.85546875" style="206" customWidth="1"/>
    <col min="2815" max="2815" width="34.140625" style="206" customWidth="1"/>
    <col min="2816" max="2816" width="37.140625" style="206" customWidth="1"/>
    <col min="2817" max="2817" width="66.7109375" style="206" customWidth="1"/>
    <col min="2818" max="2818" width="15" style="206" customWidth="1"/>
    <col min="2819" max="2819" width="20.7109375" style="206" customWidth="1"/>
    <col min="2820" max="2820" width="5" style="206" customWidth="1"/>
    <col min="2821" max="2821" width="19.140625" style="206" customWidth="1"/>
    <col min="2822" max="2822" width="24" style="206" customWidth="1"/>
    <col min="2823" max="2823" width="23.85546875" style="206" customWidth="1"/>
    <col min="2824" max="2824" width="18.42578125" style="206" customWidth="1"/>
    <col min="2825" max="3069" width="11.42578125" style="206"/>
    <col min="3070" max="3070" width="4.85546875" style="206" customWidth="1"/>
    <col min="3071" max="3071" width="34.140625" style="206" customWidth="1"/>
    <col min="3072" max="3072" width="37.140625" style="206" customWidth="1"/>
    <col min="3073" max="3073" width="66.7109375" style="206" customWidth="1"/>
    <col min="3074" max="3074" width="15" style="206" customWidth="1"/>
    <col min="3075" max="3075" width="20.7109375" style="206" customWidth="1"/>
    <col min="3076" max="3076" width="5" style="206" customWidth="1"/>
    <col min="3077" max="3077" width="19.140625" style="206" customWidth="1"/>
    <col min="3078" max="3078" width="24" style="206" customWidth="1"/>
    <col min="3079" max="3079" width="23.85546875" style="206" customWidth="1"/>
    <col min="3080" max="3080" width="18.42578125" style="206" customWidth="1"/>
    <col min="3081" max="3325" width="11.42578125" style="206"/>
    <col min="3326" max="3326" width="4.85546875" style="206" customWidth="1"/>
    <col min="3327" max="3327" width="34.140625" style="206" customWidth="1"/>
    <col min="3328" max="3328" width="37.140625" style="206" customWidth="1"/>
    <col min="3329" max="3329" width="66.7109375" style="206" customWidth="1"/>
    <col min="3330" max="3330" width="15" style="206" customWidth="1"/>
    <col min="3331" max="3331" width="20.7109375" style="206" customWidth="1"/>
    <col min="3332" max="3332" width="5" style="206" customWidth="1"/>
    <col min="3333" max="3333" width="19.140625" style="206" customWidth="1"/>
    <col min="3334" max="3334" width="24" style="206" customWidth="1"/>
    <col min="3335" max="3335" width="23.85546875" style="206" customWidth="1"/>
    <col min="3336" max="3336" width="18.42578125" style="206" customWidth="1"/>
    <col min="3337" max="3581" width="11.42578125" style="206"/>
    <col min="3582" max="3582" width="4.85546875" style="206" customWidth="1"/>
    <col min="3583" max="3583" width="34.140625" style="206" customWidth="1"/>
    <col min="3584" max="3584" width="37.140625" style="206" customWidth="1"/>
    <col min="3585" max="3585" width="66.7109375" style="206" customWidth="1"/>
    <col min="3586" max="3586" width="15" style="206" customWidth="1"/>
    <col min="3587" max="3587" width="20.7109375" style="206" customWidth="1"/>
    <col min="3588" max="3588" width="5" style="206" customWidth="1"/>
    <col min="3589" max="3589" width="19.140625" style="206" customWidth="1"/>
    <col min="3590" max="3590" width="24" style="206" customWidth="1"/>
    <col min="3591" max="3591" width="23.85546875" style="206" customWidth="1"/>
    <col min="3592" max="3592" width="18.42578125" style="206" customWidth="1"/>
    <col min="3593" max="3837" width="11.42578125" style="206"/>
    <col min="3838" max="3838" width="4.85546875" style="206" customWidth="1"/>
    <col min="3839" max="3839" width="34.140625" style="206" customWidth="1"/>
    <col min="3840" max="3840" width="37.140625" style="206" customWidth="1"/>
    <col min="3841" max="3841" width="66.7109375" style="206" customWidth="1"/>
    <col min="3842" max="3842" width="15" style="206" customWidth="1"/>
    <col min="3843" max="3843" width="20.7109375" style="206" customWidth="1"/>
    <col min="3844" max="3844" width="5" style="206" customWidth="1"/>
    <col min="3845" max="3845" width="19.140625" style="206" customWidth="1"/>
    <col min="3846" max="3846" width="24" style="206" customWidth="1"/>
    <col min="3847" max="3847" width="23.85546875" style="206" customWidth="1"/>
    <col min="3848" max="3848" width="18.42578125" style="206" customWidth="1"/>
    <col min="3849" max="4093" width="11.42578125" style="206"/>
    <col min="4094" max="4094" width="4.85546875" style="206" customWidth="1"/>
    <col min="4095" max="4095" width="34.140625" style="206" customWidth="1"/>
    <col min="4096" max="4096" width="37.140625" style="206" customWidth="1"/>
    <col min="4097" max="4097" width="66.7109375" style="206" customWidth="1"/>
    <col min="4098" max="4098" width="15" style="206" customWidth="1"/>
    <col min="4099" max="4099" width="20.7109375" style="206" customWidth="1"/>
    <col min="4100" max="4100" width="5" style="206" customWidth="1"/>
    <col min="4101" max="4101" width="19.140625" style="206" customWidth="1"/>
    <col min="4102" max="4102" width="24" style="206" customWidth="1"/>
    <col min="4103" max="4103" width="23.85546875" style="206" customWidth="1"/>
    <col min="4104" max="4104" width="18.42578125" style="206" customWidth="1"/>
    <col min="4105" max="4349" width="11.42578125" style="206"/>
    <col min="4350" max="4350" width="4.85546875" style="206" customWidth="1"/>
    <col min="4351" max="4351" width="34.140625" style="206" customWidth="1"/>
    <col min="4352" max="4352" width="37.140625" style="206" customWidth="1"/>
    <col min="4353" max="4353" width="66.7109375" style="206" customWidth="1"/>
    <col min="4354" max="4354" width="15" style="206" customWidth="1"/>
    <col min="4355" max="4355" width="20.7109375" style="206" customWidth="1"/>
    <col min="4356" max="4356" width="5" style="206" customWidth="1"/>
    <col min="4357" max="4357" width="19.140625" style="206" customWidth="1"/>
    <col min="4358" max="4358" width="24" style="206" customWidth="1"/>
    <col min="4359" max="4359" width="23.85546875" style="206" customWidth="1"/>
    <col min="4360" max="4360" width="18.42578125" style="206" customWidth="1"/>
    <col min="4361" max="4605" width="11.42578125" style="206"/>
    <col min="4606" max="4606" width="4.85546875" style="206" customWidth="1"/>
    <col min="4607" max="4607" width="34.140625" style="206" customWidth="1"/>
    <col min="4608" max="4608" width="37.140625" style="206" customWidth="1"/>
    <col min="4609" max="4609" width="66.7109375" style="206" customWidth="1"/>
    <col min="4610" max="4610" width="15" style="206" customWidth="1"/>
    <col min="4611" max="4611" width="20.7109375" style="206" customWidth="1"/>
    <col min="4612" max="4612" width="5" style="206" customWidth="1"/>
    <col min="4613" max="4613" width="19.140625" style="206" customWidth="1"/>
    <col min="4614" max="4614" width="24" style="206" customWidth="1"/>
    <col min="4615" max="4615" width="23.85546875" style="206" customWidth="1"/>
    <col min="4616" max="4616" width="18.42578125" style="206" customWidth="1"/>
    <col min="4617" max="4861" width="11.42578125" style="206"/>
    <col min="4862" max="4862" width="4.85546875" style="206" customWidth="1"/>
    <col min="4863" max="4863" width="34.140625" style="206" customWidth="1"/>
    <col min="4864" max="4864" width="37.140625" style="206" customWidth="1"/>
    <col min="4865" max="4865" width="66.7109375" style="206" customWidth="1"/>
    <col min="4866" max="4866" width="15" style="206" customWidth="1"/>
    <col min="4867" max="4867" width="20.7109375" style="206" customWidth="1"/>
    <col min="4868" max="4868" width="5" style="206" customWidth="1"/>
    <col min="4869" max="4869" width="19.140625" style="206" customWidth="1"/>
    <col min="4870" max="4870" width="24" style="206" customWidth="1"/>
    <col min="4871" max="4871" width="23.85546875" style="206" customWidth="1"/>
    <col min="4872" max="4872" width="18.42578125" style="206" customWidth="1"/>
    <col min="4873" max="5117" width="11.42578125" style="206"/>
    <col min="5118" max="5118" width="4.85546875" style="206" customWidth="1"/>
    <col min="5119" max="5119" width="34.140625" style="206" customWidth="1"/>
    <col min="5120" max="5120" width="37.140625" style="206" customWidth="1"/>
    <col min="5121" max="5121" width="66.7109375" style="206" customWidth="1"/>
    <col min="5122" max="5122" width="15" style="206" customWidth="1"/>
    <col min="5123" max="5123" width="20.7109375" style="206" customWidth="1"/>
    <col min="5124" max="5124" width="5" style="206" customWidth="1"/>
    <col min="5125" max="5125" width="19.140625" style="206" customWidth="1"/>
    <col min="5126" max="5126" width="24" style="206" customWidth="1"/>
    <col min="5127" max="5127" width="23.85546875" style="206" customWidth="1"/>
    <col min="5128" max="5128" width="18.42578125" style="206" customWidth="1"/>
    <col min="5129" max="5373" width="11.42578125" style="206"/>
    <col min="5374" max="5374" width="4.85546875" style="206" customWidth="1"/>
    <col min="5375" max="5375" width="34.140625" style="206" customWidth="1"/>
    <col min="5376" max="5376" width="37.140625" style="206" customWidth="1"/>
    <col min="5377" max="5377" width="66.7109375" style="206" customWidth="1"/>
    <col min="5378" max="5378" width="15" style="206" customWidth="1"/>
    <col min="5379" max="5379" width="20.7109375" style="206" customWidth="1"/>
    <col min="5380" max="5380" width="5" style="206" customWidth="1"/>
    <col min="5381" max="5381" width="19.140625" style="206" customWidth="1"/>
    <col min="5382" max="5382" width="24" style="206" customWidth="1"/>
    <col min="5383" max="5383" width="23.85546875" style="206" customWidth="1"/>
    <col min="5384" max="5384" width="18.42578125" style="206" customWidth="1"/>
    <col min="5385" max="5629" width="11.42578125" style="206"/>
    <col min="5630" max="5630" width="4.85546875" style="206" customWidth="1"/>
    <col min="5631" max="5631" width="34.140625" style="206" customWidth="1"/>
    <col min="5632" max="5632" width="37.140625" style="206" customWidth="1"/>
    <col min="5633" max="5633" width="66.7109375" style="206" customWidth="1"/>
    <col min="5634" max="5634" width="15" style="206" customWidth="1"/>
    <col min="5635" max="5635" width="20.7109375" style="206" customWidth="1"/>
    <col min="5636" max="5636" width="5" style="206" customWidth="1"/>
    <col min="5637" max="5637" width="19.140625" style="206" customWidth="1"/>
    <col min="5638" max="5638" width="24" style="206" customWidth="1"/>
    <col min="5639" max="5639" width="23.85546875" style="206" customWidth="1"/>
    <col min="5640" max="5640" width="18.42578125" style="206" customWidth="1"/>
    <col min="5641" max="5885" width="11.42578125" style="206"/>
    <col min="5886" max="5886" width="4.85546875" style="206" customWidth="1"/>
    <col min="5887" max="5887" width="34.140625" style="206" customWidth="1"/>
    <col min="5888" max="5888" width="37.140625" style="206" customWidth="1"/>
    <col min="5889" max="5889" width="66.7109375" style="206" customWidth="1"/>
    <col min="5890" max="5890" width="15" style="206" customWidth="1"/>
    <col min="5891" max="5891" width="20.7109375" style="206" customWidth="1"/>
    <col min="5892" max="5892" width="5" style="206" customWidth="1"/>
    <col min="5893" max="5893" width="19.140625" style="206" customWidth="1"/>
    <col min="5894" max="5894" width="24" style="206" customWidth="1"/>
    <col min="5895" max="5895" width="23.85546875" style="206" customWidth="1"/>
    <col min="5896" max="5896" width="18.42578125" style="206" customWidth="1"/>
    <col min="5897" max="6141" width="11.42578125" style="206"/>
    <col min="6142" max="6142" width="4.85546875" style="206" customWidth="1"/>
    <col min="6143" max="6143" width="34.140625" style="206" customWidth="1"/>
    <col min="6144" max="6144" width="37.140625" style="206" customWidth="1"/>
    <col min="6145" max="6145" width="66.7109375" style="206" customWidth="1"/>
    <col min="6146" max="6146" width="15" style="206" customWidth="1"/>
    <col min="6147" max="6147" width="20.7109375" style="206" customWidth="1"/>
    <col min="6148" max="6148" width="5" style="206" customWidth="1"/>
    <col min="6149" max="6149" width="19.140625" style="206" customWidth="1"/>
    <col min="6150" max="6150" width="24" style="206" customWidth="1"/>
    <col min="6151" max="6151" width="23.85546875" style="206" customWidth="1"/>
    <col min="6152" max="6152" width="18.42578125" style="206" customWidth="1"/>
    <col min="6153" max="6397" width="11.42578125" style="206"/>
    <col min="6398" max="6398" width="4.85546875" style="206" customWidth="1"/>
    <col min="6399" max="6399" width="34.140625" style="206" customWidth="1"/>
    <col min="6400" max="6400" width="37.140625" style="206" customWidth="1"/>
    <col min="6401" max="6401" width="66.7109375" style="206" customWidth="1"/>
    <col min="6402" max="6402" width="15" style="206" customWidth="1"/>
    <col min="6403" max="6403" width="20.7109375" style="206" customWidth="1"/>
    <col min="6404" max="6404" width="5" style="206" customWidth="1"/>
    <col min="6405" max="6405" width="19.140625" style="206" customWidth="1"/>
    <col min="6406" max="6406" width="24" style="206" customWidth="1"/>
    <col min="6407" max="6407" width="23.85546875" style="206" customWidth="1"/>
    <col min="6408" max="6408" width="18.42578125" style="206" customWidth="1"/>
    <col min="6409" max="6653" width="11.42578125" style="206"/>
    <col min="6654" max="6654" width="4.85546875" style="206" customWidth="1"/>
    <col min="6655" max="6655" width="34.140625" style="206" customWidth="1"/>
    <col min="6656" max="6656" width="37.140625" style="206" customWidth="1"/>
    <col min="6657" max="6657" width="66.7109375" style="206" customWidth="1"/>
    <col min="6658" max="6658" width="15" style="206" customWidth="1"/>
    <col min="6659" max="6659" width="20.7109375" style="206" customWidth="1"/>
    <col min="6660" max="6660" width="5" style="206" customWidth="1"/>
    <col min="6661" max="6661" width="19.140625" style="206" customWidth="1"/>
    <col min="6662" max="6662" width="24" style="206" customWidth="1"/>
    <col min="6663" max="6663" width="23.85546875" style="206" customWidth="1"/>
    <col min="6664" max="6664" width="18.42578125" style="206" customWidth="1"/>
    <col min="6665" max="6909" width="11.42578125" style="206"/>
    <col min="6910" max="6910" width="4.85546875" style="206" customWidth="1"/>
    <col min="6911" max="6911" width="34.140625" style="206" customWidth="1"/>
    <col min="6912" max="6912" width="37.140625" style="206" customWidth="1"/>
    <col min="6913" max="6913" width="66.7109375" style="206" customWidth="1"/>
    <col min="6914" max="6914" width="15" style="206" customWidth="1"/>
    <col min="6915" max="6915" width="20.7109375" style="206" customWidth="1"/>
    <col min="6916" max="6916" width="5" style="206" customWidth="1"/>
    <col min="6917" max="6917" width="19.140625" style="206" customWidth="1"/>
    <col min="6918" max="6918" width="24" style="206" customWidth="1"/>
    <col min="6919" max="6919" width="23.85546875" style="206" customWidth="1"/>
    <col min="6920" max="6920" width="18.42578125" style="206" customWidth="1"/>
    <col min="6921" max="7165" width="11.42578125" style="206"/>
    <col min="7166" max="7166" width="4.85546875" style="206" customWidth="1"/>
    <col min="7167" max="7167" width="34.140625" style="206" customWidth="1"/>
    <col min="7168" max="7168" width="37.140625" style="206" customWidth="1"/>
    <col min="7169" max="7169" width="66.7109375" style="206" customWidth="1"/>
    <col min="7170" max="7170" width="15" style="206" customWidth="1"/>
    <col min="7171" max="7171" width="20.7109375" style="206" customWidth="1"/>
    <col min="7172" max="7172" width="5" style="206" customWidth="1"/>
    <col min="7173" max="7173" width="19.140625" style="206" customWidth="1"/>
    <col min="7174" max="7174" width="24" style="206" customWidth="1"/>
    <col min="7175" max="7175" width="23.85546875" style="206" customWidth="1"/>
    <col min="7176" max="7176" width="18.42578125" style="206" customWidth="1"/>
    <col min="7177" max="7421" width="11.42578125" style="206"/>
    <col min="7422" max="7422" width="4.85546875" style="206" customWidth="1"/>
    <col min="7423" max="7423" width="34.140625" style="206" customWidth="1"/>
    <col min="7424" max="7424" width="37.140625" style="206" customWidth="1"/>
    <col min="7425" max="7425" width="66.7109375" style="206" customWidth="1"/>
    <col min="7426" max="7426" width="15" style="206" customWidth="1"/>
    <col min="7427" max="7427" width="20.7109375" style="206" customWidth="1"/>
    <col min="7428" max="7428" width="5" style="206" customWidth="1"/>
    <col min="7429" max="7429" width="19.140625" style="206" customWidth="1"/>
    <col min="7430" max="7430" width="24" style="206" customWidth="1"/>
    <col min="7431" max="7431" width="23.85546875" style="206" customWidth="1"/>
    <col min="7432" max="7432" width="18.42578125" style="206" customWidth="1"/>
    <col min="7433" max="7677" width="11.42578125" style="206"/>
    <col min="7678" max="7678" width="4.85546875" style="206" customWidth="1"/>
    <col min="7679" max="7679" width="34.140625" style="206" customWidth="1"/>
    <col min="7680" max="7680" width="37.140625" style="206" customWidth="1"/>
    <col min="7681" max="7681" width="66.7109375" style="206" customWidth="1"/>
    <col min="7682" max="7682" width="15" style="206" customWidth="1"/>
    <col min="7683" max="7683" width="20.7109375" style="206" customWidth="1"/>
    <col min="7684" max="7684" width="5" style="206" customWidth="1"/>
    <col min="7685" max="7685" width="19.140625" style="206" customWidth="1"/>
    <col min="7686" max="7686" width="24" style="206" customWidth="1"/>
    <col min="7687" max="7687" width="23.85546875" style="206" customWidth="1"/>
    <col min="7688" max="7688" width="18.42578125" style="206" customWidth="1"/>
    <col min="7689" max="7933" width="11.42578125" style="206"/>
    <col min="7934" max="7934" width="4.85546875" style="206" customWidth="1"/>
    <col min="7935" max="7935" width="34.140625" style="206" customWidth="1"/>
    <col min="7936" max="7936" width="37.140625" style="206" customWidth="1"/>
    <col min="7937" max="7937" width="66.7109375" style="206" customWidth="1"/>
    <col min="7938" max="7938" width="15" style="206" customWidth="1"/>
    <col min="7939" max="7939" width="20.7109375" style="206" customWidth="1"/>
    <col min="7940" max="7940" width="5" style="206" customWidth="1"/>
    <col min="7941" max="7941" width="19.140625" style="206" customWidth="1"/>
    <col min="7942" max="7942" width="24" style="206" customWidth="1"/>
    <col min="7943" max="7943" width="23.85546875" style="206" customWidth="1"/>
    <col min="7944" max="7944" width="18.42578125" style="206" customWidth="1"/>
    <col min="7945" max="8189" width="11.42578125" style="206"/>
    <col min="8190" max="8190" width="4.85546875" style="206" customWidth="1"/>
    <col min="8191" max="8191" width="34.140625" style="206" customWidth="1"/>
    <col min="8192" max="8192" width="37.140625" style="206" customWidth="1"/>
    <col min="8193" max="8193" width="66.7109375" style="206" customWidth="1"/>
    <col min="8194" max="8194" width="15" style="206" customWidth="1"/>
    <col min="8195" max="8195" width="20.7109375" style="206" customWidth="1"/>
    <col min="8196" max="8196" width="5" style="206" customWidth="1"/>
    <col min="8197" max="8197" width="19.140625" style="206" customWidth="1"/>
    <col min="8198" max="8198" width="24" style="206" customWidth="1"/>
    <col min="8199" max="8199" width="23.85546875" style="206" customWidth="1"/>
    <col min="8200" max="8200" width="18.42578125" style="206" customWidth="1"/>
    <col min="8201" max="8445" width="11.42578125" style="206"/>
    <col min="8446" max="8446" width="4.85546875" style="206" customWidth="1"/>
    <col min="8447" max="8447" width="34.140625" style="206" customWidth="1"/>
    <col min="8448" max="8448" width="37.140625" style="206" customWidth="1"/>
    <col min="8449" max="8449" width="66.7109375" style="206" customWidth="1"/>
    <col min="8450" max="8450" width="15" style="206" customWidth="1"/>
    <col min="8451" max="8451" width="20.7109375" style="206" customWidth="1"/>
    <col min="8452" max="8452" width="5" style="206" customWidth="1"/>
    <col min="8453" max="8453" width="19.140625" style="206" customWidth="1"/>
    <col min="8454" max="8454" width="24" style="206" customWidth="1"/>
    <col min="8455" max="8455" width="23.85546875" style="206" customWidth="1"/>
    <col min="8456" max="8456" width="18.42578125" style="206" customWidth="1"/>
    <col min="8457" max="8701" width="11.42578125" style="206"/>
    <col min="8702" max="8702" width="4.85546875" style="206" customWidth="1"/>
    <col min="8703" max="8703" width="34.140625" style="206" customWidth="1"/>
    <col min="8704" max="8704" width="37.140625" style="206" customWidth="1"/>
    <col min="8705" max="8705" width="66.7109375" style="206" customWidth="1"/>
    <col min="8706" max="8706" width="15" style="206" customWidth="1"/>
    <col min="8707" max="8707" width="20.7109375" style="206" customWidth="1"/>
    <col min="8708" max="8708" width="5" style="206" customWidth="1"/>
    <col min="8709" max="8709" width="19.140625" style="206" customWidth="1"/>
    <col min="8710" max="8710" width="24" style="206" customWidth="1"/>
    <col min="8711" max="8711" width="23.85546875" style="206" customWidth="1"/>
    <col min="8712" max="8712" width="18.42578125" style="206" customWidth="1"/>
    <col min="8713" max="8957" width="11.42578125" style="206"/>
    <col min="8958" max="8958" width="4.85546875" style="206" customWidth="1"/>
    <col min="8959" max="8959" width="34.140625" style="206" customWidth="1"/>
    <col min="8960" max="8960" width="37.140625" style="206" customWidth="1"/>
    <col min="8961" max="8961" width="66.7109375" style="206" customWidth="1"/>
    <col min="8962" max="8962" width="15" style="206" customWidth="1"/>
    <col min="8963" max="8963" width="20.7109375" style="206" customWidth="1"/>
    <col min="8964" max="8964" width="5" style="206" customWidth="1"/>
    <col min="8965" max="8965" width="19.140625" style="206" customWidth="1"/>
    <col min="8966" max="8966" width="24" style="206" customWidth="1"/>
    <col min="8967" max="8967" width="23.85546875" style="206" customWidth="1"/>
    <col min="8968" max="8968" width="18.42578125" style="206" customWidth="1"/>
    <col min="8969" max="9213" width="11.42578125" style="206"/>
    <col min="9214" max="9214" width="4.85546875" style="206" customWidth="1"/>
    <col min="9215" max="9215" width="34.140625" style="206" customWidth="1"/>
    <col min="9216" max="9216" width="37.140625" style="206" customWidth="1"/>
    <col min="9217" max="9217" width="66.7109375" style="206" customWidth="1"/>
    <col min="9218" max="9218" width="15" style="206" customWidth="1"/>
    <col min="9219" max="9219" width="20.7109375" style="206" customWidth="1"/>
    <col min="9220" max="9220" width="5" style="206" customWidth="1"/>
    <col min="9221" max="9221" width="19.140625" style="206" customWidth="1"/>
    <col min="9222" max="9222" width="24" style="206" customWidth="1"/>
    <col min="9223" max="9223" width="23.85546875" style="206" customWidth="1"/>
    <col min="9224" max="9224" width="18.42578125" style="206" customWidth="1"/>
    <col min="9225" max="9469" width="11.42578125" style="206"/>
    <col min="9470" max="9470" width="4.85546875" style="206" customWidth="1"/>
    <col min="9471" max="9471" width="34.140625" style="206" customWidth="1"/>
    <col min="9472" max="9472" width="37.140625" style="206" customWidth="1"/>
    <col min="9473" max="9473" width="66.7109375" style="206" customWidth="1"/>
    <col min="9474" max="9474" width="15" style="206" customWidth="1"/>
    <col min="9475" max="9475" width="20.7109375" style="206" customWidth="1"/>
    <col min="9476" max="9476" width="5" style="206" customWidth="1"/>
    <col min="9477" max="9477" width="19.140625" style="206" customWidth="1"/>
    <col min="9478" max="9478" width="24" style="206" customWidth="1"/>
    <col min="9479" max="9479" width="23.85546875" style="206" customWidth="1"/>
    <col min="9480" max="9480" width="18.42578125" style="206" customWidth="1"/>
    <col min="9481" max="9725" width="11.42578125" style="206"/>
    <col min="9726" max="9726" width="4.85546875" style="206" customWidth="1"/>
    <col min="9727" max="9727" width="34.140625" style="206" customWidth="1"/>
    <col min="9728" max="9728" width="37.140625" style="206" customWidth="1"/>
    <col min="9729" max="9729" width="66.7109375" style="206" customWidth="1"/>
    <col min="9730" max="9730" width="15" style="206" customWidth="1"/>
    <col min="9731" max="9731" width="20.7109375" style="206" customWidth="1"/>
    <col min="9732" max="9732" width="5" style="206" customWidth="1"/>
    <col min="9733" max="9733" width="19.140625" style="206" customWidth="1"/>
    <col min="9734" max="9734" width="24" style="206" customWidth="1"/>
    <col min="9735" max="9735" width="23.85546875" style="206" customWidth="1"/>
    <col min="9736" max="9736" width="18.42578125" style="206" customWidth="1"/>
    <col min="9737" max="9981" width="11.42578125" style="206"/>
    <col min="9982" max="9982" width="4.85546875" style="206" customWidth="1"/>
    <col min="9983" max="9983" width="34.140625" style="206" customWidth="1"/>
    <col min="9984" max="9984" width="37.140625" style="206" customWidth="1"/>
    <col min="9985" max="9985" width="66.7109375" style="206" customWidth="1"/>
    <col min="9986" max="9986" width="15" style="206" customWidth="1"/>
    <col min="9987" max="9987" width="20.7109375" style="206" customWidth="1"/>
    <col min="9988" max="9988" width="5" style="206" customWidth="1"/>
    <col min="9989" max="9989" width="19.140625" style="206" customWidth="1"/>
    <col min="9990" max="9990" width="24" style="206" customWidth="1"/>
    <col min="9991" max="9991" width="23.85546875" style="206" customWidth="1"/>
    <col min="9992" max="9992" width="18.42578125" style="206" customWidth="1"/>
    <col min="9993" max="10237" width="11.42578125" style="206"/>
    <col min="10238" max="10238" width="4.85546875" style="206" customWidth="1"/>
    <col min="10239" max="10239" width="34.140625" style="206" customWidth="1"/>
    <col min="10240" max="10240" width="37.140625" style="206" customWidth="1"/>
    <col min="10241" max="10241" width="66.7109375" style="206" customWidth="1"/>
    <col min="10242" max="10242" width="15" style="206" customWidth="1"/>
    <col min="10243" max="10243" width="20.7109375" style="206" customWidth="1"/>
    <col min="10244" max="10244" width="5" style="206" customWidth="1"/>
    <col min="10245" max="10245" width="19.140625" style="206" customWidth="1"/>
    <col min="10246" max="10246" width="24" style="206" customWidth="1"/>
    <col min="10247" max="10247" width="23.85546875" style="206" customWidth="1"/>
    <col min="10248" max="10248" width="18.42578125" style="206" customWidth="1"/>
    <col min="10249" max="10493" width="11.42578125" style="206"/>
    <col min="10494" max="10494" width="4.85546875" style="206" customWidth="1"/>
    <col min="10495" max="10495" width="34.140625" style="206" customWidth="1"/>
    <col min="10496" max="10496" width="37.140625" style="206" customWidth="1"/>
    <col min="10497" max="10497" width="66.7109375" style="206" customWidth="1"/>
    <col min="10498" max="10498" width="15" style="206" customWidth="1"/>
    <col min="10499" max="10499" width="20.7109375" style="206" customWidth="1"/>
    <col min="10500" max="10500" width="5" style="206" customWidth="1"/>
    <col min="10501" max="10501" width="19.140625" style="206" customWidth="1"/>
    <col min="10502" max="10502" width="24" style="206" customWidth="1"/>
    <col min="10503" max="10503" width="23.85546875" style="206" customWidth="1"/>
    <col min="10504" max="10504" width="18.42578125" style="206" customWidth="1"/>
    <col min="10505" max="10749" width="11.42578125" style="206"/>
    <col min="10750" max="10750" width="4.85546875" style="206" customWidth="1"/>
    <col min="10751" max="10751" width="34.140625" style="206" customWidth="1"/>
    <col min="10752" max="10752" width="37.140625" style="206" customWidth="1"/>
    <col min="10753" max="10753" width="66.7109375" style="206" customWidth="1"/>
    <col min="10754" max="10754" width="15" style="206" customWidth="1"/>
    <col min="10755" max="10755" width="20.7109375" style="206" customWidth="1"/>
    <col min="10756" max="10756" width="5" style="206" customWidth="1"/>
    <col min="10757" max="10757" width="19.140625" style="206" customWidth="1"/>
    <col min="10758" max="10758" width="24" style="206" customWidth="1"/>
    <col min="10759" max="10759" width="23.85546875" style="206" customWidth="1"/>
    <col min="10760" max="10760" width="18.42578125" style="206" customWidth="1"/>
    <col min="10761" max="11005" width="11.42578125" style="206"/>
    <col min="11006" max="11006" width="4.85546875" style="206" customWidth="1"/>
    <col min="11007" max="11007" width="34.140625" style="206" customWidth="1"/>
    <col min="11008" max="11008" width="37.140625" style="206" customWidth="1"/>
    <col min="11009" max="11009" width="66.7109375" style="206" customWidth="1"/>
    <col min="11010" max="11010" width="15" style="206" customWidth="1"/>
    <col min="11011" max="11011" width="20.7109375" style="206" customWidth="1"/>
    <col min="11012" max="11012" width="5" style="206" customWidth="1"/>
    <col min="11013" max="11013" width="19.140625" style="206" customWidth="1"/>
    <col min="11014" max="11014" width="24" style="206" customWidth="1"/>
    <col min="11015" max="11015" width="23.85546875" style="206" customWidth="1"/>
    <col min="11016" max="11016" width="18.42578125" style="206" customWidth="1"/>
    <col min="11017" max="11261" width="11.42578125" style="206"/>
    <col min="11262" max="11262" width="4.85546875" style="206" customWidth="1"/>
    <col min="11263" max="11263" width="34.140625" style="206" customWidth="1"/>
    <col min="11264" max="11264" width="37.140625" style="206" customWidth="1"/>
    <col min="11265" max="11265" width="66.7109375" style="206" customWidth="1"/>
    <col min="11266" max="11266" width="15" style="206" customWidth="1"/>
    <col min="11267" max="11267" width="20.7109375" style="206" customWidth="1"/>
    <col min="11268" max="11268" width="5" style="206" customWidth="1"/>
    <col min="11269" max="11269" width="19.140625" style="206" customWidth="1"/>
    <col min="11270" max="11270" width="24" style="206" customWidth="1"/>
    <col min="11271" max="11271" width="23.85546875" style="206" customWidth="1"/>
    <col min="11272" max="11272" width="18.42578125" style="206" customWidth="1"/>
    <col min="11273" max="11517" width="11.42578125" style="206"/>
    <col min="11518" max="11518" width="4.85546875" style="206" customWidth="1"/>
    <col min="11519" max="11519" width="34.140625" style="206" customWidth="1"/>
    <col min="11520" max="11520" width="37.140625" style="206" customWidth="1"/>
    <col min="11521" max="11521" width="66.7109375" style="206" customWidth="1"/>
    <col min="11522" max="11522" width="15" style="206" customWidth="1"/>
    <col min="11523" max="11523" width="20.7109375" style="206" customWidth="1"/>
    <col min="11524" max="11524" width="5" style="206" customWidth="1"/>
    <col min="11525" max="11525" width="19.140625" style="206" customWidth="1"/>
    <col min="11526" max="11526" width="24" style="206" customWidth="1"/>
    <col min="11527" max="11527" width="23.85546875" style="206" customWidth="1"/>
    <col min="11528" max="11528" width="18.42578125" style="206" customWidth="1"/>
    <col min="11529" max="11773" width="11.42578125" style="206"/>
    <col min="11774" max="11774" width="4.85546875" style="206" customWidth="1"/>
    <col min="11775" max="11775" width="34.140625" style="206" customWidth="1"/>
    <col min="11776" max="11776" width="37.140625" style="206" customWidth="1"/>
    <col min="11777" max="11777" width="66.7109375" style="206" customWidth="1"/>
    <col min="11778" max="11778" width="15" style="206" customWidth="1"/>
    <col min="11779" max="11779" width="20.7109375" style="206" customWidth="1"/>
    <col min="11780" max="11780" width="5" style="206" customWidth="1"/>
    <col min="11781" max="11781" width="19.140625" style="206" customWidth="1"/>
    <col min="11782" max="11782" width="24" style="206" customWidth="1"/>
    <col min="11783" max="11783" width="23.85546875" style="206" customWidth="1"/>
    <col min="11784" max="11784" width="18.42578125" style="206" customWidth="1"/>
    <col min="11785" max="12029" width="11.42578125" style="206"/>
    <col min="12030" max="12030" width="4.85546875" style="206" customWidth="1"/>
    <col min="12031" max="12031" width="34.140625" style="206" customWidth="1"/>
    <col min="12032" max="12032" width="37.140625" style="206" customWidth="1"/>
    <col min="12033" max="12033" width="66.7109375" style="206" customWidth="1"/>
    <col min="12034" max="12034" width="15" style="206" customWidth="1"/>
    <col min="12035" max="12035" width="20.7109375" style="206" customWidth="1"/>
    <col min="12036" max="12036" width="5" style="206" customWidth="1"/>
    <col min="12037" max="12037" width="19.140625" style="206" customWidth="1"/>
    <col min="12038" max="12038" width="24" style="206" customWidth="1"/>
    <col min="12039" max="12039" width="23.85546875" style="206" customWidth="1"/>
    <col min="12040" max="12040" width="18.42578125" style="206" customWidth="1"/>
    <col min="12041" max="12285" width="11.42578125" style="206"/>
    <col min="12286" max="12286" width="4.85546875" style="206" customWidth="1"/>
    <col min="12287" max="12287" width="34.140625" style="206" customWidth="1"/>
    <col min="12288" max="12288" width="37.140625" style="206" customWidth="1"/>
    <col min="12289" max="12289" width="66.7109375" style="206" customWidth="1"/>
    <col min="12290" max="12290" width="15" style="206" customWidth="1"/>
    <col min="12291" max="12291" width="20.7109375" style="206" customWidth="1"/>
    <col min="12292" max="12292" width="5" style="206" customWidth="1"/>
    <col min="12293" max="12293" width="19.140625" style="206" customWidth="1"/>
    <col min="12294" max="12294" width="24" style="206" customWidth="1"/>
    <col min="12295" max="12295" width="23.85546875" style="206" customWidth="1"/>
    <col min="12296" max="12296" width="18.42578125" style="206" customWidth="1"/>
    <col min="12297" max="12541" width="11.42578125" style="206"/>
    <col min="12542" max="12542" width="4.85546875" style="206" customWidth="1"/>
    <col min="12543" max="12543" width="34.140625" style="206" customWidth="1"/>
    <col min="12544" max="12544" width="37.140625" style="206" customWidth="1"/>
    <col min="12545" max="12545" width="66.7109375" style="206" customWidth="1"/>
    <col min="12546" max="12546" width="15" style="206" customWidth="1"/>
    <col min="12547" max="12547" width="20.7109375" style="206" customWidth="1"/>
    <col min="12548" max="12548" width="5" style="206" customWidth="1"/>
    <col min="12549" max="12549" width="19.140625" style="206" customWidth="1"/>
    <col min="12550" max="12550" width="24" style="206" customWidth="1"/>
    <col min="12551" max="12551" width="23.85546875" style="206" customWidth="1"/>
    <col min="12552" max="12552" width="18.42578125" style="206" customWidth="1"/>
    <col min="12553" max="12797" width="11.42578125" style="206"/>
    <col min="12798" max="12798" width="4.85546875" style="206" customWidth="1"/>
    <col min="12799" max="12799" width="34.140625" style="206" customWidth="1"/>
    <col min="12800" max="12800" width="37.140625" style="206" customWidth="1"/>
    <col min="12801" max="12801" width="66.7109375" style="206" customWidth="1"/>
    <col min="12802" max="12802" width="15" style="206" customWidth="1"/>
    <col min="12803" max="12803" width="20.7109375" style="206" customWidth="1"/>
    <col min="12804" max="12804" width="5" style="206" customWidth="1"/>
    <col min="12805" max="12805" width="19.140625" style="206" customWidth="1"/>
    <col min="12806" max="12806" width="24" style="206" customWidth="1"/>
    <col min="12807" max="12807" width="23.85546875" style="206" customWidth="1"/>
    <col min="12808" max="12808" width="18.42578125" style="206" customWidth="1"/>
    <col min="12809" max="13053" width="11.42578125" style="206"/>
    <col min="13054" max="13054" width="4.85546875" style="206" customWidth="1"/>
    <col min="13055" max="13055" width="34.140625" style="206" customWidth="1"/>
    <col min="13056" max="13056" width="37.140625" style="206" customWidth="1"/>
    <col min="13057" max="13057" width="66.7109375" style="206" customWidth="1"/>
    <col min="13058" max="13058" width="15" style="206" customWidth="1"/>
    <col min="13059" max="13059" width="20.7109375" style="206" customWidth="1"/>
    <col min="13060" max="13060" width="5" style="206" customWidth="1"/>
    <col min="13061" max="13061" width="19.140625" style="206" customWidth="1"/>
    <col min="13062" max="13062" width="24" style="206" customWidth="1"/>
    <col min="13063" max="13063" width="23.85546875" style="206" customWidth="1"/>
    <col min="13064" max="13064" width="18.42578125" style="206" customWidth="1"/>
    <col min="13065" max="13309" width="11.42578125" style="206"/>
    <col min="13310" max="13310" width="4.85546875" style="206" customWidth="1"/>
    <col min="13311" max="13311" width="34.140625" style="206" customWidth="1"/>
    <col min="13312" max="13312" width="37.140625" style="206" customWidth="1"/>
    <col min="13313" max="13313" width="66.7109375" style="206" customWidth="1"/>
    <col min="13314" max="13314" width="15" style="206" customWidth="1"/>
    <col min="13315" max="13315" width="20.7109375" style="206" customWidth="1"/>
    <col min="13316" max="13316" width="5" style="206" customWidth="1"/>
    <col min="13317" max="13317" width="19.140625" style="206" customWidth="1"/>
    <col min="13318" max="13318" width="24" style="206" customWidth="1"/>
    <col min="13319" max="13319" width="23.85546875" style="206" customWidth="1"/>
    <col min="13320" max="13320" width="18.42578125" style="206" customWidth="1"/>
    <col min="13321" max="13565" width="11.42578125" style="206"/>
    <col min="13566" max="13566" width="4.85546875" style="206" customWidth="1"/>
    <col min="13567" max="13567" width="34.140625" style="206" customWidth="1"/>
    <col min="13568" max="13568" width="37.140625" style="206" customWidth="1"/>
    <col min="13569" max="13569" width="66.7109375" style="206" customWidth="1"/>
    <col min="13570" max="13570" width="15" style="206" customWidth="1"/>
    <col min="13571" max="13571" width="20.7109375" style="206" customWidth="1"/>
    <col min="13572" max="13572" width="5" style="206" customWidth="1"/>
    <col min="13573" max="13573" width="19.140625" style="206" customWidth="1"/>
    <col min="13574" max="13574" width="24" style="206" customWidth="1"/>
    <col min="13575" max="13575" width="23.85546875" style="206" customWidth="1"/>
    <col min="13576" max="13576" width="18.42578125" style="206" customWidth="1"/>
    <col min="13577" max="13821" width="11.42578125" style="206"/>
    <col min="13822" max="13822" width="4.85546875" style="206" customWidth="1"/>
    <col min="13823" max="13823" width="34.140625" style="206" customWidth="1"/>
    <col min="13824" max="13824" width="37.140625" style="206" customWidth="1"/>
    <col min="13825" max="13825" width="66.7109375" style="206" customWidth="1"/>
    <col min="13826" max="13826" width="15" style="206" customWidth="1"/>
    <col min="13827" max="13827" width="20.7109375" style="206" customWidth="1"/>
    <col min="13828" max="13828" width="5" style="206" customWidth="1"/>
    <col min="13829" max="13829" width="19.140625" style="206" customWidth="1"/>
    <col min="13830" max="13830" width="24" style="206" customWidth="1"/>
    <col min="13831" max="13831" width="23.85546875" style="206" customWidth="1"/>
    <col min="13832" max="13832" width="18.42578125" style="206" customWidth="1"/>
    <col min="13833" max="14077" width="11.42578125" style="206"/>
    <col min="14078" max="14078" width="4.85546875" style="206" customWidth="1"/>
    <col min="14079" max="14079" width="34.140625" style="206" customWidth="1"/>
    <col min="14080" max="14080" width="37.140625" style="206" customWidth="1"/>
    <col min="14081" max="14081" width="66.7109375" style="206" customWidth="1"/>
    <col min="14082" max="14082" width="15" style="206" customWidth="1"/>
    <col min="14083" max="14083" width="20.7109375" style="206" customWidth="1"/>
    <col min="14084" max="14084" width="5" style="206" customWidth="1"/>
    <col min="14085" max="14085" width="19.140625" style="206" customWidth="1"/>
    <col min="14086" max="14086" width="24" style="206" customWidth="1"/>
    <col min="14087" max="14087" width="23.85546875" style="206" customWidth="1"/>
    <col min="14088" max="14088" width="18.42578125" style="206" customWidth="1"/>
    <col min="14089" max="14333" width="11.42578125" style="206"/>
    <col min="14334" max="14334" width="4.85546875" style="206" customWidth="1"/>
    <col min="14335" max="14335" width="34.140625" style="206" customWidth="1"/>
    <col min="14336" max="14336" width="37.140625" style="206" customWidth="1"/>
    <col min="14337" max="14337" width="66.7109375" style="206" customWidth="1"/>
    <col min="14338" max="14338" width="15" style="206" customWidth="1"/>
    <col min="14339" max="14339" width="20.7109375" style="206" customWidth="1"/>
    <col min="14340" max="14340" width="5" style="206" customWidth="1"/>
    <col min="14341" max="14341" width="19.140625" style="206" customWidth="1"/>
    <col min="14342" max="14342" width="24" style="206" customWidth="1"/>
    <col min="14343" max="14343" width="23.85546875" style="206" customWidth="1"/>
    <col min="14344" max="14344" width="18.42578125" style="206" customWidth="1"/>
    <col min="14345" max="14589" width="11.42578125" style="206"/>
    <col min="14590" max="14590" width="4.85546875" style="206" customWidth="1"/>
    <col min="14591" max="14591" width="34.140625" style="206" customWidth="1"/>
    <col min="14592" max="14592" width="37.140625" style="206" customWidth="1"/>
    <col min="14593" max="14593" width="66.7109375" style="206" customWidth="1"/>
    <col min="14594" max="14594" width="15" style="206" customWidth="1"/>
    <col min="14595" max="14595" width="20.7109375" style="206" customWidth="1"/>
    <col min="14596" max="14596" width="5" style="206" customWidth="1"/>
    <col min="14597" max="14597" width="19.140625" style="206" customWidth="1"/>
    <col min="14598" max="14598" width="24" style="206" customWidth="1"/>
    <col min="14599" max="14599" width="23.85546875" style="206" customWidth="1"/>
    <col min="14600" max="14600" width="18.42578125" style="206" customWidth="1"/>
    <col min="14601" max="14845" width="11.42578125" style="206"/>
    <col min="14846" max="14846" width="4.85546875" style="206" customWidth="1"/>
    <col min="14847" max="14847" width="34.140625" style="206" customWidth="1"/>
    <col min="14848" max="14848" width="37.140625" style="206" customWidth="1"/>
    <col min="14849" max="14849" width="66.7109375" style="206" customWidth="1"/>
    <col min="14850" max="14850" width="15" style="206" customWidth="1"/>
    <col min="14851" max="14851" width="20.7109375" style="206" customWidth="1"/>
    <col min="14852" max="14852" width="5" style="206" customWidth="1"/>
    <col min="14853" max="14853" width="19.140625" style="206" customWidth="1"/>
    <col min="14854" max="14854" width="24" style="206" customWidth="1"/>
    <col min="14855" max="14855" width="23.85546875" style="206" customWidth="1"/>
    <col min="14856" max="14856" width="18.42578125" style="206" customWidth="1"/>
    <col min="14857" max="15101" width="11.42578125" style="206"/>
    <col min="15102" max="15102" width="4.85546875" style="206" customWidth="1"/>
    <col min="15103" max="15103" width="34.140625" style="206" customWidth="1"/>
    <col min="15104" max="15104" width="37.140625" style="206" customWidth="1"/>
    <col min="15105" max="15105" width="66.7109375" style="206" customWidth="1"/>
    <col min="15106" max="15106" width="15" style="206" customWidth="1"/>
    <col min="15107" max="15107" width="20.7109375" style="206" customWidth="1"/>
    <col min="15108" max="15108" width="5" style="206" customWidth="1"/>
    <col min="15109" max="15109" width="19.140625" style="206" customWidth="1"/>
    <col min="15110" max="15110" width="24" style="206" customWidth="1"/>
    <col min="15111" max="15111" width="23.85546875" style="206" customWidth="1"/>
    <col min="15112" max="15112" width="18.42578125" style="206" customWidth="1"/>
    <col min="15113" max="15357" width="11.42578125" style="206"/>
    <col min="15358" max="15358" width="4.85546875" style="206" customWidth="1"/>
    <col min="15359" max="15359" width="34.140625" style="206" customWidth="1"/>
    <col min="15360" max="15360" width="37.140625" style="206" customWidth="1"/>
    <col min="15361" max="15361" width="66.7109375" style="206" customWidth="1"/>
    <col min="15362" max="15362" width="15" style="206" customWidth="1"/>
    <col min="15363" max="15363" width="20.7109375" style="206" customWidth="1"/>
    <col min="15364" max="15364" width="5" style="206" customWidth="1"/>
    <col min="15365" max="15365" width="19.140625" style="206" customWidth="1"/>
    <col min="15366" max="15366" width="24" style="206" customWidth="1"/>
    <col min="15367" max="15367" width="23.85546875" style="206" customWidth="1"/>
    <col min="15368" max="15368" width="18.42578125" style="206" customWidth="1"/>
    <col min="15369" max="15613" width="11.42578125" style="206"/>
    <col min="15614" max="15614" width="4.85546875" style="206" customWidth="1"/>
    <col min="15615" max="15615" width="34.140625" style="206" customWidth="1"/>
    <col min="15616" max="15616" width="37.140625" style="206" customWidth="1"/>
    <col min="15617" max="15617" width="66.7109375" style="206" customWidth="1"/>
    <col min="15618" max="15618" width="15" style="206" customWidth="1"/>
    <col min="15619" max="15619" width="20.7109375" style="206" customWidth="1"/>
    <col min="15620" max="15620" width="5" style="206" customWidth="1"/>
    <col min="15621" max="15621" width="19.140625" style="206" customWidth="1"/>
    <col min="15622" max="15622" width="24" style="206" customWidth="1"/>
    <col min="15623" max="15623" width="23.85546875" style="206" customWidth="1"/>
    <col min="15624" max="15624" width="18.42578125" style="206" customWidth="1"/>
    <col min="15625" max="15869" width="11.42578125" style="206"/>
    <col min="15870" max="15870" width="4.85546875" style="206" customWidth="1"/>
    <col min="15871" max="15871" width="34.140625" style="206" customWidth="1"/>
    <col min="15872" max="15872" width="37.140625" style="206" customWidth="1"/>
    <col min="15873" max="15873" width="66.7109375" style="206" customWidth="1"/>
    <col min="15874" max="15874" width="15" style="206" customWidth="1"/>
    <col min="15875" max="15875" width="20.7109375" style="206" customWidth="1"/>
    <col min="15876" max="15876" width="5" style="206" customWidth="1"/>
    <col min="15877" max="15877" width="19.140625" style="206" customWidth="1"/>
    <col min="15878" max="15878" width="24" style="206" customWidth="1"/>
    <col min="15879" max="15879" width="23.85546875" style="206" customWidth="1"/>
    <col min="15880" max="15880" width="18.42578125" style="206" customWidth="1"/>
    <col min="15881" max="16125" width="11.42578125" style="206"/>
    <col min="16126" max="16126" width="4.85546875" style="206" customWidth="1"/>
    <col min="16127" max="16127" width="34.140625" style="206" customWidth="1"/>
    <col min="16128" max="16128" width="37.140625" style="206" customWidth="1"/>
    <col min="16129" max="16129" width="66.7109375" style="206" customWidth="1"/>
    <col min="16130" max="16130" width="15" style="206" customWidth="1"/>
    <col min="16131" max="16131" width="20.7109375" style="206" customWidth="1"/>
    <col min="16132" max="16132" width="5" style="206" customWidth="1"/>
    <col min="16133" max="16133" width="19.140625" style="206" customWidth="1"/>
    <col min="16134" max="16134" width="24" style="206" customWidth="1"/>
    <col min="16135" max="16135" width="23.85546875" style="206" customWidth="1"/>
    <col min="16136" max="16136" width="18.42578125" style="206" customWidth="1"/>
    <col min="16137" max="16384" width="11.42578125" style="206"/>
  </cols>
  <sheetData>
    <row r="1" spans="2:7" ht="26.25" customHeight="1" thickBot="1" x14ac:dyDescent="0.25"/>
    <row r="2" spans="2:7" x14ac:dyDescent="0.2">
      <c r="B2" s="789" t="str">
        <f>+CONCATENATE("COSTOS DE INVERSION - RECOLECCIÓN: Municipio de  "&amp;Datos!C2)</f>
        <v>COSTOS DE INVERSION - RECOLECCIÓN: Municipio de  Pehuajó</v>
      </c>
      <c r="C2" s="790"/>
      <c r="D2" s="790"/>
      <c r="E2" s="790"/>
      <c r="F2" s="790"/>
      <c r="G2" s="791"/>
    </row>
    <row r="3" spans="2:7" ht="9.75" customHeight="1" thickBot="1" x14ac:dyDescent="0.25">
      <c r="B3" s="792"/>
      <c r="C3" s="793"/>
      <c r="D3" s="793"/>
      <c r="E3" s="793"/>
      <c r="F3" s="793"/>
      <c r="G3" s="794"/>
    </row>
    <row r="4" spans="2:7" ht="15.75" thickBot="1" x14ac:dyDescent="0.3">
      <c r="B4" s="207" t="s">
        <v>267</v>
      </c>
      <c r="C4" s="208" t="s">
        <v>268</v>
      </c>
      <c r="D4" s="208"/>
      <c r="E4" s="209" t="s">
        <v>115</v>
      </c>
      <c r="F4" s="209" t="s">
        <v>269</v>
      </c>
      <c r="G4" s="210" t="s">
        <v>270</v>
      </c>
    </row>
    <row r="5" spans="2:7" ht="15" x14ac:dyDescent="0.25">
      <c r="B5" s="211"/>
      <c r="F5" s="212" t="s">
        <v>812</v>
      </c>
      <c r="G5" s="213" t="s">
        <v>812</v>
      </c>
    </row>
    <row r="6" spans="2:7" x14ac:dyDescent="0.2">
      <c r="B6" s="214"/>
      <c r="E6" s="212"/>
      <c r="F6" s="215"/>
      <c r="G6" s="213"/>
    </row>
    <row r="7" spans="2:7" x14ac:dyDescent="0.2">
      <c r="B7" s="214"/>
      <c r="C7" s="206" t="s">
        <v>271</v>
      </c>
      <c r="E7" s="212"/>
      <c r="F7" s="212"/>
      <c r="G7" s="213"/>
    </row>
    <row r="8" spans="2:7" x14ac:dyDescent="0.2">
      <c r="B8" s="214"/>
      <c r="D8" s="206" t="s">
        <v>272</v>
      </c>
      <c r="E8" s="212">
        <f>IF(Datos!D3="NO",0,'Evaluacion Economica'!L25+'Evaluacion Economica'!M25-Datos!D123)</f>
        <v>3</v>
      </c>
      <c r="F8" s="215">
        <f>+'Evaluacion Economica'!N25</f>
        <v>268012.51263976813</v>
      </c>
      <c r="G8" s="215">
        <f>F8*E8</f>
        <v>804037.53791930433</v>
      </c>
    </row>
    <row r="9" spans="2:7" x14ac:dyDescent="0.2">
      <c r="B9" s="214"/>
      <c r="D9" s="206" t="s">
        <v>273</v>
      </c>
      <c r="E9" s="212">
        <f>IF(P_Datos!$D$3="NO",0,'P_Evaluacion Economica'!L27+'P_Evaluacion Economica'!M27-P_Datos!D114)</f>
        <v>2</v>
      </c>
      <c r="F9" s="215">
        <f>IF(P_Datos!$D$3="NO",0,'P_Evaluacion Economica'!N27)</f>
        <v>234260.39447999999</v>
      </c>
      <c r="G9" s="215">
        <f>F9*E9</f>
        <v>468520.78895999998</v>
      </c>
    </row>
    <row r="10" spans="2:7" x14ac:dyDescent="0.2">
      <c r="B10" s="214"/>
      <c r="E10" s="212"/>
      <c r="F10" s="215"/>
      <c r="G10" s="215"/>
    </row>
    <row r="11" spans="2:7" x14ac:dyDescent="0.2">
      <c r="B11" s="214"/>
      <c r="E11" s="212"/>
      <c r="F11" s="215"/>
      <c r="G11" s="215"/>
    </row>
    <row r="12" spans="2:7" x14ac:dyDescent="0.2">
      <c r="B12" s="214"/>
      <c r="D12" s="206" t="s">
        <v>274</v>
      </c>
      <c r="E12" s="212">
        <f>IF(P_Datos!$D$3="NO",0,P_Datos!D98)</f>
        <v>1</v>
      </c>
      <c r="F12" s="215">
        <f>IF(P_Datos!$D$3="NO",0,P_Datos!$D$96)</f>
        <v>83355.399999999994</v>
      </c>
      <c r="G12" s="215">
        <f>+E12*F12</f>
        <v>83355.399999999994</v>
      </c>
    </row>
    <row r="13" spans="2:7" x14ac:dyDescent="0.2">
      <c r="B13" s="214"/>
      <c r="D13" s="206" t="s">
        <v>275</v>
      </c>
      <c r="E13" s="212">
        <f>+IF(P_Barrenderos!$G$28&gt;P_Barrenderos!$C$28,1,0)</f>
        <v>1</v>
      </c>
      <c r="F13" s="215">
        <f>+P_Barrenderos!$G$22</f>
        <v>190000</v>
      </c>
      <c r="G13" s="215">
        <f>F13*E13</f>
        <v>190000</v>
      </c>
    </row>
    <row r="14" spans="2:7" x14ac:dyDescent="0.2">
      <c r="B14" s="214"/>
      <c r="E14" s="212"/>
      <c r="F14" s="215"/>
      <c r="G14" s="215"/>
    </row>
    <row r="15" spans="2:7" x14ac:dyDescent="0.2">
      <c r="B15" s="214"/>
      <c r="C15" s="206" t="s">
        <v>276</v>
      </c>
      <c r="E15" s="212"/>
      <c r="F15" s="215"/>
      <c r="G15" s="215"/>
    </row>
    <row r="16" spans="2:7" x14ac:dyDescent="0.2">
      <c r="B16" s="214"/>
      <c r="D16" s="206" t="s">
        <v>277</v>
      </c>
      <c r="E16" s="212">
        <f>ROUNDUP((E8+E9-'Evaluacion Economica'!M25-'P_Evaluacion Economica'!M27)/Datos!$D$112,0)</f>
        <v>1</v>
      </c>
      <c r="F16" s="215">
        <f>40000*CoeficientePase!C42</f>
        <v>70640</v>
      </c>
      <c r="G16" s="215">
        <f>F16*E16</f>
        <v>70640</v>
      </c>
    </row>
    <row r="17" spans="1:8" ht="15" x14ac:dyDescent="0.25">
      <c r="B17" s="216"/>
      <c r="D17" s="680" t="s">
        <v>794</v>
      </c>
      <c r="E17" s="212">
        <f>+Datos!D26-+Datos!D127</f>
        <v>382</v>
      </c>
      <c r="F17" s="215">
        <f>+Datos!D104</f>
        <v>2997.7</v>
      </c>
      <c r="G17" s="215">
        <f>F17*E17</f>
        <v>1145121.3999999999</v>
      </c>
    </row>
    <row r="18" spans="1:8" ht="15" thickBot="1" x14ac:dyDescent="0.25">
      <c r="B18" s="214"/>
      <c r="D18" s="680" t="s">
        <v>795</v>
      </c>
      <c r="E18" s="212">
        <f>+Datos!D121</f>
        <v>0</v>
      </c>
      <c r="F18" s="215">
        <f>+Datos!D105</f>
        <v>2997.7</v>
      </c>
      <c r="G18" s="215">
        <f>F18*E18</f>
        <v>0</v>
      </c>
    </row>
    <row r="19" spans="1:8" ht="39" customHeight="1" thickBot="1" x14ac:dyDescent="0.25">
      <c r="B19" s="218" t="s">
        <v>338</v>
      </c>
      <c r="C19" s="219"/>
      <c r="D19" s="219"/>
      <c r="E19" s="219"/>
      <c r="F19" s="220"/>
      <c r="G19" s="221">
        <f>SUM(G6:G18)</f>
        <v>2761675.1268793042</v>
      </c>
      <c r="H19" s="222"/>
    </row>
    <row r="20" spans="1:8" ht="39" customHeight="1" thickBot="1" x14ac:dyDescent="0.25">
      <c r="B20" s="223" t="s">
        <v>278</v>
      </c>
      <c r="C20" s="795" t="s">
        <v>279</v>
      </c>
      <c r="D20" s="795"/>
      <c r="E20" s="224">
        <v>0.04</v>
      </c>
      <c r="F20" s="225"/>
      <c r="G20" s="221">
        <f>+G19*E20</f>
        <v>110467.00507517217</v>
      </c>
      <c r="H20" s="222"/>
    </row>
    <row r="21" spans="1:8" ht="24.95" customHeight="1" thickBot="1" x14ac:dyDescent="0.25">
      <c r="B21" s="517" t="s">
        <v>339</v>
      </c>
      <c r="C21" s="518"/>
      <c r="D21" s="518"/>
      <c r="E21" s="518"/>
      <c r="F21" s="518"/>
      <c r="G21" s="519">
        <f>+G19+G20</f>
        <v>2872142.1319544762</v>
      </c>
      <c r="H21" s="222"/>
    </row>
    <row r="22" spans="1:8" ht="36" customHeight="1" thickBot="1" x14ac:dyDescent="0.25">
      <c r="A22" s="227"/>
      <c r="B22" s="523" t="s">
        <v>340</v>
      </c>
      <c r="C22" s="524"/>
      <c r="D22" s="524"/>
      <c r="E22" s="524"/>
      <c r="F22" s="524"/>
      <c r="G22" s="525">
        <f>+PV(Datos!$D$110,Datos!$D$73,G21)</f>
        <v>-16228243.614838267</v>
      </c>
      <c r="H22" s="222"/>
    </row>
    <row r="23" spans="1:8" ht="15.75" customHeight="1" thickBot="1" x14ac:dyDescent="0.25">
      <c r="A23" s="227"/>
      <c r="B23" s="520"/>
      <c r="C23" s="520"/>
      <c r="D23" s="520"/>
      <c r="E23" s="520"/>
      <c r="F23" s="521"/>
      <c r="G23" s="522"/>
      <c r="H23" s="222"/>
    </row>
    <row r="24" spans="1:8" ht="14.25" customHeight="1" x14ac:dyDescent="0.2">
      <c r="A24" s="227"/>
      <c r="B24" s="789" t="str">
        <f>+CONCATENATE("COSTOS DE INVERSION - E.T. y TA: Municipio de  "&amp;Datos!C2)</f>
        <v>COSTOS DE INVERSION - E.T. y TA: Municipio de  Pehuajó</v>
      </c>
      <c r="C24" s="790"/>
      <c r="D24" s="790"/>
      <c r="E24" s="790"/>
      <c r="F24" s="790"/>
      <c r="G24" s="791"/>
      <c r="H24" s="222"/>
    </row>
    <row r="25" spans="1:8" ht="14.25" customHeight="1" thickBot="1" x14ac:dyDescent="0.25">
      <c r="A25" s="227"/>
      <c r="B25" s="792"/>
      <c r="C25" s="793"/>
      <c r="D25" s="793"/>
      <c r="E25" s="793"/>
      <c r="F25" s="793"/>
      <c r="G25" s="794"/>
      <c r="H25" s="222"/>
    </row>
    <row r="26" spans="1:8" ht="15.75" customHeight="1" thickBot="1" x14ac:dyDescent="0.3">
      <c r="A26" s="227"/>
      <c r="B26" s="207" t="s">
        <v>649</v>
      </c>
      <c r="C26" s="208" t="s">
        <v>268</v>
      </c>
      <c r="D26" s="208"/>
      <c r="E26" s="209" t="s">
        <v>115</v>
      </c>
      <c r="F26" s="209" t="s">
        <v>269</v>
      </c>
      <c r="G26" s="210" t="s">
        <v>270</v>
      </c>
      <c r="H26" s="222"/>
    </row>
    <row r="27" spans="1:8" ht="15" x14ac:dyDescent="0.2">
      <c r="A27" s="227"/>
      <c r="B27" s="798" t="s">
        <v>650</v>
      </c>
      <c r="C27" s="799"/>
      <c r="D27" s="465" t="s">
        <v>817</v>
      </c>
      <c r="E27" s="466">
        <f>IF(TA_Datos!$D$3="NO",0,TA_Datos!D28)</f>
        <v>50.390704000000007</v>
      </c>
      <c r="F27" s="467">
        <f>IF(TA_Datos!$D$3="NO",0,TR_1!F134)</f>
        <v>31902.918795504749</v>
      </c>
      <c r="G27" s="468">
        <f>+F27*E27</f>
        <v>1607610.5377603166</v>
      </c>
      <c r="H27" s="222"/>
    </row>
    <row r="28" spans="1:8" ht="15.75" customHeight="1" x14ac:dyDescent="0.2">
      <c r="A28" s="227"/>
      <c r="B28" s="800" t="s">
        <v>651</v>
      </c>
      <c r="C28" s="801"/>
      <c r="D28" s="465" t="s">
        <v>817</v>
      </c>
      <c r="E28" s="466">
        <f>+E27</f>
        <v>50.390704000000007</v>
      </c>
      <c r="F28" s="467">
        <f>IF(TA_Datos!$D$3="NO",0,TR_1!F142)</f>
        <v>30708.772857891916</v>
      </c>
      <c r="G28" s="473">
        <f>+F28*E28</f>
        <v>1547436.6832852657</v>
      </c>
      <c r="H28" s="222"/>
    </row>
    <row r="29" spans="1:8" ht="31.5" customHeight="1" x14ac:dyDescent="0.2">
      <c r="A29" s="227"/>
      <c r="B29" s="800" t="s">
        <v>652</v>
      </c>
      <c r="C29" s="801"/>
      <c r="D29" s="465" t="s">
        <v>817</v>
      </c>
      <c r="E29" s="466">
        <f>+E27</f>
        <v>50.390704000000007</v>
      </c>
      <c r="F29" s="467">
        <f>IF(TA_Datos!$D$3="NO",0,TR_1!F155)</f>
        <v>3130.5845826698333</v>
      </c>
      <c r="G29" s="473">
        <f>+F29*E29</f>
        <v>157752.36105227913</v>
      </c>
      <c r="H29" s="222"/>
    </row>
    <row r="30" spans="1:8" ht="15.75" customHeight="1" x14ac:dyDescent="0.2">
      <c r="A30" s="227"/>
      <c r="B30" s="800" t="s">
        <v>653</v>
      </c>
      <c r="C30" s="801"/>
      <c r="D30" s="465" t="s">
        <v>817</v>
      </c>
      <c r="E30" s="466">
        <f>+E27</f>
        <v>50.390704000000007</v>
      </c>
      <c r="F30" s="467">
        <f>IF(TA_Datos!$D$3="NO",0,TR_1!F164)</f>
        <v>0</v>
      </c>
      <c r="G30" s="473">
        <f>+F30*E30</f>
        <v>0</v>
      </c>
      <c r="H30" s="222"/>
    </row>
    <row r="31" spans="1:8" ht="15.75" customHeight="1" x14ac:dyDescent="0.2">
      <c r="A31" s="227"/>
      <c r="B31" s="474"/>
      <c r="C31" s="475"/>
      <c r="D31" s="465"/>
      <c r="E31" s="466"/>
      <c r="F31" s="467"/>
      <c r="G31" s="473"/>
      <c r="H31" s="222"/>
    </row>
    <row r="32" spans="1:8" ht="15.75" customHeight="1" x14ac:dyDescent="0.2">
      <c r="A32" s="227"/>
      <c r="B32" s="474"/>
      <c r="C32" s="475"/>
      <c r="D32" s="465"/>
      <c r="E32" s="466"/>
      <c r="F32" s="467"/>
      <c r="G32" s="473"/>
      <c r="H32" s="222"/>
    </row>
    <row r="33" spans="1:8" ht="15.75" customHeight="1" thickBot="1" x14ac:dyDescent="0.25">
      <c r="A33" s="227"/>
      <c r="B33" s="474"/>
      <c r="C33" s="475"/>
      <c r="D33" s="465"/>
      <c r="E33" s="466"/>
      <c r="F33" s="467"/>
      <c r="G33" s="473"/>
      <c r="H33" s="222"/>
    </row>
    <row r="34" spans="1:8" ht="25.5" customHeight="1" thickBot="1" x14ac:dyDescent="0.25">
      <c r="A34" s="227"/>
      <c r="B34" s="218" t="s">
        <v>654</v>
      </c>
      <c r="C34" s="219"/>
      <c r="D34" s="219"/>
      <c r="E34" s="219"/>
      <c r="F34" s="220"/>
      <c r="G34" s="221">
        <f>SUM(G27:G33)</f>
        <v>3312799.5820978619</v>
      </c>
      <c r="H34" s="222"/>
    </row>
    <row r="35" spans="1:8" ht="15.75" customHeight="1" thickBot="1" x14ac:dyDescent="0.25">
      <c r="A35" s="227"/>
      <c r="B35" s="471"/>
      <c r="C35" s="469"/>
      <c r="D35" s="469"/>
      <c r="E35" s="253"/>
      <c r="F35" s="253"/>
      <c r="G35" s="470"/>
      <c r="H35" s="222"/>
    </row>
    <row r="36" spans="1:8" ht="15.75" customHeight="1" thickBot="1" x14ac:dyDescent="0.3">
      <c r="A36" s="227"/>
      <c r="B36" s="207" t="s">
        <v>267</v>
      </c>
      <c r="C36" s="208" t="s">
        <v>268</v>
      </c>
      <c r="D36" s="208"/>
      <c r="E36" s="209" t="s">
        <v>115</v>
      </c>
      <c r="F36" s="209" t="s">
        <v>269</v>
      </c>
      <c r="G36" s="210" t="s">
        <v>270</v>
      </c>
      <c r="H36" s="222"/>
    </row>
    <row r="37" spans="1:8" ht="15.75" customHeight="1" x14ac:dyDescent="0.25">
      <c r="A37" s="227"/>
      <c r="B37" s="211"/>
      <c r="F37" s="212" t="s">
        <v>813</v>
      </c>
      <c r="G37" s="213" t="s">
        <v>813</v>
      </c>
      <c r="H37" s="222"/>
    </row>
    <row r="38" spans="1:8" ht="15.75" customHeight="1" x14ac:dyDescent="0.2">
      <c r="A38" s="227"/>
      <c r="B38" s="214"/>
      <c r="E38" s="212"/>
      <c r="F38" s="215"/>
      <c r="G38" s="213"/>
      <c r="H38" s="222"/>
    </row>
    <row r="39" spans="1:8" ht="15.75" customHeight="1" x14ac:dyDescent="0.2">
      <c r="A39" s="227"/>
      <c r="B39" s="214"/>
      <c r="C39" s="206" t="s">
        <v>271</v>
      </c>
      <c r="E39" s="212"/>
      <c r="F39" s="212"/>
      <c r="G39" s="213"/>
      <c r="H39" s="222"/>
    </row>
    <row r="40" spans="1:8" ht="15.75" customHeight="1" x14ac:dyDescent="0.2">
      <c r="A40" s="227"/>
      <c r="B40" s="214"/>
      <c r="D40" s="206" t="s">
        <v>336</v>
      </c>
      <c r="E40" s="212">
        <f>IF(TA_Datos!$D$3="NO",0,'TA_Evaluacion Economica'!L19+'TA_Evaluacion Economica'!M19)</f>
        <v>1</v>
      </c>
      <c r="F40" s="215">
        <f>IF(TA_Datos!$D$3="NO",0,'TA_Evaluacion Economica'!N19)</f>
        <v>372556.12434278947</v>
      </c>
      <c r="G40" s="215">
        <f>E40*F40</f>
        <v>372556.12434278947</v>
      </c>
      <c r="H40" s="222"/>
    </row>
    <row r="41" spans="1:8" ht="15.75" customHeight="1" x14ac:dyDescent="0.2">
      <c r="A41" s="227"/>
      <c r="B41" s="214"/>
      <c r="E41" s="212"/>
      <c r="F41" s="215"/>
      <c r="G41" s="215"/>
      <c r="H41" s="222"/>
    </row>
    <row r="42" spans="1:8" ht="15.75" customHeight="1" x14ac:dyDescent="0.2">
      <c r="A42" s="227"/>
      <c r="B42" s="214"/>
      <c r="E42" s="212"/>
      <c r="F42" s="215"/>
      <c r="G42" s="215"/>
      <c r="H42" s="222"/>
    </row>
    <row r="43" spans="1:8" ht="15.75" customHeight="1" x14ac:dyDescent="0.25">
      <c r="A43" s="227"/>
      <c r="B43" s="216"/>
      <c r="E43" s="212"/>
      <c r="F43" s="215"/>
      <c r="G43" s="217"/>
      <c r="H43" s="222"/>
    </row>
    <row r="44" spans="1:8" ht="15.75" customHeight="1" thickBot="1" x14ac:dyDescent="0.25">
      <c r="A44" s="227"/>
      <c r="B44" s="214"/>
      <c r="E44" s="212"/>
      <c r="F44" s="215"/>
      <c r="G44" s="217"/>
      <c r="H44" s="222"/>
    </row>
    <row r="45" spans="1:8" ht="39" customHeight="1" thickBot="1" x14ac:dyDescent="0.25">
      <c r="A45" s="227"/>
      <c r="B45" s="218" t="s">
        <v>341</v>
      </c>
      <c r="C45" s="219"/>
      <c r="D45" s="219"/>
      <c r="E45" s="219"/>
      <c r="F45" s="220"/>
      <c r="G45" s="221">
        <f>SUM(G38:G44)</f>
        <v>372556.12434278947</v>
      </c>
      <c r="H45" s="222"/>
    </row>
    <row r="46" spans="1:8" ht="39" customHeight="1" thickBot="1" x14ac:dyDescent="0.25">
      <c r="A46" s="227"/>
      <c r="B46" s="517" t="s">
        <v>655</v>
      </c>
      <c r="C46" s="518"/>
      <c r="D46" s="518"/>
      <c r="E46" s="518"/>
      <c r="F46" s="518"/>
      <c r="G46" s="704">
        <f>+G34+G45</f>
        <v>3685355.7064406513</v>
      </c>
      <c r="H46" s="222"/>
    </row>
    <row r="47" spans="1:8" ht="39" customHeight="1" thickBot="1" x14ac:dyDescent="0.25">
      <c r="A47" s="227"/>
      <c r="B47" s="523" t="s">
        <v>656</v>
      </c>
      <c r="C47" s="524"/>
      <c r="D47" s="524"/>
      <c r="E47" s="524"/>
      <c r="F47" s="524"/>
      <c r="G47" s="703">
        <f>+PV(Datos!$D$110,Datos!$D$73,G46)</f>
        <v>-20823081.680416368</v>
      </c>
      <c r="H47" s="222"/>
    </row>
    <row r="48" spans="1:8" ht="15.75" customHeight="1" x14ac:dyDescent="0.2">
      <c r="A48" s="227"/>
      <c r="B48" s="253"/>
      <c r="C48" s="253"/>
      <c r="D48" s="253"/>
      <c r="E48" s="253"/>
      <c r="F48" s="472"/>
      <c r="G48" s="476"/>
      <c r="H48" s="222"/>
    </row>
    <row r="49" spans="1:8" ht="15.75" customHeight="1" x14ac:dyDescent="0.2">
      <c r="A49" s="227"/>
      <c r="B49" s="253"/>
      <c r="C49" s="253"/>
      <c r="D49" s="253"/>
      <c r="E49" s="253"/>
      <c r="F49" s="472"/>
      <c r="G49" s="476"/>
      <c r="H49" s="222"/>
    </row>
    <row r="50" spans="1:8" ht="15.75" customHeight="1" x14ac:dyDescent="0.2">
      <c r="A50" s="227"/>
      <c r="B50" s="253"/>
      <c r="C50" s="253"/>
      <c r="D50" s="253"/>
      <c r="E50" s="253"/>
      <c r="F50" s="472"/>
      <c r="G50" s="476"/>
      <c r="H50" s="222"/>
    </row>
    <row r="51" spans="1:8" ht="15.75" customHeight="1" x14ac:dyDescent="0.2">
      <c r="A51" s="227"/>
      <c r="B51" s="253"/>
      <c r="C51" s="253"/>
      <c r="D51" s="253"/>
      <c r="E51" s="253"/>
      <c r="F51" s="472"/>
      <c r="G51" s="476"/>
      <c r="H51" s="222"/>
    </row>
    <row r="52" spans="1:8" ht="15.75" customHeight="1" x14ac:dyDescent="0.2">
      <c r="A52" s="227"/>
      <c r="B52" s="253"/>
      <c r="C52" s="253"/>
      <c r="D52" s="253"/>
      <c r="E52" s="253"/>
      <c r="F52" s="472"/>
      <c r="G52" s="476"/>
      <c r="H52" s="222"/>
    </row>
    <row r="53" spans="1:8" ht="15.75" customHeight="1" x14ac:dyDescent="0.2">
      <c r="A53" s="227"/>
      <c r="B53" s="253"/>
      <c r="C53" s="253"/>
      <c r="D53" s="253"/>
      <c r="E53" s="253"/>
      <c r="F53" s="472"/>
      <c r="G53" s="476"/>
      <c r="H53" s="222"/>
    </row>
    <row r="54" spans="1:8" ht="15.75" customHeight="1" x14ac:dyDescent="0.2">
      <c r="A54" s="227"/>
      <c r="B54" s="253"/>
      <c r="C54" s="253"/>
      <c r="D54" s="253"/>
      <c r="E54" s="253"/>
      <c r="F54" s="472"/>
      <c r="G54" s="476"/>
      <c r="H54" s="222"/>
    </row>
    <row r="55" spans="1:8" ht="15.75" customHeight="1" x14ac:dyDescent="0.2">
      <c r="A55" s="227"/>
      <c r="B55" s="253"/>
      <c r="C55" s="253"/>
      <c r="D55" s="253"/>
      <c r="E55" s="253"/>
      <c r="F55" s="472"/>
      <c r="G55" s="476"/>
      <c r="H55" s="222"/>
    </row>
    <row r="56" spans="1:8" ht="15.75" customHeight="1" x14ac:dyDescent="0.2">
      <c r="A56" s="227"/>
      <c r="B56" s="253"/>
      <c r="C56" s="253"/>
      <c r="D56" s="253"/>
      <c r="E56" s="253"/>
      <c r="F56" s="472"/>
      <c r="G56" s="476"/>
      <c r="H56" s="222"/>
    </row>
    <row r="57" spans="1:8" ht="20.100000000000001" customHeight="1" x14ac:dyDescent="0.2">
      <c r="A57" s="227"/>
      <c r="B57" s="253"/>
      <c r="C57" s="253"/>
      <c r="D57" s="253"/>
      <c r="E57" s="253"/>
      <c r="F57" s="472"/>
      <c r="G57" s="476"/>
      <c r="H57" s="222"/>
    </row>
    <row r="58" spans="1:8" ht="20.100000000000001" customHeight="1" x14ac:dyDescent="0.2">
      <c r="A58" s="227"/>
      <c r="B58" s="253"/>
      <c r="C58" s="253"/>
      <c r="D58" s="253"/>
      <c r="E58" s="253"/>
      <c r="F58" s="472"/>
      <c r="G58" s="476"/>
      <c r="H58" s="222"/>
    </row>
    <row r="59" spans="1:8" ht="20.100000000000001" customHeight="1" x14ac:dyDescent="0.25">
      <c r="A59" s="280"/>
      <c r="B59" s="253"/>
      <c r="C59" s="253"/>
      <c r="D59" s="253"/>
      <c r="E59" s="253"/>
      <c r="F59" s="472"/>
      <c r="G59" s="476"/>
      <c r="H59" s="222"/>
    </row>
    <row r="60" spans="1:8" ht="20.100000000000001" customHeight="1" x14ac:dyDescent="0.2">
      <c r="A60" s="227"/>
      <c r="B60" s="253"/>
      <c r="C60" s="253"/>
      <c r="D60" s="253"/>
      <c r="E60" s="253"/>
      <c r="F60" s="472"/>
      <c r="G60" s="476"/>
      <c r="H60" s="222"/>
    </row>
    <row r="61" spans="1:8" ht="15.75" customHeight="1" x14ac:dyDescent="0.2">
      <c r="A61" s="227"/>
      <c r="B61" s="253"/>
      <c r="C61" s="253"/>
      <c r="D61" s="253"/>
      <c r="E61" s="253"/>
      <c r="F61" s="472"/>
      <c r="G61" s="476"/>
      <c r="H61" s="222"/>
    </row>
    <row r="62" spans="1:8" ht="15.75" customHeight="1" x14ac:dyDescent="0.2">
      <c r="A62" s="227"/>
      <c r="B62" s="253"/>
      <c r="C62" s="253"/>
      <c r="D62" s="253"/>
      <c r="E62" s="253"/>
      <c r="F62" s="472"/>
      <c r="G62" s="476"/>
      <c r="H62" s="222"/>
    </row>
    <row r="63" spans="1:8" ht="15.75" customHeight="1" x14ac:dyDescent="0.2">
      <c r="A63" s="227"/>
      <c r="B63" s="253"/>
      <c r="C63" s="253"/>
      <c r="D63" s="253"/>
      <c r="E63" s="253"/>
      <c r="F63" s="472"/>
      <c r="G63" s="476"/>
      <c r="H63" s="222"/>
    </row>
    <row r="64" spans="1:8" ht="15.75" customHeight="1" x14ac:dyDescent="0.2">
      <c r="A64" s="227"/>
      <c r="B64" s="253"/>
      <c r="C64" s="253"/>
      <c r="D64" s="253"/>
      <c r="E64" s="253"/>
      <c r="F64" s="472"/>
      <c r="G64" s="476"/>
      <c r="H64" s="222"/>
    </row>
    <row r="65" spans="1:8" ht="15.75" customHeight="1" x14ac:dyDescent="0.2">
      <c r="A65" s="227"/>
      <c r="B65" s="253"/>
      <c r="C65" s="253"/>
      <c r="D65" s="253"/>
      <c r="E65" s="253"/>
      <c r="F65" s="472"/>
      <c r="G65" s="476"/>
      <c r="H65" s="222"/>
    </row>
    <row r="66" spans="1:8" ht="15.75" customHeight="1" x14ac:dyDescent="0.2">
      <c r="A66" s="227"/>
      <c r="B66" s="253"/>
      <c r="C66" s="253"/>
      <c r="D66" s="253"/>
      <c r="E66" s="253"/>
      <c r="F66" s="472"/>
      <c r="G66" s="476"/>
      <c r="H66" s="222"/>
    </row>
    <row r="67" spans="1:8" ht="15.75" customHeight="1" x14ac:dyDescent="0.2">
      <c r="A67" s="227"/>
      <c r="B67" s="253"/>
      <c r="C67" s="253"/>
      <c r="D67" s="253"/>
      <c r="E67" s="253"/>
      <c r="F67" s="472"/>
      <c r="G67" s="476"/>
      <c r="H67" s="222"/>
    </row>
    <row r="68" spans="1:8" ht="15.75" customHeight="1" x14ac:dyDescent="0.2">
      <c r="A68" s="227"/>
      <c r="B68" s="253"/>
      <c r="C68" s="253"/>
      <c r="D68" s="253"/>
      <c r="E68" s="253"/>
      <c r="F68" s="472"/>
      <c r="G68" s="476"/>
      <c r="H68" s="222"/>
    </row>
    <row r="69" spans="1:8" ht="15.75" customHeight="1" x14ac:dyDescent="0.2">
      <c r="A69" s="227"/>
      <c r="B69" s="253"/>
      <c r="C69" s="253"/>
      <c r="D69" s="253"/>
      <c r="E69" s="253"/>
      <c r="F69" s="472"/>
      <c r="G69" s="476"/>
      <c r="H69" s="222"/>
    </row>
    <row r="70" spans="1:8" ht="15.75" customHeight="1" x14ac:dyDescent="0.2">
      <c r="A70" s="227"/>
      <c r="B70" s="253"/>
      <c r="C70" s="253"/>
      <c r="D70" s="253"/>
      <c r="E70" s="253"/>
      <c r="F70" s="472"/>
      <c r="G70" s="476"/>
      <c r="H70" s="222"/>
    </row>
    <row r="71" spans="1:8" ht="15.75" customHeight="1" x14ac:dyDescent="0.2">
      <c r="A71" s="227"/>
      <c r="B71" s="253"/>
      <c r="C71" s="253"/>
      <c r="D71" s="253"/>
      <c r="E71" s="253"/>
      <c r="F71" s="472"/>
      <c r="G71" s="476"/>
      <c r="H71" s="222"/>
    </row>
    <row r="72" spans="1:8" ht="15.75" customHeight="1" x14ac:dyDescent="0.2">
      <c r="A72" s="227"/>
      <c r="B72" s="253"/>
      <c r="C72" s="253"/>
      <c r="D72" s="253"/>
      <c r="E72" s="253"/>
      <c r="F72" s="472"/>
      <c r="G72" s="476"/>
      <c r="H72" s="222"/>
    </row>
    <row r="73" spans="1:8" ht="15.75" customHeight="1" x14ac:dyDescent="0.2">
      <c r="A73" s="227"/>
      <c r="B73" s="253"/>
      <c r="C73" s="253"/>
      <c r="D73" s="253"/>
      <c r="E73" s="253"/>
      <c r="F73" s="472"/>
      <c r="G73" s="476"/>
      <c r="H73" s="222"/>
    </row>
    <row r="74" spans="1:8" ht="15.75" customHeight="1" x14ac:dyDescent="0.2">
      <c r="A74" s="227"/>
      <c r="B74" s="253"/>
      <c r="C74" s="253"/>
      <c r="D74" s="253"/>
      <c r="E74" s="253"/>
      <c r="F74" s="472"/>
      <c r="G74" s="476"/>
      <c r="H74" s="222"/>
    </row>
    <row r="75" spans="1:8" ht="15.75" customHeight="1" x14ac:dyDescent="0.2">
      <c r="A75" s="227"/>
      <c r="B75" s="253"/>
      <c r="C75" s="253"/>
      <c r="D75" s="253"/>
      <c r="E75" s="253"/>
      <c r="F75" s="472"/>
      <c r="G75" s="476"/>
      <c r="H75" s="222"/>
    </row>
    <row r="76" spans="1:8" ht="15.75" customHeight="1" x14ac:dyDescent="0.2">
      <c r="A76" s="227"/>
      <c r="B76" s="253"/>
      <c r="C76" s="253"/>
      <c r="D76" s="253"/>
      <c r="E76" s="253"/>
      <c r="F76" s="472"/>
      <c r="G76" s="476"/>
      <c r="H76" s="222"/>
    </row>
    <row r="77" spans="1:8" ht="15.75" customHeight="1" x14ac:dyDescent="0.2">
      <c r="A77" s="227"/>
      <c r="B77" s="276"/>
      <c r="C77" s="276"/>
      <c r="D77" s="276"/>
      <c r="E77" s="276"/>
      <c r="F77" s="277"/>
      <c r="G77" s="278"/>
      <c r="H77" s="222"/>
    </row>
    <row r="78" spans="1:8" ht="15.75" customHeight="1" x14ac:dyDescent="0.2">
      <c r="A78" s="227"/>
      <c r="B78" s="276"/>
      <c r="C78" s="276"/>
      <c r="D78" s="276"/>
      <c r="E78" s="276"/>
      <c r="F78" s="277"/>
      <c r="G78" s="278"/>
      <c r="H78" s="222"/>
    </row>
    <row r="79" spans="1:8" ht="15.75" customHeight="1" x14ac:dyDescent="0.2">
      <c r="A79" s="227"/>
      <c r="B79" s="276"/>
      <c r="C79" s="276"/>
      <c r="D79" s="276"/>
      <c r="E79" s="276"/>
      <c r="F79" s="277"/>
      <c r="G79" s="278"/>
      <c r="H79" s="222"/>
    </row>
    <row r="80" spans="1:8" ht="15.75" customHeight="1" x14ac:dyDescent="0.2">
      <c r="A80" s="227"/>
      <c r="B80" s="276"/>
      <c r="C80" s="276"/>
      <c r="D80" s="276"/>
      <c r="E80" s="276"/>
      <c r="F80" s="277"/>
      <c r="G80" s="278"/>
      <c r="H80" s="222"/>
    </row>
    <row r="81" spans="1:8" ht="15.75" customHeight="1" x14ac:dyDescent="0.2">
      <c r="A81" s="227"/>
      <c r="B81" s="276"/>
      <c r="C81" s="276"/>
      <c r="D81" s="276"/>
      <c r="E81" s="276"/>
      <c r="F81" s="277"/>
      <c r="G81" s="278"/>
      <c r="H81" s="222"/>
    </row>
    <row r="82" spans="1:8" ht="15.75" customHeight="1" x14ac:dyDescent="0.2">
      <c r="A82" s="227"/>
      <c r="B82" s="276"/>
      <c r="C82" s="276"/>
      <c r="D82" s="276"/>
      <c r="E82" s="276"/>
      <c r="F82" s="277"/>
      <c r="G82" s="278"/>
      <c r="H82" s="222"/>
    </row>
    <row r="83" spans="1:8" ht="15.75" customHeight="1" x14ac:dyDescent="0.2">
      <c r="A83" s="227"/>
      <c r="B83" s="276"/>
      <c r="C83" s="276"/>
      <c r="D83" s="276"/>
      <c r="E83" s="276"/>
      <c r="F83" s="277"/>
      <c r="G83" s="278"/>
      <c r="H83" s="222"/>
    </row>
    <row r="84" spans="1:8" ht="15.75" customHeight="1" x14ac:dyDescent="0.2">
      <c r="A84" s="227"/>
      <c r="B84" s="276"/>
      <c r="C84" s="276"/>
      <c r="D84" s="276"/>
      <c r="E84" s="276"/>
      <c r="F84" s="277"/>
      <c r="G84" s="278"/>
      <c r="H84" s="222"/>
    </row>
    <row r="85" spans="1:8" ht="15.75" customHeight="1" x14ac:dyDescent="0.2">
      <c r="A85" s="227"/>
      <c r="B85" s="276"/>
      <c r="C85" s="276"/>
      <c r="D85" s="276"/>
      <c r="E85" s="276"/>
      <c r="F85" s="277"/>
      <c r="G85" s="278"/>
      <c r="H85" s="222"/>
    </row>
    <row r="86" spans="1:8" ht="15.75" customHeight="1" x14ac:dyDescent="0.2">
      <c r="A86" s="227"/>
      <c r="B86" s="276"/>
      <c r="C86" s="276"/>
      <c r="D86" s="276"/>
      <c r="E86" s="276"/>
      <c r="F86" s="277"/>
      <c r="G86" s="278"/>
      <c r="H86" s="222"/>
    </row>
    <row r="87" spans="1:8" ht="15.75" customHeight="1" x14ac:dyDescent="0.2">
      <c r="A87" s="227"/>
      <c r="B87" s="276"/>
      <c r="C87" s="276"/>
      <c r="D87" s="276"/>
      <c r="E87" s="276"/>
      <c r="F87" s="277"/>
      <c r="G87" s="278"/>
      <c r="H87" s="222"/>
    </row>
    <row r="88" spans="1:8" ht="15.75" customHeight="1" x14ac:dyDescent="0.2">
      <c r="A88" s="227"/>
      <c r="B88" s="276"/>
      <c r="C88" s="276"/>
      <c r="D88" s="276"/>
      <c r="E88" s="276"/>
      <c r="F88" s="277"/>
      <c r="G88" s="278"/>
      <c r="H88" s="222"/>
    </row>
    <row r="89" spans="1:8" ht="15.75" customHeight="1" x14ac:dyDescent="0.2">
      <c r="A89" s="227"/>
      <c r="B89" s="276"/>
      <c r="C89" s="276"/>
      <c r="D89" s="276"/>
      <c r="E89" s="276"/>
      <c r="F89" s="277"/>
      <c r="G89" s="278"/>
      <c r="H89" s="222"/>
    </row>
    <row r="90" spans="1:8" ht="15.75" customHeight="1" x14ac:dyDescent="0.2">
      <c r="A90" s="227"/>
      <c r="B90" s="276"/>
      <c r="C90" s="276"/>
      <c r="D90" s="276"/>
      <c r="E90" s="276"/>
      <c r="F90" s="277"/>
      <c r="G90" s="278"/>
      <c r="H90" s="222"/>
    </row>
    <row r="91" spans="1:8" ht="15.75" customHeight="1" x14ac:dyDescent="0.2">
      <c r="A91" s="227"/>
      <c r="B91" s="276"/>
      <c r="C91" s="276"/>
      <c r="D91" s="276"/>
      <c r="E91" s="276"/>
      <c r="F91" s="277"/>
      <c r="G91" s="278"/>
      <c r="H91" s="222"/>
    </row>
    <row r="92" spans="1:8" ht="15.75" customHeight="1" x14ac:dyDescent="0.2">
      <c r="A92" s="227"/>
      <c r="B92" s="276"/>
      <c r="C92" s="276"/>
      <c r="D92" s="276"/>
      <c r="E92" s="276"/>
      <c r="F92" s="277"/>
      <c r="G92" s="278"/>
      <c r="H92" s="222"/>
    </row>
    <row r="93" spans="1:8" ht="15.75" customHeight="1" x14ac:dyDescent="0.2">
      <c r="A93" s="227"/>
      <c r="B93" s="276"/>
      <c r="C93" s="276"/>
      <c r="D93" s="276"/>
      <c r="E93" s="276"/>
      <c r="F93" s="277"/>
      <c r="G93" s="278"/>
      <c r="H93" s="222"/>
    </row>
    <row r="94" spans="1:8" ht="15.75" customHeight="1" x14ac:dyDescent="0.2">
      <c r="A94" s="227"/>
      <c r="B94" s="276"/>
      <c r="C94" s="276"/>
      <c r="D94" s="276"/>
      <c r="E94" s="276"/>
      <c r="F94" s="277"/>
      <c r="G94" s="278"/>
      <c r="H94" s="222"/>
    </row>
    <row r="95" spans="1:8" ht="15.75" customHeight="1" x14ac:dyDescent="0.2">
      <c r="A95" s="227"/>
      <c r="B95" s="276"/>
      <c r="C95" s="276"/>
      <c r="D95" s="276"/>
      <c r="E95" s="276"/>
      <c r="F95" s="277"/>
      <c r="G95" s="278"/>
      <c r="H95" s="222"/>
    </row>
    <row r="96" spans="1:8" ht="15.75" customHeight="1" x14ac:dyDescent="0.2">
      <c r="A96" s="227"/>
      <c r="B96" s="276"/>
      <c r="C96" s="276"/>
      <c r="D96" s="276"/>
      <c r="E96" s="276"/>
      <c r="F96" s="277"/>
      <c r="G96" s="278"/>
      <c r="H96" s="222"/>
    </row>
    <row r="97" spans="1:8" ht="15.75" customHeight="1" x14ac:dyDescent="0.2">
      <c r="A97" s="227"/>
      <c r="B97" s="276"/>
      <c r="C97" s="276"/>
      <c r="D97" s="276"/>
      <c r="E97" s="276"/>
      <c r="F97" s="277"/>
      <c r="G97" s="278"/>
      <c r="H97" s="222"/>
    </row>
    <row r="98" spans="1:8" ht="15.75" customHeight="1" x14ac:dyDescent="0.2">
      <c r="A98" s="227"/>
      <c r="B98" s="276"/>
      <c r="C98" s="276"/>
      <c r="D98" s="276"/>
      <c r="E98" s="276"/>
      <c r="F98" s="277"/>
      <c r="G98" s="278"/>
      <c r="H98" s="222"/>
    </row>
    <row r="99" spans="1:8" ht="15.75" customHeight="1" x14ac:dyDescent="0.2">
      <c r="A99" s="227"/>
      <c r="B99" s="276"/>
      <c r="C99" s="276"/>
      <c r="D99" s="276"/>
      <c r="E99" s="276"/>
      <c r="F99" s="277"/>
      <c r="G99" s="278"/>
      <c r="H99" s="222"/>
    </row>
    <row r="100" spans="1:8" ht="15.75" customHeight="1" x14ac:dyDescent="0.2">
      <c r="A100" s="227"/>
      <c r="B100" s="276"/>
      <c r="C100" s="276"/>
      <c r="D100" s="276"/>
      <c r="E100" s="276"/>
      <c r="F100" s="277"/>
      <c r="G100" s="278"/>
      <c r="H100" s="222"/>
    </row>
    <row r="101" spans="1:8" ht="15.75" customHeight="1" x14ac:dyDescent="0.2">
      <c r="A101" s="227"/>
      <c r="B101" s="276"/>
      <c r="C101" s="276"/>
      <c r="D101" s="276"/>
      <c r="E101" s="276"/>
      <c r="F101" s="277"/>
      <c r="G101" s="278"/>
      <c r="H101" s="222"/>
    </row>
    <row r="102" spans="1:8" ht="15.75" customHeight="1" x14ac:dyDescent="0.2">
      <c r="A102" s="227"/>
      <c r="B102" s="276"/>
      <c r="C102" s="276"/>
      <c r="D102" s="276"/>
      <c r="E102" s="276"/>
      <c r="F102" s="277"/>
      <c r="G102" s="278"/>
      <c r="H102" s="222"/>
    </row>
    <row r="103" spans="1:8" ht="15.75" customHeight="1" x14ac:dyDescent="0.2">
      <c r="A103" s="227"/>
      <c r="B103" s="276"/>
      <c r="C103" s="276"/>
      <c r="D103" s="276"/>
      <c r="E103" s="276"/>
      <c r="F103" s="277"/>
      <c r="G103" s="278"/>
      <c r="H103" s="222"/>
    </row>
    <row r="104" spans="1:8" ht="15.75" customHeight="1" x14ac:dyDescent="0.2">
      <c r="A104" s="227"/>
      <c r="B104" s="276"/>
      <c r="C104" s="276"/>
      <c r="D104" s="276"/>
      <c r="E104" s="276"/>
      <c r="F104" s="277"/>
      <c r="G104" s="278"/>
      <c r="H104" s="222"/>
    </row>
    <row r="105" spans="1:8" ht="15.75" customHeight="1" x14ac:dyDescent="0.2">
      <c r="A105" s="227"/>
      <c r="B105" s="276"/>
      <c r="C105" s="276"/>
      <c r="D105" s="276"/>
      <c r="E105" s="276"/>
      <c r="F105" s="277"/>
      <c r="G105" s="278"/>
      <c r="H105" s="222"/>
    </row>
    <row r="106" spans="1:8" ht="15.75" customHeight="1" x14ac:dyDescent="0.2">
      <c r="A106" s="227"/>
      <c r="B106" s="276"/>
      <c r="C106" s="276"/>
      <c r="D106" s="276"/>
      <c r="E106" s="276"/>
      <c r="F106" s="277"/>
      <c r="G106" s="278"/>
      <c r="H106" s="222"/>
    </row>
    <row r="107" spans="1:8" ht="15.75" customHeight="1" x14ac:dyDescent="0.2">
      <c r="A107" s="227"/>
      <c r="B107" s="276"/>
      <c r="C107" s="276"/>
      <c r="D107" s="276"/>
      <c r="E107" s="276"/>
      <c r="F107" s="277"/>
      <c r="G107" s="278"/>
      <c r="H107" s="222"/>
    </row>
    <row r="108" spans="1:8" ht="15.75" customHeight="1" x14ac:dyDescent="0.2">
      <c r="A108" s="227"/>
      <c r="B108" s="276"/>
      <c r="C108" s="276"/>
      <c r="D108" s="276"/>
      <c r="E108" s="276"/>
      <c r="F108" s="277"/>
      <c r="G108" s="278"/>
      <c r="H108" s="222"/>
    </row>
    <row r="109" spans="1:8" ht="15.75" customHeight="1" x14ac:dyDescent="0.2">
      <c r="A109" s="227"/>
      <c r="B109" s="276"/>
      <c r="C109" s="276"/>
      <c r="D109" s="276"/>
      <c r="E109" s="276"/>
      <c r="F109" s="277"/>
      <c r="G109" s="278"/>
      <c r="H109" s="222"/>
    </row>
    <row r="110" spans="1:8" ht="15.75" customHeight="1" x14ac:dyDescent="0.2">
      <c r="A110" s="227"/>
      <c r="B110" s="276"/>
      <c r="C110" s="276"/>
      <c r="D110" s="276"/>
      <c r="E110" s="276"/>
      <c r="F110" s="277"/>
      <c r="G110" s="278"/>
      <c r="H110" s="222"/>
    </row>
    <row r="111" spans="1:8" ht="15.75" customHeight="1" x14ac:dyDescent="0.2">
      <c r="A111" s="227"/>
      <c r="B111" s="276"/>
      <c r="C111" s="276"/>
      <c r="D111" s="276"/>
      <c r="E111" s="276"/>
      <c r="F111" s="277"/>
      <c r="G111" s="278"/>
      <c r="H111" s="222"/>
    </row>
    <row r="112" spans="1:8" ht="15.75" customHeight="1" x14ac:dyDescent="0.2">
      <c r="A112" s="227"/>
      <c r="B112" s="276"/>
      <c r="C112" s="276"/>
      <c r="D112" s="276"/>
      <c r="E112" s="276"/>
      <c r="F112" s="277"/>
      <c r="G112" s="278"/>
      <c r="H112" s="222"/>
    </row>
    <row r="113" spans="1:8" ht="15.75" customHeight="1" x14ac:dyDescent="0.2">
      <c r="A113" s="227"/>
      <c r="B113" s="276"/>
      <c r="C113" s="276"/>
      <c r="D113" s="276"/>
      <c r="E113" s="276"/>
      <c r="F113" s="277"/>
      <c r="G113" s="278"/>
      <c r="H113" s="222"/>
    </row>
    <row r="114" spans="1:8" ht="15.75" customHeight="1" x14ac:dyDescent="0.2">
      <c r="A114" s="227"/>
      <c r="B114" s="276"/>
      <c r="C114" s="276"/>
      <c r="D114" s="276"/>
      <c r="E114" s="276"/>
      <c r="F114" s="277"/>
      <c r="G114" s="278"/>
      <c r="H114" s="222"/>
    </row>
    <row r="115" spans="1:8" ht="15.75" customHeight="1" x14ac:dyDescent="0.2">
      <c r="A115" s="227"/>
      <c r="B115" s="276"/>
      <c r="C115" s="276"/>
      <c r="D115" s="276"/>
      <c r="E115" s="276"/>
      <c r="F115" s="277"/>
      <c r="G115" s="278"/>
      <c r="H115" s="222"/>
    </row>
    <row r="116" spans="1:8" ht="14.25" customHeight="1" x14ac:dyDescent="0.2">
      <c r="A116" s="227"/>
      <c r="B116" s="276"/>
      <c r="C116" s="276"/>
      <c r="D116" s="276"/>
      <c r="E116" s="276"/>
      <c r="F116" s="277"/>
      <c r="G116" s="278"/>
      <c r="H116" s="222"/>
    </row>
    <row r="117" spans="1:8" ht="15.75" customHeight="1" x14ac:dyDescent="0.2">
      <c r="A117" s="227"/>
      <c r="B117" s="276"/>
      <c r="C117" s="276"/>
      <c r="D117" s="276"/>
      <c r="E117" s="276"/>
      <c r="F117" s="277"/>
      <c r="G117" s="278"/>
      <c r="H117" s="222"/>
    </row>
    <row r="118" spans="1:8" ht="15.75" customHeight="1" x14ac:dyDescent="0.2">
      <c r="A118" s="227"/>
      <c r="B118" s="276"/>
      <c r="C118" s="276"/>
      <c r="D118" s="276"/>
      <c r="E118" s="276"/>
      <c r="F118" s="277"/>
      <c r="G118" s="278"/>
      <c r="H118" s="222"/>
    </row>
    <row r="119" spans="1:8" ht="15.75" thickBot="1" x14ac:dyDescent="0.25">
      <c r="A119" s="227"/>
      <c r="B119" s="227"/>
      <c r="E119" s="212"/>
      <c r="F119" s="215"/>
      <c r="G119" s="215"/>
    </row>
    <row r="120" spans="1:8" ht="15.75" thickBot="1" x14ac:dyDescent="0.3">
      <c r="B120" s="796" t="s">
        <v>281</v>
      </c>
      <c r="C120" s="797"/>
      <c r="D120" s="797"/>
      <c r="E120" s="797"/>
      <c r="F120" s="797"/>
      <c r="G120" s="797"/>
    </row>
    <row r="121" spans="1:8" ht="15.75" thickBot="1" x14ac:dyDescent="0.3">
      <c r="B121" s="228"/>
      <c r="C121" s="229" t="s">
        <v>282</v>
      </c>
      <c r="D121" s="230" t="s">
        <v>283</v>
      </c>
      <c r="E121" s="231" t="s">
        <v>115</v>
      </c>
      <c r="F121" s="231" t="s">
        <v>269</v>
      </c>
      <c r="G121" s="231" t="s">
        <v>284</v>
      </c>
    </row>
    <row r="122" spans="1:8" ht="15" x14ac:dyDescent="0.25">
      <c r="B122" s="232">
        <f>+B5</f>
        <v>0</v>
      </c>
      <c r="C122" s="233"/>
      <c r="D122" s="233"/>
      <c r="E122" s="234"/>
      <c r="F122" s="234" t="s">
        <v>813</v>
      </c>
      <c r="G122" s="234" t="s">
        <v>813</v>
      </c>
    </row>
    <row r="123" spans="1:8" ht="15" x14ac:dyDescent="0.25">
      <c r="B123" s="214"/>
      <c r="C123" s="235"/>
      <c r="D123" s="236"/>
      <c r="E123" s="237"/>
      <c r="F123" s="238"/>
      <c r="G123" s="238"/>
    </row>
    <row r="124" spans="1:8" x14ac:dyDescent="0.2">
      <c r="B124" s="214"/>
      <c r="C124" s="236" t="s">
        <v>285</v>
      </c>
      <c r="D124" s="239" t="s">
        <v>286</v>
      </c>
      <c r="E124" s="237">
        <v>1</v>
      </c>
      <c r="F124" s="238">
        <f>850*12</f>
        <v>10200</v>
      </c>
      <c r="G124" s="238">
        <f>F124*E124</f>
        <v>10200</v>
      </c>
    </row>
    <row r="125" spans="1:8" x14ac:dyDescent="0.2">
      <c r="B125" s="214"/>
      <c r="C125" s="236" t="s">
        <v>287</v>
      </c>
      <c r="D125" s="239" t="s">
        <v>286</v>
      </c>
      <c r="E125" s="237">
        <v>1</v>
      </c>
      <c r="F125" s="238">
        <f>600*12</f>
        <v>7200</v>
      </c>
      <c r="G125" s="238">
        <f>F125*E125</f>
        <v>7200</v>
      </c>
    </row>
    <row r="126" spans="1:8" x14ac:dyDescent="0.2">
      <c r="B126" s="214"/>
      <c r="C126" s="236" t="s">
        <v>288</v>
      </c>
      <c r="D126" s="239" t="s">
        <v>289</v>
      </c>
      <c r="E126" s="237">
        <v>1</v>
      </c>
      <c r="F126" s="238">
        <f>900*12</f>
        <v>10800</v>
      </c>
      <c r="G126" s="238">
        <f>F126*E126</f>
        <v>10800</v>
      </c>
    </row>
    <row r="127" spans="1:8" x14ac:dyDescent="0.2">
      <c r="B127" s="214"/>
      <c r="C127" s="240"/>
      <c r="D127" s="240"/>
      <c r="E127" s="241"/>
      <c r="F127" s="242"/>
      <c r="G127" s="242"/>
    </row>
    <row r="128" spans="1:8" x14ac:dyDescent="0.2">
      <c r="B128" s="214"/>
      <c r="C128" s="236" t="s">
        <v>290</v>
      </c>
      <c r="D128" s="236"/>
      <c r="E128" s="237"/>
      <c r="F128" s="238"/>
      <c r="G128" s="238"/>
    </row>
    <row r="129" spans="2:7" x14ac:dyDescent="0.2">
      <c r="B129" s="214"/>
      <c r="C129" s="236"/>
      <c r="D129" s="236" t="s">
        <v>291</v>
      </c>
      <c r="E129" s="237">
        <v>2</v>
      </c>
      <c r="F129" s="238">
        <f>400*12</f>
        <v>4800</v>
      </c>
      <c r="G129" s="238">
        <f>E129*F129</f>
        <v>9600</v>
      </c>
    </row>
    <row r="130" spans="2:7" x14ac:dyDescent="0.2">
      <c r="B130" s="214"/>
      <c r="C130" s="236"/>
      <c r="D130" s="236" t="s">
        <v>292</v>
      </c>
      <c r="E130" s="237">
        <v>1</v>
      </c>
      <c r="F130" s="238">
        <f>600*12</f>
        <v>7200</v>
      </c>
      <c r="G130" s="238">
        <f>E130*F130</f>
        <v>7200</v>
      </c>
    </row>
    <row r="131" spans="2:7" x14ac:dyDescent="0.2">
      <c r="B131" s="214"/>
      <c r="C131" s="236"/>
      <c r="D131" s="236" t="s">
        <v>293</v>
      </c>
      <c r="E131" s="237">
        <v>1</v>
      </c>
      <c r="F131" s="238">
        <f>600*12</f>
        <v>7200</v>
      </c>
      <c r="G131" s="238">
        <f>E131*F131</f>
        <v>7200</v>
      </c>
    </row>
    <row r="132" spans="2:7" x14ac:dyDescent="0.2">
      <c r="B132" s="214"/>
      <c r="C132" s="236"/>
      <c r="D132" s="236" t="s">
        <v>294</v>
      </c>
      <c r="E132" s="237">
        <v>4</v>
      </c>
      <c r="F132" s="238">
        <f>150*12</f>
        <v>1800</v>
      </c>
      <c r="G132" s="238">
        <f>E132*F132</f>
        <v>7200</v>
      </c>
    </row>
    <row r="133" spans="2:7" x14ac:dyDescent="0.2">
      <c r="B133" s="214"/>
      <c r="C133" s="236"/>
      <c r="D133" s="236"/>
      <c r="E133" s="237"/>
      <c r="F133" s="238"/>
      <c r="G133" s="238"/>
    </row>
    <row r="134" spans="2:7" ht="15" x14ac:dyDescent="0.25">
      <c r="B134" s="214"/>
      <c r="C134" s="235"/>
      <c r="D134" s="236" t="s">
        <v>295</v>
      </c>
      <c r="E134" s="237"/>
      <c r="F134" s="238">
        <f>500*8.05</f>
        <v>4025.0000000000005</v>
      </c>
      <c r="G134" s="238">
        <f>E134*F134</f>
        <v>0</v>
      </c>
    </row>
    <row r="135" spans="2:7" x14ac:dyDescent="0.2">
      <c r="B135" s="214"/>
      <c r="C135" s="236"/>
      <c r="D135" s="236" t="s">
        <v>296</v>
      </c>
      <c r="E135" s="237"/>
      <c r="F135" s="238">
        <f>540*8.05</f>
        <v>4347</v>
      </c>
      <c r="G135" s="238">
        <f>E135*F135</f>
        <v>0</v>
      </c>
    </row>
    <row r="136" spans="2:7" x14ac:dyDescent="0.2">
      <c r="B136" s="214"/>
      <c r="C136" s="236"/>
      <c r="D136" s="236"/>
      <c r="E136" s="237"/>
      <c r="F136" s="238"/>
      <c r="G136" s="238"/>
    </row>
    <row r="137" spans="2:7" x14ac:dyDescent="0.2">
      <c r="B137" s="214"/>
      <c r="C137" s="236"/>
      <c r="D137" s="236" t="s">
        <v>297</v>
      </c>
      <c r="E137" s="237">
        <v>1</v>
      </c>
      <c r="F137" s="238">
        <f>400*12</f>
        <v>4800</v>
      </c>
      <c r="G137" s="238">
        <f t="shared" ref="G137:G143" si="0">E137*F137</f>
        <v>4800</v>
      </c>
    </row>
    <row r="138" spans="2:7" x14ac:dyDescent="0.2">
      <c r="B138" s="214"/>
      <c r="C138" s="236"/>
      <c r="D138" s="236" t="s">
        <v>298</v>
      </c>
      <c r="E138" s="237">
        <v>1</v>
      </c>
      <c r="F138" s="238">
        <f>600*12</f>
        <v>7200</v>
      </c>
      <c r="G138" s="238">
        <f t="shared" si="0"/>
        <v>7200</v>
      </c>
    </row>
    <row r="139" spans="2:7" x14ac:dyDescent="0.2">
      <c r="B139" s="214"/>
      <c r="C139" s="236"/>
      <c r="D139" s="236" t="s">
        <v>299</v>
      </c>
      <c r="E139" s="237">
        <v>0</v>
      </c>
      <c r="F139" s="238">
        <f>600*12</f>
        <v>7200</v>
      </c>
      <c r="G139" s="238">
        <f t="shared" si="0"/>
        <v>0</v>
      </c>
    </row>
    <row r="140" spans="2:7" ht="15" x14ac:dyDescent="0.25">
      <c r="B140" s="214"/>
      <c r="C140" s="235"/>
      <c r="D140" s="236" t="s">
        <v>300</v>
      </c>
      <c r="E140" s="243">
        <v>5</v>
      </c>
      <c r="F140" s="244">
        <f>600*8.05</f>
        <v>4830</v>
      </c>
      <c r="G140" s="238">
        <f t="shared" si="0"/>
        <v>24150</v>
      </c>
    </row>
    <row r="141" spans="2:7" ht="15" x14ac:dyDescent="0.25">
      <c r="B141" s="214"/>
      <c r="C141" s="235"/>
      <c r="D141" s="236" t="s">
        <v>301</v>
      </c>
      <c r="E141" s="243">
        <v>6</v>
      </c>
      <c r="F141" s="244">
        <f>1500*8.05</f>
        <v>12075.000000000002</v>
      </c>
      <c r="G141" s="238">
        <f t="shared" si="0"/>
        <v>72450.000000000015</v>
      </c>
    </row>
    <row r="142" spans="2:7" ht="15" x14ac:dyDescent="0.25">
      <c r="B142" s="214"/>
      <c r="C142" s="235"/>
      <c r="D142" s="236" t="s">
        <v>302</v>
      </c>
      <c r="E142" s="243">
        <v>50</v>
      </c>
      <c r="F142" s="244">
        <f>300*8.05</f>
        <v>2415</v>
      </c>
      <c r="G142" s="238">
        <f t="shared" si="0"/>
        <v>120750</v>
      </c>
    </row>
    <row r="143" spans="2:7" ht="15" x14ac:dyDescent="0.25">
      <c r="B143" s="214"/>
      <c r="C143" s="235"/>
      <c r="D143" s="236" t="s">
        <v>303</v>
      </c>
      <c r="E143" s="243">
        <v>20</v>
      </c>
      <c r="F143" s="244">
        <f>150*8.05</f>
        <v>1207.5</v>
      </c>
      <c r="G143" s="238">
        <f t="shared" si="0"/>
        <v>24150</v>
      </c>
    </row>
    <row r="144" spans="2:7" x14ac:dyDescent="0.2">
      <c r="B144" s="214"/>
      <c r="C144" s="236"/>
      <c r="D144" s="236" t="s">
        <v>304</v>
      </c>
      <c r="E144" s="243">
        <v>12</v>
      </c>
      <c r="F144" s="244">
        <f>100*8.05</f>
        <v>805.00000000000011</v>
      </c>
      <c r="G144" s="238">
        <f>F144*E144</f>
        <v>9660.0000000000018</v>
      </c>
    </row>
    <row r="145" spans="2:8" x14ac:dyDescent="0.2">
      <c r="B145" s="214"/>
      <c r="C145" s="236"/>
      <c r="D145" s="236"/>
      <c r="E145" s="237"/>
      <c r="F145" s="238"/>
      <c r="G145" s="238"/>
    </row>
    <row r="146" spans="2:8" ht="15.75" thickBot="1" x14ac:dyDescent="0.3">
      <c r="B146" s="214"/>
      <c r="C146" s="245"/>
      <c r="D146" s="233"/>
      <c r="E146" s="234"/>
      <c r="F146" s="246"/>
      <c r="G146" s="247"/>
    </row>
    <row r="147" spans="2:8" ht="39" customHeight="1" thickBot="1" x14ac:dyDescent="0.3">
      <c r="B147" s="207" t="s">
        <v>305</v>
      </c>
      <c r="C147" s="226"/>
      <c r="D147" s="226"/>
      <c r="E147" s="226"/>
      <c r="F147" s="226"/>
      <c r="G147" s="248">
        <f>SUM(G124:G144)</f>
        <v>322560</v>
      </c>
      <c r="H147" s="249">
        <f>+G147/G19</f>
        <v>0.11679867659325054</v>
      </c>
    </row>
    <row r="148" spans="2:8" ht="40.5" customHeight="1" thickBot="1" x14ac:dyDescent="0.3">
      <c r="B148" s="207" t="s">
        <v>280</v>
      </c>
      <c r="C148" s="226"/>
      <c r="D148" s="226"/>
      <c r="E148" s="226"/>
      <c r="F148" s="226"/>
      <c r="G148" s="250">
        <f>+G19+G147</f>
        <v>3084235.1268793042</v>
      </c>
    </row>
    <row r="149" spans="2:8" ht="15" x14ac:dyDescent="0.25">
      <c r="B149" s="251"/>
      <c r="F149" s="215"/>
      <c r="G149" s="212"/>
    </row>
    <row r="150" spans="2:8" x14ac:dyDescent="0.2">
      <c r="F150" s="215"/>
    </row>
    <row r="151" spans="2:8" ht="15" x14ac:dyDescent="0.25">
      <c r="B151" s="251"/>
      <c r="F151" s="215"/>
      <c r="G151" s="212"/>
    </row>
    <row r="152" spans="2:8" x14ac:dyDescent="0.2">
      <c r="F152" s="215"/>
    </row>
    <row r="153" spans="2:8" x14ac:dyDescent="0.2">
      <c r="C153" s="252"/>
      <c r="F153" s="215"/>
      <c r="G153" s="222"/>
    </row>
    <row r="154" spans="2:8" x14ac:dyDescent="0.2">
      <c r="C154" s="252"/>
      <c r="F154" s="215"/>
      <c r="G154" s="222"/>
    </row>
    <row r="155" spans="2:8" x14ac:dyDescent="0.2">
      <c r="F155" s="212"/>
    </row>
    <row r="156" spans="2:8" x14ac:dyDescent="0.2">
      <c r="F156" s="212"/>
    </row>
    <row r="157" spans="2:8" x14ac:dyDescent="0.2">
      <c r="C157" s="212"/>
      <c r="F157" s="212"/>
    </row>
    <row r="158" spans="2:8" x14ac:dyDescent="0.2">
      <c r="F158" s="215"/>
    </row>
    <row r="159" spans="2:8" x14ac:dyDescent="0.2">
      <c r="C159" s="252"/>
      <c r="F159" s="215"/>
    </row>
    <row r="160" spans="2:8" x14ac:dyDescent="0.2">
      <c r="C160" s="252"/>
      <c r="F160" s="215"/>
    </row>
    <row r="161" spans="2:7" ht="15" x14ac:dyDescent="0.25">
      <c r="B161" s="251"/>
      <c r="F161" s="212"/>
    </row>
    <row r="162" spans="2:7" x14ac:dyDescent="0.2">
      <c r="F162" s="215"/>
    </row>
    <row r="163" spans="2:7" x14ac:dyDescent="0.2">
      <c r="C163" s="252"/>
      <c r="F163" s="215"/>
    </row>
    <row r="164" spans="2:7" x14ac:dyDescent="0.2">
      <c r="C164" s="252"/>
      <c r="F164" s="215"/>
    </row>
    <row r="166" spans="2:7" ht="15" x14ac:dyDescent="0.2">
      <c r="B166" s="227"/>
      <c r="D166" s="253"/>
      <c r="E166" s="253"/>
      <c r="F166" s="212"/>
      <c r="G166" s="253"/>
    </row>
    <row r="167" spans="2:7" ht="15" x14ac:dyDescent="0.2">
      <c r="B167" s="227"/>
      <c r="C167" s="212"/>
      <c r="D167" s="254"/>
      <c r="E167" s="253"/>
      <c r="F167" s="253"/>
      <c r="G167" s="253"/>
    </row>
    <row r="168" spans="2:7" ht="15" x14ac:dyDescent="0.2">
      <c r="B168" s="227"/>
      <c r="D168" s="253"/>
      <c r="E168" s="253"/>
      <c r="F168" s="253"/>
      <c r="G168" s="253"/>
    </row>
    <row r="169" spans="2:7" x14ac:dyDescent="0.2">
      <c r="C169" s="252"/>
      <c r="F169" s="253"/>
    </row>
    <row r="170" spans="2:7" x14ac:dyDescent="0.2">
      <c r="C170" s="252"/>
      <c r="F170" s="212"/>
    </row>
    <row r="171" spans="2:7" ht="15" thickBot="1" x14ac:dyDescent="0.25">
      <c r="G171" s="255"/>
    </row>
  </sheetData>
  <mergeCells count="8">
    <mergeCell ref="B2:G3"/>
    <mergeCell ref="C20:D20"/>
    <mergeCell ref="B120:G120"/>
    <mergeCell ref="B24:G25"/>
    <mergeCell ref="B27:C27"/>
    <mergeCell ref="B28:C28"/>
    <mergeCell ref="B29:C29"/>
    <mergeCell ref="B30:C30"/>
  </mergeCells>
  <printOptions horizontalCentered="1" verticalCentered="1" gridLines="1"/>
  <pageMargins left="0.70866141732283472" right="0.70866141732283472" top="0.74803149606299213" bottom="0.74803149606299213" header="0.31496062992125984" footer="0.31496062992125984"/>
  <pageSetup paperSize="9" scale="54" fitToWidth="2" orientation="landscape" r:id="rId1"/>
  <headerFooter>
    <oddHeader>&amp;L&amp;"Arial,Negrita Cursiva"&amp;10HYTSA Estudios y Proyectos SA</oddHeader>
    <oddFooter>&amp;L&amp;"Arial,Negrita Cursiva"&amp;10&amp;F - &amp;A&amp;R&amp;"Arial,Negrita Cursiva"&amp;10&amp;P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17"/>
  <dimension ref="A1:H47"/>
  <sheetViews>
    <sheetView view="pageBreakPreview" topLeftCell="A23" zoomScale="70" zoomScaleNormal="100" zoomScaleSheetLayoutView="70" workbookViewId="0">
      <selection activeCell="L22" sqref="L22"/>
    </sheetView>
  </sheetViews>
  <sheetFormatPr baseColWidth="10" defaultRowHeight="15" x14ac:dyDescent="0.25"/>
  <cols>
    <col min="1" max="1" width="21.42578125" customWidth="1"/>
    <col min="2" max="2" width="42.42578125" customWidth="1"/>
    <col min="4" max="4" width="16.140625" customWidth="1"/>
    <col min="5" max="5" width="21.42578125" customWidth="1"/>
    <col min="6" max="6" width="22.85546875" customWidth="1"/>
    <col min="7" max="7" width="22.85546875" bestFit="1" customWidth="1"/>
    <col min="257" max="257" width="21.42578125" customWidth="1"/>
    <col min="258" max="258" width="42.42578125" customWidth="1"/>
    <col min="260" max="260" width="16.140625" customWidth="1"/>
    <col min="261" max="261" width="21.42578125" customWidth="1"/>
    <col min="262" max="262" width="22.85546875" customWidth="1"/>
    <col min="263" max="263" width="20.28515625" customWidth="1"/>
    <col min="513" max="513" width="21.42578125" customWidth="1"/>
    <col min="514" max="514" width="42.42578125" customWidth="1"/>
    <col min="516" max="516" width="16.140625" customWidth="1"/>
    <col min="517" max="517" width="21.42578125" customWidth="1"/>
    <col min="518" max="518" width="22.85546875" customWidth="1"/>
    <col min="519" max="519" width="20.28515625" customWidth="1"/>
    <col min="769" max="769" width="21.42578125" customWidth="1"/>
    <col min="770" max="770" width="42.42578125" customWidth="1"/>
    <col min="772" max="772" width="16.140625" customWidth="1"/>
    <col min="773" max="773" width="21.42578125" customWidth="1"/>
    <col min="774" max="774" width="22.85546875" customWidth="1"/>
    <col min="775" max="775" width="20.28515625" customWidth="1"/>
    <col min="1025" max="1025" width="21.42578125" customWidth="1"/>
    <col min="1026" max="1026" width="42.42578125" customWidth="1"/>
    <col min="1028" max="1028" width="16.140625" customWidth="1"/>
    <col min="1029" max="1029" width="21.42578125" customWidth="1"/>
    <col min="1030" max="1030" width="22.85546875" customWidth="1"/>
    <col min="1031" max="1031" width="20.28515625" customWidth="1"/>
    <col min="1281" max="1281" width="21.42578125" customWidth="1"/>
    <col min="1282" max="1282" width="42.42578125" customWidth="1"/>
    <col min="1284" max="1284" width="16.140625" customWidth="1"/>
    <col min="1285" max="1285" width="21.42578125" customWidth="1"/>
    <col min="1286" max="1286" width="22.85546875" customWidth="1"/>
    <col min="1287" max="1287" width="20.28515625" customWidth="1"/>
    <col min="1537" max="1537" width="21.42578125" customWidth="1"/>
    <col min="1538" max="1538" width="42.42578125" customWidth="1"/>
    <col min="1540" max="1540" width="16.140625" customWidth="1"/>
    <col min="1541" max="1541" width="21.42578125" customWidth="1"/>
    <col min="1542" max="1542" width="22.85546875" customWidth="1"/>
    <col min="1543" max="1543" width="20.28515625" customWidth="1"/>
    <col min="1793" max="1793" width="21.42578125" customWidth="1"/>
    <col min="1794" max="1794" width="42.42578125" customWidth="1"/>
    <col min="1796" max="1796" width="16.140625" customWidth="1"/>
    <col min="1797" max="1797" width="21.42578125" customWidth="1"/>
    <col min="1798" max="1798" width="22.85546875" customWidth="1"/>
    <col min="1799" max="1799" width="20.28515625" customWidth="1"/>
    <col min="2049" max="2049" width="21.42578125" customWidth="1"/>
    <col min="2050" max="2050" width="42.42578125" customWidth="1"/>
    <col min="2052" max="2052" width="16.140625" customWidth="1"/>
    <col min="2053" max="2053" width="21.42578125" customWidth="1"/>
    <col min="2054" max="2054" width="22.85546875" customWidth="1"/>
    <col min="2055" max="2055" width="20.28515625" customWidth="1"/>
    <col min="2305" max="2305" width="21.42578125" customWidth="1"/>
    <col min="2306" max="2306" width="42.42578125" customWidth="1"/>
    <col min="2308" max="2308" width="16.140625" customWidth="1"/>
    <col min="2309" max="2309" width="21.42578125" customWidth="1"/>
    <col min="2310" max="2310" width="22.85546875" customWidth="1"/>
    <col min="2311" max="2311" width="20.28515625" customWidth="1"/>
    <col min="2561" max="2561" width="21.42578125" customWidth="1"/>
    <col min="2562" max="2562" width="42.42578125" customWidth="1"/>
    <col min="2564" max="2564" width="16.140625" customWidth="1"/>
    <col min="2565" max="2565" width="21.42578125" customWidth="1"/>
    <col min="2566" max="2566" width="22.85546875" customWidth="1"/>
    <col min="2567" max="2567" width="20.28515625" customWidth="1"/>
    <col min="2817" max="2817" width="21.42578125" customWidth="1"/>
    <col min="2818" max="2818" width="42.42578125" customWidth="1"/>
    <col min="2820" max="2820" width="16.140625" customWidth="1"/>
    <col min="2821" max="2821" width="21.42578125" customWidth="1"/>
    <col min="2822" max="2822" width="22.85546875" customWidth="1"/>
    <col min="2823" max="2823" width="20.28515625" customWidth="1"/>
    <col min="3073" max="3073" width="21.42578125" customWidth="1"/>
    <col min="3074" max="3074" width="42.42578125" customWidth="1"/>
    <col min="3076" max="3076" width="16.140625" customWidth="1"/>
    <col min="3077" max="3077" width="21.42578125" customWidth="1"/>
    <col min="3078" max="3078" width="22.85546875" customWidth="1"/>
    <col min="3079" max="3079" width="20.28515625" customWidth="1"/>
    <col min="3329" max="3329" width="21.42578125" customWidth="1"/>
    <col min="3330" max="3330" width="42.42578125" customWidth="1"/>
    <col min="3332" max="3332" width="16.140625" customWidth="1"/>
    <col min="3333" max="3333" width="21.42578125" customWidth="1"/>
    <col min="3334" max="3334" width="22.85546875" customWidth="1"/>
    <col min="3335" max="3335" width="20.28515625" customWidth="1"/>
    <col min="3585" max="3585" width="21.42578125" customWidth="1"/>
    <col min="3586" max="3586" width="42.42578125" customWidth="1"/>
    <col min="3588" max="3588" width="16.140625" customWidth="1"/>
    <col min="3589" max="3589" width="21.42578125" customWidth="1"/>
    <col min="3590" max="3590" width="22.85546875" customWidth="1"/>
    <col min="3591" max="3591" width="20.28515625" customWidth="1"/>
    <col min="3841" max="3841" width="21.42578125" customWidth="1"/>
    <col min="3842" max="3842" width="42.42578125" customWidth="1"/>
    <col min="3844" max="3844" width="16.140625" customWidth="1"/>
    <col min="3845" max="3845" width="21.42578125" customWidth="1"/>
    <col min="3846" max="3846" width="22.85546875" customWidth="1"/>
    <col min="3847" max="3847" width="20.28515625" customWidth="1"/>
    <col min="4097" max="4097" width="21.42578125" customWidth="1"/>
    <col min="4098" max="4098" width="42.42578125" customWidth="1"/>
    <col min="4100" max="4100" width="16.140625" customWidth="1"/>
    <col min="4101" max="4101" width="21.42578125" customWidth="1"/>
    <col min="4102" max="4102" width="22.85546875" customWidth="1"/>
    <col min="4103" max="4103" width="20.28515625" customWidth="1"/>
    <col min="4353" max="4353" width="21.42578125" customWidth="1"/>
    <col min="4354" max="4354" width="42.42578125" customWidth="1"/>
    <col min="4356" max="4356" width="16.140625" customWidth="1"/>
    <col min="4357" max="4357" width="21.42578125" customWidth="1"/>
    <col min="4358" max="4358" width="22.85546875" customWidth="1"/>
    <col min="4359" max="4359" width="20.28515625" customWidth="1"/>
    <col min="4609" max="4609" width="21.42578125" customWidth="1"/>
    <col min="4610" max="4610" width="42.42578125" customWidth="1"/>
    <col min="4612" max="4612" width="16.140625" customWidth="1"/>
    <col min="4613" max="4613" width="21.42578125" customWidth="1"/>
    <col min="4614" max="4614" width="22.85546875" customWidth="1"/>
    <col min="4615" max="4615" width="20.28515625" customWidth="1"/>
    <col min="4865" max="4865" width="21.42578125" customWidth="1"/>
    <col min="4866" max="4866" width="42.42578125" customWidth="1"/>
    <col min="4868" max="4868" width="16.140625" customWidth="1"/>
    <col min="4869" max="4869" width="21.42578125" customWidth="1"/>
    <col min="4870" max="4870" width="22.85546875" customWidth="1"/>
    <col min="4871" max="4871" width="20.28515625" customWidth="1"/>
    <col min="5121" max="5121" width="21.42578125" customWidth="1"/>
    <col min="5122" max="5122" width="42.42578125" customWidth="1"/>
    <col min="5124" max="5124" width="16.140625" customWidth="1"/>
    <col min="5125" max="5125" width="21.42578125" customWidth="1"/>
    <col min="5126" max="5126" width="22.85546875" customWidth="1"/>
    <col min="5127" max="5127" width="20.28515625" customWidth="1"/>
    <col min="5377" max="5377" width="21.42578125" customWidth="1"/>
    <col min="5378" max="5378" width="42.42578125" customWidth="1"/>
    <col min="5380" max="5380" width="16.140625" customWidth="1"/>
    <col min="5381" max="5381" width="21.42578125" customWidth="1"/>
    <col min="5382" max="5382" width="22.85546875" customWidth="1"/>
    <col min="5383" max="5383" width="20.28515625" customWidth="1"/>
    <col min="5633" max="5633" width="21.42578125" customWidth="1"/>
    <col min="5634" max="5634" width="42.42578125" customWidth="1"/>
    <col min="5636" max="5636" width="16.140625" customWidth="1"/>
    <col min="5637" max="5637" width="21.42578125" customWidth="1"/>
    <col min="5638" max="5638" width="22.85546875" customWidth="1"/>
    <col min="5639" max="5639" width="20.28515625" customWidth="1"/>
    <col min="5889" max="5889" width="21.42578125" customWidth="1"/>
    <col min="5890" max="5890" width="42.42578125" customWidth="1"/>
    <col min="5892" max="5892" width="16.140625" customWidth="1"/>
    <col min="5893" max="5893" width="21.42578125" customWidth="1"/>
    <col min="5894" max="5894" width="22.85546875" customWidth="1"/>
    <col min="5895" max="5895" width="20.28515625" customWidth="1"/>
    <col min="6145" max="6145" width="21.42578125" customWidth="1"/>
    <col min="6146" max="6146" width="42.42578125" customWidth="1"/>
    <col min="6148" max="6148" width="16.140625" customWidth="1"/>
    <col min="6149" max="6149" width="21.42578125" customWidth="1"/>
    <col min="6150" max="6150" width="22.85546875" customWidth="1"/>
    <col min="6151" max="6151" width="20.28515625" customWidth="1"/>
    <col min="6401" max="6401" width="21.42578125" customWidth="1"/>
    <col min="6402" max="6402" width="42.42578125" customWidth="1"/>
    <col min="6404" max="6404" width="16.140625" customWidth="1"/>
    <col min="6405" max="6405" width="21.42578125" customWidth="1"/>
    <col min="6406" max="6406" width="22.85546875" customWidth="1"/>
    <col min="6407" max="6407" width="20.28515625" customWidth="1"/>
    <col min="6657" max="6657" width="21.42578125" customWidth="1"/>
    <col min="6658" max="6658" width="42.42578125" customWidth="1"/>
    <col min="6660" max="6660" width="16.140625" customWidth="1"/>
    <col min="6661" max="6661" width="21.42578125" customWidth="1"/>
    <col min="6662" max="6662" width="22.85546875" customWidth="1"/>
    <col min="6663" max="6663" width="20.28515625" customWidth="1"/>
    <col min="6913" max="6913" width="21.42578125" customWidth="1"/>
    <col min="6914" max="6914" width="42.42578125" customWidth="1"/>
    <col min="6916" max="6916" width="16.140625" customWidth="1"/>
    <col min="6917" max="6917" width="21.42578125" customWidth="1"/>
    <col min="6918" max="6918" width="22.85546875" customWidth="1"/>
    <col min="6919" max="6919" width="20.28515625" customWidth="1"/>
    <col min="7169" max="7169" width="21.42578125" customWidth="1"/>
    <col min="7170" max="7170" width="42.42578125" customWidth="1"/>
    <col min="7172" max="7172" width="16.140625" customWidth="1"/>
    <col min="7173" max="7173" width="21.42578125" customWidth="1"/>
    <col min="7174" max="7174" width="22.85546875" customWidth="1"/>
    <col min="7175" max="7175" width="20.28515625" customWidth="1"/>
    <col min="7425" max="7425" width="21.42578125" customWidth="1"/>
    <col min="7426" max="7426" width="42.42578125" customWidth="1"/>
    <col min="7428" max="7428" width="16.140625" customWidth="1"/>
    <col min="7429" max="7429" width="21.42578125" customWidth="1"/>
    <col min="7430" max="7430" width="22.85546875" customWidth="1"/>
    <col min="7431" max="7431" width="20.28515625" customWidth="1"/>
    <col min="7681" max="7681" width="21.42578125" customWidth="1"/>
    <col min="7682" max="7682" width="42.42578125" customWidth="1"/>
    <col min="7684" max="7684" width="16.140625" customWidth="1"/>
    <col min="7685" max="7685" width="21.42578125" customWidth="1"/>
    <col min="7686" max="7686" width="22.85546875" customWidth="1"/>
    <col min="7687" max="7687" width="20.28515625" customWidth="1"/>
    <col min="7937" max="7937" width="21.42578125" customWidth="1"/>
    <col min="7938" max="7938" width="42.42578125" customWidth="1"/>
    <col min="7940" max="7940" width="16.140625" customWidth="1"/>
    <col min="7941" max="7941" width="21.42578125" customWidth="1"/>
    <col min="7942" max="7942" width="22.85546875" customWidth="1"/>
    <col min="7943" max="7943" width="20.28515625" customWidth="1"/>
    <col min="8193" max="8193" width="21.42578125" customWidth="1"/>
    <col min="8194" max="8194" width="42.42578125" customWidth="1"/>
    <col min="8196" max="8196" width="16.140625" customWidth="1"/>
    <col min="8197" max="8197" width="21.42578125" customWidth="1"/>
    <col min="8198" max="8198" width="22.85546875" customWidth="1"/>
    <col min="8199" max="8199" width="20.28515625" customWidth="1"/>
    <col min="8449" max="8449" width="21.42578125" customWidth="1"/>
    <col min="8450" max="8450" width="42.42578125" customWidth="1"/>
    <col min="8452" max="8452" width="16.140625" customWidth="1"/>
    <col min="8453" max="8453" width="21.42578125" customWidth="1"/>
    <col min="8454" max="8454" width="22.85546875" customWidth="1"/>
    <col min="8455" max="8455" width="20.28515625" customWidth="1"/>
    <col min="8705" max="8705" width="21.42578125" customWidth="1"/>
    <col min="8706" max="8706" width="42.42578125" customWidth="1"/>
    <col min="8708" max="8708" width="16.140625" customWidth="1"/>
    <col min="8709" max="8709" width="21.42578125" customWidth="1"/>
    <col min="8710" max="8710" width="22.85546875" customWidth="1"/>
    <col min="8711" max="8711" width="20.28515625" customWidth="1"/>
    <col min="8961" max="8961" width="21.42578125" customWidth="1"/>
    <col min="8962" max="8962" width="42.42578125" customWidth="1"/>
    <col min="8964" max="8964" width="16.140625" customWidth="1"/>
    <col min="8965" max="8965" width="21.42578125" customWidth="1"/>
    <col min="8966" max="8966" width="22.85546875" customWidth="1"/>
    <col min="8967" max="8967" width="20.28515625" customWidth="1"/>
    <col min="9217" max="9217" width="21.42578125" customWidth="1"/>
    <col min="9218" max="9218" width="42.42578125" customWidth="1"/>
    <col min="9220" max="9220" width="16.140625" customWidth="1"/>
    <col min="9221" max="9221" width="21.42578125" customWidth="1"/>
    <col min="9222" max="9222" width="22.85546875" customWidth="1"/>
    <col min="9223" max="9223" width="20.28515625" customWidth="1"/>
    <col min="9473" max="9473" width="21.42578125" customWidth="1"/>
    <col min="9474" max="9474" width="42.42578125" customWidth="1"/>
    <col min="9476" max="9476" width="16.140625" customWidth="1"/>
    <col min="9477" max="9477" width="21.42578125" customWidth="1"/>
    <col min="9478" max="9478" width="22.85546875" customWidth="1"/>
    <col min="9479" max="9479" width="20.28515625" customWidth="1"/>
    <col min="9729" max="9729" width="21.42578125" customWidth="1"/>
    <col min="9730" max="9730" width="42.42578125" customWidth="1"/>
    <col min="9732" max="9732" width="16.140625" customWidth="1"/>
    <col min="9733" max="9733" width="21.42578125" customWidth="1"/>
    <col min="9734" max="9734" width="22.85546875" customWidth="1"/>
    <col min="9735" max="9735" width="20.28515625" customWidth="1"/>
    <col min="9985" max="9985" width="21.42578125" customWidth="1"/>
    <col min="9986" max="9986" width="42.42578125" customWidth="1"/>
    <col min="9988" max="9988" width="16.140625" customWidth="1"/>
    <col min="9989" max="9989" width="21.42578125" customWidth="1"/>
    <col min="9990" max="9990" width="22.85546875" customWidth="1"/>
    <col min="9991" max="9991" width="20.28515625" customWidth="1"/>
    <col min="10241" max="10241" width="21.42578125" customWidth="1"/>
    <col min="10242" max="10242" width="42.42578125" customWidth="1"/>
    <col min="10244" max="10244" width="16.140625" customWidth="1"/>
    <col min="10245" max="10245" width="21.42578125" customWidth="1"/>
    <col min="10246" max="10246" width="22.85546875" customWidth="1"/>
    <col min="10247" max="10247" width="20.28515625" customWidth="1"/>
    <col min="10497" max="10497" width="21.42578125" customWidth="1"/>
    <col min="10498" max="10498" width="42.42578125" customWidth="1"/>
    <col min="10500" max="10500" width="16.140625" customWidth="1"/>
    <col min="10501" max="10501" width="21.42578125" customWidth="1"/>
    <col min="10502" max="10502" width="22.85546875" customWidth="1"/>
    <col min="10503" max="10503" width="20.28515625" customWidth="1"/>
    <col min="10753" max="10753" width="21.42578125" customWidth="1"/>
    <col min="10754" max="10754" width="42.42578125" customWidth="1"/>
    <col min="10756" max="10756" width="16.140625" customWidth="1"/>
    <col min="10757" max="10757" width="21.42578125" customWidth="1"/>
    <col min="10758" max="10758" width="22.85546875" customWidth="1"/>
    <col min="10759" max="10759" width="20.28515625" customWidth="1"/>
    <col min="11009" max="11009" width="21.42578125" customWidth="1"/>
    <col min="11010" max="11010" width="42.42578125" customWidth="1"/>
    <col min="11012" max="11012" width="16.140625" customWidth="1"/>
    <col min="11013" max="11013" width="21.42578125" customWidth="1"/>
    <col min="11014" max="11014" width="22.85546875" customWidth="1"/>
    <col min="11015" max="11015" width="20.28515625" customWidth="1"/>
    <col min="11265" max="11265" width="21.42578125" customWidth="1"/>
    <col min="11266" max="11266" width="42.42578125" customWidth="1"/>
    <col min="11268" max="11268" width="16.140625" customWidth="1"/>
    <col min="11269" max="11269" width="21.42578125" customWidth="1"/>
    <col min="11270" max="11270" width="22.85546875" customWidth="1"/>
    <col min="11271" max="11271" width="20.28515625" customWidth="1"/>
    <col min="11521" max="11521" width="21.42578125" customWidth="1"/>
    <col min="11522" max="11522" width="42.42578125" customWidth="1"/>
    <col min="11524" max="11524" width="16.140625" customWidth="1"/>
    <col min="11525" max="11525" width="21.42578125" customWidth="1"/>
    <col min="11526" max="11526" width="22.85546875" customWidth="1"/>
    <col min="11527" max="11527" width="20.28515625" customWidth="1"/>
    <col min="11777" max="11777" width="21.42578125" customWidth="1"/>
    <col min="11778" max="11778" width="42.42578125" customWidth="1"/>
    <col min="11780" max="11780" width="16.140625" customWidth="1"/>
    <col min="11781" max="11781" width="21.42578125" customWidth="1"/>
    <col min="11782" max="11782" width="22.85546875" customWidth="1"/>
    <col min="11783" max="11783" width="20.28515625" customWidth="1"/>
    <col min="12033" max="12033" width="21.42578125" customWidth="1"/>
    <col min="12034" max="12034" width="42.42578125" customWidth="1"/>
    <col min="12036" max="12036" width="16.140625" customWidth="1"/>
    <col min="12037" max="12037" width="21.42578125" customWidth="1"/>
    <col min="12038" max="12038" width="22.85546875" customWidth="1"/>
    <col min="12039" max="12039" width="20.28515625" customWidth="1"/>
    <col min="12289" max="12289" width="21.42578125" customWidth="1"/>
    <col min="12290" max="12290" width="42.42578125" customWidth="1"/>
    <col min="12292" max="12292" width="16.140625" customWidth="1"/>
    <col min="12293" max="12293" width="21.42578125" customWidth="1"/>
    <col min="12294" max="12294" width="22.85546875" customWidth="1"/>
    <col min="12295" max="12295" width="20.28515625" customWidth="1"/>
    <col min="12545" max="12545" width="21.42578125" customWidth="1"/>
    <col min="12546" max="12546" width="42.42578125" customWidth="1"/>
    <col min="12548" max="12548" width="16.140625" customWidth="1"/>
    <col min="12549" max="12549" width="21.42578125" customWidth="1"/>
    <col min="12550" max="12550" width="22.85546875" customWidth="1"/>
    <col min="12551" max="12551" width="20.28515625" customWidth="1"/>
    <col min="12801" max="12801" width="21.42578125" customWidth="1"/>
    <col min="12802" max="12802" width="42.42578125" customWidth="1"/>
    <col min="12804" max="12804" width="16.140625" customWidth="1"/>
    <col min="12805" max="12805" width="21.42578125" customWidth="1"/>
    <col min="12806" max="12806" width="22.85546875" customWidth="1"/>
    <col min="12807" max="12807" width="20.28515625" customWidth="1"/>
    <col min="13057" max="13057" width="21.42578125" customWidth="1"/>
    <col min="13058" max="13058" width="42.42578125" customWidth="1"/>
    <col min="13060" max="13060" width="16.140625" customWidth="1"/>
    <col min="13061" max="13061" width="21.42578125" customWidth="1"/>
    <col min="13062" max="13062" width="22.85546875" customWidth="1"/>
    <col min="13063" max="13063" width="20.28515625" customWidth="1"/>
    <col min="13313" max="13313" width="21.42578125" customWidth="1"/>
    <col min="13314" max="13314" width="42.42578125" customWidth="1"/>
    <col min="13316" max="13316" width="16.140625" customWidth="1"/>
    <col min="13317" max="13317" width="21.42578125" customWidth="1"/>
    <col min="13318" max="13318" width="22.85546875" customWidth="1"/>
    <col min="13319" max="13319" width="20.28515625" customWidth="1"/>
    <col min="13569" max="13569" width="21.42578125" customWidth="1"/>
    <col min="13570" max="13570" width="42.42578125" customWidth="1"/>
    <col min="13572" max="13572" width="16.140625" customWidth="1"/>
    <col min="13573" max="13573" width="21.42578125" customWidth="1"/>
    <col min="13574" max="13574" width="22.85546875" customWidth="1"/>
    <col min="13575" max="13575" width="20.28515625" customWidth="1"/>
    <col min="13825" max="13825" width="21.42578125" customWidth="1"/>
    <col min="13826" max="13826" width="42.42578125" customWidth="1"/>
    <col min="13828" max="13828" width="16.140625" customWidth="1"/>
    <col min="13829" max="13829" width="21.42578125" customWidth="1"/>
    <col min="13830" max="13830" width="22.85546875" customWidth="1"/>
    <col min="13831" max="13831" width="20.28515625" customWidth="1"/>
    <col min="14081" max="14081" width="21.42578125" customWidth="1"/>
    <col min="14082" max="14082" width="42.42578125" customWidth="1"/>
    <col min="14084" max="14084" width="16.140625" customWidth="1"/>
    <col min="14085" max="14085" width="21.42578125" customWidth="1"/>
    <col min="14086" max="14086" width="22.85546875" customWidth="1"/>
    <col min="14087" max="14087" width="20.28515625" customWidth="1"/>
    <col min="14337" max="14337" width="21.42578125" customWidth="1"/>
    <col min="14338" max="14338" width="42.42578125" customWidth="1"/>
    <col min="14340" max="14340" width="16.140625" customWidth="1"/>
    <col min="14341" max="14341" width="21.42578125" customWidth="1"/>
    <col min="14342" max="14342" width="22.85546875" customWidth="1"/>
    <col min="14343" max="14343" width="20.28515625" customWidth="1"/>
    <col min="14593" max="14593" width="21.42578125" customWidth="1"/>
    <col min="14594" max="14594" width="42.42578125" customWidth="1"/>
    <col min="14596" max="14596" width="16.140625" customWidth="1"/>
    <col min="14597" max="14597" width="21.42578125" customWidth="1"/>
    <col min="14598" max="14598" width="22.85546875" customWidth="1"/>
    <col min="14599" max="14599" width="20.28515625" customWidth="1"/>
    <col min="14849" max="14849" width="21.42578125" customWidth="1"/>
    <col min="14850" max="14850" width="42.42578125" customWidth="1"/>
    <col min="14852" max="14852" width="16.140625" customWidth="1"/>
    <col min="14853" max="14853" width="21.42578125" customWidth="1"/>
    <col min="14854" max="14854" width="22.85546875" customWidth="1"/>
    <col min="14855" max="14855" width="20.28515625" customWidth="1"/>
    <col min="15105" max="15105" width="21.42578125" customWidth="1"/>
    <col min="15106" max="15106" width="42.42578125" customWidth="1"/>
    <col min="15108" max="15108" width="16.140625" customWidth="1"/>
    <col min="15109" max="15109" width="21.42578125" customWidth="1"/>
    <col min="15110" max="15110" width="22.85546875" customWidth="1"/>
    <col min="15111" max="15111" width="20.28515625" customWidth="1"/>
    <col min="15361" max="15361" width="21.42578125" customWidth="1"/>
    <col min="15362" max="15362" width="42.42578125" customWidth="1"/>
    <col min="15364" max="15364" width="16.140625" customWidth="1"/>
    <col min="15365" max="15365" width="21.42578125" customWidth="1"/>
    <col min="15366" max="15366" width="22.85546875" customWidth="1"/>
    <col min="15367" max="15367" width="20.28515625" customWidth="1"/>
    <col min="15617" max="15617" width="21.42578125" customWidth="1"/>
    <col min="15618" max="15618" width="42.42578125" customWidth="1"/>
    <col min="15620" max="15620" width="16.140625" customWidth="1"/>
    <col min="15621" max="15621" width="21.42578125" customWidth="1"/>
    <col min="15622" max="15622" width="22.85546875" customWidth="1"/>
    <col min="15623" max="15623" width="20.28515625" customWidth="1"/>
    <col min="15873" max="15873" width="21.42578125" customWidth="1"/>
    <col min="15874" max="15874" width="42.42578125" customWidth="1"/>
    <col min="15876" max="15876" width="16.140625" customWidth="1"/>
    <col min="15877" max="15877" width="21.42578125" customWidth="1"/>
    <col min="15878" max="15878" width="22.85546875" customWidth="1"/>
    <col min="15879" max="15879" width="20.28515625" customWidth="1"/>
    <col min="16129" max="16129" width="21.42578125" customWidth="1"/>
    <col min="16130" max="16130" width="42.42578125" customWidth="1"/>
    <col min="16132" max="16132" width="16.140625" customWidth="1"/>
    <col min="16133" max="16133" width="21.42578125" customWidth="1"/>
    <col min="16134" max="16134" width="22.85546875" customWidth="1"/>
    <col min="16135" max="16135" width="20.28515625" customWidth="1"/>
  </cols>
  <sheetData>
    <row r="1" spans="1:7" ht="15.75" thickBot="1" x14ac:dyDescent="0.3">
      <c r="A1" s="256"/>
      <c r="B1" s="256"/>
      <c r="C1" s="256"/>
      <c r="D1" s="256"/>
      <c r="E1" s="256"/>
      <c r="F1" s="256"/>
      <c r="G1" s="256"/>
    </row>
    <row r="2" spans="1:7" ht="15.75" thickBot="1" x14ac:dyDescent="0.3">
      <c r="A2" s="802" t="str">
        <f>+CONCATENATE("COSTOS DE OPERACIÓN Y MANTENIMIENTO - RECOLECCIÓN: Municipio de "&amp;Datos!C2)</f>
        <v>COSTOS DE OPERACIÓN Y MANTENIMIENTO - RECOLECCIÓN: Municipio de Pehuajó</v>
      </c>
      <c r="B2" s="803"/>
      <c r="C2" s="803"/>
      <c r="D2" s="803"/>
      <c r="E2" s="803"/>
      <c r="F2" s="803"/>
      <c r="G2" s="804"/>
    </row>
    <row r="3" spans="1:7" ht="15.75" thickBot="1" x14ac:dyDescent="0.3">
      <c r="A3" s="805" t="s">
        <v>127</v>
      </c>
      <c r="B3" s="806"/>
      <c r="C3" s="257" t="s">
        <v>128</v>
      </c>
      <c r="D3" s="258" t="s">
        <v>129</v>
      </c>
      <c r="E3" s="259" t="s">
        <v>130</v>
      </c>
      <c r="F3" s="260" t="s">
        <v>131</v>
      </c>
      <c r="G3" s="261" t="s">
        <v>132</v>
      </c>
    </row>
    <row r="4" spans="1:7" ht="15.75" thickBot="1" x14ac:dyDescent="0.3">
      <c r="A4" s="86" t="s">
        <v>670</v>
      </c>
      <c r="B4" s="87"/>
      <c r="C4" s="87"/>
      <c r="D4" s="262"/>
      <c r="E4" s="262"/>
      <c r="F4" s="262"/>
      <c r="G4" s="105"/>
    </row>
    <row r="5" spans="1:7" x14ac:dyDescent="0.25">
      <c r="A5" s="89" t="s">
        <v>306</v>
      </c>
      <c r="B5" s="90"/>
      <c r="C5" s="106" t="s">
        <v>307</v>
      </c>
      <c r="D5" s="107">
        <f>+'Evaluacion Economica'!O25*312*'Evaluacion Economica'!L25</f>
        <v>90386.4</v>
      </c>
      <c r="E5" s="691">
        <f>+'Evaluacion Economica'!P25</f>
        <v>2.4543871366918704</v>
      </c>
      <c r="F5" s="691">
        <f t="shared" ref="F5:F9" si="0">+D5*E5</f>
        <v>221843.21749188605</v>
      </c>
      <c r="G5" s="92"/>
    </row>
    <row r="6" spans="1:7" x14ac:dyDescent="0.25">
      <c r="A6" s="93" t="s">
        <v>308</v>
      </c>
      <c r="B6" s="478"/>
      <c r="C6" s="264" t="s">
        <v>307</v>
      </c>
      <c r="D6" s="96">
        <f>IF(P_Datos!$D$3="NO",0,'P_Evaluacion Economica'!O27*312*'P_Evaluacion Economica'!L27)</f>
        <v>68390.399999999994</v>
      </c>
      <c r="E6" s="691">
        <f>IF(P_Datos!$D$3="NO",0,'P_Evaluacion Economica'!P27)</f>
        <v>3.5501659913361805</v>
      </c>
      <c r="F6" s="691">
        <f t="shared" si="0"/>
        <v>242797.27221387791</v>
      </c>
      <c r="G6" s="267"/>
    </row>
    <row r="7" spans="1:7" x14ac:dyDescent="0.25">
      <c r="A7" s="93" t="s">
        <v>309</v>
      </c>
      <c r="B7" s="478"/>
      <c r="C7" s="95" t="s">
        <v>310</v>
      </c>
      <c r="D7" s="265">
        <f>+P_Barrenderos!$I$10*'Inversion rec-TA'!E13</f>
        <v>936</v>
      </c>
      <c r="E7" s="691">
        <f>+P_Barrenderos!$I$23</f>
        <v>205.7963308104332</v>
      </c>
      <c r="F7" s="691">
        <f t="shared" si="0"/>
        <v>192625.36563856548</v>
      </c>
      <c r="G7" s="97"/>
    </row>
    <row r="8" spans="1:7" x14ac:dyDescent="0.25">
      <c r="A8" s="93" t="s">
        <v>347</v>
      </c>
      <c r="B8" s="478"/>
      <c r="C8" s="95" t="s">
        <v>348</v>
      </c>
      <c r="D8" s="265">
        <f>+SUM(D13:D18)*2</f>
        <v>128</v>
      </c>
      <c r="E8" s="691">
        <f>+Datos!D108</f>
        <v>80</v>
      </c>
      <c r="F8" s="691">
        <f t="shared" si="0"/>
        <v>10240</v>
      </c>
      <c r="G8" s="97"/>
    </row>
    <row r="9" spans="1:7" x14ac:dyDescent="0.25">
      <c r="A9" s="93" t="s">
        <v>311</v>
      </c>
      <c r="B9" s="478"/>
      <c r="C9" s="95" t="s">
        <v>710</v>
      </c>
      <c r="D9" s="516">
        <v>0.02</v>
      </c>
      <c r="E9" s="691">
        <f>+SUM(F5:F8)</f>
        <v>667505.85534432949</v>
      </c>
      <c r="F9" s="691">
        <f t="shared" si="0"/>
        <v>13350.11710688659</v>
      </c>
      <c r="G9" s="97"/>
    </row>
    <row r="10" spans="1:7" ht="15.75" thickBot="1" x14ac:dyDescent="0.3">
      <c r="A10" s="268" t="s">
        <v>668</v>
      </c>
      <c r="B10" s="479"/>
      <c r="C10" s="481" t="s">
        <v>669</v>
      </c>
      <c r="D10" s="482">
        <v>0.03</v>
      </c>
      <c r="E10" s="691">
        <f>+'Inversion rec-TA'!G21</f>
        <v>2872142.1319544762</v>
      </c>
      <c r="F10" s="691">
        <f>+D10*E10</f>
        <v>86164.263958634285</v>
      </c>
      <c r="G10" s="477"/>
    </row>
    <row r="11" spans="1:7" ht="15.75" thickBot="1" x14ac:dyDescent="0.3">
      <c r="A11" s="101" t="s">
        <v>342</v>
      </c>
      <c r="B11" s="102"/>
      <c r="C11" s="102"/>
      <c r="D11" s="102"/>
      <c r="E11" s="269"/>
      <c r="F11" s="270"/>
      <c r="G11" s="716">
        <f>SUM(F5:F10)</f>
        <v>767020.23640985042</v>
      </c>
    </row>
    <row r="12" spans="1:7" ht="15.75" thickBot="1" x14ac:dyDescent="0.3">
      <c r="A12" s="86" t="s">
        <v>343</v>
      </c>
      <c r="B12" s="87"/>
      <c r="C12" s="87"/>
      <c r="D12" s="104"/>
      <c r="E12" s="692"/>
      <c r="F12" s="693"/>
      <c r="G12" s="105"/>
    </row>
    <row r="13" spans="1:7" x14ac:dyDescent="0.25">
      <c r="A13" s="271" t="s">
        <v>312</v>
      </c>
      <c r="B13" s="263"/>
      <c r="C13" s="106" t="s">
        <v>135</v>
      </c>
      <c r="D13" s="107">
        <f>+'Evaluacion Economica'!$L$25+IF(P_Datos!$D$3="NO",0,'P_Evaluacion Economica'!$L$27)+'Inversion rec-TA'!E13</f>
        <v>6</v>
      </c>
      <c r="E13" s="691">
        <f>+Datos!D93</f>
        <v>1578.11</v>
      </c>
      <c r="F13" s="691">
        <f>IF('Mano de Obra'!$C$33=1,D13*E13*12,D13*E13*13)</f>
        <v>113623.92</v>
      </c>
      <c r="G13" s="92"/>
    </row>
    <row r="14" spans="1:7" x14ac:dyDescent="0.25">
      <c r="A14" s="273" t="s">
        <v>313</v>
      </c>
      <c r="B14" s="266"/>
      <c r="C14" s="95" t="s">
        <v>135</v>
      </c>
      <c r="D14" s="96">
        <f>+Datos!D116</f>
        <v>2</v>
      </c>
      <c r="E14" s="691">
        <f>+Datos!D94</f>
        <v>1578.11</v>
      </c>
      <c r="F14" s="691">
        <f>IF('Mano de Obra'!$C$33=1,D14*E14*12,D14*E14*13)</f>
        <v>37874.639999999999</v>
      </c>
      <c r="G14" s="97"/>
    </row>
    <row r="15" spans="1:7" x14ac:dyDescent="0.25">
      <c r="A15" s="273" t="s">
        <v>314</v>
      </c>
      <c r="B15" s="266"/>
      <c r="C15" s="95" t="s">
        <v>135</v>
      </c>
      <c r="D15" s="96">
        <f>+Datos!D117</f>
        <v>1</v>
      </c>
      <c r="E15" s="691">
        <f>+Datos!D95</f>
        <v>1346.43</v>
      </c>
      <c r="F15" s="691">
        <f>IF('Mano de Obra'!$C$33=1,D15*E15*12,D15*E15*13)</f>
        <v>16157.16</v>
      </c>
      <c r="G15" s="97"/>
    </row>
    <row r="16" spans="1:7" x14ac:dyDescent="0.25">
      <c r="A16" s="274" t="s">
        <v>136</v>
      </c>
      <c r="B16" s="266"/>
      <c r="C16" s="95" t="s">
        <v>135</v>
      </c>
      <c r="D16" s="96">
        <f>+(D13-'Inversion rec-TA'!E13)*2</f>
        <v>10</v>
      </c>
      <c r="E16" s="691">
        <f>+Datos!D96</f>
        <v>1346.43</v>
      </c>
      <c r="F16" s="691">
        <f>IF('Mano de Obra'!$C$33=1,D16*E16*12,D16*E16*13)</f>
        <v>161571.6</v>
      </c>
      <c r="G16" s="97"/>
    </row>
    <row r="17" spans="1:7" x14ac:dyDescent="0.25">
      <c r="A17" s="273" t="s">
        <v>170</v>
      </c>
      <c r="B17" s="266"/>
      <c r="C17" s="95" t="s">
        <v>135</v>
      </c>
      <c r="D17" s="96">
        <f>+IF(P_Barrenderos!$G$28&gt;P_Barrenderos!$C$28,P_Barrenderos!$G$20,P_Barrenderos!$C$20)+ROUNDUP(Datos!D119/Datos!D125,0)</f>
        <v>44</v>
      </c>
      <c r="E17" s="691">
        <f>+Datos!D97</f>
        <v>1346.43</v>
      </c>
      <c r="F17" s="691">
        <f>IF('Mano de Obra'!$C$33=1,D17*E17*12,D17*E17*13)</f>
        <v>710915.04</v>
      </c>
      <c r="G17" s="97"/>
    </row>
    <row r="18" spans="1:7" x14ac:dyDescent="0.25">
      <c r="A18" s="273" t="s">
        <v>315</v>
      </c>
      <c r="B18" s="266"/>
      <c r="C18" s="95" t="s">
        <v>135</v>
      </c>
      <c r="D18" s="96">
        <f>+'Inversion rec-TA'!E16</f>
        <v>1</v>
      </c>
      <c r="E18" s="691">
        <f>+Datos!D98</f>
        <v>2019.67</v>
      </c>
      <c r="F18" s="691">
        <f>IF('Mano de Obra'!$C$33=1,D18*E18*12,D18*E18*13)</f>
        <v>24236.04</v>
      </c>
      <c r="G18" s="97"/>
    </row>
    <row r="19" spans="1:7" x14ac:dyDescent="0.25">
      <c r="A19" s="274" t="s">
        <v>316</v>
      </c>
      <c r="B19" s="266"/>
      <c r="C19" s="95" t="s">
        <v>135</v>
      </c>
      <c r="D19" s="96">
        <f>ROUNDUP((+SUM(D13:D18)+SUM(D37:D43))/15,0)</f>
        <v>5</v>
      </c>
      <c r="E19" s="691">
        <f>+Datos!D99</f>
        <v>1842</v>
      </c>
      <c r="F19" s="691">
        <f>IF('Mano de Obra'!$C$33=1,D19*E19*12,D19*E19*13)</f>
        <v>110520</v>
      </c>
      <c r="G19" s="97"/>
    </row>
    <row r="20" spans="1:7" ht="15.75" thickBot="1" x14ac:dyDescent="0.3">
      <c r="A20" s="694"/>
      <c r="B20" s="695"/>
      <c r="C20" s="696"/>
      <c r="D20" s="697"/>
      <c r="E20" s="698"/>
      <c r="F20" s="681"/>
      <c r="G20" s="699"/>
    </row>
    <row r="21" spans="1:7" ht="15.75" thickBot="1" x14ac:dyDescent="0.3">
      <c r="A21" s="111" t="s">
        <v>344</v>
      </c>
      <c r="B21" s="102"/>
      <c r="C21" s="102"/>
      <c r="D21" s="102"/>
      <c r="E21" s="102"/>
      <c r="F21" s="269"/>
      <c r="G21" s="707">
        <f>SUM(F13:F20)</f>
        <v>1174898.4000000001</v>
      </c>
    </row>
    <row r="22" spans="1:7" ht="15.75" thickBot="1" x14ac:dyDescent="0.3">
      <c r="A22" s="705"/>
      <c r="B22" s="706"/>
      <c r="C22" s="706"/>
      <c r="D22" s="706"/>
      <c r="E22" s="706"/>
      <c r="F22" s="706"/>
      <c r="G22" s="706"/>
    </row>
    <row r="23" spans="1:7" ht="27.75" customHeight="1" thickBot="1" x14ac:dyDescent="0.3">
      <c r="A23" s="322" t="s">
        <v>345</v>
      </c>
      <c r="B23" s="320"/>
      <c r="C23" s="320"/>
      <c r="D23" s="320"/>
      <c r="E23" s="320"/>
      <c r="F23" s="321"/>
      <c r="G23" s="704">
        <f>+G11+G21</f>
        <v>1941918.6364098506</v>
      </c>
    </row>
    <row r="24" spans="1:7" ht="15.75" thickBot="1" x14ac:dyDescent="0.3">
      <c r="A24" s="700" t="s">
        <v>346</v>
      </c>
      <c r="B24" s="701"/>
      <c r="C24" s="701"/>
      <c r="D24" s="701"/>
      <c r="E24" s="701"/>
      <c r="F24" s="702"/>
      <c r="G24" s="703">
        <f>+PV(Datos!$D$110,Datos!$D$73,G23)</f>
        <v>-10972273.398743168</v>
      </c>
    </row>
    <row r="25" spans="1:7" ht="34.5" customHeight="1" thickBot="1" x14ac:dyDescent="0.3">
      <c r="A25" s="485"/>
      <c r="B25" s="485"/>
      <c r="C25" s="485"/>
      <c r="D25" s="485"/>
      <c r="E25" s="485"/>
      <c r="F25" s="485"/>
      <c r="G25" s="485"/>
    </row>
    <row r="26" spans="1:7" ht="15.75" thickBot="1" x14ac:dyDescent="0.3">
      <c r="A26" s="802" t="str">
        <f>+CONCATENATE("COSTOS DE OPERACIÓN Y MANTENIMIENTO - ET: Municipio de "&amp;Datos!C2)</f>
        <v>COSTOS DE OPERACIÓN Y MANTENIMIENTO - ET: Municipio de Pehuajó</v>
      </c>
      <c r="B26" s="803"/>
      <c r="C26" s="803"/>
      <c r="D26" s="803"/>
      <c r="E26" s="803"/>
      <c r="F26" s="803"/>
      <c r="G26" s="804"/>
    </row>
    <row r="27" spans="1:7" ht="15.75" thickBot="1" x14ac:dyDescent="0.3">
      <c r="A27" s="805" t="s">
        <v>127</v>
      </c>
      <c r="B27" s="806"/>
      <c r="C27" s="257" t="s">
        <v>128</v>
      </c>
      <c r="D27" s="258" t="s">
        <v>129</v>
      </c>
      <c r="E27" s="259" t="s">
        <v>130</v>
      </c>
      <c r="F27" s="260" t="s">
        <v>131</v>
      </c>
      <c r="G27" s="261" t="s">
        <v>132</v>
      </c>
    </row>
    <row r="28" spans="1:7" ht="15.75" thickBot="1" x14ac:dyDescent="0.3">
      <c r="A28" s="86" t="s">
        <v>671</v>
      </c>
      <c r="B28" s="87"/>
      <c r="C28" s="87"/>
      <c r="D28" s="262"/>
      <c r="E28" s="262"/>
      <c r="F28" s="88"/>
      <c r="G28" s="87"/>
    </row>
    <row r="29" spans="1:7" x14ac:dyDescent="0.25">
      <c r="A29" s="483" t="s">
        <v>715</v>
      </c>
      <c r="B29" s="483"/>
      <c r="C29" s="106" t="s">
        <v>310</v>
      </c>
      <c r="D29" s="480">
        <f>IF(TA_Datos!$D$3="NO",0,'Evaluacion Economica'!Q25*Datos!D36*365)</f>
        <v>2920</v>
      </c>
      <c r="E29" s="690">
        <f>IF(TA_Datos!$D$3="NO",0,TA_Datos!D71)</f>
        <v>29.612081729345569</v>
      </c>
      <c r="F29" s="690">
        <f t="shared" ref="F29:F33" si="1">+D29*E29</f>
        <v>86467.278649689062</v>
      </c>
      <c r="G29" s="690"/>
    </row>
    <row r="30" spans="1:7" x14ac:dyDescent="0.25">
      <c r="A30" s="484" t="s">
        <v>714</v>
      </c>
      <c r="B30" s="484"/>
      <c r="C30" s="95" t="s">
        <v>818</v>
      </c>
      <c r="D30" s="265">
        <f>IF(TA_Datos!$D$3="NO",0,Datos!D46)</f>
        <v>50.390704000000007</v>
      </c>
      <c r="E30" s="690">
        <f>IF(TA_Datos!$D$3="NO",0,TR_1!F176)</f>
        <v>2167.5049445114569</v>
      </c>
      <c r="F30" s="690">
        <f>+E30*D30</f>
        <v>109222.10007741326</v>
      </c>
      <c r="G30" s="690"/>
    </row>
    <row r="31" spans="1:7" x14ac:dyDescent="0.25">
      <c r="A31" s="484" t="s">
        <v>337</v>
      </c>
      <c r="B31" s="484"/>
      <c r="C31" s="95" t="s">
        <v>307</v>
      </c>
      <c r="D31" s="265">
        <f>IF(TA_Datos!$D$3="NO",0,'TA_Evaluacion Economica'!O19*365*'TA_Evaluacion Economica'!L19)</f>
        <v>205130</v>
      </c>
      <c r="E31" s="690">
        <f>IF(TA_Datos!$D$3="NO",0,'TA_Evaluacion Economica'!P19)</f>
        <v>0.52657201364100603</v>
      </c>
      <c r="F31" s="690">
        <f t="shared" si="1"/>
        <v>108015.71715817957</v>
      </c>
      <c r="G31" s="690"/>
    </row>
    <row r="32" spans="1:7" x14ac:dyDescent="0.25">
      <c r="A32" s="484" t="s">
        <v>347</v>
      </c>
      <c r="B32" s="484"/>
      <c r="C32" s="95" t="s">
        <v>348</v>
      </c>
      <c r="D32" s="265">
        <f>+SUM(D37:D42)*2</f>
        <v>12</v>
      </c>
      <c r="E32" s="690">
        <f>IF(TA_Datos!$D$3="NO",0,Datos!D108)</f>
        <v>80</v>
      </c>
      <c r="F32" s="690">
        <f t="shared" si="1"/>
        <v>960</v>
      </c>
      <c r="G32" s="690"/>
    </row>
    <row r="33" spans="1:8" x14ac:dyDescent="0.25">
      <c r="A33" s="93" t="s">
        <v>311</v>
      </c>
      <c r="B33" s="266"/>
      <c r="C33" s="95" t="s">
        <v>710</v>
      </c>
      <c r="D33" s="516">
        <v>0.02</v>
      </c>
      <c r="E33" s="690">
        <f>+SUM(F29:F32)</f>
        <v>304665.09588528186</v>
      </c>
      <c r="F33" s="690">
        <f t="shared" si="1"/>
        <v>6093.3019177056376</v>
      </c>
      <c r="G33" s="690"/>
    </row>
    <row r="34" spans="1:8" ht="15.75" thickBot="1" x14ac:dyDescent="0.3">
      <c r="A34" s="694" t="s">
        <v>668</v>
      </c>
      <c r="B34" s="708"/>
      <c r="C34" s="696" t="s">
        <v>669</v>
      </c>
      <c r="D34" s="709">
        <v>0.03</v>
      </c>
      <c r="E34" s="710">
        <f>+'Inversion rec-TA'!G46</f>
        <v>3685355.7064406513</v>
      </c>
      <c r="F34" s="710">
        <f>+D34*E34</f>
        <v>110560.67119321953</v>
      </c>
      <c r="G34" s="710"/>
    </row>
    <row r="35" spans="1:8" ht="15.75" thickBot="1" x14ac:dyDescent="0.3">
      <c r="A35" s="101" t="s">
        <v>657</v>
      </c>
      <c r="B35" s="102"/>
      <c r="C35" s="102"/>
      <c r="D35" s="102"/>
      <c r="E35" s="269"/>
      <c r="F35" s="270"/>
      <c r="G35" s="716">
        <f>SUM(F29:F34)</f>
        <v>421319.06899620703</v>
      </c>
    </row>
    <row r="36" spans="1:8" ht="15.75" thickBot="1" x14ac:dyDescent="0.3">
      <c r="A36" s="711" t="s">
        <v>658</v>
      </c>
      <c r="B36" s="712"/>
      <c r="C36" s="712"/>
      <c r="D36" s="713"/>
      <c r="E36" s="713"/>
      <c r="F36" s="714"/>
      <c r="G36" s="715"/>
    </row>
    <row r="37" spans="1:8" x14ac:dyDescent="0.25">
      <c r="A37" s="271" t="s">
        <v>662</v>
      </c>
      <c r="B37" s="263"/>
      <c r="C37" s="106" t="s">
        <v>135</v>
      </c>
      <c r="D37" s="107">
        <f>IF(TA_Datos!$D$3="NO",0,'TA_Evaluacion Economica'!$L$19)</f>
        <v>1</v>
      </c>
      <c r="E37" s="690">
        <f>IF(TA_Datos!$D$3="NO",0,TA_Datos!D57)</f>
        <v>1578.11</v>
      </c>
      <c r="F37" s="690">
        <f>IF('Mano de Obra'!$C$33=1,D37*E37*12,D37*E37*13)</f>
        <v>18937.32</v>
      </c>
      <c r="G37" s="92"/>
    </row>
    <row r="38" spans="1:8" x14ac:dyDescent="0.25">
      <c r="A38" s="273" t="s">
        <v>314</v>
      </c>
      <c r="B38" s="266"/>
      <c r="C38" s="95" t="s">
        <v>135</v>
      </c>
      <c r="D38" s="96">
        <f>+IF(TA_Datos!$D$3="NO",0,1)</f>
        <v>1</v>
      </c>
      <c r="E38" s="690">
        <f>IF(TA_Datos!$D$3="NO",0,TA_Datos!D59)</f>
        <v>1346.43</v>
      </c>
      <c r="F38" s="690">
        <f>IF('Mano de Obra'!$C$33=1,D38*E38*12,D38*E38*13)</f>
        <v>16157.16</v>
      </c>
      <c r="G38" s="97"/>
    </row>
    <row r="39" spans="1:8" x14ac:dyDescent="0.25">
      <c r="A39" s="273" t="s">
        <v>664</v>
      </c>
      <c r="B39" s="266"/>
      <c r="C39" s="95" t="s">
        <v>135</v>
      </c>
      <c r="D39" s="96">
        <f>+IF(TA_Datos!$D$3="NO",0,1)</f>
        <v>1</v>
      </c>
      <c r="E39" s="690">
        <f>IF(TA_Datos!$D$3="NO",0,TA_Datos!D64)</f>
        <v>531.54999999999995</v>
      </c>
      <c r="F39" s="690">
        <f>IF('Mano de Obra'!$C$33=1,D39*E39*12,D39*E39*13)</f>
        <v>6378.5999999999995</v>
      </c>
      <c r="G39" s="97"/>
    </row>
    <row r="40" spans="1:8" x14ac:dyDescent="0.25">
      <c r="A40" s="274" t="s">
        <v>665</v>
      </c>
      <c r="B40" s="266"/>
      <c r="C40" s="95" t="s">
        <v>135</v>
      </c>
      <c r="D40" s="96">
        <f>+IF(TA_Datos!$D$3="NO",0,1)</f>
        <v>1</v>
      </c>
      <c r="E40" s="690">
        <f>IF(TA_Datos!$D$3="NO",0,TA_Datos!D65)</f>
        <v>2197.34</v>
      </c>
      <c r="F40" s="690">
        <f>IF('Mano de Obra'!$C$33=1,D40*E40*12,D40*E40*13)</f>
        <v>26368.080000000002</v>
      </c>
      <c r="G40" s="97"/>
    </row>
    <row r="41" spans="1:8" x14ac:dyDescent="0.25">
      <c r="A41" s="274" t="s">
        <v>667</v>
      </c>
      <c r="B41" s="266"/>
      <c r="C41" s="95" t="s">
        <v>135</v>
      </c>
      <c r="D41" s="96">
        <f>IF(TA_Datos!$D$3="NO",0,ROUNDUP(TR_1!$F$33*Datos!D46/8,0))</f>
        <v>1</v>
      </c>
      <c r="E41" s="690">
        <f>IF(TA_Datos!$D$3="NO",0,TA_Datos!D57)</f>
        <v>1578.11</v>
      </c>
      <c r="F41" s="690">
        <f>IF('Mano de Obra'!$C$33=1,D41*E41*12,D41*E41*13)</f>
        <v>18937.32</v>
      </c>
      <c r="G41" s="97"/>
      <c r="H41">
        <f>+TR_1!$F$33*Datos!D46</f>
        <v>2.3683630880000002</v>
      </c>
    </row>
    <row r="42" spans="1:8" x14ac:dyDescent="0.25">
      <c r="A42" s="273" t="s">
        <v>666</v>
      </c>
      <c r="B42" s="266"/>
      <c r="C42" s="95" t="s">
        <v>135</v>
      </c>
      <c r="D42" s="96">
        <f>+IF(TA_Datos!$D$3="NO",0,1)</f>
        <v>1</v>
      </c>
      <c r="E42" s="690">
        <f>IF(TA_Datos!$D$3="NO",0,TA_Datos!D62)</f>
        <v>2019.67</v>
      </c>
      <c r="F42" s="690">
        <f>IF('Mano de Obra'!$C$33=1,D42*E42*12,D42*E42*13)</f>
        <v>24236.04</v>
      </c>
      <c r="G42" s="97"/>
    </row>
    <row r="43" spans="1:8" ht="15.75" thickBot="1" x14ac:dyDescent="0.3">
      <c r="A43" s="273"/>
      <c r="B43" s="266"/>
      <c r="C43" s="95"/>
      <c r="D43" s="96"/>
      <c r="E43" s="272"/>
      <c r="F43" s="91"/>
      <c r="G43" s="97"/>
    </row>
    <row r="44" spans="1:8" ht="15.75" thickBot="1" x14ac:dyDescent="0.3">
      <c r="A44" s="101" t="s">
        <v>659</v>
      </c>
      <c r="B44" s="102"/>
      <c r="C44" s="102"/>
      <c r="D44" s="102"/>
      <c r="E44" s="269"/>
      <c r="F44" s="270"/>
      <c r="G44" s="716">
        <f>SUM(F37:F43)</f>
        <v>111014.52000000002</v>
      </c>
    </row>
    <row r="45" spans="1:8" ht="15.75" thickBot="1" x14ac:dyDescent="0.3">
      <c r="A45" s="112"/>
      <c r="B45" s="113"/>
      <c r="C45" s="113"/>
      <c r="D45" s="113"/>
      <c r="E45" s="113"/>
      <c r="F45" s="113"/>
      <c r="G45" s="113"/>
    </row>
    <row r="46" spans="1:8" ht="15.75" thickBot="1" x14ac:dyDescent="0.3">
      <c r="A46" s="101" t="s">
        <v>660</v>
      </c>
      <c r="B46" s="102"/>
      <c r="C46" s="102"/>
      <c r="D46" s="102"/>
      <c r="E46" s="269"/>
      <c r="F46" s="270"/>
      <c r="G46" s="717">
        <f>+G35+G44</f>
        <v>532333.58899620711</v>
      </c>
    </row>
    <row r="47" spans="1:8" ht="15.75" thickBot="1" x14ac:dyDescent="0.3">
      <c r="A47" s="700" t="s">
        <v>661</v>
      </c>
      <c r="B47" s="701"/>
      <c r="C47" s="701"/>
      <c r="D47" s="701"/>
      <c r="E47" s="701"/>
      <c r="F47" s="702"/>
      <c r="G47" s="703">
        <f>+PV(Datos!$D$110,Datos!$D$73,G46)</f>
        <v>-3007803.5033429754</v>
      </c>
    </row>
  </sheetData>
  <mergeCells count="4">
    <mergeCell ref="A2:G2"/>
    <mergeCell ref="A3:B3"/>
    <mergeCell ref="A26:G26"/>
    <mergeCell ref="A27:B27"/>
  </mergeCells>
  <printOptions horizontalCentered="1" verticalCentered="1" gridLines="1"/>
  <pageMargins left="0.70866141732283472" right="0.70866141732283472" top="0.74803149606299213" bottom="0.74803149606299213" header="0.31496062992125984" footer="0.31496062992125984"/>
  <pageSetup paperSize="9" scale="58" orientation="landscape" r:id="rId1"/>
  <headerFooter>
    <oddHeader>&amp;L&amp;"-,Negrita Cursiva"&amp;10HYTSA Estudios y Proyectos SA</oddHeader>
    <oddFooter>&amp;L&amp;"Arial,Negrita Cursiva"&amp;10&amp;F - &amp;A&amp;R&amp;"Arial,Negrita Cursiva"&amp;10&amp;P</oddFooter>
  </headerFooter>
  <ignoredErrors>
    <ignoredError sqref="F30 D41"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1:R26"/>
  <sheetViews>
    <sheetView view="pageBreakPreview" zoomScale="70" zoomScaleSheetLayoutView="70" workbookViewId="0">
      <selection activeCell="Q25" sqref="Q25"/>
    </sheetView>
  </sheetViews>
  <sheetFormatPr baseColWidth="10" defaultRowHeight="15" x14ac:dyDescent="0.25"/>
  <cols>
    <col min="2" max="2" width="14.5703125" bestFit="1" customWidth="1"/>
    <col min="7" max="7" width="13" customWidth="1"/>
    <col min="8" max="8" width="13" hidden="1" customWidth="1"/>
    <col min="9" max="9" width="22.5703125" bestFit="1" customWidth="1"/>
    <col min="10" max="10" width="28.140625" bestFit="1" customWidth="1"/>
  </cols>
  <sheetData>
    <row r="1" spans="2:18" x14ac:dyDescent="0.25">
      <c r="B1" s="2" t="s">
        <v>228</v>
      </c>
      <c r="C1" s="2" t="str">
        <f>+Datos!C2</f>
        <v>Pehuajó</v>
      </c>
    </row>
    <row r="2" spans="2:18" x14ac:dyDescent="0.25">
      <c r="B2" s="5"/>
    </row>
    <row r="3" spans="2:18" x14ac:dyDescent="0.25">
      <c r="B3" s="5" t="s">
        <v>229</v>
      </c>
    </row>
    <row r="6" spans="2:18" ht="60" x14ac:dyDescent="0.25">
      <c r="B6" s="145" t="s">
        <v>114</v>
      </c>
      <c r="C6" s="145" t="s">
        <v>115</v>
      </c>
      <c r="D6" s="145" t="s">
        <v>222</v>
      </c>
      <c r="E6" s="145" t="s">
        <v>116</v>
      </c>
      <c r="F6" s="145" t="s">
        <v>223</v>
      </c>
      <c r="G6" s="145" t="s">
        <v>224</v>
      </c>
      <c r="H6" s="145" t="s">
        <v>179</v>
      </c>
      <c r="I6" s="145" t="s">
        <v>165</v>
      </c>
      <c r="J6" s="145" t="s">
        <v>147</v>
      </c>
      <c r="L6" s="145" t="s">
        <v>226</v>
      </c>
      <c r="M6" s="145" t="s">
        <v>227</v>
      </c>
      <c r="N6" s="145" t="s">
        <v>317</v>
      </c>
      <c r="O6" s="145" t="s">
        <v>223</v>
      </c>
      <c r="P6" s="145" t="s">
        <v>318</v>
      </c>
      <c r="Q6" s="287" t="s">
        <v>641</v>
      </c>
      <c r="R6" s="287" t="s">
        <v>642</v>
      </c>
    </row>
    <row r="7" spans="2:18" x14ac:dyDescent="0.25">
      <c r="B7" s="121">
        <v>9</v>
      </c>
      <c r="C7" s="121">
        <f>+'9m3-2T'!D66</f>
        <v>3</v>
      </c>
      <c r="D7" s="121">
        <f>+IF(Datos!$D$10="SI",0,IF(C7&lt;=2,1,ROUNDUP(0.2*C7,0)))</f>
        <v>0</v>
      </c>
      <c r="E7" s="121">
        <v>2</v>
      </c>
      <c r="F7" s="132">
        <f>+'9m3-2T'!D70</f>
        <v>105.96666666666667</v>
      </c>
      <c r="G7" s="674">
        <f>+'9m3-2T'!D73</f>
        <v>3493.7554773333336</v>
      </c>
      <c r="H7" s="718">
        <f>+'9m3-2T'!D69</f>
        <v>0.33953278366581241</v>
      </c>
      <c r="I7" s="722">
        <f>+C7*'Costos 9m3-2T'!B55</f>
        <v>-7990860.9565497041</v>
      </c>
      <c r="J7" s="720" t="str">
        <f t="shared" ref="J7:J24" si="0">+IF(I7=MAX($I$7:$I$24),"SOLUCION ADOPTADA","")</f>
        <v/>
      </c>
      <c r="L7" s="14">
        <f t="shared" ref="L7" si="1">+IF(J7="SOLUCION ADOPTADA",C7,0)</f>
        <v>0</v>
      </c>
      <c r="M7" s="14">
        <f>+IF(J7="SOLUCION ADOPTADA",D7,0)</f>
        <v>0</v>
      </c>
      <c r="N7" s="279">
        <f>+IF(J7="SOLUCION ADOPTADA",Datos!D81,0)</f>
        <v>0</v>
      </c>
      <c r="O7" s="281">
        <f>+IF(J7="SOLUCION ADOPTADA",F7,0)</f>
        <v>0</v>
      </c>
      <c r="P7" s="281">
        <f>+IF(J7="SOLUCION ADOPTADA",'Costos 9m3-2T'!$D$44,0)</f>
        <v>0</v>
      </c>
      <c r="Q7" s="281">
        <f>+IF(J7="SOLUCION ADOPTADA",E7,0)</f>
        <v>0</v>
      </c>
      <c r="R7" s="281">
        <f>+IF(J7="SOLUCION ADOPTADA",B7,0)</f>
        <v>0</v>
      </c>
    </row>
    <row r="8" spans="2:18" x14ac:dyDescent="0.25">
      <c r="B8" s="121">
        <v>9</v>
      </c>
      <c r="C8" s="121">
        <f>+'9m3-1T'!D66</f>
        <v>4</v>
      </c>
      <c r="D8" s="121">
        <f>+IF(Datos!$D$10="SI",0,IF(C8&lt;=2,1,ROUNDUP(0.2*C8,0)))</f>
        <v>0</v>
      </c>
      <c r="E8" s="121">
        <v>1</v>
      </c>
      <c r="F8" s="132">
        <f>+'9m3-1T'!D70</f>
        <v>80.650000000000006</v>
      </c>
      <c r="G8" s="674">
        <f>+'9m3-1T'!D73</f>
        <v>2620.3166080000005</v>
      </c>
      <c r="H8" s="718"/>
      <c r="I8" s="722">
        <f>+C8*'Costos 9m3-1T'!B54</f>
        <v>-2710045.7228870071</v>
      </c>
      <c r="J8" s="720" t="str">
        <f t="shared" si="0"/>
        <v/>
      </c>
      <c r="L8" s="14">
        <f>+IF(J8="SOLUCION ADOPTADA",C8,0)</f>
        <v>0</v>
      </c>
      <c r="M8" s="14">
        <f t="shared" ref="M8:M24" si="2">+IF(J8="SOLUCION ADOPTADA",D8,0)</f>
        <v>0</v>
      </c>
      <c r="N8" s="279">
        <f>+IF(J8="SOLUCION ADOPTADA",Datos!D81,0)</f>
        <v>0</v>
      </c>
      <c r="O8" s="281">
        <f t="shared" ref="O8:O24" si="3">+IF(J8="SOLUCION ADOPTADA",F8,0)</f>
        <v>0</v>
      </c>
      <c r="P8" s="281">
        <f>+IF(J8="SOLUCION ADOPTADA",'Costos 9m3-1T'!$D$44,0)</f>
        <v>0</v>
      </c>
      <c r="Q8" s="281">
        <f t="shared" ref="Q8:Q24" si="4">+IF(J8="SOLUCION ADOPTADA",E8,0)</f>
        <v>0</v>
      </c>
      <c r="R8" s="281">
        <f t="shared" ref="R8:R24" si="5">+IF(J8="SOLUCION ADOPTADA",B8,0)</f>
        <v>0</v>
      </c>
    </row>
    <row r="9" spans="2:18" x14ac:dyDescent="0.25">
      <c r="B9" s="142">
        <v>12</v>
      </c>
      <c r="C9" s="142">
        <f>+'12m3-2T'!D66</f>
        <v>2</v>
      </c>
      <c r="D9" s="142">
        <f>+IF(Datos!$D$10="SI",0,IF(C9&lt;=2,1,ROUNDUP(0.2*C9,0)))</f>
        <v>0</v>
      </c>
      <c r="E9" s="142">
        <v>2</v>
      </c>
      <c r="F9" s="143">
        <f>+'12m3-2T'!D70</f>
        <v>142.5</v>
      </c>
      <c r="G9" s="675">
        <f>+'12m3-2T'!D73</f>
        <v>5240.6332160000011</v>
      </c>
      <c r="H9" s="719">
        <f>+'12m3-2T'!D69</f>
        <v>-4.744335383764442E-2</v>
      </c>
      <c r="I9" s="722">
        <f>+C9*'Costos 12m3-2T'!B55</f>
        <v>-6744417.4450748805</v>
      </c>
      <c r="J9" s="721" t="str">
        <f t="shared" si="0"/>
        <v/>
      </c>
      <c r="L9" s="14">
        <f t="shared" ref="L9:L24" si="6">+IF(J9="SOLUCION ADOPTADA",C9,0)</f>
        <v>0</v>
      </c>
      <c r="M9" s="14">
        <f t="shared" si="2"/>
        <v>0</v>
      </c>
      <c r="N9" s="279">
        <f>+IF(J9="SOLUCION ADOPTADA",Datos!D82,0)</f>
        <v>0</v>
      </c>
      <c r="O9" s="281">
        <f t="shared" si="3"/>
        <v>0</v>
      </c>
      <c r="P9" s="281">
        <f>+IF(J9="SOLUCION ADOPTADA",'Costos 12m3-2T'!$D$44,0)</f>
        <v>0</v>
      </c>
      <c r="Q9" s="281">
        <f t="shared" si="4"/>
        <v>0</v>
      </c>
      <c r="R9" s="281">
        <f t="shared" si="5"/>
        <v>0</v>
      </c>
    </row>
    <row r="10" spans="2:18" x14ac:dyDescent="0.25">
      <c r="B10" s="142">
        <v>12</v>
      </c>
      <c r="C10" s="142">
        <f>+'12m3-1T'!D66</f>
        <v>3</v>
      </c>
      <c r="D10" s="142">
        <f>+IF(Datos!$D$10="SI",0,IF(C10&lt;=2,1,ROUNDUP(0.2*C10,0)))</f>
        <v>0</v>
      </c>
      <c r="E10" s="142">
        <v>1</v>
      </c>
      <c r="F10" s="143">
        <f>+'12m3-1T'!D70</f>
        <v>96.566666666666663</v>
      </c>
      <c r="G10" s="675">
        <f>+'12m3-1T'!D73</f>
        <v>3493.7554773333336</v>
      </c>
      <c r="H10" s="719"/>
      <c r="I10" s="722">
        <f>+C10*'Costos 12m3-1T'!B54</f>
        <v>-2270429.3151687803</v>
      </c>
      <c r="J10" s="721" t="str">
        <f t="shared" si="0"/>
        <v>SOLUCION ADOPTADA</v>
      </c>
      <c r="L10" s="14">
        <f t="shared" si="6"/>
        <v>3</v>
      </c>
      <c r="M10" s="14">
        <f t="shared" si="2"/>
        <v>0</v>
      </c>
      <c r="N10" s="279">
        <f>+IF(J10="SOLUCION ADOPTADA",Datos!D82,0)</f>
        <v>268012.51263976813</v>
      </c>
      <c r="O10" s="281">
        <f t="shared" si="3"/>
        <v>96.566666666666663</v>
      </c>
      <c r="P10" s="281">
        <f>+IF(J10="SOLUCION ADOPTADA",'Costos 12m3-1T'!$D$44,0)</f>
        <v>2.4543871366918704</v>
      </c>
      <c r="Q10" s="281">
        <f t="shared" si="4"/>
        <v>1</v>
      </c>
      <c r="R10" s="281">
        <f t="shared" si="5"/>
        <v>12</v>
      </c>
    </row>
    <row r="11" spans="2:18" x14ac:dyDescent="0.25">
      <c r="B11" s="121">
        <v>15</v>
      </c>
      <c r="C11" s="121">
        <f>+'15m3-2T'!D66</f>
        <v>2</v>
      </c>
      <c r="D11" s="121">
        <f>+IF(Datos!$D$10="SI",0,IF(C11&lt;=2,1,ROUNDUP(0.2*C11,0)))</f>
        <v>0</v>
      </c>
      <c r="E11" s="121">
        <v>2</v>
      </c>
      <c r="F11" s="132">
        <f>+'15m3-2T'!D70</f>
        <v>133.1</v>
      </c>
      <c r="G11" s="674">
        <f>+'15m3-2T'!D73</f>
        <v>5240.6332160000011</v>
      </c>
      <c r="H11" s="718">
        <f>+'15m3-2T'!D69</f>
        <v>-0.10697814422279173</v>
      </c>
      <c r="I11" s="722">
        <f>+C11*'Costos 15m3-2T'!B55</f>
        <v>-6760766.3742151242</v>
      </c>
      <c r="J11" s="720" t="str">
        <f t="shared" si="0"/>
        <v/>
      </c>
      <c r="L11" s="14">
        <f t="shared" si="6"/>
        <v>0</v>
      </c>
      <c r="M11" s="14">
        <f t="shared" si="2"/>
        <v>0</v>
      </c>
      <c r="N11" s="279">
        <f>+IF(J11="SOLUCION ADOPTADA",Datos!D83,0)</f>
        <v>0</v>
      </c>
      <c r="O11" s="281">
        <f t="shared" si="3"/>
        <v>0</v>
      </c>
      <c r="P11" s="281">
        <f>+IF(J11="SOLUCION ADOPTADA",'Costos 15m3-2T'!$D$44,0)</f>
        <v>0</v>
      </c>
      <c r="Q11" s="281">
        <f t="shared" si="4"/>
        <v>0</v>
      </c>
      <c r="R11" s="281">
        <f t="shared" si="5"/>
        <v>0</v>
      </c>
    </row>
    <row r="12" spans="2:18" x14ac:dyDescent="0.25">
      <c r="B12" s="121">
        <v>15</v>
      </c>
      <c r="C12" s="121">
        <f>+'15m3-1T'!D66</f>
        <v>3</v>
      </c>
      <c r="D12" s="121">
        <f>+IF(Datos!$D$10="SI",0,IF(C12&lt;=2,1,ROUNDUP(0.2*C12,0)))</f>
        <v>0</v>
      </c>
      <c r="E12" s="121">
        <v>1</v>
      </c>
      <c r="F12" s="132">
        <f>+'15m3-1T'!D70</f>
        <v>90.3</v>
      </c>
      <c r="G12" s="674">
        <f>+'15m3-1T'!D73</f>
        <v>3493.7554773333336</v>
      </c>
      <c r="H12" s="718"/>
      <c r="I12" s="722">
        <f>+C12*'Costos 15m3-1T'!B54</f>
        <v>-2299064.9203312048</v>
      </c>
      <c r="J12" s="720" t="str">
        <f t="shared" si="0"/>
        <v/>
      </c>
      <c r="L12" s="14">
        <f t="shared" si="6"/>
        <v>0</v>
      </c>
      <c r="M12" s="14">
        <f t="shared" si="2"/>
        <v>0</v>
      </c>
      <c r="N12" s="279">
        <f>+IF(J12="SOLUCION ADOPTADA",Datos!D83,0)</f>
        <v>0</v>
      </c>
      <c r="O12" s="281">
        <f t="shared" si="3"/>
        <v>0</v>
      </c>
      <c r="P12" s="281">
        <f>+IF(J12="SOLUCION ADOPTADA",'Costos 15m3-1T'!$D$44,0)</f>
        <v>0</v>
      </c>
      <c r="Q12" s="281">
        <f t="shared" si="4"/>
        <v>0</v>
      </c>
      <c r="R12" s="281">
        <f t="shared" si="5"/>
        <v>0</v>
      </c>
    </row>
    <row r="13" spans="2:18" x14ac:dyDescent="0.25">
      <c r="B13" s="142">
        <v>16</v>
      </c>
      <c r="C13" s="142">
        <f>+'16m3-2T'!D66</f>
        <v>2</v>
      </c>
      <c r="D13" s="142">
        <f>+IF(Datos!$D$10="SI",0,IF(C13&lt;=2,1,ROUNDUP(0.2*C13,0)))</f>
        <v>0</v>
      </c>
      <c r="E13" s="142">
        <v>2</v>
      </c>
      <c r="F13" s="143">
        <f>+'16m3-2T'!D70</f>
        <v>133.1</v>
      </c>
      <c r="G13" s="675">
        <f>+'16m3-2T'!D73</f>
        <v>5240.6332160000011</v>
      </c>
      <c r="H13" s="719">
        <f>+'16m3-2T'!D69</f>
        <v>-4.744335383764442E-2</v>
      </c>
      <c r="I13" s="722">
        <f>+C13*'Costos 16m3-2T'!B55</f>
        <v>-6768962.5756431185</v>
      </c>
      <c r="J13" s="721" t="str">
        <f t="shared" si="0"/>
        <v/>
      </c>
      <c r="L13" s="14">
        <f t="shared" si="6"/>
        <v>0</v>
      </c>
      <c r="M13" s="14">
        <f t="shared" si="2"/>
        <v>0</v>
      </c>
      <c r="N13" s="279">
        <f>+IF(J13="SOLUCION ADOPTADA",Datos!D84,0)</f>
        <v>0</v>
      </c>
      <c r="O13" s="281">
        <f t="shared" si="3"/>
        <v>0</v>
      </c>
      <c r="P13" s="281">
        <f>+IF(J13="SOLUCION ADOPTADA",'Costos 16m3-2T'!$D$44,0)</f>
        <v>0</v>
      </c>
      <c r="Q13" s="281">
        <f t="shared" si="4"/>
        <v>0</v>
      </c>
      <c r="R13" s="281">
        <f t="shared" si="5"/>
        <v>0</v>
      </c>
    </row>
    <row r="14" spans="2:18" x14ac:dyDescent="0.25">
      <c r="B14" s="142">
        <v>16</v>
      </c>
      <c r="C14" s="142">
        <f>+'16m3-1T'!D66</f>
        <v>3</v>
      </c>
      <c r="D14" s="142">
        <f>+IF(Datos!$D$10="SI",0,IF(C14&lt;=2,1,ROUNDUP(0.2*C14,0)))</f>
        <v>0</v>
      </c>
      <c r="E14" s="142">
        <v>1</v>
      </c>
      <c r="F14" s="143">
        <f>+'16m3-1T'!D70</f>
        <v>90.3</v>
      </c>
      <c r="G14" s="675">
        <f>+'16m3-1T'!D73</f>
        <v>3493.7554773333336</v>
      </c>
      <c r="H14" s="719"/>
      <c r="I14" s="722">
        <f>+C14*'Costos 16m3-1T'!B54</f>
        <v>-2311359.2224731985</v>
      </c>
      <c r="J14" s="721" t="str">
        <f t="shared" si="0"/>
        <v/>
      </c>
      <c r="L14" s="14">
        <f t="shared" si="6"/>
        <v>0</v>
      </c>
      <c r="M14" s="14">
        <f t="shared" si="2"/>
        <v>0</v>
      </c>
      <c r="N14" s="279">
        <f>+IF(J14="SOLUCION ADOPTADA",Datos!D84,0)</f>
        <v>0</v>
      </c>
      <c r="O14" s="281">
        <f t="shared" si="3"/>
        <v>0</v>
      </c>
      <c r="P14" s="281">
        <f>+IF(J14="SOLUCION ADOPTADA",'Costos 16m3-1T'!$D$44,0)</f>
        <v>0</v>
      </c>
      <c r="Q14" s="281">
        <f t="shared" si="4"/>
        <v>0</v>
      </c>
      <c r="R14" s="281">
        <f t="shared" si="5"/>
        <v>0</v>
      </c>
    </row>
    <row r="15" spans="2:18" x14ac:dyDescent="0.25">
      <c r="B15" s="121">
        <v>17</v>
      </c>
      <c r="C15" s="121">
        <f>+'17m3-2T'!D66</f>
        <v>2</v>
      </c>
      <c r="D15" s="121">
        <f>+IF(Datos!$D$10="SI",0,IF(C15&lt;=2,1,ROUNDUP(0.2*C15,0)))</f>
        <v>0</v>
      </c>
      <c r="E15" s="121">
        <v>2</v>
      </c>
      <c r="F15" s="132">
        <f>+'17m3-2T'!D70</f>
        <v>128.4</v>
      </c>
      <c r="G15" s="674">
        <f>+'17m3-2T'!D73</f>
        <v>5240.6332160000011</v>
      </c>
      <c r="H15" s="718">
        <f>+'17m3-2T'!D69</f>
        <v>-0.32527237563499811</v>
      </c>
      <c r="I15" s="722">
        <f>+C15*'Costos 17m3-2T'!B55</f>
        <v>-6773039.062414065</v>
      </c>
      <c r="J15" s="720" t="str">
        <f t="shared" si="0"/>
        <v/>
      </c>
      <c r="L15" s="14">
        <f t="shared" si="6"/>
        <v>0</v>
      </c>
      <c r="M15" s="14">
        <f t="shared" si="2"/>
        <v>0</v>
      </c>
      <c r="N15" s="279">
        <f>+IF(J15="SOLUCION ADOPTADA",Datos!D85,0)</f>
        <v>0</v>
      </c>
      <c r="O15" s="281">
        <f t="shared" si="3"/>
        <v>0</v>
      </c>
      <c r="P15" s="281">
        <f>+IF(J15="SOLUCION ADOPTADA",'Costos 17m3-2T'!$D$44,0)</f>
        <v>0</v>
      </c>
      <c r="Q15" s="281">
        <f t="shared" si="4"/>
        <v>0</v>
      </c>
      <c r="R15" s="281">
        <f t="shared" si="5"/>
        <v>0</v>
      </c>
    </row>
    <row r="16" spans="2:18" x14ac:dyDescent="0.25">
      <c r="B16" s="121">
        <v>17</v>
      </c>
      <c r="C16" s="121">
        <f>+'17m3-1T'!D66</f>
        <v>3</v>
      </c>
      <c r="D16" s="121">
        <f>+IF(Datos!$D$10="SI",0,IF(C16&lt;=2,1,ROUNDUP(0.2*C16,0)))</f>
        <v>0</v>
      </c>
      <c r="E16" s="121">
        <v>1</v>
      </c>
      <c r="F16" s="132">
        <f>+'17m3-1T'!D70</f>
        <v>87.166666666666657</v>
      </c>
      <c r="G16" s="674">
        <f>+'17m3-1T'!D73</f>
        <v>3493.7554773333336</v>
      </c>
      <c r="H16" s="718"/>
      <c r="I16" s="722">
        <f>+C16*'Costos 17m3-1T'!B54</f>
        <v>-2319530.3213409912</v>
      </c>
      <c r="J16" s="720" t="str">
        <f t="shared" si="0"/>
        <v/>
      </c>
      <c r="L16" s="14">
        <f t="shared" si="6"/>
        <v>0</v>
      </c>
      <c r="M16" s="14">
        <f t="shared" si="2"/>
        <v>0</v>
      </c>
      <c r="N16" s="279">
        <f>+IF(J16="SOLUCION ADOPTADA",Datos!D85,0)</f>
        <v>0</v>
      </c>
      <c r="O16" s="281">
        <f t="shared" si="3"/>
        <v>0</v>
      </c>
      <c r="P16" s="281">
        <f>+IF(J16="SOLUCION ADOPTADA",'Costos 17m3-1T'!$D$44,0)</f>
        <v>0</v>
      </c>
      <c r="Q16" s="281">
        <f t="shared" si="4"/>
        <v>0</v>
      </c>
      <c r="R16" s="281">
        <f t="shared" si="5"/>
        <v>0</v>
      </c>
    </row>
    <row r="17" spans="2:18" x14ac:dyDescent="0.25">
      <c r="B17" s="142">
        <v>18</v>
      </c>
      <c r="C17" s="142">
        <f>+'18m3-2T'!D66</f>
        <v>2</v>
      </c>
      <c r="D17" s="142">
        <f>+IF(Datos!$D$10="SI",0,IF(C17&lt;=2,1,ROUNDUP(0.2*C17,0)))</f>
        <v>0</v>
      </c>
      <c r="E17" s="142">
        <v>2</v>
      </c>
      <c r="F17" s="143">
        <f>+'18m3-2T'!D70</f>
        <v>128.4</v>
      </c>
      <c r="G17" s="675">
        <f>+'18m3-2T'!D73</f>
        <v>5240.6332160000011</v>
      </c>
      <c r="H17" s="719">
        <f>+'18m3-2T'!D69</f>
        <v>-0.28558251537823331</v>
      </c>
      <c r="I17" s="722">
        <f>+C17*'Costos 18m3-2T'!B55</f>
        <v>-6781235.2638420621</v>
      </c>
      <c r="J17" s="721" t="str">
        <f t="shared" si="0"/>
        <v/>
      </c>
      <c r="L17" s="14">
        <f t="shared" si="6"/>
        <v>0</v>
      </c>
      <c r="M17" s="14">
        <f t="shared" si="2"/>
        <v>0</v>
      </c>
      <c r="N17" s="279">
        <f>+IF(J17="SOLUCION ADOPTADA",Datos!D86,0)</f>
        <v>0</v>
      </c>
      <c r="O17" s="281">
        <f t="shared" si="3"/>
        <v>0</v>
      </c>
      <c r="P17" s="281">
        <f>+IF(J17="SOLUCION ADOPTADA",'Costos 18m3-2T'!$D$44,0)</f>
        <v>0</v>
      </c>
      <c r="Q17" s="281">
        <f t="shared" si="4"/>
        <v>0</v>
      </c>
      <c r="R17" s="281">
        <f t="shared" si="5"/>
        <v>0</v>
      </c>
    </row>
    <row r="18" spans="2:18" x14ac:dyDescent="0.25">
      <c r="B18" s="142">
        <v>18</v>
      </c>
      <c r="C18" s="142">
        <f>+'18m3-1T'!D66</f>
        <v>3</v>
      </c>
      <c r="D18" s="142">
        <f>+IF(Datos!$D$10="SI",0,IF(C18&lt;=2,1,ROUNDUP(0.2*C18,0)))</f>
        <v>0</v>
      </c>
      <c r="E18" s="142">
        <v>1</v>
      </c>
      <c r="F18" s="143">
        <f>+'18m3-1T'!D70</f>
        <v>87.166666666666657</v>
      </c>
      <c r="G18" s="675">
        <f>+'18m3-1T'!D73</f>
        <v>3493.7554773333336</v>
      </c>
      <c r="H18" s="719"/>
      <c r="I18" s="722">
        <f>+C18*'Costos 18m3-1T'!B54</f>
        <v>-2331824.623482984</v>
      </c>
      <c r="J18" s="721" t="str">
        <f t="shared" si="0"/>
        <v/>
      </c>
      <c r="L18" s="14">
        <f t="shared" si="6"/>
        <v>0</v>
      </c>
      <c r="M18" s="14">
        <f t="shared" si="2"/>
        <v>0</v>
      </c>
      <c r="N18" s="279">
        <f>+IF(J18="SOLUCION ADOPTADA",Datos!D86,0)</f>
        <v>0</v>
      </c>
      <c r="O18" s="281">
        <f t="shared" si="3"/>
        <v>0</v>
      </c>
      <c r="P18" s="281">
        <f>+IF(J18="SOLUCION ADOPTADA",'Costos 18m3-1T'!$D$44,0)</f>
        <v>0</v>
      </c>
      <c r="Q18" s="281">
        <f t="shared" si="4"/>
        <v>0</v>
      </c>
      <c r="R18" s="281">
        <f t="shared" si="5"/>
        <v>0</v>
      </c>
    </row>
    <row r="19" spans="2:18" x14ac:dyDescent="0.25">
      <c r="B19" s="121">
        <v>19</v>
      </c>
      <c r="C19" s="121">
        <f>+'19m3-2T'!D66</f>
        <v>2</v>
      </c>
      <c r="D19" s="121">
        <f>+IF(Datos!$D$10="SI",0,IF(C19&lt;=2,1,ROUNDUP(0.2*C19,0)))</f>
        <v>0</v>
      </c>
      <c r="E19" s="121">
        <v>2</v>
      </c>
      <c r="F19" s="132">
        <f>+'19m3-2T'!D70</f>
        <v>128.4</v>
      </c>
      <c r="G19" s="674">
        <f>+'19m3-2T'!D73</f>
        <v>5240.6332160000011</v>
      </c>
      <c r="H19" s="718">
        <f>+'19m3-2T'!D69</f>
        <v>-0.24589265512146852</v>
      </c>
      <c r="I19" s="722">
        <f>+C19*'Costos 19m3-2T'!B55</f>
        <v>-6789431.4652700564</v>
      </c>
      <c r="J19" s="720" t="str">
        <f t="shared" si="0"/>
        <v/>
      </c>
      <c r="L19" s="14">
        <f t="shared" si="6"/>
        <v>0</v>
      </c>
      <c r="M19" s="14">
        <f t="shared" si="2"/>
        <v>0</v>
      </c>
      <c r="N19" s="279">
        <f>+IF(J19="SOLUCION ADOPTADA",Datos!D87,0)</f>
        <v>0</v>
      </c>
      <c r="O19" s="281">
        <f t="shared" si="3"/>
        <v>0</v>
      </c>
      <c r="P19" s="281">
        <f>+IF(J19="SOLUCION ADOPTADA",'Costos 19m3-2T'!$D$44,0)</f>
        <v>0</v>
      </c>
      <c r="Q19" s="281">
        <f t="shared" si="4"/>
        <v>0</v>
      </c>
      <c r="R19" s="281">
        <f t="shared" si="5"/>
        <v>0</v>
      </c>
    </row>
    <row r="20" spans="2:18" x14ac:dyDescent="0.25">
      <c r="B20" s="121">
        <v>19</v>
      </c>
      <c r="C20" s="121">
        <f>+'19m3-1T'!D66</f>
        <v>3</v>
      </c>
      <c r="D20" s="121">
        <f>+IF(Datos!$D$10="SI",0,IF(C20&lt;=2,1,ROUNDUP(0.2*C20,0)))</f>
        <v>0</v>
      </c>
      <c r="E20" s="121">
        <v>1</v>
      </c>
      <c r="F20" s="132">
        <f>+'19m3-1T'!D70</f>
        <v>87.166666666666657</v>
      </c>
      <c r="G20" s="674">
        <f>+'19m3-1T'!D73</f>
        <v>3493.7554773333336</v>
      </c>
      <c r="H20" s="718"/>
      <c r="I20" s="722">
        <f>+C20*'Costos 19m3-1T'!B54</f>
        <v>-2344118.9256249773</v>
      </c>
      <c r="J20" s="720" t="str">
        <f t="shared" si="0"/>
        <v/>
      </c>
      <c r="L20" s="14">
        <f t="shared" si="6"/>
        <v>0</v>
      </c>
      <c r="M20" s="14">
        <f t="shared" si="2"/>
        <v>0</v>
      </c>
      <c r="N20" s="279">
        <f>+IF(J20="SOLUCION ADOPTADA",Datos!D87,0)</f>
        <v>0</v>
      </c>
      <c r="O20" s="281">
        <f t="shared" si="3"/>
        <v>0</v>
      </c>
      <c r="P20" s="281">
        <f>+IF(J20="SOLUCION ADOPTADA",'Costos 19m3-1T'!$D$44,0)</f>
        <v>0</v>
      </c>
      <c r="Q20" s="281">
        <f t="shared" si="4"/>
        <v>0</v>
      </c>
      <c r="R20" s="281">
        <f t="shared" si="5"/>
        <v>0</v>
      </c>
    </row>
    <row r="21" spans="2:18" x14ac:dyDescent="0.25">
      <c r="B21" s="142">
        <v>21</v>
      </c>
      <c r="C21" s="142">
        <f>+'21m3-2T'!D66</f>
        <v>2</v>
      </c>
      <c r="D21" s="142">
        <f>+IF(Datos!$D$10="SI",0,IF(C21&lt;=2,1,ROUNDUP(0.2*C21,0)))</f>
        <v>0</v>
      </c>
      <c r="E21" s="142">
        <v>2</v>
      </c>
      <c r="F21" s="143">
        <f>+'21m3-2T'!D70</f>
        <v>123.7</v>
      </c>
      <c r="G21" s="675">
        <f>+'21m3-2T'!D73</f>
        <v>5240.6332160000011</v>
      </c>
      <c r="H21" s="719">
        <f>+'21m3-2T'!D69</f>
        <v>-0.16651293460793892</v>
      </c>
      <c r="I21" s="722">
        <f>+C21*'Costos 21m3-2T'!B55</f>
        <v>-6840302.6374618709</v>
      </c>
      <c r="J21" s="721" t="str">
        <f t="shared" si="0"/>
        <v/>
      </c>
      <c r="L21" s="14">
        <f t="shared" si="6"/>
        <v>0</v>
      </c>
      <c r="M21" s="14">
        <f t="shared" si="2"/>
        <v>0</v>
      </c>
      <c r="N21" s="279">
        <f>+IF(J21="SOLUCION ADOPTADA",Datos!D88,0)</f>
        <v>0</v>
      </c>
      <c r="O21" s="281">
        <f t="shared" si="3"/>
        <v>0</v>
      </c>
      <c r="P21" s="281">
        <f>+IF(J21="SOLUCION ADOPTADA",'Costos 21m3-2T'!$D$44,0)</f>
        <v>0</v>
      </c>
      <c r="Q21" s="281">
        <f t="shared" si="4"/>
        <v>0</v>
      </c>
      <c r="R21" s="281">
        <f t="shared" si="5"/>
        <v>0</v>
      </c>
    </row>
    <row r="22" spans="2:18" x14ac:dyDescent="0.25">
      <c r="B22" s="142">
        <v>21</v>
      </c>
      <c r="C22" s="142">
        <f>+'21m3-1T'!D66</f>
        <v>3</v>
      </c>
      <c r="D22" s="142">
        <f>+IF(Datos!$D$10="SI",0,IF(C22&lt;=2,1,ROUNDUP(0.2*C22,0)))</f>
        <v>0</v>
      </c>
      <c r="E22" s="142">
        <v>1</v>
      </c>
      <c r="F22" s="143">
        <f>+'21m3-1T'!D70</f>
        <v>84.033333333333331</v>
      </c>
      <c r="G22" s="675">
        <f>+'21m3-1T'!D73</f>
        <v>3493.7554773333336</v>
      </c>
      <c r="H22" s="719"/>
      <c r="I22" s="722">
        <f>+C22*'Costos 21m3-1T'!B54</f>
        <v>-2403916.3425087547</v>
      </c>
      <c r="J22" s="721" t="str">
        <f t="shared" si="0"/>
        <v/>
      </c>
      <c r="L22" s="14">
        <f t="shared" si="6"/>
        <v>0</v>
      </c>
      <c r="M22" s="14">
        <f t="shared" si="2"/>
        <v>0</v>
      </c>
      <c r="N22" s="279">
        <f>+IF(J22="SOLUCION ADOPTADA",Datos!D88,0)</f>
        <v>0</v>
      </c>
      <c r="O22" s="281">
        <f t="shared" si="3"/>
        <v>0</v>
      </c>
      <c r="P22" s="281">
        <f>+IF(J22="SOLUCION ADOPTADA",'Costos 21m3-1T'!$D$44,0)</f>
        <v>0</v>
      </c>
      <c r="Q22" s="281">
        <f t="shared" si="4"/>
        <v>0</v>
      </c>
      <c r="R22" s="281">
        <f t="shared" si="5"/>
        <v>0</v>
      </c>
    </row>
    <row r="23" spans="2:18" x14ac:dyDescent="0.25">
      <c r="B23" s="121">
        <v>24</v>
      </c>
      <c r="C23" s="121">
        <f>+'24m3-2T'!D66</f>
        <v>2</v>
      </c>
      <c r="D23" s="121">
        <f>+IF(Datos!$D$10="SI",0,IF(C23&lt;=2,1,ROUNDUP(0.2*C23,0)))</f>
        <v>0</v>
      </c>
      <c r="E23" s="121">
        <v>2</v>
      </c>
      <c r="F23" s="132">
        <f>+'24m3-2T'!D70</f>
        <v>123.7</v>
      </c>
      <c r="G23" s="674">
        <f>+'24m3-2T'!D73</f>
        <v>5240.6332160000011</v>
      </c>
      <c r="H23" s="718">
        <f>+'24m3-2T'!D69</f>
        <v>-4.744335383764442E-2</v>
      </c>
      <c r="I23" s="722">
        <f>+C23*'Costos 24m3-2T'!B55</f>
        <v>-6864891.2417458585</v>
      </c>
      <c r="J23" s="720" t="str">
        <f t="shared" si="0"/>
        <v/>
      </c>
      <c r="L23" s="14">
        <f t="shared" si="6"/>
        <v>0</v>
      </c>
      <c r="M23" s="14">
        <f t="shared" si="2"/>
        <v>0</v>
      </c>
      <c r="N23" s="279">
        <f>+IF(J23="SOLUCION ADOPTADA",Datos!D89,0)</f>
        <v>0</v>
      </c>
      <c r="O23" s="281">
        <f t="shared" si="3"/>
        <v>0</v>
      </c>
      <c r="P23" s="281">
        <f>+IF(J23="SOLUCION ADOPTADA",'Costos 24m3-2T'!$D$44,0)</f>
        <v>0</v>
      </c>
      <c r="Q23" s="281">
        <f t="shared" si="4"/>
        <v>0</v>
      </c>
      <c r="R23" s="281">
        <f t="shared" si="5"/>
        <v>0</v>
      </c>
    </row>
    <row r="24" spans="2:18" ht="15.75" thickBot="1" x14ac:dyDescent="0.3">
      <c r="B24" s="121">
        <v>24</v>
      </c>
      <c r="C24" s="121">
        <f>+'24m3-1T'!D66</f>
        <v>3</v>
      </c>
      <c r="D24" s="121">
        <f>+IF(Datos!$D$10="SI",0,IF(C24&lt;=2,1,ROUNDUP(0.2*C24,0)))</f>
        <v>0</v>
      </c>
      <c r="E24" s="121">
        <v>1</v>
      </c>
      <c r="F24" s="132">
        <f>+'24m3-1T'!D70</f>
        <v>84.033333333333331</v>
      </c>
      <c r="G24" s="674">
        <f>+'24m3-1T'!D73</f>
        <v>3493.7554773333336</v>
      </c>
      <c r="H24" s="718"/>
      <c r="I24" s="722">
        <f>+C24*'Costos 24m3-1T'!B54</f>
        <v>-2440799.2489347341</v>
      </c>
      <c r="J24" s="720" t="str">
        <f t="shared" si="0"/>
        <v/>
      </c>
      <c r="L24" s="14">
        <f t="shared" si="6"/>
        <v>0</v>
      </c>
      <c r="M24" s="14">
        <f t="shared" si="2"/>
        <v>0</v>
      </c>
      <c r="N24" s="279">
        <f>+IF(J24="SOLUCION ADOPTADA",Datos!D89,0)</f>
        <v>0</v>
      </c>
      <c r="O24" s="281">
        <f t="shared" si="3"/>
        <v>0</v>
      </c>
      <c r="P24" s="281">
        <f>+IF(J24="SOLUCION ADOPTADA",'Costos 24m3-1T'!$D$44,0)</f>
        <v>0</v>
      </c>
      <c r="Q24" s="281">
        <f t="shared" si="4"/>
        <v>0</v>
      </c>
      <c r="R24" s="281">
        <f t="shared" si="5"/>
        <v>0</v>
      </c>
    </row>
    <row r="25" spans="2:18" ht="15.75" thickBot="1" x14ac:dyDescent="0.3">
      <c r="K25" s="194" t="s">
        <v>225</v>
      </c>
      <c r="L25" s="275">
        <f t="shared" ref="L25:R25" si="7">SUM(L7:L24)</f>
        <v>3</v>
      </c>
      <c r="M25" s="275">
        <f t="shared" si="7"/>
        <v>0</v>
      </c>
      <c r="N25" s="283">
        <f>SUM(N7:N24)</f>
        <v>268012.51263976813</v>
      </c>
      <c r="O25" s="282">
        <f t="shared" si="7"/>
        <v>96.566666666666663</v>
      </c>
      <c r="P25" s="282">
        <f>SUM(P7:P24)</f>
        <v>2.4543871366918704</v>
      </c>
      <c r="Q25" s="282">
        <f t="shared" si="7"/>
        <v>1</v>
      </c>
      <c r="R25" s="282">
        <f t="shared" si="7"/>
        <v>12</v>
      </c>
    </row>
    <row r="26" spans="2:18" x14ac:dyDescent="0.25">
      <c r="J26" t="str">
        <f>+VLOOKUP("SOLUCIÓN ADOPTADA",J7:J24,1)</f>
        <v/>
      </c>
    </row>
  </sheetData>
  <pageMargins left="0.70866141732283472" right="0.70866141732283472" top="0.74803149606299213" bottom="0.74803149606299213" header="0.31496062992125984" footer="0.31496062992125984"/>
  <pageSetup paperSize="9" scale="68" orientation="landscape" r:id="rId1"/>
  <headerFooter>
    <oddHeader>&amp;L&amp;"Arial,Negrita Cursiva"&amp;10HYTSA Estudios y Proyectos S.A.</oddHeader>
    <oddFooter>&amp;L&amp;"Arial,Negrita Cursiva"&amp;10&amp;F - &amp;A&amp;R&amp;"Arial,Negrita Cursiva"&amp;10&amp;P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5"/>
  <dimension ref="B1:Q27"/>
  <sheetViews>
    <sheetView view="pageBreakPreview" topLeftCell="A15" zoomScaleNormal="100" zoomScaleSheetLayoutView="100" workbookViewId="0">
      <selection activeCell="O12" sqref="O12"/>
    </sheetView>
  </sheetViews>
  <sheetFormatPr baseColWidth="10" defaultRowHeight="15" x14ac:dyDescent="0.25"/>
  <cols>
    <col min="2" max="2" width="14.5703125" bestFit="1" customWidth="1"/>
    <col min="7" max="7" width="13" customWidth="1"/>
    <col min="8" max="8" width="13" hidden="1" customWidth="1"/>
    <col min="9" max="9" width="18.5703125" customWidth="1"/>
    <col min="10" max="10" width="23.28515625" customWidth="1"/>
  </cols>
  <sheetData>
    <row r="1" spans="2:17" x14ac:dyDescent="0.25">
      <c r="B1" s="2" t="s">
        <v>228</v>
      </c>
      <c r="C1" s="2" t="str">
        <f>+P_Datos!C2</f>
        <v>Pehuajó</v>
      </c>
    </row>
    <row r="2" spans="2:17" x14ac:dyDescent="0.25">
      <c r="B2" s="5"/>
    </row>
    <row r="3" spans="2:17" x14ac:dyDescent="0.25">
      <c r="B3" s="5" t="s">
        <v>232</v>
      </c>
    </row>
    <row r="6" spans="2:17" ht="62.25" customHeight="1" x14ac:dyDescent="0.25">
      <c r="B6" s="145" t="s">
        <v>114</v>
      </c>
      <c r="C6" s="145" t="s">
        <v>115</v>
      </c>
      <c r="D6" s="145" t="s">
        <v>222</v>
      </c>
      <c r="E6" s="145" t="s">
        <v>116</v>
      </c>
      <c r="F6" s="145" t="s">
        <v>223</v>
      </c>
      <c r="G6" s="145" t="s">
        <v>224</v>
      </c>
      <c r="H6" s="145" t="s">
        <v>179</v>
      </c>
      <c r="I6" s="145" t="s">
        <v>165</v>
      </c>
      <c r="J6" s="145" t="s">
        <v>147</v>
      </c>
      <c r="L6" s="145" t="s">
        <v>226</v>
      </c>
      <c r="M6" s="145" t="s">
        <v>227</v>
      </c>
      <c r="N6" s="145" t="s">
        <v>317</v>
      </c>
      <c r="O6" s="145" t="s">
        <v>223</v>
      </c>
      <c r="P6" s="145" t="s">
        <v>318</v>
      </c>
      <c r="Q6" s="287" t="s">
        <v>642</v>
      </c>
    </row>
    <row r="7" spans="2:17" x14ac:dyDescent="0.25">
      <c r="B7" s="142">
        <v>6</v>
      </c>
      <c r="C7" s="142">
        <f>+'P_6m3-2T'!D66</f>
        <v>2</v>
      </c>
      <c r="D7" s="142">
        <f>+IF(Datos!$D$10="SI",0,IF(C7&lt;=2,1,ROUNDUP(0.2*C7,0)))</f>
        <v>0</v>
      </c>
      <c r="E7" s="142">
        <v>2</v>
      </c>
      <c r="F7" s="143">
        <f>+'P_6m3-2T'!D70</f>
        <v>109.6</v>
      </c>
      <c r="G7" s="676">
        <f>+'P_6m3-2T'!D73</f>
        <v>7176</v>
      </c>
      <c r="H7" s="144">
        <f>+'P_6m3-2T'!D69</f>
        <v>-1</v>
      </c>
      <c r="I7" s="722">
        <f>+C7*'P_Costos 6m3-2T'!B55</f>
        <v>-10932608.190903964</v>
      </c>
      <c r="J7" s="149" t="str">
        <f>+IF(I7=MAX($I$7:$I$26),"SOLUCION ADOPTADA"," ")</f>
        <v xml:space="preserve"> </v>
      </c>
      <c r="L7" s="14">
        <f>+IF(J7="SOLUCION ADOPTADA",C7,0)</f>
        <v>0</v>
      </c>
      <c r="M7" s="14">
        <f>+IF(J7="SOLUCION ADOPTADA",D7,0)</f>
        <v>0</v>
      </c>
      <c r="N7" s="279">
        <f>+IF(J7="SOLUCION ADOPTADA",P_Datos!D85,0)</f>
        <v>0</v>
      </c>
      <c r="O7" s="281">
        <f>+IF(J7="SOLUCION ADOPTADA",F7,0)</f>
        <v>0</v>
      </c>
      <c r="P7" s="281">
        <f>+IF(J7="SOLUCION ADOPTADA",'P_Costos 6m3-2T'!$D$44,0)</f>
        <v>0</v>
      </c>
      <c r="Q7" s="281">
        <f>+IF(J7="SOLUCION ADOPTADA",B7,0)</f>
        <v>0</v>
      </c>
    </row>
    <row r="8" spans="2:17" x14ac:dyDescent="0.25">
      <c r="B8" s="142">
        <v>6</v>
      </c>
      <c r="C8" s="142">
        <f>+'P_6m3-1T'!D66</f>
        <v>2</v>
      </c>
      <c r="D8" s="142">
        <f>+IF(Datos!$D$10="SI",0,IF(C8&lt;=2,1,ROUNDUP(0.2*C8,0)))</f>
        <v>0</v>
      </c>
      <c r="E8" s="142">
        <v>1</v>
      </c>
      <c r="F8" s="143">
        <f>+'P_6m3-1T'!D70</f>
        <v>109.6</v>
      </c>
      <c r="G8" s="676">
        <f>+'P_6m3-1T'!D73</f>
        <v>7176</v>
      </c>
      <c r="H8" s="144"/>
      <c r="I8" s="722">
        <f>+C8*'P_Costos 6m3-1T'!B54</f>
        <v>-2004596.4170202496</v>
      </c>
      <c r="J8" s="149" t="str">
        <f>+IF(I8=MAX($I$7:$I$26),"SOLUCION ADOPTADA"," ")</f>
        <v>SOLUCION ADOPTADA</v>
      </c>
      <c r="L8" s="14">
        <f t="shared" ref="L8:L26" si="0">+IF(J8="SOLUCION ADOPTADA",C8,0)</f>
        <v>2</v>
      </c>
      <c r="M8" s="14">
        <f t="shared" ref="M8:M26" si="1">+IF(J8="SOLUCION ADOPTADA",D8,0)</f>
        <v>0</v>
      </c>
      <c r="N8" s="279">
        <f>+IF(J8="SOLUCION ADOPTADA",P_Datos!D85,0)</f>
        <v>234260.39447999999</v>
      </c>
      <c r="O8" s="281">
        <f t="shared" ref="O8:O26" si="2">+IF(J8="SOLUCION ADOPTADA",F8,0)</f>
        <v>109.6</v>
      </c>
      <c r="P8" s="281">
        <f>+IF(J8="SOLUCION ADOPTADA",'P_Costos 6m3-1T'!$D$44,0)</f>
        <v>3.5501659913361805</v>
      </c>
      <c r="Q8" s="281">
        <f t="shared" ref="Q8:Q26" si="3">+IF(J8="SOLUCION ADOPTADA",B8,0)</f>
        <v>6</v>
      </c>
    </row>
    <row r="9" spans="2:17" x14ac:dyDescent="0.25">
      <c r="B9" s="121">
        <v>9</v>
      </c>
      <c r="C9" s="121">
        <f>+'P_9m3-2T'!D66</f>
        <v>2</v>
      </c>
      <c r="D9" s="121">
        <f>+IF(Datos!$D$10="SI",0,IF(C9&lt;=2,1,ROUNDUP(0.2*C9,0)))</f>
        <v>0</v>
      </c>
      <c r="E9" s="121">
        <v>2</v>
      </c>
      <c r="F9" s="132">
        <f>+'P_9m3-2T'!D70</f>
        <v>109.6</v>
      </c>
      <c r="G9" s="677">
        <f>+'P_9m3-2T'!D73</f>
        <v>7176</v>
      </c>
      <c r="H9" s="126">
        <f>+'P_9m3-2T'!D69</f>
        <v>-1</v>
      </c>
      <c r="I9" s="722">
        <f>+C9*'P_Costos 9m3-2T'!B55</f>
        <v>-10957196.738991722</v>
      </c>
      <c r="J9" s="148" t="str">
        <f>+IF(I9=MAX($I$7:$I$26),"SOLUCION ADOPTADA","")</f>
        <v/>
      </c>
      <c r="L9" s="14">
        <f t="shared" si="0"/>
        <v>0</v>
      </c>
      <c r="M9" s="14">
        <f t="shared" si="1"/>
        <v>0</v>
      </c>
      <c r="N9" s="279">
        <f>+IF(J9="SOLUCION ADOPTADA",P_Datos!D86,0)</f>
        <v>0</v>
      </c>
      <c r="O9" s="281">
        <f t="shared" si="2"/>
        <v>0</v>
      </c>
      <c r="P9" s="281">
        <f>+IF(J9="SOLUCION ADOPTADA",'P_Costos 9m3-2T'!$D$44,0)</f>
        <v>0</v>
      </c>
      <c r="Q9" s="281">
        <f t="shared" si="3"/>
        <v>0</v>
      </c>
    </row>
    <row r="10" spans="2:17" x14ac:dyDescent="0.25">
      <c r="B10" s="121">
        <v>9</v>
      </c>
      <c r="C10" s="121">
        <f>+'P_9m3-1T'!D66</f>
        <v>2</v>
      </c>
      <c r="D10" s="121">
        <f>+IF(Datos!$D$10="SI",0,IF(C10&lt;=2,1,ROUNDUP(0.2*C10,0)))</f>
        <v>0</v>
      </c>
      <c r="E10" s="121">
        <v>1</v>
      </c>
      <c r="F10" s="132">
        <f>+'P_9m3-1T'!D70</f>
        <v>109.6</v>
      </c>
      <c r="G10" s="677">
        <f>+'P_9m3-1T'!D73</f>
        <v>7176</v>
      </c>
      <c r="H10" s="126"/>
      <c r="I10" s="722">
        <f>+C10*'P_Costos 9m3-1T'!B54</f>
        <v>-2103401.2232517665</v>
      </c>
      <c r="J10" s="148" t="str">
        <f>+IF(I10=MAX($I$7:$I$26),"SOLUCION ADOPTADA","")</f>
        <v/>
      </c>
      <c r="L10" s="14">
        <f t="shared" si="0"/>
        <v>0</v>
      </c>
      <c r="M10" s="14">
        <f t="shared" si="1"/>
        <v>0</v>
      </c>
      <c r="N10" s="279">
        <f>+IF(J10="SOLUCION ADOPTADA",P_Datos!D86,0)</f>
        <v>0</v>
      </c>
      <c r="O10" s="281">
        <f t="shared" si="2"/>
        <v>0</v>
      </c>
      <c r="P10" s="281">
        <f>+IF(J10="SOLUCION ADOPTADA",'P_Costos 9m3-1T'!$D$44,0)</f>
        <v>0</v>
      </c>
      <c r="Q10" s="281">
        <f t="shared" si="3"/>
        <v>0</v>
      </c>
    </row>
    <row r="11" spans="2:17" x14ac:dyDescent="0.25">
      <c r="B11" s="142">
        <v>12</v>
      </c>
      <c r="C11" s="142">
        <f>+'P_12m3-2T'!D66</f>
        <v>2</v>
      </c>
      <c r="D11" s="142">
        <f>+IF(Datos!$D$10="SI",0,IF(C11&lt;=2,1,ROUNDUP(0.2*C11,0)))</f>
        <v>0</v>
      </c>
      <c r="E11" s="142">
        <v>2</v>
      </c>
      <c r="F11" s="143">
        <f>+'P_12m3-2T'!D70</f>
        <v>104.9</v>
      </c>
      <c r="G11" s="676">
        <f>+'P_12m3-2T'!D73</f>
        <v>7176</v>
      </c>
      <c r="H11" s="144">
        <f>+'P_12m3-2T'!D69</f>
        <v>-1</v>
      </c>
      <c r="I11" s="722">
        <f>+C11*'P_Costos 12m3-2T'!B55</f>
        <v>-10769794.617806913</v>
      </c>
      <c r="J11" s="149" t="str">
        <f>+IF(I11=MAX($I$7:$I$26),"SOLUCION ADOPTADA"," ")</f>
        <v xml:space="preserve"> </v>
      </c>
      <c r="L11" s="14">
        <f t="shared" si="0"/>
        <v>0</v>
      </c>
      <c r="M11" s="14">
        <f t="shared" si="1"/>
        <v>0</v>
      </c>
      <c r="N11" s="279">
        <f>+IF(J11="SOLUCION ADOPTADA",P_Datos!D87,0)</f>
        <v>0</v>
      </c>
      <c r="O11" s="281">
        <f t="shared" si="2"/>
        <v>0</v>
      </c>
      <c r="P11" s="281">
        <f>+IF(J11="SOLUCION ADOPTADA",'P_Costos 12m3-2T'!$D$44,0)</f>
        <v>0</v>
      </c>
      <c r="Q11" s="281">
        <f t="shared" si="3"/>
        <v>0</v>
      </c>
    </row>
    <row r="12" spans="2:17" x14ac:dyDescent="0.25">
      <c r="B12" s="142">
        <v>12</v>
      </c>
      <c r="C12" s="142">
        <f>+'P_12m3-1T'!D66</f>
        <v>2</v>
      </c>
      <c r="D12" s="142">
        <f>+IF(Datos!$D$10="SI",0,IF(C12&lt;=2,1,ROUNDUP(0.2*C12,0)))</f>
        <v>0</v>
      </c>
      <c r="E12" s="142">
        <v>1</v>
      </c>
      <c r="F12" s="143">
        <f>+'P_12m3-1T'!D70</f>
        <v>104.9</v>
      </c>
      <c r="G12" s="676">
        <f>+'P_12m3-1T'!D73</f>
        <v>7176</v>
      </c>
      <c r="H12" s="144"/>
      <c r="I12" s="722">
        <f>+C12*'P_Costos 12m3-1T'!B54</f>
        <v>-2180716.0652135815</v>
      </c>
      <c r="J12" s="149" t="str">
        <f>+IF(I12=MAX($I$7:$I$26),"SOLUCION ADOPTADA"," ")</f>
        <v xml:space="preserve"> </v>
      </c>
      <c r="L12" s="14">
        <f t="shared" si="0"/>
        <v>0</v>
      </c>
      <c r="M12" s="14">
        <f t="shared" si="1"/>
        <v>0</v>
      </c>
      <c r="N12" s="279">
        <f>+IF(J12="SOLUCION ADOPTADA",P_Datos!D87,0)</f>
        <v>0</v>
      </c>
      <c r="O12" s="281">
        <f t="shared" si="2"/>
        <v>0</v>
      </c>
      <c r="P12" s="281">
        <f>+IF(J12="SOLUCION ADOPTADA",'P_Costos 12m3-1T'!$D$44,0)</f>
        <v>0</v>
      </c>
      <c r="Q12" s="281">
        <f t="shared" si="3"/>
        <v>0</v>
      </c>
    </row>
    <row r="13" spans="2:17" x14ac:dyDescent="0.25">
      <c r="B13" s="121">
        <v>15</v>
      </c>
      <c r="C13" s="121">
        <f>+'P_15m3-2T'!D66</f>
        <v>2</v>
      </c>
      <c r="D13" s="121">
        <f>+IF(Datos!$D$10="SI",0,IF(C13&lt;=2,1,ROUNDUP(0.2*C13,0)))</f>
        <v>0</v>
      </c>
      <c r="E13" s="121">
        <v>2</v>
      </c>
      <c r="F13" s="132">
        <f>+'P_15m3-2T'!D70</f>
        <v>104.9</v>
      </c>
      <c r="G13" s="677">
        <f>+'P_15m3-2T'!D73</f>
        <v>7176</v>
      </c>
      <c r="H13" s="126">
        <f>+'P_15m3-2T'!D69</f>
        <v>-1</v>
      </c>
      <c r="I13" s="722">
        <f>+C13*'P_Costos 15m3-2T'!B55</f>
        <v>-10794383.165894672</v>
      </c>
      <c r="J13" s="148" t="str">
        <f>+IF(I13=MAX($I$7:$I$26),"SOLUCION ADOPTADA","")</f>
        <v/>
      </c>
      <c r="L13" s="14">
        <f t="shared" si="0"/>
        <v>0</v>
      </c>
      <c r="M13" s="14">
        <f t="shared" si="1"/>
        <v>0</v>
      </c>
      <c r="N13" s="279">
        <f>+IF(J13="SOLUCION ADOPTADA",P_Datos!D88,0)</f>
        <v>0</v>
      </c>
      <c r="O13" s="281">
        <f t="shared" si="2"/>
        <v>0</v>
      </c>
      <c r="P13" s="281">
        <f>+IF(J13="SOLUCION ADOPTADA",'P_Costos 15m3-2T'!$D$44,0)</f>
        <v>0</v>
      </c>
      <c r="Q13" s="281">
        <f t="shared" si="3"/>
        <v>0</v>
      </c>
    </row>
    <row r="14" spans="2:17" x14ac:dyDescent="0.25">
      <c r="B14" s="121">
        <v>15</v>
      </c>
      <c r="C14" s="121">
        <f>+'P_15m3-1T'!D66</f>
        <v>2</v>
      </c>
      <c r="D14" s="121">
        <f>+IF(Datos!$D$10="SI",0,IF(C14&lt;=2,1,ROUNDUP(0.2*C14,0)))</f>
        <v>0</v>
      </c>
      <c r="E14" s="121">
        <v>1</v>
      </c>
      <c r="F14" s="132">
        <f>+'P_15m3-1T'!D70</f>
        <v>104.9</v>
      </c>
      <c r="G14" s="677">
        <f>+'P_15m3-1T'!D73</f>
        <v>7176</v>
      </c>
      <c r="H14" s="126"/>
      <c r="I14" s="722">
        <f>+C14*'P_Costos 15m3-1T'!B54</f>
        <v>-2401518.1364737339</v>
      </c>
      <c r="J14" s="148" t="str">
        <f>+IF(I14=MAX($I$7:$I$26),"SOLUCION ADOPTADA","")</f>
        <v/>
      </c>
      <c r="L14" s="14">
        <f t="shared" si="0"/>
        <v>0</v>
      </c>
      <c r="M14" s="14">
        <f t="shared" si="1"/>
        <v>0</v>
      </c>
      <c r="N14" s="279">
        <f>+IF(J14="SOLUCION ADOPTADA",P_Datos!D88,0)</f>
        <v>0</v>
      </c>
      <c r="O14" s="281">
        <f t="shared" si="2"/>
        <v>0</v>
      </c>
      <c r="P14" s="281">
        <f>+IF(J14="SOLUCION ADOPTADA",'P_Costos 15m3-1T'!$D$44,0)</f>
        <v>0</v>
      </c>
      <c r="Q14" s="281">
        <f t="shared" si="3"/>
        <v>0</v>
      </c>
    </row>
    <row r="15" spans="2:17" x14ac:dyDescent="0.25">
      <c r="B15" s="142">
        <v>16</v>
      </c>
      <c r="C15" s="142">
        <f>+'P_16m3-2T'!D66</f>
        <v>2</v>
      </c>
      <c r="D15" s="142">
        <f>+IF(Datos!$D$10="SI",0,IF(C15&lt;=2,1,ROUNDUP(0.2*C15,0)))</f>
        <v>0</v>
      </c>
      <c r="E15" s="142">
        <v>2</v>
      </c>
      <c r="F15" s="143">
        <f>+'P_16m3-2T'!D70</f>
        <v>104.9</v>
      </c>
      <c r="G15" s="676">
        <f>+'P_16m3-2T'!D73</f>
        <v>7176</v>
      </c>
      <c r="H15" s="144">
        <f>+'P_16m3-2T'!D69</f>
        <v>-1</v>
      </c>
      <c r="I15" s="722">
        <f>+C15*'P_Costos 16m3-2T'!B55</f>
        <v>-10802579.348590594</v>
      </c>
      <c r="J15" s="149" t="str">
        <f>+IF(I15=MAX($I$7:$I$26),"SOLUCION ADOPTADA"," ")</f>
        <v xml:space="preserve"> </v>
      </c>
      <c r="L15" s="14">
        <f t="shared" si="0"/>
        <v>0</v>
      </c>
      <c r="M15" s="14">
        <f t="shared" si="1"/>
        <v>0</v>
      </c>
      <c r="N15" s="279">
        <f>+IF(J15="SOLUCION ADOPTADA",P_Datos!D89,0)</f>
        <v>0</v>
      </c>
      <c r="O15" s="281">
        <f t="shared" si="2"/>
        <v>0</v>
      </c>
      <c r="P15" s="281">
        <f>+IF(J15="SOLUCION ADOPTADA",'P_Costos 16m3-2T'!$D$44,0)</f>
        <v>0</v>
      </c>
      <c r="Q15" s="281">
        <f t="shared" si="3"/>
        <v>0</v>
      </c>
    </row>
    <row r="16" spans="2:17" x14ac:dyDescent="0.25">
      <c r="B16" s="142">
        <v>16</v>
      </c>
      <c r="C16" s="142">
        <f>+'P_16m3-1T'!D66</f>
        <v>2</v>
      </c>
      <c r="D16" s="142">
        <f>+IF(Datos!$D$10="SI",0,IF(C16&lt;=2,1,ROUNDUP(0.2*C16,0)))</f>
        <v>0</v>
      </c>
      <c r="E16" s="142">
        <v>1</v>
      </c>
      <c r="F16" s="143">
        <f>+'P_16m3-1T'!D70</f>
        <v>104.9</v>
      </c>
      <c r="G16" s="676">
        <f>+'P_16m3-1T'!D73</f>
        <v>7176</v>
      </c>
      <c r="H16" s="144"/>
      <c r="I16" s="722">
        <f>+C16*'P_Costos 16m3-1T'!B54</f>
        <v>-2409714.3191696536</v>
      </c>
      <c r="J16" s="149" t="str">
        <f>+IF(I16=MAX($I$7:$I$26),"SOLUCION ADOPTADA"," ")</f>
        <v xml:space="preserve"> </v>
      </c>
      <c r="L16" s="14">
        <f t="shared" si="0"/>
        <v>0</v>
      </c>
      <c r="M16" s="14">
        <f t="shared" si="1"/>
        <v>0</v>
      </c>
      <c r="N16" s="279">
        <f>+IF(J16="SOLUCION ADOPTADA",P_Datos!D89,0)</f>
        <v>0</v>
      </c>
      <c r="O16" s="281">
        <f t="shared" si="2"/>
        <v>0</v>
      </c>
      <c r="P16" s="281">
        <f>+IF(J16="SOLUCION ADOPTADA",'P_Costos 16m3-1T'!$D$44,0)</f>
        <v>0</v>
      </c>
      <c r="Q16" s="281">
        <f t="shared" si="3"/>
        <v>0</v>
      </c>
    </row>
    <row r="17" spans="2:17" x14ac:dyDescent="0.25">
      <c r="B17" s="121">
        <v>17</v>
      </c>
      <c r="C17" s="121">
        <f>+'P_17m3-2T'!D66</f>
        <v>2</v>
      </c>
      <c r="D17" s="121">
        <f>+IF(Datos!$D$10="SI",0,IF(C17&lt;=2,1,ROUNDUP(0.2*C17,0)))</f>
        <v>0</v>
      </c>
      <c r="E17" s="121">
        <v>2</v>
      </c>
      <c r="F17" s="132">
        <f>+'P_17m3-2T'!D70</f>
        <v>104.9</v>
      </c>
      <c r="G17" s="677">
        <f>+'P_17m3-2T'!D73</f>
        <v>7176</v>
      </c>
      <c r="H17" s="126">
        <f>+'P_17m3-2T'!D69</f>
        <v>-1</v>
      </c>
      <c r="I17" s="722">
        <f>+C17*'P_Costos 17m3-2T'!B55</f>
        <v>-10810775.531286512</v>
      </c>
      <c r="J17" s="148" t="str">
        <f>+IF(I17=MAX($I$7:$I$26),"SOLUCION ADOPTADA","")</f>
        <v/>
      </c>
      <c r="L17" s="14">
        <f t="shared" si="0"/>
        <v>0</v>
      </c>
      <c r="M17" s="14">
        <f t="shared" si="1"/>
        <v>0</v>
      </c>
      <c r="N17" s="279">
        <f>+IF(J17="SOLUCION ADOPTADA",P_Datos!D90,0)</f>
        <v>0</v>
      </c>
      <c r="O17" s="281">
        <f t="shared" si="2"/>
        <v>0</v>
      </c>
      <c r="P17" s="281">
        <f>+IF(J17="SOLUCION ADOPTADA",'P_Costos 17m3-2T'!$D$44,0)</f>
        <v>0</v>
      </c>
      <c r="Q17" s="281">
        <f t="shared" si="3"/>
        <v>0</v>
      </c>
    </row>
    <row r="18" spans="2:17" x14ac:dyDescent="0.25">
      <c r="B18" s="121">
        <v>17</v>
      </c>
      <c r="C18" s="121">
        <f>+'P_17m3-1T'!D66</f>
        <v>2</v>
      </c>
      <c r="D18" s="121">
        <f>+IF(Datos!$D$10="SI",0,IF(C18&lt;=2,1,ROUNDUP(0.2*C18,0)))</f>
        <v>0</v>
      </c>
      <c r="E18" s="121">
        <v>1</v>
      </c>
      <c r="F18" s="132">
        <f>+'P_17m3-1T'!D70</f>
        <v>104.9</v>
      </c>
      <c r="G18" s="677">
        <f>+'P_17m3-1T'!D73</f>
        <v>7176</v>
      </c>
      <c r="H18" s="126"/>
      <c r="I18" s="722">
        <f>+C18*'P_Costos 17m3-1T'!B54</f>
        <v>-2417910.5018655732</v>
      </c>
      <c r="J18" s="148" t="str">
        <f>+IF(I18=MAX($I$7:$I$26),"SOLUCION ADOPTADA","")</f>
        <v/>
      </c>
      <c r="L18" s="14">
        <f t="shared" si="0"/>
        <v>0</v>
      </c>
      <c r="M18" s="14">
        <f t="shared" si="1"/>
        <v>0</v>
      </c>
      <c r="N18" s="279">
        <f>+IF(J18="SOLUCION ADOPTADA",P_Datos!D90,0)</f>
        <v>0</v>
      </c>
      <c r="O18" s="281">
        <f t="shared" si="2"/>
        <v>0</v>
      </c>
      <c r="P18" s="281">
        <f>+IF(J18="SOLUCION ADOPTADA",'P_Costos 17m3-1T'!$D$44,0)</f>
        <v>0</v>
      </c>
      <c r="Q18" s="281">
        <f t="shared" si="3"/>
        <v>0</v>
      </c>
    </row>
    <row r="19" spans="2:17" x14ac:dyDescent="0.25">
      <c r="B19" s="142">
        <v>18</v>
      </c>
      <c r="C19" s="142">
        <f>+'P_18m3-2T'!D66</f>
        <v>2</v>
      </c>
      <c r="D19" s="142">
        <f>+IF(Datos!$D$10="SI",0,IF(C19&lt;=2,1,ROUNDUP(0.2*C19,0)))</f>
        <v>0</v>
      </c>
      <c r="E19" s="142">
        <v>2</v>
      </c>
      <c r="F19" s="143">
        <f>+'P_18m3-2T'!D70</f>
        <v>104.9</v>
      </c>
      <c r="G19" s="676">
        <f>+'P_18m3-2T'!D73</f>
        <v>7176</v>
      </c>
      <c r="H19" s="144">
        <f>+'P_18m3-2T'!D69</f>
        <v>-1</v>
      </c>
      <c r="I19" s="722">
        <f>+C19*'P_Costos 18m3-2T'!B55</f>
        <v>-10818971.713982431</v>
      </c>
      <c r="J19" s="149" t="str">
        <f>+IF(I19=MAX($I$7:$I$26),"SOLUCION ADOPTADA"," ")</f>
        <v xml:space="preserve"> </v>
      </c>
      <c r="L19" s="14">
        <f t="shared" si="0"/>
        <v>0</v>
      </c>
      <c r="M19" s="14">
        <f t="shared" si="1"/>
        <v>0</v>
      </c>
      <c r="N19" s="279">
        <f>+IF(J19="SOLUCION ADOPTADA",P_Datos!D91,0)</f>
        <v>0</v>
      </c>
      <c r="O19" s="281">
        <f t="shared" si="2"/>
        <v>0</v>
      </c>
      <c r="P19" s="281">
        <f>+IF(J19="SOLUCION ADOPTADA",'P_Costos 18m3-2T'!$D$44,0)</f>
        <v>0</v>
      </c>
      <c r="Q19" s="281">
        <f t="shared" si="3"/>
        <v>0</v>
      </c>
    </row>
    <row r="20" spans="2:17" x14ac:dyDescent="0.25">
      <c r="B20" s="142">
        <v>18</v>
      </c>
      <c r="C20" s="142">
        <f>+'P_18m3-1T'!D66</f>
        <v>2</v>
      </c>
      <c r="D20" s="142">
        <f>+IF(Datos!$D$10="SI",0,IF(C20&lt;=2,1,ROUNDUP(0.2*C20,0)))</f>
        <v>0</v>
      </c>
      <c r="E20" s="142">
        <v>1</v>
      </c>
      <c r="F20" s="143">
        <f>+'P_18m3-1T'!D70</f>
        <v>104.9</v>
      </c>
      <c r="G20" s="676">
        <f>+'P_18m3-1T'!D73</f>
        <v>7176</v>
      </c>
      <c r="H20" s="144"/>
      <c r="I20" s="722">
        <f>+C20*'P_Costos 18m3-1T'!B54</f>
        <v>-2426106.6845614929</v>
      </c>
      <c r="J20" s="149" t="str">
        <f>+IF(I20=MAX($I$7:$I$26),"SOLUCION ADOPTADA"," ")</f>
        <v xml:space="preserve"> </v>
      </c>
      <c r="L20" s="14">
        <f t="shared" si="0"/>
        <v>0</v>
      </c>
      <c r="M20" s="14">
        <f t="shared" si="1"/>
        <v>0</v>
      </c>
      <c r="N20" s="279">
        <f>+IF(J20="SOLUCION ADOPTADA",P_Datos!D91,0)</f>
        <v>0</v>
      </c>
      <c r="O20" s="281">
        <f t="shared" si="2"/>
        <v>0</v>
      </c>
      <c r="P20" s="281">
        <f>+IF(J20="SOLUCION ADOPTADA",'P_Costos 18m3-1T'!$D$44,0)</f>
        <v>0</v>
      </c>
      <c r="Q20" s="281">
        <f t="shared" si="3"/>
        <v>0</v>
      </c>
    </row>
    <row r="21" spans="2:17" x14ac:dyDescent="0.25">
      <c r="B21" s="121">
        <v>19</v>
      </c>
      <c r="C21" s="121">
        <f>+'P_19m3-2T'!D66</f>
        <v>2</v>
      </c>
      <c r="D21" s="121">
        <f>+IF(Datos!$D$10="SI",0,IF(C21&lt;=2,1,ROUNDUP(0.2*C21,0)))</f>
        <v>0</v>
      </c>
      <c r="E21" s="121">
        <v>2</v>
      </c>
      <c r="F21" s="132">
        <f>+'P_19m3-2T'!D70</f>
        <v>104.9</v>
      </c>
      <c r="G21" s="677">
        <f>+'P_19m3-2T'!D73</f>
        <v>7176</v>
      </c>
      <c r="H21" s="126">
        <f>+'P_19m3-2T'!D69</f>
        <v>-1</v>
      </c>
      <c r="I21" s="722">
        <f>+C21*'P_Costos 19m3-2T'!B55</f>
        <v>-10827167.896678351</v>
      </c>
      <c r="J21" s="148" t="str">
        <f>+IF(I21=MAX($I$7:$I$26),"SOLUCION ADOPTADA","")</f>
        <v/>
      </c>
      <c r="L21" s="14">
        <f t="shared" si="0"/>
        <v>0</v>
      </c>
      <c r="M21" s="14">
        <f t="shared" si="1"/>
        <v>0</v>
      </c>
      <c r="N21" s="279">
        <f>+IF(J21="SOLUCION ADOPTADA",P_Datos!D92,0)</f>
        <v>0</v>
      </c>
      <c r="O21" s="281">
        <f t="shared" si="2"/>
        <v>0</v>
      </c>
      <c r="P21" s="281">
        <f>+IF(J21="SOLUCION ADOPTADA",'P_Costos 19m3-2T'!$D$44,0)</f>
        <v>0</v>
      </c>
      <c r="Q21" s="281">
        <f t="shared" si="3"/>
        <v>0</v>
      </c>
    </row>
    <row r="22" spans="2:17" x14ac:dyDescent="0.25">
      <c r="B22" s="121">
        <v>19</v>
      </c>
      <c r="C22" s="121">
        <f>+'P_19m3-1T'!D66</f>
        <v>2</v>
      </c>
      <c r="D22" s="121">
        <f>+IF(Datos!$D$10="SI",0,IF(C22&lt;=2,1,ROUNDUP(0.2*C22,0)))</f>
        <v>0</v>
      </c>
      <c r="E22" s="121">
        <v>1</v>
      </c>
      <c r="F22" s="132">
        <f>+'P_19m3-1T'!D70</f>
        <v>104.9</v>
      </c>
      <c r="G22" s="677">
        <f>+'P_19m3-1T'!D73</f>
        <v>7176</v>
      </c>
      <c r="H22" s="126"/>
      <c r="I22" s="722">
        <f>+C22*'P_Costos 19m3-1T'!B54</f>
        <v>-2434302.8672574125</v>
      </c>
      <c r="J22" s="148" t="str">
        <f>+IF(I22=MAX($I$7:$I$26),"SOLUCION ADOPTADA","")</f>
        <v/>
      </c>
      <c r="L22" s="14">
        <f t="shared" si="0"/>
        <v>0</v>
      </c>
      <c r="M22" s="14">
        <f t="shared" si="1"/>
        <v>0</v>
      </c>
      <c r="N22" s="279">
        <f>+IF(J22="SOLUCION ADOPTADA",P_Datos!D92,0)</f>
        <v>0</v>
      </c>
      <c r="O22" s="281">
        <f t="shared" si="2"/>
        <v>0</v>
      </c>
      <c r="P22" s="281">
        <f>+IF(J22="SOLUCION ADOPTADA",'P_Costos 19m3-1T'!$D$44,0)</f>
        <v>0</v>
      </c>
      <c r="Q22" s="281">
        <f t="shared" si="3"/>
        <v>0</v>
      </c>
    </row>
    <row r="23" spans="2:17" x14ac:dyDescent="0.25">
      <c r="B23" s="142">
        <v>21</v>
      </c>
      <c r="C23" s="142">
        <f>+'P_21m3-2T'!D66</f>
        <v>2</v>
      </c>
      <c r="D23" s="142">
        <f>+IF(Datos!$D$10="SI",0,IF(C23&lt;=2,1,ROUNDUP(0.2*C23,0)))</f>
        <v>0</v>
      </c>
      <c r="E23" s="142">
        <v>2</v>
      </c>
      <c r="F23" s="143">
        <f>+'P_21m3-2T'!D70</f>
        <v>104.9</v>
      </c>
      <c r="G23" s="676">
        <f>+'P_21m3-2T'!D73</f>
        <v>7176</v>
      </c>
      <c r="H23" s="144">
        <f>+'P_21m3-2T'!D69</f>
        <v>-1</v>
      </c>
      <c r="I23" s="722">
        <f>+C23*'P_Costos 21m3-2T'!B55</f>
        <v>-10876292.459938288</v>
      </c>
      <c r="J23" s="149" t="str">
        <f>+IF(I23=MAX($I$7:$I$26),"SOLUCION ADOPTADA"," ")</f>
        <v xml:space="preserve"> </v>
      </c>
      <c r="L23" s="14">
        <f t="shared" si="0"/>
        <v>0</v>
      </c>
      <c r="M23" s="14">
        <f t="shared" si="1"/>
        <v>0</v>
      </c>
      <c r="N23" s="279">
        <f>+IF(J23="SOLUCION ADOPTADA",P_Datos!D93,0)</f>
        <v>0</v>
      </c>
      <c r="O23" s="281">
        <f t="shared" si="2"/>
        <v>0</v>
      </c>
      <c r="P23" s="281">
        <f>+IF(J23="SOLUCION ADOPTADA",'P_Costos 21m3-2T'!$D$44,0)</f>
        <v>0</v>
      </c>
      <c r="Q23" s="281">
        <f t="shared" si="3"/>
        <v>0</v>
      </c>
    </row>
    <row r="24" spans="2:17" x14ac:dyDescent="0.25">
      <c r="B24" s="142">
        <v>21</v>
      </c>
      <c r="C24" s="142">
        <f>+'P_21m3-1T'!D66</f>
        <v>2</v>
      </c>
      <c r="D24" s="142">
        <f>+IF(Datos!$D$10="SI",0,IF(C24&lt;=2,1,ROUNDUP(0.2*C24,0)))</f>
        <v>0</v>
      </c>
      <c r="E24" s="142">
        <v>1</v>
      </c>
      <c r="F24" s="143">
        <f>+'P_21m3-1T'!D70</f>
        <v>104.9</v>
      </c>
      <c r="G24" s="676">
        <f>+'P_21m3-1T'!D73</f>
        <v>7176</v>
      </c>
      <c r="H24" s="144"/>
      <c r="I24" s="722">
        <f>+C24*'P_Costos 21m3-1T'!B54</f>
        <v>-2483427.4305173499</v>
      </c>
      <c r="J24" s="149" t="str">
        <f>+IF(I24=MAX($I$7:$I$26),"SOLUCION ADOPTADA"," ")</f>
        <v xml:space="preserve"> </v>
      </c>
      <c r="L24" s="14">
        <f t="shared" si="0"/>
        <v>0</v>
      </c>
      <c r="M24" s="14">
        <f t="shared" si="1"/>
        <v>0</v>
      </c>
      <c r="N24" s="279">
        <f>+IF(J24="SOLUCION ADOPTADA",P_Datos!D93,0)</f>
        <v>0</v>
      </c>
      <c r="O24" s="281">
        <f t="shared" si="2"/>
        <v>0</v>
      </c>
      <c r="P24" s="281">
        <f>+IF(J24="SOLUCION ADOPTADA",'P_Costos 21m3-1T'!$D$44,0)</f>
        <v>0</v>
      </c>
      <c r="Q24" s="281">
        <f t="shared" si="3"/>
        <v>0</v>
      </c>
    </row>
    <row r="25" spans="2:17" x14ac:dyDescent="0.25">
      <c r="B25" s="121">
        <v>24</v>
      </c>
      <c r="C25" s="121">
        <f>+'P_24m3-2T'!D66</f>
        <v>2</v>
      </c>
      <c r="D25" s="121">
        <f>+IF(Datos!$D$10="SI",0,IF(C25&lt;=2,1,ROUNDUP(0.2*C25,0)))</f>
        <v>0</v>
      </c>
      <c r="E25" s="121">
        <v>2</v>
      </c>
      <c r="F25" s="132">
        <f>+'P_24m3-2T'!D70</f>
        <v>104.9</v>
      </c>
      <c r="G25" s="677">
        <f>+'P_24m3-2T'!D73</f>
        <v>7176</v>
      </c>
      <c r="H25" s="126">
        <f>+'P_24m3-2T'!D69</f>
        <v>-1</v>
      </c>
      <c r="I25" s="722">
        <f>+C25*'P_Costos 24m3-2T'!B55</f>
        <v>-10900881.008026049</v>
      </c>
      <c r="J25" s="148" t="str">
        <f>+IF(I25=MAX($I$7:$I$26),"SOLUCION ADOPTADA","")</f>
        <v/>
      </c>
      <c r="L25" s="14">
        <f t="shared" si="0"/>
        <v>0</v>
      </c>
      <c r="M25" s="14">
        <f t="shared" si="1"/>
        <v>0</v>
      </c>
      <c r="N25" s="279">
        <f>+IF(J25="SOLUCION ADOPTADA",P_Datos!D94,0)</f>
        <v>0</v>
      </c>
      <c r="O25" s="281">
        <f t="shared" si="2"/>
        <v>0</v>
      </c>
      <c r="P25" s="281">
        <f>+IF(J25="SOLUCION ADOPTADA",'P_Costos 24m3-2T'!$D$44,0)</f>
        <v>0</v>
      </c>
      <c r="Q25" s="281">
        <f t="shared" si="3"/>
        <v>0</v>
      </c>
    </row>
    <row r="26" spans="2:17" ht="15.75" thickBot="1" x14ac:dyDescent="0.3">
      <c r="B26" s="121">
        <v>24</v>
      </c>
      <c r="C26" s="121">
        <f>+'P_24m3-1T'!D66</f>
        <v>2</v>
      </c>
      <c r="D26" s="121">
        <f>+IF(Datos!$D$10="SI",0,IF(C26&lt;=2,1,ROUNDUP(0.2*C26,0)))</f>
        <v>0</v>
      </c>
      <c r="E26" s="121">
        <v>1</v>
      </c>
      <c r="F26" s="132">
        <f>+'P_24m3-1T'!D70</f>
        <v>104.9</v>
      </c>
      <c r="G26" s="677">
        <f>+'P_24m3-1T'!D73</f>
        <v>7176</v>
      </c>
      <c r="H26" s="126"/>
      <c r="I26" s="722">
        <f>+C26*'P_Costos 24m3-1T'!B54</f>
        <v>-2508015.9786051083</v>
      </c>
      <c r="J26" s="148" t="str">
        <f>+IF(I26=MAX($I$7:$I$26),"SOLUCION ADOPTADA","")</f>
        <v/>
      </c>
      <c r="L26" s="14">
        <f t="shared" si="0"/>
        <v>0</v>
      </c>
      <c r="M26" s="14">
        <f t="shared" si="1"/>
        <v>0</v>
      </c>
      <c r="N26" s="279">
        <f>+IF(J26="SOLUCION ADOPTADA",P_Datos!D94,0)</f>
        <v>0</v>
      </c>
      <c r="O26" s="281">
        <f t="shared" si="2"/>
        <v>0</v>
      </c>
      <c r="P26" s="281">
        <f>+IF(J26="SOLUCION ADOPTADA",'P_Costos 24m3-1T'!$D$44,0)</f>
        <v>0</v>
      </c>
      <c r="Q26" s="281">
        <f t="shared" si="3"/>
        <v>0</v>
      </c>
    </row>
    <row r="27" spans="2:17" ht="15.75" thickBot="1" x14ac:dyDescent="0.3">
      <c r="K27" s="284" t="s">
        <v>225</v>
      </c>
      <c r="L27" s="275">
        <f t="shared" ref="L27:Q27" si="4">SUM(L7:L26)</f>
        <v>2</v>
      </c>
      <c r="M27" s="275">
        <f t="shared" si="4"/>
        <v>0</v>
      </c>
      <c r="N27" s="283">
        <f t="shared" si="4"/>
        <v>234260.39447999999</v>
      </c>
      <c r="O27" s="282">
        <f t="shared" si="4"/>
        <v>109.6</v>
      </c>
      <c r="P27" s="282">
        <f t="shared" si="4"/>
        <v>3.5501659913361805</v>
      </c>
      <c r="Q27" s="282">
        <f t="shared" si="4"/>
        <v>6</v>
      </c>
    </row>
  </sheetData>
  <pageMargins left="0.70866141732283472" right="0.70866141732283472" top="0.74803149606299213" bottom="0.74803149606299213" header="0.31496062992125984" footer="0.31496062992125984"/>
  <pageSetup paperSize="9" scale="68" orientation="landscape" r:id="rId1"/>
  <headerFooter>
    <oddHeader>&amp;L&amp;"Arial,Negrita Cursiva"&amp;10HYTSA Estudios y Proyectos S.A.</oddHeader>
    <oddFooter>&amp;L&amp;"Arial,Negrita Cursiva"&amp;10&amp;F - &amp;A&amp;R&amp;"Arial,Negrita Cursiva"&amp;10&amp;P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9"/>
  <dimension ref="B1:R26"/>
  <sheetViews>
    <sheetView view="pageBreakPreview" zoomScale="70" zoomScaleSheetLayoutView="70" workbookViewId="0">
      <selection activeCell="Q19" sqref="Q19"/>
    </sheetView>
  </sheetViews>
  <sheetFormatPr baseColWidth="10" defaultRowHeight="15" x14ac:dyDescent="0.25"/>
  <cols>
    <col min="2" max="2" width="14.5703125" bestFit="1" customWidth="1"/>
    <col min="7" max="7" width="13" customWidth="1"/>
    <col min="8" max="8" width="13" hidden="1" customWidth="1"/>
    <col min="9" max="9" width="17.28515625" customWidth="1"/>
    <col min="10" max="10" width="28.140625" bestFit="1" customWidth="1"/>
  </cols>
  <sheetData>
    <row r="1" spans="2:18" x14ac:dyDescent="0.25">
      <c r="B1" s="2" t="s">
        <v>228</v>
      </c>
      <c r="C1" s="2" t="str">
        <f>+P_Datos!C2</f>
        <v>Pehuajó</v>
      </c>
    </row>
    <row r="3" spans="2:18" x14ac:dyDescent="0.25">
      <c r="B3" s="5" t="s">
        <v>742</v>
      </c>
    </row>
    <row r="5" spans="2:18" x14ac:dyDescent="0.25">
      <c r="B5" s="286"/>
      <c r="C5" s="286"/>
      <c r="D5" s="286"/>
      <c r="E5" s="286"/>
      <c r="F5" s="286"/>
      <c r="G5" s="286"/>
      <c r="H5" s="286"/>
      <c r="I5" s="286"/>
      <c r="J5" s="286"/>
    </row>
    <row r="6" spans="2:18" ht="60" x14ac:dyDescent="0.25">
      <c r="B6" s="287" t="s">
        <v>114</v>
      </c>
      <c r="C6" s="287" t="s">
        <v>115</v>
      </c>
      <c r="D6" s="287" t="s">
        <v>222</v>
      </c>
      <c r="E6" s="287" t="s">
        <v>116</v>
      </c>
      <c r="F6" s="287" t="s">
        <v>223</v>
      </c>
      <c r="G6" s="287" t="s">
        <v>224</v>
      </c>
      <c r="H6" s="287" t="s">
        <v>179</v>
      </c>
      <c r="I6" s="287" t="s">
        <v>165</v>
      </c>
      <c r="J6" s="287" t="s">
        <v>147</v>
      </c>
      <c r="L6" s="287" t="s">
        <v>226</v>
      </c>
      <c r="M6" s="287" t="s">
        <v>227</v>
      </c>
      <c r="N6" s="287" t="s">
        <v>317</v>
      </c>
      <c r="O6" s="287" t="s">
        <v>223</v>
      </c>
      <c r="P6" s="287" t="s">
        <v>318</v>
      </c>
      <c r="Q6" s="287" t="s">
        <v>641</v>
      </c>
      <c r="R6" s="287" t="s">
        <v>642</v>
      </c>
    </row>
    <row r="7" spans="2:18" x14ac:dyDescent="0.25">
      <c r="B7" s="288">
        <v>25</v>
      </c>
      <c r="C7" s="288">
        <f>+'TA_25m3-2T'!D48</f>
        <v>1</v>
      </c>
      <c r="D7" s="288">
        <f>+IF(Datos!$D$10="SI",0,IF(C7&lt;=2,1,ROUNDUP(0.2*C7,0)))</f>
        <v>0</v>
      </c>
      <c r="E7" s="288">
        <v>2</v>
      </c>
      <c r="F7" s="289">
        <f>+'TA_25m3-2T'!D52</f>
        <v>899.2</v>
      </c>
      <c r="G7" s="678">
        <f>+'TA_25m3-2T'!D55</f>
        <v>2620.3166080000005</v>
      </c>
      <c r="H7" s="290">
        <f>+'TA_25m3-2T'!D51</f>
        <v>1.5915910650364817</v>
      </c>
      <c r="I7" s="722">
        <f>+C7*'TA_Costos 25m3-2T'!B55</f>
        <v>-1928079.6664642626</v>
      </c>
      <c r="J7" s="292" t="str">
        <f t="shared" ref="J7:J18" si="0">+IF(I7=MAX($I$7:$I$18),"SOLUCION ADOPTADA","")</f>
        <v/>
      </c>
      <c r="L7" s="14">
        <f t="shared" ref="L7" si="1">+IF(J7="SOLUCION ADOPTADA",C7,0)</f>
        <v>0</v>
      </c>
      <c r="M7" s="14">
        <f>+IF(J7="SOLUCION ADOPTADA",D7,0)</f>
        <v>0</v>
      </c>
      <c r="N7" s="279">
        <f>+IF(J7="SOLUCION ADOPTADA",TA_Datos!D48,0)</f>
        <v>0</v>
      </c>
      <c r="O7" s="281">
        <f>+IF(J7="SOLUCION ADOPTADA",F7,0)</f>
        <v>0</v>
      </c>
      <c r="P7" s="281">
        <f>+IF(J7="SOLUCION ADOPTADA",'TA_Costos 25m3-2T'!$D$44,0)</f>
        <v>0</v>
      </c>
      <c r="Q7" s="281">
        <f>+IF(J7="SOLUCION ADOPTADA",E7,0)</f>
        <v>0</v>
      </c>
      <c r="R7" s="281">
        <f>+IF(J7="SOLUCION ADOPTADA",B7,0)</f>
        <v>0</v>
      </c>
    </row>
    <row r="8" spans="2:18" x14ac:dyDescent="0.25">
      <c r="B8" s="288">
        <v>25</v>
      </c>
      <c r="C8" s="288">
        <f>+'TA_25m3-1T'!D48</f>
        <v>1</v>
      </c>
      <c r="D8" s="288">
        <f>+IF(Datos!$D$10="SI",0,IF(C8&lt;=2,1,ROUNDUP(0.2*C8,0)))</f>
        <v>0</v>
      </c>
      <c r="E8" s="288">
        <v>1</v>
      </c>
      <c r="F8" s="289">
        <f>+'TA_25m3-1T'!D52</f>
        <v>899.2</v>
      </c>
      <c r="G8" s="678">
        <f>+'TA_25m3-1T'!D55</f>
        <v>2620.3166080000005</v>
      </c>
      <c r="H8" s="290"/>
      <c r="I8" s="722">
        <f>+C8*'TA_Costos 25m3-1T'!B54</f>
        <v>-1106728.2275767457</v>
      </c>
      <c r="J8" s="292" t="str">
        <f t="shared" si="0"/>
        <v/>
      </c>
      <c r="L8" s="14">
        <f>+IF(J8="SOLUCION ADOPTADA",C8,0)</f>
        <v>0</v>
      </c>
      <c r="M8" s="14">
        <f t="shared" ref="M8:M18" si="2">+IF(J8="SOLUCION ADOPTADA",D8,0)</f>
        <v>0</v>
      </c>
      <c r="N8" s="279">
        <f>+IF(J8="SOLUCION ADOPTADA",TA_Datos!D48,0)</f>
        <v>0</v>
      </c>
      <c r="O8" s="281">
        <f t="shared" ref="O8:O18" si="3">+IF(J8="SOLUCION ADOPTADA",F8,0)</f>
        <v>0</v>
      </c>
      <c r="P8" s="281">
        <f>+IF(J8="SOLUCION ADOPTADA",'TA_Costos 25m3-1T'!$D$44,0)</f>
        <v>0</v>
      </c>
      <c r="Q8" s="281">
        <f t="shared" ref="Q8:Q18" si="4">+IF(J8="SOLUCION ADOPTADA",E8,0)</f>
        <v>0</v>
      </c>
      <c r="R8" s="281">
        <f>+IF(J8="SOLUCION ADOPTADA",B8,0)</f>
        <v>0</v>
      </c>
    </row>
    <row r="9" spans="2:18" x14ac:dyDescent="0.25">
      <c r="B9" s="293">
        <v>30</v>
      </c>
      <c r="C9" s="293">
        <f>+'TA_30m3-2T'!D48</f>
        <v>1</v>
      </c>
      <c r="D9" s="293">
        <f>+IF(Datos!$D$10="SI",0,IF(C9&lt;=2,1,ROUNDUP(0.2*C9,0)))</f>
        <v>0</v>
      </c>
      <c r="E9" s="293">
        <v>2</v>
      </c>
      <c r="F9" s="294">
        <f>+'TA_30m3-2T'!D52</f>
        <v>786.80000000000007</v>
      </c>
      <c r="G9" s="679">
        <f>+'TA_30m3-2T'!D55</f>
        <v>2620.3166080000005</v>
      </c>
      <c r="H9" s="295">
        <f>+'TA_30m3-2T'!D51</f>
        <v>2.0177371533592998</v>
      </c>
      <c r="I9" s="722">
        <f>+C9*'TA_Costos 30m3-2T'!B55</f>
        <v>-1784124.3330311582</v>
      </c>
      <c r="J9" s="297" t="str">
        <f t="shared" si="0"/>
        <v/>
      </c>
      <c r="L9" s="14">
        <f t="shared" ref="L9:L18" si="5">+IF(J9="SOLUCION ADOPTADA",C9,0)</f>
        <v>0</v>
      </c>
      <c r="M9" s="14">
        <f t="shared" si="2"/>
        <v>0</v>
      </c>
      <c r="N9" s="279">
        <f>+IF(J9="SOLUCION ADOPTADA",TA_Datos!D49,0)</f>
        <v>0</v>
      </c>
      <c r="O9" s="281">
        <f t="shared" si="3"/>
        <v>0</v>
      </c>
      <c r="P9" s="281">
        <f>+IF(J9="SOLUCION ADOPTADA",'TA_Costos 30m3-2T'!$D$44,0)</f>
        <v>0</v>
      </c>
      <c r="Q9" s="281">
        <f t="shared" si="4"/>
        <v>0</v>
      </c>
      <c r="R9" s="281">
        <f>+IF(J9="SOLUCION ADOPTADA",B9,0)</f>
        <v>0</v>
      </c>
    </row>
    <row r="10" spans="2:18" x14ac:dyDescent="0.25">
      <c r="B10" s="293">
        <v>30</v>
      </c>
      <c r="C10" s="293">
        <f>+'TA_30m3-1T'!D48</f>
        <v>1</v>
      </c>
      <c r="D10" s="293">
        <f>+IF(Datos!$D$10="SI",0,IF(C10&lt;=2,1,ROUNDUP(0.2*C10,0)))</f>
        <v>0</v>
      </c>
      <c r="E10" s="293">
        <v>1</v>
      </c>
      <c r="F10" s="294">
        <f>+'TA_30m3-1T'!D52</f>
        <v>786.80000000000007</v>
      </c>
      <c r="G10" s="679">
        <f>+'TA_30m3-1T'!D55</f>
        <v>2620.3166080000005</v>
      </c>
      <c r="H10" s="295"/>
      <c r="I10" s="722">
        <f>+C10*'TA_Costos 30m3-1T'!B54</f>
        <v>-1065441.8240045807</v>
      </c>
      <c r="J10" s="297" t="str">
        <f t="shared" si="0"/>
        <v/>
      </c>
      <c r="L10" s="14">
        <f t="shared" si="5"/>
        <v>0</v>
      </c>
      <c r="M10" s="14">
        <f t="shared" si="2"/>
        <v>0</v>
      </c>
      <c r="N10" s="279">
        <f>+IF(J10="SOLUCION ADOPTADA",TA_Datos!D49,0)</f>
        <v>0</v>
      </c>
      <c r="O10" s="281">
        <f t="shared" si="3"/>
        <v>0</v>
      </c>
      <c r="P10" s="281">
        <f>+IF(J10="SOLUCION ADOPTADA",'TA_Costos 30m3-1T'!$D$44,0)</f>
        <v>0</v>
      </c>
      <c r="Q10" s="281">
        <f t="shared" si="4"/>
        <v>0</v>
      </c>
      <c r="R10" s="281">
        <f>+IF(J10="SOLUCION ADOPTADA",B10,0)</f>
        <v>0</v>
      </c>
    </row>
    <row r="11" spans="2:18" x14ac:dyDescent="0.25">
      <c r="B11" s="288">
        <v>35</v>
      </c>
      <c r="C11" s="288">
        <f>+'TA_35m3-2T'!D48</f>
        <v>1</v>
      </c>
      <c r="D11" s="288">
        <f>+IF(Datos!$D$10="SI",0,IF(C11&lt;=2,1,ROUNDUP(0.2*C11,0)))</f>
        <v>0</v>
      </c>
      <c r="E11" s="288">
        <v>2</v>
      </c>
      <c r="F11" s="289">
        <f>+'TA_35m3-2T'!D52</f>
        <v>674.40000000000009</v>
      </c>
      <c r="G11" s="678">
        <f>+'TA_35m3-2T'!D55</f>
        <v>2620.3166080000005</v>
      </c>
      <c r="H11" s="290">
        <f>+'TA_35m3-2T'!D51</f>
        <v>2.4193499550809543</v>
      </c>
      <c r="I11" s="722">
        <f>+C11*'TA_Costos 35m3-2T'!B55</f>
        <v>-1640168.9995980533</v>
      </c>
      <c r="J11" s="292" t="str">
        <f t="shared" si="0"/>
        <v/>
      </c>
      <c r="L11" s="14">
        <f t="shared" si="5"/>
        <v>0</v>
      </c>
      <c r="M11" s="14">
        <f t="shared" si="2"/>
        <v>0</v>
      </c>
      <c r="N11" s="279">
        <f>+IF(J11="SOLUCION ADOPTADA",TA_Datos!D50,0)</f>
        <v>0</v>
      </c>
      <c r="O11" s="281">
        <f t="shared" si="3"/>
        <v>0</v>
      </c>
      <c r="P11" s="281">
        <f>+IF(J11="SOLUCION ADOPTADA",'TA_Costos 35m3-2T'!$D$44,0)</f>
        <v>0</v>
      </c>
      <c r="Q11" s="281">
        <f t="shared" si="4"/>
        <v>0</v>
      </c>
      <c r="R11" s="281">
        <f>+IF(J11="SOLUCION ADOPTADA",B11,0)</f>
        <v>0</v>
      </c>
    </row>
    <row r="12" spans="2:18" x14ac:dyDescent="0.25">
      <c r="B12" s="288">
        <v>35</v>
      </c>
      <c r="C12" s="288">
        <f>+'TA_35m3-1T'!D48</f>
        <v>1</v>
      </c>
      <c r="D12" s="288">
        <f>+IF(Datos!$D$10="SI",0,IF(C12&lt;=2,1,ROUNDUP(0.2*C12,0)))</f>
        <v>0</v>
      </c>
      <c r="E12" s="288">
        <v>1</v>
      </c>
      <c r="F12" s="289">
        <f>+'TA_35m3-1T'!D52</f>
        <v>674.40000000000009</v>
      </c>
      <c r="G12" s="678">
        <f>+'TA_35m3-1T'!D55</f>
        <v>2620.3166080000005</v>
      </c>
      <c r="H12" s="290"/>
      <c r="I12" s="722">
        <f>+C12*'TA_Costos 35m3-1T'!B54</f>
        <v>-1024155.4204324156</v>
      </c>
      <c r="J12" s="292" t="str">
        <f t="shared" si="0"/>
        <v/>
      </c>
      <c r="L12" s="14">
        <f t="shared" si="5"/>
        <v>0</v>
      </c>
      <c r="M12" s="14">
        <f t="shared" si="2"/>
        <v>0</v>
      </c>
      <c r="N12" s="279">
        <f>+IF(J12="SOLUCION ADOPTADA",TA_Datos!D50,0)</f>
        <v>0</v>
      </c>
      <c r="O12" s="281">
        <f t="shared" si="3"/>
        <v>0</v>
      </c>
      <c r="P12" s="281">
        <f>+IF(J12="SOLUCION ADOPTADA",'TA_Costos 35m3-1T'!$D$44,0)</f>
        <v>0</v>
      </c>
      <c r="Q12" s="281">
        <f t="shared" si="4"/>
        <v>0</v>
      </c>
      <c r="R12" s="281">
        <f>+IF(J12="SOLUCION ADOPTADA",B12,0)</f>
        <v>0</v>
      </c>
    </row>
    <row r="13" spans="2:18" x14ac:dyDescent="0.25">
      <c r="B13" s="293">
        <v>40</v>
      </c>
      <c r="C13" s="293">
        <f>+'TA_40m3-2T'!D48</f>
        <v>1</v>
      </c>
      <c r="D13" s="293">
        <f>+IF(Datos!$D$10="SI",0,IF(C13&lt;=2,1,ROUNDUP(0.2*C13,0)))</f>
        <v>0</v>
      </c>
      <c r="E13" s="293">
        <v>2</v>
      </c>
      <c r="F13" s="294">
        <f>+'TA_40m3-2T'!D52</f>
        <v>562</v>
      </c>
      <c r="G13" s="679">
        <f>+'TA_40m3-2T'!D55</f>
        <v>2620.3166080000005</v>
      </c>
      <c r="H13" s="295">
        <f>+'TA_40m3-2T'!D51</f>
        <v>2.7984887699481455</v>
      </c>
      <c r="I13" s="722">
        <f>+C13*'TA_Costos 40m3-2T'!B55</f>
        <v>-1496213.6661649484</v>
      </c>
      <c r="J13" s="297" t="str">
        <f t="shared" si="0"/>
        <v/>
      </c>
      <c r="L13" s="14">
        <f t="shared" si="5"/>
        <v>0</v>
      </c>
      <c r="M13" s="14">
        <f t="shared" si="2"/>
        <v>0</v>
      </c>
      <c r="N13" s="279">
        <f>+IF(J13="SOLUCION ADOPTADA",TA_Datos!D51,0)</f>
        <v>0</v>
      </c>
      <c r="O13" s="281">
        <f t="shared" si="3"/>
        <v>0</v>
      </c>
      <c r="P13" s="281">
        <f>+IF(J13="SOLUCION ADOPTADA",'TA_Costos 40m3-2T'!$D$44,0)</f>
        <v>0</v>
      </c>
      <c r="Q13" s="281">
        <f t="shared" si="4"/>
        <v>0</v>
      </c>
      <c r="R13" s="281">
        <f>+IF(J13="SOLUCION ADOPTADA",B13,0)</f>
        <v>0</v>
      </c>
    </row>
    <row r="14" spans="2:18" x14ac:dyDescent="0.25">
      <c r="B14" s="293">
        <v>40</v>
      </c>
      <c r="C14" s="293">
        <f>+'TA_40m3-1T'!D48</f>
        <v>1</v>
      </c>
      <c r="D14" s="293">
        <f>+IF(Datos!$D$10="SI",0,IF(C14&lt;=2,1,ROUNDUP(0.2*C14,0)))</f>
        <v>0</v>
      </c>
      <c r="E14" s="293">
        <v>1</v>
      </c>
      <c r="F14" s="294">
        <f>+'TA_40m3-1T'!D52</f>
        <v>562</v>
      </c>
      <c r="G14" s="679">
        <f>+'TA_40m3-1T'!D55</f>
        <v>2620.3166080000005</v>
      </c>
      <c r="H14" s="295"/>
      <c r="I14" s="722">
        <f>+C14*'TA_Costos 40m3-1T'!B54</f>
        <v>-982869.01686025038</v>
      </c>
      <c r="J14" s="297" t="str">
        <f t="shared" si="0"/>
        <v>SOLUCION ADOPTADA</v>
      </c>
      <c r="L14" s="14">
        <f t="shared" si="5"/>
        <v>1</v>
      </c>
      <c r="M14" s="14">
        <f t="shared" si="2"/>
        <v>0</v>
      </c>
      <c r="N14" s="279">
        <f>+IF(J14="SOLUCION ADOPTADA",TA_Datos!D51,0)</f>
        <v>372556.12434278947</v>
      </c>
      <c r="O14" s="281">
        <f t="shared" si="3"/>
        <v>562</v>
      </c>
      <c r="P14" s="281">
        <f>+IF(J14="SOLUCION ADOPTADA",'TA_Costos 40m3-1T'!$D$44,0)</f>
        <v>0.52657201364100603</v>
      </c>
      <c r="Q14" s="281">
        <f t="shared" si="4"/>
        <v>1</v>
      </c>
      <c r="R14" s="281">
        <f>+IF(J14="SOLUCION ADOPTADA",B14,0)</f>
        <v>40</v>
      </c>
    </row>
    <row r="15" spans="2:18" x14ac:dyDescent="0.25">
      <c r="B15" s="288">
        <v>45</v>
      </c>
      <c r="C15" s="288">
        <f>+'TA_45m3-2T'!D48</f>
        <v>1</v>
      </c>
      <c r="D15" s="288">
        <f>+IF(Datos!$D$10="SI",0,IF(C15&lt;=2,1,ROUNDUP(0.2*C15,0)))</f>
        <v>0</v>
      </c>
      <c r="E15" s="288">
        <v>2</v>
      </c>
      <c r="F15" s="289">
        <f>+'TA_45m3-2T'!D52</f>
        <v>562</v>
      </c>
      <c r="G15" s="678">
        <f>+'TA_45m3-2T'!D55</f>
        <v>2620.3166080000005</v>
      </c>
      <c r="H15" s="290">
        <f>+'TA_45m3-2T'!D51</f>
        <v>3.1569886966737819</v>
      </c>
      <c r="I15" s="722">
        <f>+C15*'TA_Costos 45m3-2T'!B55</f>
        <v>-1555939.5891649041</v>
      </c>
      <c r="J15" s="292" t="str">
        <f t="shared" si="0"/>
        <v/>
      </c>
      <c r="L15" s="14">
        <f t="shared" si="5"/>
        <v>0</v>
      </c>
      <c r="M15" s="14">
        <f t="shared" si="2"/>
        <v>0</v>
      </c>
      <c r="N15" s="279">
        <f>+IF(J15="SOLUCION ADOPTADA",TA_Datos!D52,0)</f>
        <v>0</v>
      </c>
      <c r="O15" s="281">
        <f t="shared" si="3"/>
        <v>0</v>
      </c>
      <c r="P15" s="281">
        <f>+IF(J15="SOLUCION ADOPTADA",'TA_Costos 45m3-2T'!$D$44,0)</f>
        <v>0</v>
      </c>
      <c r="Q15" s="281">
        <f t="shared" si="4"/>
        <v>0</v>
      </c>
      <c r="R15" s="281">
        <f>+IF(J15="SOLUCION ADOPTADA",B15,0)</f>
        <v>0</v>
      </c>
    </row>
    <row r="16" spans="2:18" x14ac:dyDescent="0.25">
      <c r="B16" s="288">
        <v>45</v>
      </c>
      <c r="C16" s="288">
        <f>+'TA_45m3-1T'!D48</f>
        <v>1</v>
      </c>
      <c r="D16" s="288">
        <f>+IF(Datos!$D$10="SI",0,IF(C16&lt;=2,1,ROUNDUP(0.2*C16,0)))</f>
        <v>0</v>
      </c>
      <c r="E16" s="288">
        <v>1</v>
      </c>
      <c r="F16" s="289">
        <f>+'TA_45m3-1T'!D52</f>
        <v>562</v>
      </c>
      <c r="G16" s="678">
        <f>+'TA_45m3-1T'!D55</f>
        <v>2620.3166080000005</v>
      </c>
      <c r="H16" s="290"/>
      <c r="I16" s="722">
        <f>+C16*'TA_Costos 45m3-1T'!B54</f>
        <v>-1042594.9398602061</v>
      </c>
      <c r="J16" s="292" t="str">
        <f t="shared" si="0"/>
        <v/>
      </c>
      <c r="L16" s="14">
        <f t="shared" si="5"/>
        <v>0</v>
      </c>
      <c r="M16" s="14">
        <f t="shared" si="2"/>
        <v>0</v>
      </c>
      <c r="N16" s="279">
        <f>+IF(J16="SOLUCION ADOPTADA",TA_Datos!D52,0)</f>
        <v>0</v>
      </c>
      <c r="O16" s="281">
        <f t="shared" si="3"/>
        <v>0</v>
      </c>
      <c r="P16" s="281">
        <f>+IF(J16="SOLUCION ADOPTADA",'TA_Costos 45m3-1T'!$D$44,0)</f>
        <v>0</v>
      </c>
      <c r="Q16" s="281">
        <f t="shared" si="4"/>
        <v>0</v>
      </c>
      <c r="R16" s="281">
        <f>+IF(J16="SOLUCION ADOPTADA",B16,0)</f>
        <v>0</v>
      </c>
    </row>
    <row r="17" spans="2:18" x14ac:dyDescent="0.25">
      <c r="B17" s="293">
        <v>50</v>
      </c>
      <c r="C17" s="293">
        <f>+'TA_50m3-2T'!D48</f>
        <v>1</v>
      </c>
      <c r="D17" s="293">
        <f>+IF(Datos!$D$10="SI",0,IF(C17&lt;=2,1,ROUNDUP(0.2*C17,0)))</f>
        <v>0</v>
      </c>
      <c r="E17" s="293">
        <v>2</v>
      </c>
      <c r="F17" s="294">
        <f>+'TA_50m3-2T'!D52</f>
        <v>449.6</v>
      </c>
      <c r="G17" s="679">
        <f>+'TA_50m3-2T'!D55</f>
        <v>2620.3166080000005</v>
      </c>
      <c r="H17" s="295">
        <f>+'TA_50m3-2T'!D51</f>
        <v>3.4964903361205115</v>
      </c>
      <c r="I17" s="722">
        <f>+C17*'TA_Costos 50m3-2T'!B55</f>
        <v>-1411984.2557317994</v>
      </c>
      <c r="J17" s="297" t="str">
        <f t="shared" si="0"/>
        <v/>
      </c>
      <c r="L17" s="14">
        <f t="shared" si="5"/>
        <v>0</v>
      </c>
      <c r="M17" s="14">
        <f t="shared" si="2"/>
        <v>0</v>
      </c>
      <c r="N17" s="279">
        <f>+IF(J17="SOLUCION ADOPTADA",TA_Datos!D53,0)</f>
        <v>0</v>
      </c>
      <c r="O17" s="281">
        <f t="shared" si="3"/>
        <v>0</v>
      </c>
      <c r="P17" s="281">
        <f>+IF(J17="SOLUCION ADOPTADA",'TA_Costos 50m3-2T'!$D$44,0)</f>
        <v>0</v>
      </c>
      <c r="Q17" s="281">
        <f t="shared" si="4"/>
        <v>0</v>
      </c>
      <c r="R17" s="281">
        <f>+IF(J17="SOLUCION ADOPTADA",B17,0)</f>
        <v>0</v>
      </c>
    </row>
    <row r="18" spans="2:18" ht="15.75" thickBot="1" x14ac:dyDescent="0.3">
      <c r="B18" s="293">
        <v>50</v>
      </c>
      <c r="C18" s="293">
        <f>+'TA_50m3-1T'!D48</f>
        <v>1</v>
      </c>
      <c r="D18" s="293">
        <f>+IF(Datos!$D$10="SI",0,IF(C18&lt;=2,1,ROUNDUP(0.2*C18,0)))</f>
        <v>0</v>
      </c>
      <c r="E18" s="293">
        <v>1</v>
      </c>
      <c r="F18" s="294">
        <f>+'TA_50m3-1T'!D52</f>
        <v>449.6</v>
      </c>
      <c r="G18" s="679">
        <f>+'TA_50m3-1T'!D55</f>
        <v>2620.3166080000005</v>
      </c>
      <c r="H18" s="295"/>
      <c r="I18" s="722">
        <f>+C18*'TA_Costos 50m3-1T'!B54</f>
        <v>-1001308.5362880412</v>
      </c>
      <c r="J18" s="297" t="str">
        <f t="shared" si="0"/>
        <v/>
      </c>
      <c r="L18" s="14">
        <f t="shared" si="5"/>
        <v>0</v>
      </c>
      <c r="M18" s="14">
        <f t="shared" si="2"/>
        <v>0</v>
      </c>
      <c r="N18" s="279">
        <f>+IF(J18="SOLUCION ADOPTADA",TA_Datos!D53,0)</f>
        <v>0</v>
      </c>
      <c r="O18" s="281">
        <f t="shared" si="3"/>
        <v>0</v>
      </c>
      <c r="P18" s="281">
        <f>+IF(J18="SOLUCION ADOPTADA",'TA_Costos 50m3-1T'!$D$44,0)</f>
        <v>0</v>
      </c>
      <c r="Q18" s="281">
        <f t="shared" si="4"/>
        <v>0</v>
      </c>
      <c r="R18" s="281">
        <f>+IF(J18="SOLUCION ADOPTADA",B18,0)</f>
        <v>0</v>
      </c>
    </row>
    <row r="19" spans="2:18" ht="15.75" thickBot="1" x14ac:dyDescent="0.3">
      <c r="K19" s="194" t="s">
        <v>225</v>
      </c>
      <c r="L19" s="275">
        <f>SUM(L7:L18)</f>
        <v>1</v>
      </c>
      <c r="M19" s="275">
        <f t="shared" ref="M19:R19" si="6">SUM(M7:M18)</f>
        <v>0</v>
      </c>
      <c r="N19" s="283">
        <f>SUM(N7:N18)</f>
        <v>372556.12434278947</v>
      </c>
      <c r="O19" s="282">
        <f t="shared" si="6"/>
        <v>562</v>
      </c>
      <c r="P19" s="282">
        <f t="shared" si="6"/>
        <v>0.52657201364100603</v>
      </c>
      <c r="Q19" s="282">
        <f>SUM(Q7:Q18)</f>
        <v>1</v>
      </c>
      <c r="R19" s="282">
        <f t="shared" si="6"/>
        <v>40</v>
      </c>
    </row>
    <row r="20" spans="2:18" x14ac:dyDescent="0.25">
      <c r="K20" s="298"/>
      <c r="L20" s="299"/>
      <c r="M20" s="299"/>
      <c r="N20" s="300"/>
      <c r="O20" s="301"/>
      <c r="P20" s="301"/>
      <c r="Q20" s="281"/>
      <c r="R20" s="281"/>
    </row>
    <row r="21" spans="2:18" x14ac:dyDescent="0.25">
      <c r="L21" s="14"/>
      <c r="M21" s="14"/>
      <c r="N21" s="279"/>
      <c r="O21" s="281"/>
      <c r="P21" s="281"/>
      <c r="Q21" s="281"/>
      <c r="R21" s="281"/>
    </row>
    <row r="22" spans="2:18" x14ac:dyDescent="0.25">
      <c r="L22" s="14"/>
      <c r="M22" s="14"/>
      <c r="N22" s="279"/>
      <c r="O22" s="281"/>
      <c r="P22" s="281"/>
      <c r="Q22" s="281"/>
      <c r="R22" s="281"/>
    </row>
    <row r="23" spans="2:18" x14ac:dyDescent="0.25">
      <c r="L23" s="14"/>
      <c r="M23" s="14"/>
      <c r="N23" s="279"/>
      <c r="O23" s="281"/>
      <c r="P23" s="281"/>
      <c r="Q23" s="281"/>
      <c r="R23" s="281"/>
    </row>
    <row r="24" spans="2:18" x14ac:dyDescent="0.25">
      <c r="L24" s="14"/>
      <c r="M24" s="14"/>
      <c r="N24" s="279"/>
      <c r="O24" s="281"/>
      <c r="P24" s="281"/>
      <c r="Q24" s="281"/>
      <c r="R24" s="281"/>
    </row>
    <row r="25" spans="2:18" x14ac:dyDescent="0.25">
      <c r="K25" s="302"/>
      <c r="L25" s="7"/>
      <c r="M25" s="7"/>
      <c r="N25" s="303"/>
      <c r="O25" s="304"/>
      <c r="P25" s="281"/>
      <c r="Q25" s="281"/>
      <c r="R25" s="281"/>
    </row>
    <row r="26" spans="2:18" x14ac:dyDescent="0.25">
      <c r="P26" s="281"/>
      <c r="Q26" s="281"/>
      <c r="R26" s="281"/>
    </row>
  </sheetData>
  <pageMargins left="0.70866141732283472" right="0.70866141732283472" top="0.74803149606299213" bottom="0.74803149606299213" header="0.31496062992125984" footer="0.31496062992125984"/>
  <pageSetup paperSize="9" scale="68" orientation="landscape" r:id="rId1"/>
  <headerFooter>
    <oddHeader>&amp;L&amp;"Arial,Negrita Cursiva"&amp;10HYTSA Estudios y Proyectos S.A.</oddHeader>
    <oddFooter>&amp;L&amp;"Arial,Negrita Cursiva"&amp;10&amp;F - &amp;A&amp;R&amp;"Arial,Negrita Cursiva"&amp;10&amp;P</oddFooter>
  </headerFooter>
  <colBreaks count="1" manualBreakCount="1">
    <brk id="10"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3">
    <tabColor rgb="FFFFFF00"/>
  </sheetPr>
  <dimension ref="A1:AC156"/>
  <sheetViews>
    <sheetView workbookViewId="0">
      <selection activeCell="AC96" sqref="AC96"/>
    </sheetView>
  </sheetViews>
  <sheetFormatPr baseColWidth="10" defaultRowHeight="15" x14ac:dyDescent="0.25"/>
  <cols>
    <col min="1" max="1" width="14" customWidth="1"/>
    <col min="2" max="2" width="26.7109375" bestFit="1" customWidth="1"/>
    <col min="3" max="3" width="29.28515625" bestFit="1" customWidth="1"/>
    <col min="4" max="4" width="20.28515625" hidden="1" customWidth="1"/>
    <col min="5" max="5" width="11.7109375" hidden="1" customWidth="1"/>
    <col min="6" max="6" width="12" hidden="1" customWidth="1"/>
    <col min="7" max="8" width="20.28515625" hidden="1" customWidth="1"/>
    <col min="9" max="9" width="21.28515625" hidden="1" customWidth="1"/>
    <col min="10" max="11" width="17.7109375" hidden="1" customWidth="1"/>
    <col min="12" max="12" width="16.7109375" hidden="1" customWidth="1"/>
    <col min="13" max="13" width="17.7109375" hidden="1" customWidth="1"/>
    <col min="14" max="14" width="12.85546875" hidden="1" customWidth="1"/>
    <col min="15" max="15" width="11.42578125" hidden="1" customWidth="1"/>
    <col min="16" max="16" width="14.28515625" hidden="1" customWidth="1"/>
    <col min="17" max="19" width="18" hidden="1" customWidth="1"/>
    <col min="20" max="20" width="20.42578125" style="689" hidden="1" customWidth="1"/>
    <col min="21" max="22" width="28.7109375" hidden="1" customWidth="1"/>
    <col min="23" max="23" width="18.85546875" hidden="1" customWidth="1"/>
  </cols>
  <sheetData>
    <row r="1" spans="1:29" x14ac:dyDescent="0.25">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row>
    <row r="2" spans="1:29" s="198" customFormat="1" ht="60" x14ac:dyDescent="0.25">
      <c r="A2" s="198" t="s">
        <v>863</v>
      </c>
      <c r="B2" s="198" t="s">
        <v>864</v>
      </c>
      <c r="C2" s="198" t="s">
        <v>865</v>
      </c>
      <c r="D2" s="198" t="s">
        <v>866</v>
      </c>
      <c r="E2" s="198" t="s">
        <v>867</v>
      </c>
      <c r="F2" s="198" t="s">
        <v>868</v>
      </c>
      <c r="G2" s="198" t="s">
        <v>869</v>
      </c>
      <c r="H2" s="198" t="s">
        <v>1092</v>
      </c>
      <c r="I2" s="198" t="s">
        <v>870</v>
      </c>
      <c r="J2" s="198" t="s">
        <v>871</v>
      </c>
      <c r="K2" s="198" t="s">
        <v>872</v>
      </c>
      <c r="L2" s="198" t="s">
        <v>873</v>
      </c>
      <c r="M2" s="198" t="s">
        <v>874</v>
      </c>
      <c r="N2" s="198" t="s">
        <v>1120</v>
      </c>
      <c r="O2" s="198" t="s">
        <v>875</v>
      </c>
      <c r="P2" s="198" t="s">
        <v>876</v>
      </c>
      <c r="Q2" s="198" t="s">
        <v>877</v>
      </c>
      <c r="R2" s="198" t="s">
        <v>1093</v>
      </c>
      <c r="S2" s="198" t="s">
        <v>1094</v>
      </c>
      <c r="T2" s="198" t="s">
        <v>878</v>
      </c>
      <c r="U2" s="198" t="s">
        <v>879</v>
      </c>
      <c r="V2" s="198" t="s">
        <v>880</v>
      </c>
      <c r="W2" s="198" t="s">
        <v>1113</v>
      </c>
      <c r="X2" s="198" t="s">
        <v>1117</v>
      </c>
      <c r="Y2" s="198" t="s">
        <v>1118</v>
      </c>
      <c r="Z2" s="198" t="s">
        <v>1119</v>
      </c>
      <c r="AA2" s="198" t="s">
        <v>1121</v>
      </c>
      <c r="AB2" s="198" t="s">
        <v>1122</v>
      </c>
      <c r="AC2" s="198" t="s">
        <v>1123</v>
      </c>
    </row>
    <row r="3" spans="1:29" s="773" customFormat="1" ht="15" hidden="1" customHeight="1" x14ac:dyDescent="0.25">
      <c r="A3" s="770">
        <v>1</v>
      </c>
      <c r="B3" s="770" t="s">
        <v>881</v>
      </c>
      <c r="C3" s="770" t="s">
        <v>881</v>
      </c>
      <c r="D3" s="771">
        <v>675321</v>
      </c>
      <c r="E3" s="771">
        <v>675321</v>
      </c>
      <c r="F3" s="771">
        <v>1.41</v>
      </c>
      <c r="G3" s="771">
        <v>952.2</v>
      </c>
      <c r="H3" s="771">
        <v>1904.4</v>
      </c>
      <c r="I3" s="770" t="s">
        <v>731</v>
      </c>
      <c r="J3" s="771">
        <v>0</v>
      </c>
      <c r="K3" s="771">
        <v>0</v>
      </c>
      <c r="L3" s="771">
        <v>0</v>
      </c>
      <c r="M3" s="770">
        <v>6</v>
      </c>
      <c r="N3" s="771">
        <v>100.45</v>
      </c>
      <c r="O3" s="771">
        <v>3.5375313507703332</v>
      </c>
      <c r="P3" s="771">
        <v>76</v>
      </c>
      <c r="Q3" s="771">
        <v>64.7</v>
      </c>
      <c r="R3" s="771">
        <f>INPUTS[[#This Row],[DISTANCIA LOCALIDA AL CA (KM)]]-((INPUTS[[#This Row],[ÁREA URBANA
'[km2']]]*4/PI())^0.5)/2</f>
        <v>59.045424147899176</v>
      </c>
      <c r="S3" s="771">
        <f>INPUTS[[#This Row],[Distancia L3
'[Regional']]]/(INPUTS[[#This Row],[TIEMPO LOCALIDA AL CA (MINUTOS)]]/60)</f>
        <v>46.614808537815144</v>
      </c>
      <c r="T3" s="772" t="s">
        <v>882</v>
      </c>
      <c r="U3" s="771">
        <v>23854.93</v>
      </c>
      <c r="V3" s="771">
        <v>17321990</v>
      </c>
      <c r="W3" s="771">
        <v>0</v>
      </c>
      <c r="X3" s="787"/>
      <c r="Y3" s="787"/>
      <c r="Z3" s="787" t="e">
        <f>INPUTS[[#This Row],[Distancia a la ET 
'[km']]]/(INPUTS[[#This Row],[Tiempo a la ET
'[min']]]/60)</f>
        <v>#DIV/0!</v>
      </c>
      <c r="AA3" s="787"/>
      <c r="AB3" s="787"/>
      <c r="AC3" s="787" t="e">
        <f>INPUTS[[#This Row],[Distancia de ET al CA 
'[km']]]/(INPUTS[[#This Row],[Tiempo de ET a CA
'[min']]]/60)</f>
        <v>#DIV/0!</v>
      </c>
    </row>
    <row r="4" spans="1:29" s="773" customFormat="1" ht="15" hidden="1" customHeight="1" x14ac:dyDescent="0.25">
      <c r="A4" s="770">
        <v>2</v>
      </c>
      <c r="B4" s="770" t="s">
        <v>883</v>
      </c>
      <c r="C4" s="770" t="s">
        <v>883</v>
      </c>
      <c r="D4" s="771">
        <v>413709</v>
      </c>
      <c r="E4" s="771">
        <v>413709</v>
      </c>
      <c r="F4" s="771">
        <v>1.41</v>
      </c>
      <c r="G4" s="771">
        <v>583.33000000000004</v>
      </c>
      <c r="H4" s="771">
        <v>1166.6600000000001</v>
      </c>
      <c r="I4" s="770" t="s">
        <v>731</v>
      </c>
      <c r="J4" s="771">
        <v>0</v>
      </c>
      <c r="K4" s="771">
        <v>0</v>
      </c>
      <c r="L4" s="771">
        <v>0</v>
      </c>
      <c r="M4" s="770">
        <v>6</v>
      </c>
      <c r="N4" s="771">
        <v>57.61</v>
      </c>
      <c r="O4" s="771">
        <v>2.8232914521112256</v>
      </c>
      <c r="P4" s="771">
        <v>45</v>
      </c>
      <c r="Q4" s="771">
        <v>41.1</v>
      </c>
      <c r="R4" s="771">
        <f>INPUTS[[#This Row],[DISTANCIA LOCALIDA AL CA (KM)]]-((INPUTS[[#This Row],[ÁREA URBANA
'[km2']]]*4/PI())^0.5)/2</f>
        <v>36.817730444840237</v>
      </c>
      <c r="S4" s="771">
        <f>INPUTS[[#This Row],[Distancia L3
'[Regional']]]/(INPUTS[[#This Row],[TIEMPO LOCALIDA AL CA (MINUTOS)]]/60)</f>
        <v>49.090307259786982</v>
      </c>
      <c r="T4" s="772" t="s">
        <v>882</v>
      </c>
      <c r="U4" s="771">
        <v>23854.93</v>
      </c>
      <c r="V4" s="771">
        <v>17321990</v>
      </c>
      <c r="W4" s="771">
        <v>0</v>
      </c>
      <c r="X4" s="787"/>
      <c r="Y4" s="787"/>
      <c r="Z4" s="787" t="e">
        <f>INPUTS[[#This Row],[Distancia a la ET 
'[km']]]/(INPUTS[[#This Row],[Tiempo a la ET
'[min']]]/60)</f>
        <v>#DIV/0!</v>
      </c>
      <c r="AA4" s="787"/>
      <c r="AB4" s="787"/>
      <c r="AC4" s="787" t="e">
        <f>INPUTS[[#This Row],[Distancia de ET al CA 
'[km']]]/(INPUTS[[#This Row],[Tiempo de ET a CA
'[min']]]/60)</f>
        <v>#DIV/0!</v>
      </c>
    </row>
    <row r="5" spans="1:29" s="773" customFormat="1" ht="15" hidden="1" customHeight="1" x14ac:dyDescent="0.25">
      <c r="A5" s="770">
        <v>3</v>
      </c>
      <c r="B5" s="770" t="s">
        <v>884</v>
      </c>
      <c r="C5" s="770" t="s">
        <v>884</v>
      </c>
      <c r="D5" s="771">
        <v>429902</v>
      </c>
      <c r="E5" s="771">
        <v>429902</v>
      </c>
      <c r="F5" s="771">
        <v>1.41</v>
      </c>
      <c r="G5" s="771">
        <v>606.16</v>
      </c>
      <c r="H5" s="771">
        <v>1212.32</v>
      </c>
      <c r="I5" s="770" t="s">
        <v>731</v>
      </c>
      <c r="J5" s="771">
        <v>0</v>
      </c>
      <c r="K5" s="771">
        <v>0</v>
      </c>
      <c r="L5" s="771">
        <v>0</v>
      </c>
      <c r="M5" s="770">
        <v>6</v>
      </c>
      <c r="N5" s="771">
        <v>50.86</v>
      </c>
      <c r="O5" s="771">
        <v>3.3752212020902297</v>
      </c>
      <c r="P5" s="771">
        <v>67</v>
      </c>
      <c r="Q5" s="771">
        <v>63.9</v>
      </c>
      <c r="R5" s="771">
        <f>INPUTS[[#This Row],[DISTANCIA LOCALIDA AL CA (KM)]]-((INPUTS[[#This Row],[ÁREA URBANA
'[km2']]]*4/PI())^0.5)/2</f>
        <v>59.876414433455203</v>
      </c>
      <c r="S5" s="771">
        <f>INPUTS[[#This Row],[Distancia L3
'[Regional']]]/(INPUTS[[#This Row],[TIEMPO LOCALIDA AL CA (MINUTOS)]]/60)</f>
        <v>53.620669641900179</v>
      </c>
      <c r="T5" s="772" t="s">
        <v>882</v>
      </c>
      <c r="U5" s="771">
        <v>23854.93</v>
      </c>
      <c r="V5" s="771">
        <v>17321990</v>
      </c>
      <c r="W5" s="771">
        <v>0</v>
      </c>
      <c r="X5" s="787"/>
      <c r="Y5" s="787"/>
      <c r="Z5" s="787" t="e">
        <f>INPUTS[[#This Row],[Distancia a la ET 
'[km']]]/(INPUTS[[#This Row],[Tiempo a la ET
'[min']]]/60)</f>
        <v>#DIV/0!</v>
      </c>
      <c r="AA5" s="787"/>
      <c r="AB5" s="787"/>
      <c r="AC5" s="787" t="e">
        <f>INPUTS[[#This Row],[Distancia de ET al CA 
'[km']]]/(INPUTS[[#This Row],[Tiempo de ET a CA
'[min']]]/60)</f>
        <v>#DIV/0!</v>
      </c>
    </row>
    <row r="6" spans="1:29" s="773" customFormat="1" ht="15" hidden="1" customHeight="1" x14ac:dyDescent="0.25">
      <c r="A6" s="770">
        <v>4</v>
      </c>
      <c r="B6" s="770" t="s">
        <v>885</v>
      </c>
      <c r="C6" s="770" t="s">
        <v>885</v>
      </c>
      <c r="D6" s="771">
        <v>434101</v>
      </c>
      <c r="E6" s="771">
        <v>434101</v>
      </c>
      <c r="F6" s="771">
        <v>1.41</v>
      </c>
      <c r="G6" s="771">
        <v>612.08000000000004</v>
      </c>
      <c r="H6" s="771">
        <v>1224.1600000000001</v>
      </c>
      <c r="I6" s="770" t="s">
        <v>731</v>
      </c>
      <c r="J6" s="771">
        <v>0</v>
      </c>
      <c r="K6" s="771">
        <v>0</v>
      </c>
      <c r="L6" s="771">
        <v>0</v>
      </c>
      <c r="M6" s="770">
        <v>6</v>
      </c>
      <c r="N6" s="771">
        <v>53.91</v>
      </c>
      <c r="O6" s="771">
        <v>3.4142589544190272</v>
      </c>
      <c r="P6" s="771">
        <v>65</v>
      </c>
      <c r="Q6" s="771">
        <v>62.8</v>
      </c>
      <c r="R6" s="771">
        <f>INPUTS[[#This Row],[DISTANCIA LOCALIDA AL CA (KM)]]-((INPUTS[[#This Row],[ÁREA URBANA
'[km2']]]*4/PI())^0.5)/2</f>
        <v>58.657526588598522</v>
      </c>
      <c r="S6" s="771">
        <f>INPUTS[[#This Row],[Distancia L3
'[Regional']]]/(INPUTS[[#This Row],[TIEMPO LOCALIDA AL CA (MINUTOS)]]/60)</f>
        <v>54.145409158706329</v>
      </c>
      <c r="T6" s="772" t="s">
        <v>882</v>
      </c>
      <c r="U6" s="771">
        <v>23854.93</v>
      </c>
      <c r="V6" s="771">
        <v>17321990</v>
      </c>
      <c r="W6" s="771">
        <v>0</v>
      </c>
      <c r="X6" s="787"/>
      <c r="Y6" s="787"/>
      <c r="Z6" s="787" t="e">
        <f>INPUTS[[#This Row],[Distancia a la ET 
'[km']]]/(INPUTS[[#This Row],[Tiempo a la ET
'[min']]]/60)</f>
        <v>#DIV/0!</v>
      </c>
      <c r="AA6" s="787"/>
      <c r="AB6" s="787"/>
      <c r="AC6" s="787" t="e">
        <f>INPUTS[[#This Row],[Distancia de ET al CA 
'[km']]]/(INPUTS[[#This Row],[Tiempo de ET a CA
'[min']]]/60)</f>
        <v>#DIV/0!</v>
      </c>
    </row>
    <row r="7" spans="1:29" s="773" customFormat="1" ht="15" hidden="1" customHeight="1" x14ac:dyDescent="0.25">
      <c r="A7" s="770">
        <v>5</v>
      </c>
      <c r="B7" s="770" t="s">
        <v>886</v>
      </c>
      <c r="C7" s="770" t="s">
        <v>886</v>
      </c>
      <c r="D7" s="771">
        <v>280311</v>
      </c>
      <c r="E7" s="771">
        <v>280311</v>
      </c>
      <c r="F7" s="771">
        <v>1.02</v>
      </c>
      <c r="G7" s="771">
        <v>285.92</v>
      </c>
      <c r="H7" s="771">
        <v>571.84</v>
      </c>
      <c r="I7" s="770" t="s">
        <v>731</v>
      </c>
      <c r="J7" s="771">
        <v>0</v>
      </c>
      <c r="K7" s="771">
        <v>0</v>
      </c>
      <c r="L7" s="771">
        <v>0</v>
      </c>
      <c r="M7" s="770">
        <v>5</v>
      </c>
      <c r="N7" s="771">
        <v>14.08</v>
      </c>
      <c r="O7" s="771">
        <v>3.3252498172069216</v>
      </c>
      <c r="P7" s="771">
        <v>31</v>
      </c>
      <c r="Q7" s="771">
        <v>15.9</v>
      </c>
      <c r="R7" s="771">
        <f>INPUTS[[#This Row],[DISTANCIA LOCALIDA AL CA (KM)]]-((INPUTS[[#This Row],[ÁREA URBANA
'[km2']]]*4/PI())^0.5)/2</f>
        <v>13.78297302863951</v>
      </c>
      <c r="S7" s="771">
        <f>INPUTS[[#This Row],[Distancia L3
'[Regional']]]/(INPUTS[[#This Row],[TIEMPO LOCALIDA AL CA (MINUTOS)]]/60)</f>
        <v>26.67672199091518</v>
      </c>
      <c r="T7" s="772" t="s">
        <v>887</v>
      </c>
      <c r="U7" s="771">
        <v>581.95000000000005</v>
      </c>
      <c r="V7" s="771">
        <v>570536</v>
      </c>
      <c r="W7" s="771">
        <v>0</v>
      </c>
      <c r="X7" s="787"/>
      <c r="Y7" s="787"/>
      <c r="Z7" s="787" t="e">
        <f>INPUTS[[#This Row],[Distancia a la ET 
'[km']]]/(INPUTS[[#This Row],[Tiempo a la ET
'[min']]]/60)</f>
        <v>#DIV/0!</v>
      </c>
      <c r="AA7" s="787"/>
      <c r="AB7" s="787"/>
      <c r="AC7" s="787" t="e">
        <f>INPUTS[[#This Row],[Distancia de ET al CA 
'[km']]]/(INPUTS[[#This Row],[Tiempo de ET a CA
'[min']]]/60)</f>
        <v>#DIV/0!</v>
      </c>
    </row>
    <row r="8" spans="1:29" s="773" customFormat="1" ht="15" hidden="1" customHeight="1" x14ac:dyDescent="0.25">
      <c r="A8" s="770">
        <v>6</v>
      </c>
      <c r="B8" s="770" t="s">
        <v>888</v>
      </c>
      <c r="C8" s="770" t="s">
        <v>888</v>
      </c>
      <c r="D8" s="771">
        <v>657707</v>
      </c>
      <c r="E8" s="771">
        <v>657707</v>
      </c>
      <c r="F8" s="771">
        <v>1.41</v>
      </c>
      <c r="G8" s="771">
        <v>927.37</v>
      </c>
      <c r="H8" s="771">
        <v>1854.74</v>
      </c>
      <c r="I8" s="770" t="s">
        <v>731</v>
      </c>
      <c r="J8" s="771">
        <v>0</v>
      </c>
      <c r="K8" s="771">
        <v>0</v>
      </c>
      <c r="L8" s="771">
        <v>0</v>
      </c>
      <c r="M8" s="770">
        <v>5</v>
      </c>
      <c r="N8" s="771">
        <v>36.43</v>
      </c>
      <c r="O8" s="771">
        <v>3.7353132014590349</v>
      </c>
      <c r="P8" s="771">
        <v>79</v>
      </c>
      <c r="Q8" s="771">
        <v>60.9</v>
      </c>
      <c r="R8" s="771">
        <f>INPUTS[[#This Row],[DISTANCIA LOCALIDA AL CA (KM)]]-((INPUTS[[#This Row],[ÁREA URBANA
'[km2']]]*4/PI())^0.5)/2</f>
        <v>57.494705717023052</v>
      </c>
      <c r="S8" s="771">
        <f>INPUTS[[#This Row],[Distancia L3
'[Regional']]]/(INPUTS[[#This Row],[TIEMPO LOCALIDA AL CA (MINUTOS)]]/60)</f>
        <v>43.666865101536494</v>
      </c>
      <c r="T8" s="772" t="s">
        <v>882</v>
      </c>
      <c r="U8" s="771">
        <v>23854.93</v>
      </c>
      <c r="V8" s="771">
        <v>17321990</v>
      </c>
      <c r="W8" s="771">
        <v>0</v>
      </c>
      <c r="X8" s="787"/>
      <c r="Y8" s="787"/>
      <c r="Z8" s="787" t="e">
        <f>INPUTS[[#This Row],[Distancia a la ET 
'[km']]]/(INPUTS[[#This Row],[Tiempo a la ET
'[min']]]/60)</f>
        <v>#DIV/0!</v>
      </c>
      <c r="AA8" s="787"/>
      <c r="AB8" s="787"/>
      <c r="AC8" s="787" t="e">
        <f>INPUTS[[#This Row],[Distancia de ET al CA 
'[km']]]/(INPUTS[[#This Row],[Tiempo de ET a CA
'[min']]]/60)</f>
        <v>#DIV/0!</v>
      </c>
    </row>
    <row r="9" spans="1:29" s="773" customFormat="1" ht="15" hidden="1" customHeight="1" x14ac:dyDescent="0.25">
      <c r="A9" s="770">
        <v>7</v>
      </c>
      <c r="B9" s="770" t="s">
        <v>889</v>
      </c>
      <c r="C9" s="770" t="s">
        <v>889</v>
      </c>
      <c r="D9" s="771">
        <v>471703</v>
      </c>
      <c r="E9" s="771">
        <v>471703</v>
      </c>
      <c r="F9" s="771">
        <v>1.41</v>
      </c>
      <c r="G9" s="771">
        <v>665.1</v>
      </c>
      <c r="H9" s="771">
        <v>1330.2</v>
      </c>
      <c r="I9" s="770" t="s">
        <v>731</v>
      </c>
      <c r="J9" s="771">
        <v>0</v>
      </c>
      <c r="K9" s="771">
        <v>0</v>
      </c>
      <c r="L9" s="771">
        <v>0</v>
      </c>
      <c r="M9" s="770">
        <v>6</v>
      </c>
      <c r="N9" s="771">
        <v>7.76</v>
      </c>
      <c r="O9" s="771">
        <v>2.999029758887843</v>
      </c>
      <c r="P9" s="771">
        <v>27</v>
      </c>
      <c r="Q9" s="771">
        <v>10</v>
      </c>
      <c r="R9" s="771">
        <f>INPUTS[[#This Row],[DISTANCIA LOCALIDA AL CA (KM)]]-((INPUTS[[#This Row],[ÁREA URBANA
'[km2']]]*4/PI())^0.5)/2</f>
        <v>8.4283496836808087</v>
      </c>
      <c r="S9" s="771">
        <f>INPUTS[[#This Row],[Distancia L3
'[Regional']]]/(INPUTS[[#This Row],[TIEMPO LOCALIDA AL CA (MINUTOS)]]/60)</f>
        <v>18.72966596373513</v>
      </c>
      <c r="T9" s="772" t="s">
        <v>882</v>
      </c>
      <c r="U9" s="771">
        <v>23854.93</v>
      </c>
      <c r="V9" s="771">
        <v>17321990</v>
      </c>
      <c r="W9" s="771">
        <v>0</v>
      </c>
      <c r="X9" s="787"/>
      <c r="Y9" s="787"/>
      <c r="Z9" s="787" t="e">
        <f>INPUTS[[#This Row],[Distancia a la ET 
'[km']]]/(INPUTS[[#This Row],[Tiempo a la ET
'[min']]]/60)</f>
        <v>#DIV/0!</v>
      </c>
      <c r="AA9" s="787"/>
      <c r="AB9" s="787"/>
      <c r="AC9" s="787" t="e">
        <f>INPUTS[[#This Row],[Distancia de ET al CA 
'[km']]]/(INPUTS[[#This Row],[Tiempo de ET a CA
'[min']]]/60)</f>
        <v>#DIV/0!</v>
      </c>
    </row>
    <row r="10" spans="1:29" s="773" customFormat="1" ht="15" hidden="1" customHeight="1" x14ac:dyDescent="0.25">
      <c r="A10" s="770">
        <v>8</v>
      </c>
      <c r="B10" s="770" t="s">
        <v>890</v>
      </c>
      <c r="C10" s="770" t="s">
        <v>890</v>
      </c>
      <c r="D10" s="771">
        <v>199184</v>
      </c>
      <c r="E10" s="771">
        <v>199184</v>
      </c>
      <c r="F10" s="771">
        <v>1.02</v>
      </c>
      <c r="G10" s="771">
        <v>203.17</v>
      </c>
      <c r="H10" s="771">
        <v>406.34</v>
      </c>
      <c r="I10" s="770" t="s">
        <v>731</v>
      </c>
      <c r="J10" s="771">
        <v>0</v>
      </c>
      <c r="K10" s="771">
        <v>0</v>
      </c>
      <c r="L10" s="771">
        <v>0</v>
      </c>
      <c r="M10" s="770">
        <v>6</v>
      </c>
      <c r="N10" s="771">
        <v>23.49</v>
      </c>
      <c r="O10" s="771">
        <v>3.2668397051136466</v>
      </c>
      <c r="P10" s="771">
        <v>17</v>
      </c>
      <c r="Q10" s="771">
        <v>11.7</v>
      </c>
      <c r="R10" s="771">
        <f>INPUTS[[#This Row],[DISTANCIA LOCALIDA AL CA (KM)]]-((INPUTS[[#This Row],[ÁREA URBANA
'[km2']]]*4/PI())^0.5)/2</f>
        <v>8.9655714991140751</v>
      </c>
      <c r="S10" s="771">
        <f>INPUTS[[#This Row],[Distancia L3
'[Regional']]]/(INPUTS[[#This Row],[TIEMPO LOCALIDA AL CA (MINUTOS)]]/60)</f>
        <v>31.643193526284971</v>
      </c>
      <c r="T10" s="772" t="s">
        <v>882</v>
      </c>
      <c r="U10" s="771">
        <v>23854.93</v>
      </c>
      <c r="V10" s="771">
        <v>17321990</v>
      </c>
      <c r="W10" s="771">
        <v>0</v>
      </c>
      <c r="X10" s="787"/>
      <c r="Y10" s="787"/>
      <c r="Z10" s="787" t="e">
        <f>INPUTS[[#This Row],[Distancia a la ET 
'[km']]]/(INPUTS[[#This Row],[Tiempo a la ET
'[min']]]/60)</f>
        <v>#DIV/0!</v>
      </c>
      <c r="AA10" s="787"/>
      <c r="AB10" s="787"/>
      <c r="AC10" s="787" t="e">
        <f>INPUTS[[#This Row],[Distancia de ET al CA 
'[km']]]/(INPUTS[[#This Row],[Tiempo de ET a CA
'[min']]]/60)</f>
        <v>#DIV/0!</v>
      </c>
    </row>
    <row r="11" spans="1:29" s="773" customFormat="1" ht="15" hidden="1" customHeight="1" x14ac:dyDescent="0.25">
      <c r="A11" s="770">
        <v>9</v>
      </c>
      <c r="B11" s="770" t="s">
        <v>891</v>
      </c>
      <c r="C11" s="770" t="s">
        <v>891</v>
      </c>
      <c r="D11" s="771">
        <v>198016</v>
      </c>
      <c r="E11" s="771">
        <v>198016</v>
      </c>
      <c r="F11" s="771">
        <v>1.02</v>
      </c>
      <c r="G11" s="771">
        <v>201.98</v>
      </c>
      <c r="H11" s="771">
        <v>403.96</v>
      </c>
      <c r="I11" s="770" t="s">
        <v>731</v>
      </c>
      <c r="J11" s="771">
        <v>0</v>
      </c>
      <c r="K11" s="771">
        <v>0</v>
      </c>
      <c r="L11" s="771">
        <v>0</v>
      </c>
      <c r="M11" s="770">
        <v>5</v>
      </c>
      <c r="N11" s="771">
        <v>20.76</v>
      </c>
      <c r="O11" s="771">
        <v>3.0836395707775983</v>
      </c>
      <c r="P11" s="771">
        <v>31</v>
      </c>
      <c r="Q11" s="771">
        <v>25.1</v>
      </c>
      <c r="R11" s="771">
        <f>INPUTS[[#This Row],[DISTANCIA LOCALIDA AL CA (KM)]]-((INPUTS[[#This Row],[ÁREA URBANA
'[km2']]]*4/PI())^0.5)/2</f>
        <v>22.52937493259412</v>
      </c>
      <c r="S11" s="771">
        <f>INPUTS[[#This Row],[Distancia L3
'[Regional']]]/(INPUTS[[#This Row],[TIEMPO LOCALIDA AL CA (MINUTOS)]]/60)</f>
        <v>43.605241805020874</v>
      </c>
      <c r="T11" s="772" t="s">
        <v>882</v>
      </c>
      <c r="U11" s="771">
        <v>23854.93</v>
      </c>
      <c r="V11" s="771">
        <v>17321990</v>
      </c>
      <c r="W11" s="771">
        <v>0</v>
      </c>
      <c r="X11" s="787"/>
      <c r="Y11" s="787"/>
      <c r="Z11" s="787" t="e">
        <f>INPUTS[[#This Row],[Distancia a la ET 
'[km']]]/(INPUTS[[#This Row],[Tiempo a la ET
'[min']]]/60)</f>
        <v>#DIV/0!</v>
      </c>
      <c r="AA11" s="787"/>
      <c r="AB11" s="787"/>
      <c r="AC11" s="787" t="e">
        <f>INPUTS[[#This Row],[Distancia de ET al CA 
'[km']]]/(INPUTS[[#This Row],[Tiempo de ET a CA
'[min']]]/60)</f>
        <v>#DIV/0!</v>
      </c>
    </row>
    <row r="12" spans="1:29" s="773" customFormat="1" ht="15" hidden="1" customHeight="1" x14ac:dyDescent="0.25">
      <c r="A12" s="770">
        <v>10</v>
      </c>
      <c r="B12" s="770" t="s">
        <v>892</v>
      </c>
      <c r="C12" s="770" t="s">
        <v>892</v>
      </c>
      <c r="D12" s="771">
        <v>397284</v>
      </c>
      <c r="E12" s="771">
        <v>397284</v>
      </c>
      <c r="F12" s="771">
        <v>1.41</v>
      </c>
      <c r="G12" s="771">
        <v>560.16999999999996</v>
      </c>
      <c r="H12" s="771">
        <v>1120.3399999999999</v>
      </c>
      <c r="I12" s="770" t="s">
        <v>731</v>
      </c>
      <c r="J12" s="771">
        <v>0</v>
      </c>
      <c r="K12" s="771">
        <v>0</v>
      </c>
      <c r="L12" s="771">
        <v>0</v>
      </c>
      <c r="M12" s="770">
        <v>5</v>
      </c>
      <c r="N12" s="771">
        <v>40</v>
      </c>
      <c r="O12" s="771">
        <v>3.6803791338037914</v>
      </c>
      <c r="P12" s="771">
        <v>40</v>
      </c>
      <c r="Q12" s="771">
        <v>24.9</v>
      </c>
      <c r="R12" s="771">
        <f>INPUTS[[#This Row],[DISTANCIA LOCALIDA AL CA (KM)]]-((INPUTS[[#This Row],[ÁREA URBANA
'[km2']]]*4/PI())^0.5)/2</f>
        <v>21.331751767694456</v>
      </c>
      <c r="S12" s="771">
        <f>INPUTS[[#This Row],[Distancia L3
'[Regional']]]/(INPUTS[[#This Row],[TIEMPO LOCALIDA AL CA (MINUTOS)]]/60)</f>
        <v>31.997627651541684</v>
      </c>
      <c r="T12" s="772" t="s">
        <v>882</v>
      </c>
      <c r="U12" s="771">
        <v>23854.93</v>
      </c>
      <c r="V12" s="771">
        <v>17321990</v>
      </c>
      <c r="W12" s="771">
        <v>0</v>
      </c>
      <c r="X12" s="787"/>
      <c r="Y12" s="787"/>
      <c r="Z12" s="787" t="e">
        <f>INPUTS[[#This Row],[Distancia a la ET 
'[km']]]/(INPUTS[[#This Row],[Tiempo a la ET
'[min']]]/60)</f>
        <v>#DIV/0!</v>
      </c>
      <c r="AA12" s="787"/>
      <c r="AB12" s="787"/>
      <c r="AC12" s="787" t="e">
        <f>INPUTS[[#This Row],[Distancia de ET al CA 
'[km']]]/(INPUTS[[#This Row],[Tiempo de ET a CA
'[min']]]/60)</f>
        <v>#DIV/0!</v>
      </c>
    </row>
    <row r="13" spans="1:29" s="773" customFormat="1" ht="30" hidden="1" customHeight="1" x14ac:dyDescent="0.25">
      <c r="A13" s="770">
        <v>11</v>
      </c>
      <c r="B13" s="770" t="s">
        <v>893</v>
      </c>
      <c r="C13" s="770" t="s">
        <v>893</v>
      </c>
      <c r="D13" s="771">
        <v>2554803</v>
      </c>
      <c r="E13" s="771">
        <v>2554803</v>
      </c>
      <c r="F13" s="771">
        <v>1.41</v>
      </c>
      <c r="G13" s="771">
        <v>3602.27</v>
      </c>
      <c r="H13" s="771">
        <v>7204.54</v>
      </c>
      <c r="I13" s="770" t="s">
        <v>731</v>
      </c>
      <c r="J13" s="771">
        <v>0</v>
      </c>
      <c r="K13" s="771">
        <v>0</v>
      </c>
      <c r="L13" s="771">
        <v>0</v>
      </c>
      <c r="M13" s="770">
        <v>5</v>
      </c>
      <c r="N13" s="771">
        <v>157.57</v>
      </c>
      <c r="O13" s="771">
        <v>3.9681265641759027</v>
      </c>
      <c r="P13" s="771">
        <v>54</v>
      </c>
      <c r="Q13" s="771">
        <v>19.399999999999999</v>
      </c>
      <c r="R13" s="771">
        <f>INPUTS[[#This Row],[DISTANCIA LOCALIDA AL CA (KM)]]-((INPUTS[[#This Row],[ÁREA URBANA
'[km2']]]*4/PI())^0.5)/2</f>
        <v>12.317903646096029</v>
      </c>
      <c r="S13" s="771">
        <f>INPUTS[[#This Row],[Distancia L3
'[Regional']]]/(INPUTS[[#This Row],[TIEMPO LOCALIDA AL CA (MINUTOS)]]/60)</f>
        <v>13.686559606773365</v>
      </c>
      <c r="T13" s="772" t="s">
        <v>894</v>
      </c>
      <c r="U13" s="771">
        <v>3602.27</v>
      </c>
      <c r="V13" s="771">
        <v>2554803</v>
      </c>
      <c r="W13" s="771">
        <v>0</v>
      </c>
      <c r="X13" s="787"/>
      <c r="Y13" s="787"/>
      <c r="Z13" s="787" t="e">
        <f>INPUTS[[#This Row],[Distancia a la ET 
'[km']]]/(INPUTS[[#This Row],[Tiempo a la ET
'[min']]]/60)</f>
        <v>#DIV/0!</v>
      </c>
      <c r="AA13" s="787"/>
      <c r="AB13" s="787"/>
      <c r="AC13" s="787" t="e">
        <f>INPUTS[[#This Row],[Distancia de ET al CA 
'[km']]]/(INPUTS[[#This Row],[Tiempo de ET a CA
'[min']]]/60)</f>
        <v>#DIV/0!</v>
      </c>
    </row>
    <row r="14" spans="1:29" s="773" customFormat="1" ht="15" hidden="1" customHeight="1" x14ac:dyDescent="0.25">
      <c r="A14" s="770">
        <v>12</v>
      </c>
      <c r="B14" s="770" t="s">
        <v>895</v>
      </c>
      <c r="C14" s="770" t="s">
        <v>895</v>
      </c>
      <c r="D14" s="771">
        <v>448776</v>
      </c>
      <c r="E14" s="771">
        <v>448776</v>
      </c>
      <c r="F14" s="771">
        <v>1.41</v>
      </c>
      <c r="G14" s="771">
        <v>632.77</v>
      </c>
      <c r="H14" s="771">
        <v>1265.54</v>
      </c>
      <c r="I14" s="770" t="s">
        <v>731</v>
      </c>
      <c r="J14" s="771">
        <v>0</v>
      </c>
      <c r="K14" s="771">
        <v>0</v>
      </c>
      <c r="L14" s="771">
        <v>0</v>
      </c>
      <c r="M14" s="770">
        <v>7</v>
      </c>
      <c r="N14" s="771">
        <v>50.05</v>
      </c>
      <c r="O14" s="771">
        <v>2.9072614593817852</v>
      </c>
      <c r="P14" s="771">
        <v>56</v>
      </c>
      <c r="Q14" s="771">
        <v>49.4</v>
      </c>
      <c r="R14" s="771">
        <f>INPUTS[[#This Row],[DISTANCIA LOCALIDA AL CA (KM)]]-((INPUTS[[#This Row],[ÁREA URBANA
'[km2']]]*4/PI())^0.5)/2</f>
        <v>45.40858298301233</v>
      </c>
      <c r="S14" s="771">
        <f>INPUTS[[#This Row],[Distancia L3
'[Regional']]]/(INPUTS[[#This Row],[TIEMPO LOCALIDA AL CA (MINUTOS)]]/60)</f>
        <v>48.652053196084637</v>
      </c>
      <c r="T14" s="772" t="s">
        <v>882</v>
      </c>
      <c r="U14" s="771">
        <v>23854.93</v>
      </c>
      <c r="V14" s="771">
        <v>17321990</v>
      </c>
      <c r="W14" s="771">
        <v>0</v>
      </c>
      <c r="X14" s="787"/>
      <c r="Y14" s="787"/>
      <c r="Z14" s="787" t="e">
        <f>INPUTS[[#This Row],[Distancia a la ET 
'[km']]]/(INPUTS[[#This Row],[Tiempo a la ET
'[min']]]/60)</f>
        <v>#DIV/0!</v>
      </c>
      <c r="AA14" s="787"/>
      <c r="AB14" s="787"/>
      <c r="AC14" s="787" t="e">
        <f>INPUTS[[#This Row],[Distancia de ET al CA 
'[km']]]/(INPUTS[[#This Row],[Tiempo de ET a CA
'[min']]]/60)</f>
        <v>#DIV/0!</v>
      </c>
    </row>
    <row r="15" spans="1:29" s="773" customFormat="1" ht="15" hidden="1" customHeight="1" x14ac:dyDescent="0.25">
      <c r="A15" s="770">
        <v>13</v>
      </c>
      <c r="B15" s="770" t="s">
        <v>896</v>
      </c>
      <c r="C15" s="770" t="s">
        <v>896</v>
      </c>
      <c r="D15" s="771">
        <v>745585</v>
      </c>
      <c r="E15" s="771">
        <v>745585</v>
      </c>
      <c r="F15" s="771">
        <v>1.41</v>
      </c>
      <c r="G15" s="771">
        <v>1051.27</v>
      </c>
      <c r="H15" s="771">
        <v>2102.54</v>
      </c>
      <c r="I15" s="770" t="s">
        <v>731</v>
      </c>
      <c r="J15" s="771">
        <v>0</v>
      </c>
      <c r="K15" s="771">
        <v>0</v>
      </c>
      <c r="L15" s="771">
        <v>0</v>
      </c>
      <c r="M15" s="770">
        <v>5</v>
      </c>
      <c r="N15" s="771">
        <v>57.06</v>
      </c>
      <c r="O15" s="771">
        <v>3.2724400501263777</v>
      </c>
      <c r="P15" s="771">
        <v>48</v>
      </c>
      <c r="Q15" s="771">
        <v>49.2</v>
      </c>
      <c r="R15" s="771">
        <f>INPUTS[[#This Row],[DISTANCIA LOCALIDA AL CA (KM)]]-((INPUTS[[#This Row],[ÁREA URBANA
'[km2']]]*4/PI())^0.5)/2</f>
        <v>44.938220781686709</v>
      </c>
      <c r="S15" s="771">
        <f>INPUTS[[#This Row],[Distancia L3
'[Regional']]]/(INPUTS[[#This Row],[TIEMPO LOCALIDA AL CA (MINUTOS)]]/60)</f>
        <v>56.172775977108387</v>
      </c>
      <c r="T15" s="772" t="s">
        <v>882</v>
      </c>
      <c r="U15" s="771">
        <v>23854.93</v>
      </c>
      <c r="V15" s="771">
        <v>17321990</v>
      </c>
      <c r="W15" s="771">
        <v>0</v>
      </c>
      <c r="X15" s="787"/>
      <c r="Y15" s="787"/>
      <c r="Z15" s="787" t="e">
        <f>INPUTS[[#This Row],[Distancia a la ET 
'[km']]]/(INPUTS[[#This Row],[Tiempo a la ET
'[min']]]/60)</f>
        <v>#DIV/0!</v>
      </c>
      <c r="AA15" s="787"/>
      <c r="AB15" s="787"/>
      <c r="AC15" s="787" t="e">
        <f>INPUTS[[#This Row],[Distancia de ET al CA 
'[km']]]/(INPUTS[[#This Row],[Tiempo de ET a CA
'[min']]]/60)</f>
        <v>#DIV/0!</v>
      </c>
    </row>
    <row r="16" spans="1:29" s="773" customFormat="1" ht="15" hidden="1" customHeight="1" x14ac:dyDescent="0.25">
      <c r="A16" s="770">
        <v>14</v>
      </c>
      <c r="B16" s="770" t="s">
        <v>897</v>
      </c>
      <c r="C16" s="770" t="s">
        <v>897</v>
      </c>
      <c r="D16" s="771">
        <v>429701</v>
      </c>
      <c r="E16" s="771">
        <v>429701</v>
      </c>
      <c r="F16" s="771">
        <v>1.41</v>
      </c>
      <c r="G16" s="771">
        <v>605.88</v>
      </c>
      <c r="H16" s="771">
        <v>1211.76</v>
      </c>
      <c r="I16" s="770" t="s">
        <v>731</v>
      </c>
      <c r="J16" s="771">
        <v>0</v>
      </c>
      <c r="K16" s="771">
        <v>0</v>
      </c>
      <c r="L16" s="771">
        <v>0</v>
      </c>
      <c r="M16" s="770">
        <v>5</v>
      </c>
      <c r="N16" s="771">
        <v>40.97</v>
      </c>
      <c r="O16" s="771">
        <v>3.6914999599216753</v>
      </c>
      <c r="P16" s="771">
        <v>23</v>
      </c>
      <c r="Q16" s="771">
        <v>21.8</v>
      </c>
      <c r="R16" s="771">
        <f>INPUTS[[#This Row],[DISTANCIA LOCALIDA AL CA (KM)]]-((INPUTS[[#This Row],[ÁREA URBANA
'[km2']]]*4/PI())^0.5)/2</f>
        <v>18.188745919081587</v>
      </c>
      <c r="S16" s="771">
        <f>INPUTS[[#This Row],[Distancia L3
'[Regional']]]/(INPUTS[[#This Row],[TIEMPO LOCALIDA AL CA (MINUTOS)]]/60)</f>
        <v>47.448902397604137</v>
      </c>
      <c r="T16" s="772" t="s">
        <v>882</v>
      </c>
      <c r="U16" s="771">
        <v>23854.93</v>
      </c>
      <c r="V16" s="771">
        <v>17321990</v>
      </c>
      <c r="W16" s="771">
        <v>0</v>
      </c>
      <c r="X16" s="787"/>
      <c r="Y16" s="787"/>
      <c r="Z16" s="787" t="e">
        <f>INPUTS[[#This Row],[Distancia a la ET 
'[km']]]/(INPUTS[[#This Row],[Tiempo a la ET
'[min']]]/60)</f>
        <v>#DIV/0!</v>
      </c>
      <c r="AA16" s="787"/>
      <c r="AB16" s="787"/>
      <c r="AC16" s="787" t="e">
        <f>INPUTS[[#This Row],[Distancia de ET al CA 
'[km']]]/(INPUTS[[#This Row],[Tiempo de ET a CA
'[min']]]/60)</f>
        <v>#DIV/0!</v>
      </c>
    </row>
    <row r="17" spans="1:29" s="773" customFormat="1" ht="15" hidden="1" customHeight="1" x14ac:dyDescent="0.25">
      <c r="A17" s="770">
        <v>15</v>
      </c>
      <c r="B17" s="770" t="s">
        <v>898</v>
      </c>
      <c r="C17" s="770" t="s">
        <v>898</v>
      </c>
      <c r="D17" s="771">
        <v>712982</v>
      </c>
      <c r="E17" s="771">
        <v>712982</v>
      </c>
      <c r="F17" s="771">
        <v>1.41</v>
      </c>
      <c r="G17" s="771">
        <v>1005.3</v>
      </c>
      <c r="H17" s="771">
        <v>2010.6</v>
      </c>
      <c r="I17" s="770" t="s">
        <v>731</v>
      </c>
      <c r="J17" s="771">
        <v>0</v>
      </c>
      <c r="K17" s="771">
        <v>0</v>
      </c>
      <c r="L17" s="771">
        <v>0</v>
      </c>
      <c r="M17" s="770">
        <v>5</v>
      </c>
      <c r="N17" s="771">
        <v>58.51</v>
      </c>
      <c r="O17" s="771">
        <v>3.5881430385161144</v>
      </c>
      <c r="P17" s="771">
        <v>33</v>
      </c>
      <c r="Q17" s="771">
        <v>25.2</v>
      </c>
      <c r="R17" s="771">
        <f>INPUTS[[#This Row],[DISTANCIA LOCALIDA AL CA (KM)]]-((INPUTS[[#This Row],[ÁREA URBANA
'[km2']]]*4/PI())^0.5)/2</f>
        <v>20.884410649677893</v>
      </c>
      <c r="S17" s="771">
        <f>INPUTS[[#This Row],[Distancia L3
'[Regional']]]/(INPUTS[[#This Row],[TIEMPO LOCALIDA AL CA (MINUTOS)]]/60)</f>
        <v>37.971655726687075</v>
      </c>
      <c r="T17" s="772" t="s">
        <v>882</v>
      </c>
      <c r="U17" s="771">
        <v>23854.93</v>
      </c>
      <c r="V17" s="771">
        <v>17321990</v>
      </c>
      <c r="W17" s="771">
        <v>0</v>
      </c>
      <c r="X17" s="787"/>
      <c r="Y17" s="787"/>
      <c r="Z17" s="787" t="e">
        <f>INPUTS[[#This Row],[Distancia a la ET 
'[km']]]/(INPUTS[[#This Row],[Tiempo a la ET
'[min']]]/60)</f>
        <v>#DIV/0!</v>
      </c>
      <c r="AA17" s="787"/>
      <c r="AB17" s="787"/>
      <c r="AC17" s="787" t="e">
        <f>INPUTS[[#This Row],[Distancia de ET al CA 
'[km']]]/(INPUTS[[#This Row],[Tiempo de ET a CA
'[min']]]/60)</f>
        <v>#DIV/0!</v>
      </c>
    </row>
    <row r="18" spans="1:29" s="773" customFormat="1" ht="15" hidden="1" customHeight="1" x14ac:dyDescent="0.25">
      <c r="A18" s="770">
        <v>16</v>
      </c>
      <c r="B18" s="770" t="s">
        <v>899</v>
      </c>
      <c r="C18" s="770" t="s">
        <v>899</v>
      </c>
      <c r="D18" s="771">
        <v>738778</v>
      </c>
      <c r="E18" s="771">
        <v>738778</v>
      </c>
      <c r="F18" s="771">
        <v>1.41</v>
      </c>
      <c r="G18" s="771">
        <v>1041.68</v>
      </c>
      <c r="H18" s="771">
        <v>2083.36</v>
      </c>
      <c r="I18" s="770" t="s">
        <v>731</v>
      </c>
      <c r="J18" s="771">
        <v>0</v>
      </c>
      <c r="K18" s="771">
        <v>0</v>
      </c>
      <c r="L18" s="771">
        <v>0</v>
      </c>
      <c r="M18" s="770">
        <v>5</v>
      </c>
      <c r="N18" s="771">
        <v>25.7</v>
      </c>
      <c r="O18" s="771">
        <v>3.4908775313404048</v>
      </c>
      <c r="P18" s="771">
        <v>25</v>
      </c>
      <c r="Q18" s="771">
        <v>26.1</v>
      </c>
      <c r="R18" s="771">
        <f>INPUTS[[#This Row],[DISTANCIA LOCALIDA AL CA (KM)]]-((INPUTS[[#This Row],[ÁREA URBANA
'[km2']]]*4/PI())^0.5)/2</f>
        <v>23.239831460398982</v>
      </c>
      <c r="S18" s="771">
        <f>INPUTS[[#This Row],[Distancia L3
'[Regional']]]/(INPUTS[[#This Row],[TIEMPO LOCALIDA AL CA (MINUTOS)]]/60)</f>
        <v>55.77559550495755</v>
      </c>
      <c r="T18" s="772" t="s">
        <v>882</v>
      </c>
      <c r="U18" s="771">
        <v>23854.93</v>
      </c>
      <c r="V18" s="771">
        <v>17321990</v>
      </c>
      <c r="W18" s="771">
        <v>0</v>
      </c>
      <c r="X18" s="787"/>
      <c r="Y18" s="787"/>
      <c r="Z18" s="787" t="e">
        <f>INPUTS[[#This Row],[Distancia a la ET 
'[km']]]/(INPUTS[[#This Row],[Tiempo a la ET
'[min']]]/60)</f>
        <v>#DIV/0!</v>
      </c>
      <c r="AA18" s="787"/>
      <c r="AB18" s="787"/>
      <c r="AC18" s="787" t="e">
        <f>INPUTS[[#This Row],[Distancia de ET al CA 
'[km']]]/(INPUTS[[#This Row],[Tiempo de ET a CA
'[min']]]/60)</f>
        <v>#DIV/0!</v>
      </c>
    </row>
    <row r="19" spans="1:29" s="773" customFormat="1" ht="15" hidden="1" customHeight="1" x14ac:dyDescent="0.25">
      <c r="A19" s="770">
        <v>17</v>
      </c>
      <c r="B19" s="770" t="s">
        <v>900</v>
      </c>
      <c r="C19" s="770" t="s">
        <v>900</v>
      </c>
      <c r="D19" s="771">
        <v>381935</v>
      </c>
      <c r="E19" s="771">
        <v>381935</v>
      </c>
      <c r="F19" s="771">
        <v>1.41</v>
      </c>
      <c r="G19" s="771">
        <v>538.53</v>
      </c>
      <c r="H19" s="771">
        <v>1077.06</v>
      </c>
      <c r="I19" s="770" t="s">
        <v>731</v>
      </c>
      <c r="J19" s="771">
        <v>0</v>
      </c>
      <c r="K19" s="771">
        <v>0</v>
      </c>
      <c r="L19" s="771">
        <v>0</v>
      </c>
      <c r="M19" s="770">
        <v>6</v>
      </c>
      <c r="N19" s="771">
        <v>47.97</v>
      </c>
      <c r="O19" s="771">
        <v>2.7352635524208662</v>
      </c>
      <c r="P19" s="771">
        <v>37</v>
      </c>
      <c r="Q19" s="771">
        <v>31.7</v>
      </c>
      <c r="R19" s="771">
        <f>INPUTS[[#This Row],[DISTANCIA LOCALIDA AL CA (KM)]]-((INPUTS[[#This Row],[ÁREA URBANA
'[km2']]]*4/PI())^0.5)/2</f>
        <v>27.792401601976422</v>
      </c>
      <c r="S19" s="771">
        <f>INPUTS[[#This Row],[Distancia L3
'[Regional']]]/(INPUTS[[#This Row],[TIEMPO LOCALIDA AL CA (MINUTOS)]]/60)</f>
        <v>45.068759354556356</v>
      </c>
      <c r="T19" s="772" t="s">
        <v>882</v>
      </c>
      <c r="U19" s="771">
        <v>23854.93</v>
      </c>
      <c r="V19" s="771">
        <v>17321990</v>
      </c>
      <c r="W19" s="771">
        <v>0</v>
      </c>
      <c r="X19" s="787"/>
      <c r="Y19" s="787"/>
      <c r="Z19" s="787" t="e">
        <f>INPUTS[[#This Row],[Distancia a la ET 
'[km']]]/(INPUTS[[#This Row],[Tiempo a la ET
'[min']]]/60)</f>
        <v>#DIV/0!</v>
      </c>
      <c r="AA19" s="787"/>
      <c r="AB19" s="787"/>
      <c r="AC19" s="787" t="e">
        <f>INPUTS[[#This Row],[Distancia de ET al CA 
'[km']]]/(INPUTS[[#This Row],[Tiempo de ET a CA
'[min']]]/60)</f>
        <v>#DIV/0!</v>
      </c>
    </row>
    <row r="20" spans="1:29" s="773" customFormat="1" ht="15" hidden="1" customHeight="1" x14ac:dyDescent="0.25">
      <c r="A20" s="770">
        <v>18</v>
      </c>
      <c r="B20" s="770" t="s">
        <v>901</v>
      </c>
      <c r="C20" s="770" t="s">
        <v>901</v>
      </c>
      <c r="D20" s="771">
        <v>698387</v>
      </c>
      <c r="E20" s="771">
        <v>698387</v>
      </c>
      <c r="F20" s="771">
        <v>1.41</v>
      </c>
      <c r="G20" s="771">
        <v>984.73</v>
      </c>
      <c r="H20" s="771">
        <v>1969.46</v>
      </c>
      <c r="I20" s="770" t="s">
        <v>731</v>
      </c>
      <c r="J20" s="771">
        <v>0</v>
      </c>
      <c r="K20" s="771">
        <v>0</v>
      </c>
      <c r="L20" s="771">
        <v>0</v>
      </c>
      <c r="M20" s="770">
        <v>6</v>
      </c>
      <c r="N20" s="771">
        <v>72.17</v>
      </c>
      <c r="O20" s="771">
        <v>3.1970110782055499</v>
      </c>
      <c r="P20" s="771">
        <v>61</v>
      </c>
      <c r="Q20" s="771">
        <v>55.1</v>
      </c>
      <c r="R20" s="771">
        <f>INPUTS[[#This Row],[DISTANCIA LOCALIDA AL CA (KM)]]-((INPUTS[[#This Row],[ÁREA URBANA
'[km2']]]*4/PI())^0.5)/2</f>
        <v>50.307044285006988</v>
      </c>
      <c r="S20" s="771">
        <f>INPUTS[[#This Row],[Distancia L3
'[Regional']]]/(INPUTS[[#This Row],[TIEMPO LOCALIDA AL CA (MINUTOS)]]/60)</f>
        <v>49.482338640990484</v>
      </c>
      <c r="T20" s="772" t="s">
        <v>882</v>
      </c>
      <c r="U20" s="771">
        <v>23854.93</v>
      </c>
      <c r="V20" s="771">
        <v>17321990</v>
      </c>
      <c r="W20" s="771">
        <v>0</v>
      </c>
      <c r="X20" s="787"/>
      <c r="Y20" s="787"/>
      <c r="Z20" s="787" t="e">
        <f>INPUTS[[#This Row],[Distancia a la ET 
'[km']]]/(INPUTS[[#This Row],[Tiempo a la ET
'[min']]]/60)</f>
        <v>#DIV/0!</v>
      </c>
      <c r="AA20" s="787"/>
      <c r="AB20" s="787"/>
      <c r="AC20" s="787" t="e">
        <f>INPUTS[[#This Row],[Distancia de ET al CA 
'[km']]]/(INPUTS[[#This Row],[Tiempo de ET a CA
'[min']]]/60)</f>
        <v>#DIV/0!</v>
      </c>
    </row>
    <row r="21" spans="1:29" s="773" customFormat="1" ht="15" hidden="1" customHeight="1" x14ac:dyDescent="0.25">
      <c r="A21" s="770">
        <v>19</v>
      </c>
      <c r="B21" s="770" t="s">
        <v>902</v>
      </c>
      <c r="C21" s="770" t="s">
        <v>902</v>
      </c>
      <c r="D21" s="771">
        <v>184339</v>
      </c>
      <c r="E21" s="771">
        <v>184339</v>
      </c>
      <c r="F21" s="771">
        <v>1.02</v>
      </c>
      <c r="G21" s="771">
        <v>188.03</v>
      </c>
      <c r="H21" s="771">
        <v>376.06</v>
      </c>
      <c r="I21" s="770" t="s">
        <v>731</v>
      </c>
      <c r="J21" s="771">
        <v>0</v>
      </c>
      <c r="K21" s="771">
        <v>0</v>
      </c>
      <c r="L21" s="771">
        <v>0</v>
      </c>
      <c r="M21" s="770">
        <v>5</v>
      </c>
      <c r="N21" s="771">
        <v>17.03</v>
      </c>
      <c r="O21" s="771">
        <v>3.2254844746745013</v>
      </c>
      <c r="P21" s="771">
        <v>25</v>
      </c>
      <c r="Q21" s="771">
        <v>14.9</v>
      </c>
      <c r="R21" s="771">
        <f>INPUTS[[#This Row],[DISTANCIA LOCALIDA AL CA (KM)]]-((INPUTS[[#This Row],[ÁREA URBANA
'[km2']]]*4/PI())^0.5)/2</f>
        <v>12.571735117794809</v>
      </c>
      <c r="S21" s="771">
        <f>INPUTS[[#This Row],[Distancia L3
'[Regional']]]/(INPUTS[[#This Row],[TIEMPO LOCALIDA AL CA (MINUTOS)]]/60)</f>
        <v>30.172164282707541</v>
      </c>
      <c r="T21" s="772" t="s">
        <v>882</v>
      </c>
      <c r="U21" s="771">
        <v>23854.93</v>
      </c>
      <c r="V21" s="771">
        <v>17321990</v>
      </c>
      <c r="W21" s="771">
        <v>0</v>
      </c>
      <c r="X21" s="787"/>
      <c r="Y21" s="787"/>
      <c r="Z21" s="787" t="e">
        <f>INPUTS[[#This Row],[Distancia a la ET 
'[km']]]/(INPUTS[[#This Row],[Tiempo a la ET
'[min']]]/60)</f>
        <v>#DIV/0!</v>
      </c>
      <c r="AA21" s="787"/>
      <c r="AB21" s="787"/>
      <c r="AC21" s="787" t="e">
        <f>INPUTS[[#This Row],[Distancia de ET al CA 
'[km']]]/(INPUTS[[#This Row],[Tiempo de ET a CA
'[min']]]/60)</f>
        <v>#DIV/0!</v>
      </c>
    </row>
    <row r="22" spans="1:29" s="773" customFormat="1" ht="15" hidden="1" customHeight="1" x14ac:dyDescent="0.25">
      <c r="A22" s="770">
        <v>20</v>
      </c>
      <c r="B22" s="770" t="s">
        <v>903</v>
      </c>
      <c r="C22" s="770" t="s">
        <v>903</v>
      </c>
      <c r="D22" s="771">
        <v>299998</v>
      </c>
      <c r="E22" s="771">
        <v>299998</v>
      </c>
      <c r="F22" s="771">
        <v>1.02</v>
      </c>
      <c r="G22" s="771">
        <v>306</v>
      </c>
      <c r="H22" s="771">
        <v>612</v>
      </c>
      <c r="I22" s="770" t="s">
        <v>731</v>
      </c>
      <c r="J22" s="771">
        <v>0</v>
      </c>
      <c r="K22" s="771">
        <v>0</v>
      </c>
      <c r="L22" s="771">
        <v>0</v>
      </c>
      <c r="M22" s="770">
        <v>6</v>
      </c>
      <c r="N22" s="771">
        <v>12.3</v>
      </c>
      <c r="O22" s="771">
        <v>2.7190337374900198</v>
      </c>
      <c r="P22" s="771">
        <v>23</v>
      </c>
      <c r="Q22" s="771">
        <v>16</v>
      </c>
      <c r="R22" s="771">
        <f>INPUTS[[#This Row],[DISTANCIA LOCALIDA AL CA (KM)]]-((INPUTS[[#This Row],[ÁREA URBANA
'[km2']]]*4/PI())^0.5)/2</f>
        <v>14.021310635784225</v>
      </c>
      <c r="S22" s="771">
        <f>INPUTS[[#This Row],[Distancia L3
'[Regional']]]/(INPUTS[[#This Row],[TIEMPO LOCALIDA AL CA (MINUTOS)]]/60)</f>
        <v>36.577332093350151</v>
      </c>
      <c r="T22" s="772" t="s">
        <v>882</v>
      </c>
      <c r="U22" s="771">
        <v>23854.93</v>
      </c>
      <c r="V22" s="771">
        <v>17321990</v>
      </c>
      <c r="W22" s="771">
        <v>0</v>
      </c>
      <c r="X22" s="787"/>
      <c r="Y22" s="787"/>
      <c r="Z22" s="787" t="e">
        <f>INPUTS[[#This Row],[Distancia a la ET 
'[km']]]/(INPUTS[[#This Row],[Tiempo a la ET
'[min']]]/60)</f>
        <v>#DIV/0!</v>
      </c>
      <c r="AA22" s="787"/>
      <c r="AB22" s="787"/>
      <c r="AC22" s="787" t="e">
        <f>INPUTS[[#This Row],[Distancia de ET al CA 
'[km']]]/(INPUTS[[#This Row],[Tiempo de ET a CA
'[min']]]/60)</f>
        <v>#DIV/0!</v>
      </c>
    </row>
    <row r="23" spans="1:29" s="773" customFormat="1" ht="15" hidden="1" customHeight="1" x14ac:dyDescent="0.25">
      <c r="A23" s="770">
        <v>21</v>
      </c>
      <c r="B23" s="770" t="s">
        <v>904</v>
      </c>
      <c r="C23" s="770" t="s">
        <v>904</v>
      </c>
      <c r="D23" s="771">
        <v>396006</v>
      </c>
      <c r="E23" s="771">
        <v>396006</v>
      </c>
      <c r="F23" s="771">
        <v>1.41</v>
      </c>
      <c r="G23" s="771">
        <v>558.37</v>
      </c>
      <c r="H23" s="771">
        <v>1116.74</v>
      </c>
      <c r="I23" s="770" t="s">
        <v>731</v>
      </c>
      <c r="J23" s="771">
        <v>0</v>
      </c>
      <c r="K23" s="771">
        <v>0</v>
      </c>
      <c r="L23" s="771">
        <v>0</v>
      </c>
      <c r="M23" s="770">
        <v>6</v>
      </c>
      <c r="N23" s="771">
        <v>38.07</v>
      </c>
      <c r="O23" s="771">
        <v>3.3296362825350516</v>
      </c>
      <c r="P23" s="771">
        <v>27</v>
      </c>
      <c r="Q23" s="771">
        <v>17.2</v>
      </c>
      <c r="R23" s="771">
        <f>INPUTS[[#This Row],[DISTANCIA LOCALIDA AL CA (KM)]]-((INPUTS[[#This Row],[ÁREA URBANA
'[km2']]]*4/PI())^0.5)/2</f>
        <v>13.718899977447228</v>
      </c>
      <c r="S23" s="771">
        <f>INPUTS[[#This Row],[Distancia L3
'[Regional']]]/(INPUTS[[#This Row],[TIEMPO LOCALIDA AL CA (MINUTOS)]]/60)</f>
        <v>30.486444394327172</v>
      </c>
      <c r="T23" s="772" t="s">
        <v>882</v>
      </c>
      <c r="U23" s="771">
        <v>23854.93</v>
      </c>
      <c r="V23" s="771">
        <v>17321990</v>
      </c>
      <c r="W23" s="771">
        <v>0</v>
      </c>
      <c r="X23" s="787"/>
      <c r="Y23" s="787"/>
      <c r="Z23" s="787" t="e">
        <f>INPUTS[[#This Row],[Distancia a la ET 
'[km']]]/(INPUTS[[#This Row],[Tiempo a la ET
'[min']]]/60)</f>
        <v>#DIV/0!</v>
      </c>
      <c r="AA23" s="787"/>
      <c r="AB23" s="787"/>
      <c r="AC23" s="787" t="e">
        <f>INPUTS[[#This Row],[Distancia de ET al CA 
'[km']]]/(INPUTS[[#This Row],[Tiempo de ET a CA
'[min']]]/60)</f>
        <v>#DIV/0!</v>
      </c>
    </row>
    <row r="24" spans="1:29" s="773" customFormat="1" ht="15" hidden="1" customHeight="1" x14ac:dyDescent="0.25">
      <c r="A24" s="770">
        <v>22</v>
      </c>
      <c r="B24" s="770" t="s">
        <v>905</v>
      </c>
      <c r="C24" s="770" t="s">
        <v>905</v>
      </c>
      <c r="D24" s="771">
        <v>515985</v>
      </c>
      <c r="E24" s="771">
        <v>515985</v>
      </c>
      <c r="F24" s="771">
        <v>1.41</v>
      </c>
      <c r="G24" s="771">
        <v>727.54</v>
      </c>
      <c r="H24" s="771">
        <v>1455.08</v>
      </c>
      <c r="I24" s="770" t="s">
        <v>731</v>
      </c>
      <c r="J24" s="771">
        <v>0</v>
      </c>
      <c r="K24" s="771">
        <v>0</v>
      </c>
      <c r="L24" s="771">
        <v>0</v>
      </c>
      <c r="M24" s="770">
        <v>5</v>
      </c>
      <c r="N24" s="771">
        <v>11.34</v>
      </c>
      <c r="O24" s="771">
        <v>3.3111614993884966</v>
      </c>
      <c r="P24" s="771">
        <v>24</v>
      </c>
      <c r="Q24" s="771">
        <v>20.3</v>
      </c>
      <c r="R24" s="771">
        <f>INPUTS[[#This Row],[DISTANCIA LOCALIDA AL CA (KM)]]-((INPUTS[[#This Row],[ÁREA URBANA
'[km2']]]*4/PI())^0.5)/2</f>
        <v>18.400096289459864</v>
      </c>
      <c r="S24" s="771">
        <f>INPUTS[[#This Row],[Distancia L3
'[Regional']]]/(INPUTS[[#This Row],[TIEMPO LOCALIDA AL CA (MINUTOS)]]/60)</f>
        <v>46.000240723649654</v>
      </c>
      <c r="T24" s="772" t="s">
        <v>882</v>
      </c>
      <c r="U24" s="771">
        <v>23854.93</v>
      </c>
      <c r="V24" s="771">
        <v>17321990</v>
      </c>
      <c r="W24" s="771">
        <v>0</v>
      </c>
      <c r="X24" s="787"/>
      <c r="Y24" s="787"/>
      <c r="Z24" s="787" t="e">
        <f>INPUTS[[#This Row],[Distancia a la ET 
'[km']]]/(INPUTS[[#This Row],[Tiempo a la ET
'[min']]]/60)</f>
        <v>#DIV/0!</v>
      </c>
      <c r="AA24" s="787"/>
      <c r="AB24" s="787"/>
      <c r="AC24" s="787" t="e">
        <f>INPUTS[[#This Row],[Distancia de ET al CA 
'[km']]]/(INPUTS[[#This Row],[Tiempo de ET a CA
'[min']]]/60)</f>
        <v>#DIV/0!</v>
      </c>
    </row>
    <row r="25" spans="1:29" s="773" customFormat="1" ht="15" hidden="1" customHeight="1" x14ac:dyDescent="0.25">
      <c r="A25" s="770">
        <v>23</v>
      </c>
      <c r="B25" s="770" t="s">
        <v>906</v>
      </c>
      <c r="C25" s="770" t="s">
        <v>906</v>
      </c>
      <c r="D25" s="771">
        <v>358761</v>
      </c>
      <c r="E25" s="771">
        <v>358761</v>
      </c>
      <c r="F25" s="771">
        <v>1.41</v>
      </c>
      <c r="G25" s="771">
        <v>505.85</v>
      </c>
      <c r="H25" s="771">
        <v>1011.7</v>
      </c>
      <c r="I25" s="770" t="s">
        <v>731</v>
      </c>
      <c r="J25" s="771">
        <v>0</v>
      </c>
      <c r="K25" s="771">
        <v>0</v>
      </c>
      <c r="L25" s="771">
        <v>0</v>
      </c>
      <c r="M25" s="770">
        <v>6</v>
      </c>
      <c r="N25" s="771">
        <v>36.450000000000003</v>
      </c>
      <c r="O25" s="771">
        <v>2.8337360842610493</v>
      </c>
      <c r="P25" s="771">
        <v>31</v>
      </c>
      <c r="Q25" s="771">
        <v>29.7</v>
      </c>
      <c r="R25" s="771">
        <f>INPUTS[[#This Row],[DISTANCIA LOCALIDA AL CA (KM)]]-((INPUTS[[#This Row],[ÁREA URBANA
'[km2']]]*4/PI())^0.5)/2</f>
        <v>26.293771095272781</v>
      </c>
      <c r="S25" s="771">
        <f>INPUTS[[#This Row],[Distancia L3
'[Regional']]]/(INPUTS[[#This Row],[TIEMPO LOCALIDA AL CA (MINUTOS)]]/60)</f>
        <v>50.891169861818284</v>
      </c>
      <c r="T25" s="772" t="s">
        <v>882</v>
      </c>
      <c r="U25" s="771">
        <v>23854.93</v>
      </c>
      <c r="V25" s="771">
        <v>17321990</v>
      </c>
      <c r="W25" s="771">
        <v>0</v>
      </c>
      <c r="X25" s="787"/>
      <c r="Y25" s="787"/>
      <c r="Z25" s="787" t="e">
        <f>INPUTS[[#This Row],[Distancia a la ET 
'[km']]]/(INPUTS[[#This Row],[Tiempo a la ET
'[min']]]/60)</f>
        <v>#DIV/0!</v>
      </c>
      <c r="AA25" s="787"/>
      <c r="AB25" s="787"/>
      <c r="AC25" s="787" t="e">
        <f>INPUTS[[#This Row],[Distancia de ET al CA 
'[km']]]/(INPUTS[[#This Row],[Tiempo de ET a CA
'[min']]]/60)</f>
        <v>#DIV/0!</v>
      </c>
    </row>
    <row r="26" spans="1:29" s="773" customFormat="1" ht="15" hidden="1" customHeight="1" x14ac:dyDescent="0.25">
      <c r="A26" s="770">
        <v>24</v>
      </c>
      <c r="B26" s="770" t="s">
        <v>907</v>
      </c>
      <c r="C26" s="770" t="s">
        <v>907</v>
      </c>
      <c r="D26" s="771">
        <v>245243</v>
      </c>
      <c r="E26" s="771">
        <v>245243</v>
      </c>
      <c r="F26" s="771">
        <v>1.02</v>
      </c>
      <c r="G26" s="771">
        <v>250.15</v>
      </c>
      <c r="H26" s="771">
        <v>500.3</v>
      </c>
      <c r="I26" s="770" t="s">
        <v>731</v>
      </c>
      <c r="J26" s="771">
        <v>0</v>
      </c>
      <c r="K26" s="771">
        <v>0</v>
      </c>
      <c r="L26" s="771">
        <v>0</v>
      </c>
      <c r="M26" s="770">
        <v>6</v>
      </c>
      <c r="N26" s="771">
        <v>3.28</v>
      </c>
      <c r="O26" s="771">
        <v>2.3464757574965818</v>
      </c>
      <c r="P26" s="771">
        <v>24</v>
      </c>
      <c r="Q26" s="771">
        <v>23.8</v>
      </c>
      <c r="R26" s="771">
        <f>INPUTS[[#This Row],[DISTANCIA LOCALIDA AL CA (KM)]]-((INPUTS[[#This Row],[ÁREA URBANA
'[km2']]]*4/PI())^0.5)/2</f>
        <v>22.778209206009944</v>
      </c>
      <c r="S26" s="771">
        <f>INPUTS[[#This Row],[Distancia L3
'[Regional']]]/(INPUTS[[#This Row],[TIEMPO LOCALIDA AL CA (MINUTOS)]]/60)</f>
        <v>56.945523015024854</v>
      </c>
      <c r="T26" s="772" t="s">
        <v>882</v>
      </c>
      <c r="U26" s="771">
        <v>23854.93</v>
      </c>
      <c r="V26" s="771">
        <v>17321990</v>
      </c>
      <c r="W26" s="771">
        <v>0</v>
      </c>
      <c r="X26" s="787"/>
      <c r="Y26" s="787"/>
      <c r="Z26" s="787" t="e">
        <f>INPUTS[[#This Row],[Distancia a la ET 
'[km']]]/(INPUTS[[#This Row],[Tiempo a la ET
'[min']]]/60)</f>
        <v>#DIV/0!</v>
      </c>
      <c r="AA26" s="787"/>
      <c r="AB26" s="787"/>
      <c r="AC26" s="787" t="e">
        <f>INPUTS[[#This Row],[Distancia de ET al CA 
'[km']]]/(INPUTS[[#This Row],[Tiempo de ET a CA
'[min']]]/60)</f>
        <v>#DIV/0!</v>
      </c>
    </row>
    <row r="27" spans="1:29" s="773" customFormat="1" ht="15" hidden="1" customHeight="1" x14ac:dyDescent="0.25">
      <c r="A27" s="770">
        <v>35</v>
      </c>
      <c r="B27" s="770" t="s">
        <v>928</v>
      </c>
      <c r="C27" s="770" t="s">
        <v>928</v>
      </c>
      <c r="D27" s="771">
        <v>36713</v>
      </c>
      <c r="E27" s="771">
        <v>36713</v>
      </c>
      <c r="F27" s="771">
        <v>1.06</v>
      </c>
      <c r="G27" s="771">
        <v>38.92</v>
      </c>
      <c r="H27" s="771">
        <v>77.84</v>
      </c>
      <c r="I27" s="770" t="s">
        <v>731</v>
      </c>
      <c r="J27" s="771">
        <v>0</v>
      </c>
      <c r="K27" s="771">
        <v>0</v>
      </c>
      <c r="L27" s="771">
        <v>0</v>
      </c>
      <c r="M27" s="770">
        <v>2</v>
      </c>
      <c r="N27" s="771">
        <v>8.9700000000000006</v>
      </c>
      <c r="O27" s="771">
        <v>2.7695069875776399</v>
      </c>
      <c r="P27" s="771">
        <v>34</v>
      </c>
      <c r="Q27" s="771">
        <v>29.5</v>
      </c>
      <c r="R27" s="771">
        <f>INPUTS[[#This Row],[DISTANCIA LOCALIDA AL CA (KM)]]-((INPUTS[[#This Row],[ÁREA URBANA
'[km2']]]*4/PI())^0.5)/2</f>
        <v>27.810254551990568</v>
      </c>
      <c r="S27" s="771">
        <f>INPUTS[[#This Row],[Distancia L3
'[Regional']]]/(INPUTS[[#This Row],[TIEMPO LOCALIDA AL CA (MINUTOS)]]/60)</f>
        <v>49.076919797630417</v>
      </c>
      <c r="T27" s="772" t="s">
        <v>929</v>
      </c>
      <c r="U27" s="771">
        <v>106.18</v>
      </c>
      <c r="V27" s="771">
        <v>102655</v>
      </c>
      <c r="W27" s="771">
        <v>0</v>
      </c>
      <c r="X27" s="787"/>
      <c r="Y27" s="787"/>
      <c r="Z27" s="787" t="e">
        <f>INPUTS[[#This Row],[Distancia a la ET 
'[km']]]/(INPUTS[[#This Row],[Tiempo a la ET
'[min']]]/60)</f>
        <v>#DIV/0!</v>
      </c>
      <c r="AA27" s="787"/>
      <c r="AB27" s="787"/>
      <c r="AC27" s="787" t="e">
        <f>INPUTS[[#This Row],[Distancia de ET al CA 
'[km']]]/(INPUTS[[#This Row],[Tiempo de ET a CA
'[min']]]/60)</f>
        <v>#DIV/0!</v>
      </c>
    </row>
    <row r="28" spans="1:29" s="773" customFormat="1" ht="15" hidden="1" customHeight="1" x14ac:dyDescent="0.25">
      <c r="A28" s="770">
        <v>37</v>
      </c>
      <c r="B28" s="770" t="s">
        <v>931</v>
      </c>
      <c r="C28" s="770" t="s">
        <v>931</v>
      </c>
      <c r="D28" s="771">
        <v>111855</v>
      </c>
      <c r="E28" s="771">
        <v>111855</v>
      </c>
      <c r="F28" s="771">
        <v>1.02</v>
      </c>
      <c r="G28" s="771">
        <v>114.09</v>
      </c>
      <c r="H28" s="771">
        <v>228.18</v>
      </c>
      <c r="I28" s="770" t="s">
        <v>731</v>
      </c>
      <c r="J28" s="771">
        <v>0</v>
      </c>
      <c r="K28" s="771">
        <v>0</v>
      </c>
      <c r="L28" s="771">
        <v>0</v>
      </c>
      <c r="M28" s="770">
        <v>6</v>
      </c>
      <c r="N28" s="771">
        <v>17.149999999999999</v>
      </c>
      <c r="O28" s="771">
        <v>3.0132627817482134</v>
      </c>
      <c r="P28" s="771">
        <v>27</v>
      </c>
      <c r="Q28" s="771">
        <v>14.3</v>
      </c>
      <c r="R28" s="771">
        <f>INPUTS[[#This Row],[DISTANCIA LOCALIDA AL CA (KM)]]-((INPUTS[[#This Row],[ÁREA URBANA
'[km2']]]*4/PI())^0.5)/2</f>
        <v>11.96354658765641</v>
      </c>
      <c r="S28" s="771">
        <f>INPUTS[[#This Row],[Distancia L3
'[Regional']]]/(INPUTS[[#This Row],[TIEMPO LOCALIDA AL CA (MINUTOS)]]/60)</f>
        <v>26.585659083680909</v>
      </c>
      <c r="T28" s="772" t="s">
        <v>932</v>
      </c>
      <c r="U28" s="771">
        <v>1400.83</v>
      </c>
      <c r="V28" s="771">
        <v>1047681</v>
      </c>
      <c r="W28" s="771">
        <v>0</v>
      </c>
      <c r="X28" s="787"/>
      <c r="Y28" s="787"/>
      <c r="Z28" s="787" t="e">
        <f>INPUTS[[#This Row],[Distancia a la ET 
'[km']]]/(INPUTS[[#This Row],[Tiempo a la ET
'[min']]]/60)</f>
        <v>#DIV/0!</v>
      </c>
      <c r="AA28" s="787"/>
      <c r="AB28" s="787"/>
      <c r="AC28" s="787" t="e">
        <f>INPUTS[[#This Row],[Distancia de ET al CA 
'[km']]]/(INPUTS[[#This Row],[Tiempo de ET a CA
'[min']]]/60)</f>
        <v>#DIV/0!</v>
      </c>
    </row>
    <row r="29" spans="1:29" s="773" customFormat="1" ht="15" hidden="1" customHeight="1" x14ac:dyDescent="0.25">
      <c r="A29" s="770">
        <v>40</v>
      </c>
      <c r="B29" s="770" t="s">
        <v>937</v>
      </c>
      <c r="C29" s="770" t="s">
        <v>938</v>
      </c>
      <c r="D29" s="771">
        <v>32073</v>
      </c>
      <c r="E29" s="771">
        <v>32073</v>
      </c>
      <c r="F29" s="771">
        <v>1.06</v>
      </c>
      <c r="G29" s="771">
        <v>34</v>
      </c>
      <c r="H29" s="771">
        <v>68</v>
      </c>
      <c r="I29" s="770" t="s">
        <v>731</v>
      </c>
      <c r="J29" s="771">
        <v>0</v>
      </c>
      <c r="K29" s="771">
        <v>4.33</v>
      </c>
      <c r="L29" s="771">
        <v>6</v>
      </c>
      <c r="M29" s="770">
        <v>6</v>
      </c>
      <c r="N29" s="771">
        <v>5.5</v>
      </c>
      <c r="O29" s="771">
        <v>2.8387603541845188</v>
      </c>
      <c r="P29" s="771">
        <v>36</v>
      </c>
      <c r="Q29" s="771">
        <v>44.2</v>
      </c>
      <c r="R29" s="771">
        <f>INPUTS[[#This Row],[DISTANCIA LOCALIDA AL CA (KM)]]-((INPUTS[[#This Row],[ÁREA URBANA
'[km2']]]*4/PI())^0.5)/2</f>
        <v>42.876858142899692</v>
      </c>
      <c r="S29" s="771">
        <f>INPUTS[[#This Row],[Distancia L3
'[Regional']]]/(INPUTS[[#This Row],[TIEMPO LOCALIDA AL CA (MINUTOS)]]/60)</f>
        <v>71.461430238166159</v>
      </c>
      <c r="T29" s="772" t="s">
        <v>939</v>
      </c>
      <c r="U29" s="771">
        <v>141.04000000000002</v>
      </c>
      <c r="V29" s="771">
        <v>134672</v>
      </c>
      <c r="W29" s="771">
        <v>0</v>
      </c>
      <c r="X29" s="787"/>
      <c r="Y29" s="787"/>
      <c r="Z29" s="787" t="e">
        <f>INPUTS[[#This Row],[Distancia a la ET 
'[km']]]/(INPUTS[[#This Row],[Tiempo a la ET
'[min']]]/60)</f>
        <v>#DIV/0!</v>
      </c>
      <c r="AA29" s="787"/>
      <c r="AB29" s="787"/>
      <c r="AC29" s="787" t="e">
        <f>INPUTS[[#This Row],[Distancia de ET al CA 
'[km']]]/(INPUTS[[#This Row],[Tiempo de ET a CA
'[min']]]/60)</f>
        <v>#DIV/0!</v>
      </c>
    </row>
    <row r="30" spans="1:29" s="773" customFormat="1" ht="15" hidden="1" customHeight="1" x14ac:dyDescent="0.25">
      <c r="A30" s="770">
        <v>41</v>
      </c>
      <c r="B30" s="770" t="s">
        <v>940</v>
      </c>
      <c r="C30" s="770" t="s">
        <v>940</v>
      </c>
      <c r="D30" s="771">
        <v>111967</v>
      </c>
      <c r="E30" s="771">
        <v>111967</v>
      </c>
      <c r="F30" s="771">
        <v>1.02</v>
      </c>
      <c r="G30" s="771">
        <v>114.21</v>
      </c>
      <c r="H30" s="771">
        <v>228.42</v>
      </c>
      <c r="I30" s="770" t="s">
        <v>731</v>
      </c>
      <c r="J30" s="771">
        <v>4.76</v>
      </c>
      <c r="K30" s="771">
        <v>0</v>
      </c>
      <c r="L30" s="771">
        <v>7.12</v>
      </c>
      <c r="M30" s="770">
        <v>6</v>
      </c>
      <c r="N30" s="771">
        <v>19.66</v>
      </c>
      <c r="O30" s="771">
        <v>3.0787225746996065</v>
      </c>
      <c r="P30" s="771">
        <v>14</v>
      </c>
      <c r="Q30" s="771">
        <v>11.6</v>
      </c>
      <c r="R30" s="771">
        <f>INPUTS[[#This Row],[DISTANCIA LOCALIDA AL CA (KM)]]-((INPUTS[[#This Row],[ÁREA URBANA
'[km2']]]*4/PI())^0.5)/2</f>
        <v>9.0984060356697913</v>
      </c>
      <c r="S30" s="771">
        <f>INPUTS[[#This Row],[Distancia L3
'[Regional']]]/(INPUTS[[#This Row],[TIEMPO LOCALIDA AL CA (MINUTOS)]]/60)</f>
        <v>38.993168724299103</v>
      </c>
      <c r="T30" s="772" t="s">
        <v>941</v>
      </c>
      <c r="U30" s="771">
        <v>248.99</v>
      </c>
      <c r="V30" s="771">
        <v>244102</v>
      </c>
      <c r="W30" s="771">
        <v>0</v>
      </c>
      <c r="X30" s="787"/>
      <c r="Y30" s="787"/>
      <c r="Z30" s="787" t="e">
        <f>INPUTS[[#This Row],[Distancia a la ET 
'[km']]]/(INPUTS[[#This Row],[Tiempo a la ET
'[min']]]/60)</f>
        <v>#DIV/0!</v>
      </c>
      <c r="AA30" s="787"/>
      <c r="AB30" s="787"/>
      <c r="AC30" s="787" t="e">
        <f>INPUTS[[#This Row],[Distancia de ET al CA 
'[km']]]/(INPUTS[[#This Row],[Tiempo de ET a CA
'[min']]]/60)</f>
        <v>#DIV/0!</v>
      </c>
    </row>
    <row r="31" spans="1:29" s="773" customFormat="1" ht="15" hidden="1" customHeight="1" x14ac:dyDescent="0.25">
      <c r="A31" s="770">
        <v>42</v>
      </c>
      <c r="B31" s="770" t="s">
        <v>942</v>
      </c>
      <c r="C31" s="770" t="s">
        <v>942</v>
      </c>
      <c r="D31" s="771">
        <v>58984</v>
      </c>
      <c r="E31" s="771">
        <v>58984</v>
      </c>
      <c r="F31" s="771">
        <v>1.02</v>
      </c>
      <c r="G31" s="771">
        <v>60.16</v>
      </c>
      <c r="H31" s="771">
        <v>120.32</v>
      </c>
      <c r="I31" s="770" t="s">
        <v>731</v>
      </c>
      <c r="J31" s="771">
        <v>0</v>
      </c>
      <c r="K31" s="771">
        <v>0</v>
      </c>
      <c r="L31" s="771">
        <v>0</v>
      </c>
      <c r="M31" s="770">
        <v>6</v>
      </c>
      <c r="N31" s="771">
        <v>8.0500000000000007</v>
      </c>
      <c r="O31" s="771">
        <v>2.992313067784766</v>
      </c>
      <c r="P31" s="771">
        <v>37</v>
      </c>
      <c r="Q31" s="771">
        <v>32.9</v>
      </c>
      <c r="R31" s="771">
        <f>INPUTS[[#This Row],[DISTANCIA LOCALIDA AL CA (KM)]]-((INPUTS[[#This Row],[ÁREA URBANA
'[km2']]]*4/PI())^0.5)/2</f>
        <v>31.29925186747586</v>
      </c>
      <c r="S31" s="771">
        <f>INPUTS[[#This Row],[Distancia L3
'[Regional']]]/(INPUTS[[#This Row],[TIEMPO LOCALIDA AL CA (MINUTOS)]]/60)</f>
        <v>50.755543568879773</v>
      </c>
      <c r="T31" s="772" t="s">
        <v>887</v>
      </c>
      <c r="U31" s="771">
        <v>581.95000000000005</v>
      </c>
      <c r="V31" s="771">
        <v>570536</v>
      </c>
      <c r="W31" s="771">
        <v>0</v>
      </c>
      <c r="X31" s="787"/>
      <c r="Y31" s="787"/>
      <c r="Z31" s="787" t="e">
        <f>INPUTS[[#This Row],[Distancia a la ET 
'[km']]]/(INPUTS[[#This Row],[Tiempo a la ET
'[min']]]/60)</f>
        <v>#DIV/0!</v>
      </c>
      <c r="AA31" s="787"/>
      <c r="AB31" s="787"/>
      <c r="AC31" s="787" t="e">
        <f>INPUTS[[#This Row],[Distancia de ET al CA 
'[km']]]/(INPUTS[[#This Row],[Tiempo de ET a CA
'[min']]]/60)</f>
        <v>#DIV/0!</v>
      </c>
    </row>
    <row r="32" spans="1:29" s="773" customFormat="1" ht="15" hidden="1" customHeight="1" x14ac:dyDescent="0.25">
      <c r="A32" s="770">
        <v>51</v>
      </c>
      <c r="B32" s="770" t="s">
        <v>955</v>
      </c>
      <c r="C32" s="770" t="s">
        <v>955</v>
      </c>
      <c r="D32" s="771">
        <v>29078</v>
      </c>
      <c r="E32" s="771">
        <v>29078</v>
      </c>
      <c r="F32" s="771">
        <v>1.06</v>
      </c>
      <c r="G32" s="771">
        <v>30.82</v>
      </c>
      <c r="H32" s="771">
        <v>61.64</v>
      </c>
      <c r="I32" s="770" t="s">
        <v>731</v>
      </c>
      <c r="J32" s="771">
        <v>2.4</v>
      </c>
      <c r="K32" s="771">
        <v>0</v>
      </c>
      <c r="L32" s="771">
        <v>4.7699999999999996</v>
      </c>
      <c r="M32" s="770">
        <v>6</v>
      </c>
      <c r="N32" s="771">
        <v>6.17</v>
      </c>
      <c r="O32" s="771">
        <v>2.7609756097560973</v>
      </c>
      <c r="P32" s="771">
        <v>41</v>
      </c>
      <c r="Q32" s="771">
        <v>57.4</v>
      </c>
      <c r="R32" s="771">
        <f>INPUTS[[#This Row],[DISTANCIA LOCALIDA AL CA (KM)]]-((INPUTS[[#This Row],[ÁREA URBANA
'[km2']]]*4/PI())^0.5)/2</f>
        <v>55.998582147340059</v>
      </c>
      <c r="S32" s="771">
        <f>INPUTS[[#This Row],[Distancia L3
'[Regional']]]/(INPUTS[[#This Row],[TIEMPO LOCALIDA AL CA (MINUTOS)]]/60)</f>
        <v>81.949144605863495</v>
      </c>
      <c r="T32" s="772" t="s">
        <v>919</v>
      </c>
      <c r="U32" s="771">
        <v>241.44999999999996</v>
      </c>
      <c r="V32" s="771">
        <v>231848</v>
      </c>
      <c r="W32" s="771">
        <v>0</v>
      </c>
      <c r="X32" s="787"/>
      <c r="Y32" s="787"/>
      <c r="Z32" s="787" t="e">
        <f>INPUTS[[#This Row],[Distancia a la ET 
'[km']]]/(INPUTS[[#This Row],[Tiempo a la ET
'[min']]]/60)</f>
        <v>#DIV/0!</v>
      </c>
      <c r="AA32" s="787"/>
      <c r="AB32" s="787"/>
      <c r="AC32" s="787" t="e">
        <f>INPUTS[[#This Row],[Distancia de ET al CA 
'[km']]]/(INPUTS[[#This Row],[Tiempo de ET a CA
'[min']]]/60)</f>
        <v>#DIV/0!</v>
      </c>
    </row>
    <row r="33" spans="1:29" s="773" customFormat="1" ht="15" hidden="1" customHeight="1" x14ac:dyDescent="0.25">
      <c r="A33" s="770">
        <v>58</v>
      </c>
      <c r="B33" s="770" t="s">
        <v>966</v>
      </c>
      <c r="C33" s="770" t="s">
        <v>966</v>
      </c>
      <c r="D33" s="771">
        <v>70078</v>
      </c>
      <c r="E33" s="771">
        <v>70078</v>
      </c>
      <c r="F33" s="771">
        <v>1.02</v>
      </c>
      <c r="G33" s="771">
        <v>71.48</v>
      </c>
      <c r="H33" s="771">
        <v>142.96</v>
      </c>
      <c r="I33" s="770" t="s">
        <v>731</v>
      </c>
      <c r="J33" s="771">
        <v>0</v>
      </c>
      <c r="K33" s="771">
        <v>0</v>
      </c>
      <c r="L33" s="771">
        <v>0</v>
      </c>
      <c r="M33" s="770">
        <v>6</v>
      </c>
      <c r="N33" s="771">
        <v>11.120000000000001</v>
      </c>
      <c r="O33" s="771">
        <v>2.9325334995325645</v>
      </c>
      <c r="P33" s="771">
        <v>16</v>
      </c>
      <c r="Q33" s="771">
        <v>9.3000000000000007</v>
      </c>
      <c r="R33" s="771">
        <f>INPUTS[[#This Row],[DISTANCIA LOCALIDA AL CA (KM)]]-((INPUTS[[#This Row],[ÁREA URBANA
'[km2']]]*4/PI())^0.5)/2</f>
        <v>7.4186159524531545</v>
      </c>
      <c r="S33" s="771">
        <f>INPUTS[[#This Row],[Distancia L3
'[Regional']]]/(INPUTS[[#This Row],[TIEMPO LOCALIDA AL CA (MINUTOS)]]/60)</f>
        <v>27.81980982169933</v>
      </c>
      <c r="T33" s="772" t="s">
        <v>932</v>
      </c>
      <c r="U33" s="771">
        <v>1400.83</v>
      </c>
      <c r="V33" s="771">
        <v>1047681</v>
      </c>
      <c r="W33" s="771">
        <v>0</v>
      </c>
      <c r="X33" s="787"/>
      <c r="Y33" s="787"/>
      <c r="Z33" s="787" t="e">
        <f>INPUTS[[#This Row],[Distancia a la ET 
'[km']]]/(INPUTS[[#This Row],[Tiempo a la ET
'[min']]]/60)</f>
        <v>#DIV/0!</v>
      </c>
      <c r="AA33" s="787"/>
      <c r="AB33" s="787"/>
      <c r="AC33" s="787" t="e">
        <f>INPUTS[[#This Row],[Distancia de ET al CA 
'[km']]]/(INPUTS[[#This Row],[Tiempo de ET a CA
'[min']]]/60)</f>
        <v>#DIV/0!</v>
      </c>
    </row>
    <row r="34" spans="1:29" s="773" customFormat="1" ht="15" hidden="1" customHeight="1" x14ac:dyDescent="0.25">
      <c r="A34" s="770">
        <v>59</v>
      </c>
      <c r="B34" s="770" t="s">
        <v>967</v>
      </c>
      <c r="C34" s="770" t="s">
        <v>967</v>
      </c>
      <c r="D34" s="771">
        <v>332612</v>
      </c>
      <c r="E34" s="771">
        <v>332612</v>
      </c>
      <c r="F34" s="771">
        <v>1.41</v>
      </c>
      <c r="G34" s="771">
        <v>468.98</v>
      </c>
      <c r="H34" s="771">
        <v>937.96</v>
      </c>
      <c r="I34" s="770" t="s">
        <v>731</v>
      </c>
      <c r="J34" s="771">
        <v>0</v>
      </c>
      <c r="K34" s="771">
        <v>0</v>
      </c>
      <c r="L34" s="771">
        <v>0</v>
      </c>
      <c r="M34" s="770">
        <v>5</v>
      </c>
      <c r="N34" s="771">
        <v>25</v>
      </c>
      <c r="O34" s="771">
        <v>3.2805862164919768</v>
      </c>
      <c r="P34" s="771">
        <v>31</v>
      </c>
      <c r="Q34" s="771">
        <v>34.200000000000003</v>
      </c>
      <c r="R34" s="771">
        <f>INPUTS[[#This Row],[DISTANCIA LOCALIDA AL CA (KM)]]-((INPUTS[[#This Row],[ÁREA URBANA
'[km2']]]*4/PI())^0.5)/2</f>
        <v>31.379052082261222</v>
      </c>
      <c r="S34" s="771">
        <f>INPUTS[[#This Row],[Distancia L3
'[Regional']]]/(INPUTS[[#This Row],[TIEMPO LOCALIDA AL CA (MINUTOS)]]/60)</f>
        <v>60.733649191473326</v>
      </c>
      <c r="T34" s="772" t="s">
        <v>882</v>
      </c>
      <c r="U34" s="771">
        <v>23854.93</v>
      </c>
      <c r="V34" s="771">
        <v>17321990</v>
      </c>
      <c r="W34" s="771">
        <v>0</v>
      </c>
      <c r="X34" s="787"/>
      <c r="Y34" s="787"/>
      <c r="Z34" s="787" t="e">
        <f>INPUTS[[#This Row],[Distancia a la ET 
'[km']]]/(INPUTS[[#This Row],[Tiempo a la ET
'[min']]]/60)</f>
        <v>#DIV/0!</v>
      </c>
      <c r="AA34" s="787"/>
      <c r="AB34" s="787"/>
      <c r="AC34" s="787" t="e">
        <f>INPUTS[[#This Row],[Distancia de ET al CA 
'[km']]]/(INPUTS[[#This Row],[Tiempo de ET a CA
'[min']]]/60)</f>
        <v>#DIV/0!</v>
      </c>
    </row>
    <row r="35" spans="1:29" s="773" customFormat="1" ht="15" hidden="1" customHeight="1" x14ac:dyDescent="0.25">
      <c r="A35" s="770">
        <v>67</v>
      </c>
      <c r="B35" s="770" t="s">
        <v>980</v>
      </c>
      <c r="C35" s="770" t="s">
        <v>980</v>
      </c>
      <c r="D35" s="771">
        <v>24966</v>
      </c>
      <c r="E35" s="771">
        <v>24966</v>
      </c>
      <c r="F35" s="771">
        <v>1.06</v>
      </c>
      <c r="G35" s="771">
        <v>26.46</v>
      </c>
      <c r="H35" s="771">
        <v>52.92</v>
      </c>
      <c r="I35" s="770" t="s">
        <v>731</v>
      </c>
      <c r="J35" s="771">
        <v>0</v>
      </c>
      <c r="K35" s="771">
        <v>0</v>
      </c>
      <c r="L35" s="771">
        <v>0</v>
      </c>
      <c r="M35" s="770">
        <v>6</v>
      </c>
      <c r="N35" s="771">
        <v>7.25</v>
      </c>
      <c r="O35" s="771">
        <v>2.7128074385122973</v>
      </c>
      <c r="P35" s="771">
        <v>31</v>
      </c>
      <c r="Q35" s="771">
        <v>39.9</v>
      </c>
      <c r="R35" s="771">
        <f>INPUTS[[#This Row],[DISTANCIA LOCALIDA AL CA (KM)]]-((INPUTS[[#This Row],[ÁREA URBANA
'[km2']]]*4/PI())^0.5)/2</f>
        <v>38.380873055063375</v>
      </c>
      <c r="S35" s="771">
        <f>INPUTS[[#This Row],[Distancia L3
'[Regional']]]/(INPUTS[[#This Row],[TIEMPO LOCALIDA AL CA (MINUTOS)]]/60)</f>
        <v>74.285560751735559</v>
      </c>
      <c r="T35" s="772" t="s">
        <v>981</v>
      </c>
      <c r="U35" s="771">
        <v>488.89000000000004</v>
      </c>
      <c r="V35" s="771">
        <v>476675</v>
      </c>
      <c r="W35" s="771">
        <v>0</v>
      </c>
      <c r="X35" s="787"/>
      <c r="Y35" s="787"/>
      <c r="Z35" s="787" t="e">
        <f>INPUTS[[#This Row],[Distancia a la ET 
'[km']]]/(INPUTS[[#This Row],[Tiempo a la ET
'[min']]]/60)</f>
        <v>#DIV/0!</v>
      </c>
      <c r="AA35" s="787"/>
      <c r="AB35" s="787"/>
      <c r="AC35" s="787" t="e">
        <f>INPUTS[[#This Row],[Distancia de ET al CA 
'[km']]]/(INPUTS[[#This Row],[Tiempo de ET a CA
'[min']]]/60)</f>
        <v>#DIV/0!</v>
      </c>
    </row>
    <row r="36" spans="1:29" s="773" customFormat="1" ht="15" hidden="1" customHeight="1" x14ac:dyDescent="0.25">
      <c r="A36" s="770">
        <v>69</v>
      </c>
      <c r="B36" s="770" t="s">
        <v>983</v>
      </c>
      <c r="C36" s="770" t="s">
        <v>983</v>
      </c>
      <c r="D36" s="771">
        <v>15983</v>
      </c>
      <c r="E36" s="771">
        <v>15983</v>
      </c>
      <c r="F36" s="771">
        <v>1.06</v>
      </c>
      <c r="G36" s="771">
        <v>16.940000000000001</v>
      </c>
      <c r="H36" s="771">
        <v>33.880000000000003</v>
      </c>
      <c r="I36" s="770" t="s">
        <v>731</v>
      </c>
      <c r="J36" s="771">
        <v>1</v>
      </c>
      <c r="K36" s="771">
        <v>15</v>
      </c>
      <c r="L36" s="771">
        <v>16.37</v>
      </c>
      <c r="M36" s="770">
        <v>6</v>
      </c>
      <c r="N36" s="771">
        <v>4.25</v>
      </c>
      <c r="O36" s="771">
        <v>2.8548752834467122</v>
      </c>
      <c r="P36" s="771">
        <v>26</v>
      </c>
      <c r="Q36" s="771">
        <v>27</v>
      </c>
      <c r="R36" s="771">
        <f>INPUTS[[#This Row],[DISTANCIA LOCALIDA AL CA (KM)]]-((INPUTS[[#This Row],[ÁREA URBANA
'[km2']]]*4/PI())^0.5)/2</f>
        <v>25.836893377079679</v>
      </c>
      <c r="S36" s="771">
        <f>INPUTS[[#This Row],[Distancia L3
'[Regional']]]/(INPUTS[[#This Row],[TIEMPO LOCALIDA AL CA (MINUTOS)]]/60)</f>
        <v>59.623600100953105</v>
      </c>
      <c r="T36" s="772" t="s">
        <v>984</v>
      </c>
      <c r="U36" s="771">
        <v>160.9</v>
      </c>
      <c r="V36" s="771">
        <v>155951</v>
      </c>
      <c r="W36" s="771">
        <v>0</v>
      </c>
      <c r="X36" s="787"/>
      <c r="Y36" s="787"/>
      <c r="Z36" s="787" t="e">
        <f>INPUTS[[#This Row],[Distancia a la ET 
'[km']]]/(INPUTS[[#This Row],[Tiempo a la ET
'[min']]]/60)</f>
        <v>#DIV/0!</v>
      </c>
      <c r="AA36" s="787"/>
      <c r="AB36" s="787"/>
      <c r="AC36" s="787" t="e">
        <f>INPUTS[[#This Row],[Distancia de ET al CA 
'[km']]]/(INPUTS[[#This Row],[Tiempo de ET a CA
'[min']]]/60)</f>
        <v>#DIV/0!</v>
      </c>
    </row>
    <row r="37" spans="1:29" s="773" customFormat="1" ht="15" hidden="1" customHeight="1" x14ac:dyDescent="0.25">
      <c r="A37" s="770">
        <v>74</v>
      </c>
      <c r="B37" s="770" t="s">
        <v>992</v>
      </c>
      <c r="C37" s="770" t="s">
        <v>992</v>
      </c>
      <c r="D37" s="771">
        <v>199395</v>
      </c>
      <c r="E37" s="771">
        <v>199395</v>
      </c>
      <c r="F37" s="771">
        <v>1.02</v>
      </c>
      <c r="G37" s="771">
        <v>203.38</v>
      </c>
      <c r="H37" s="771">
        <v>406.76</v>
      </c>
      <c r="I37" s="770" t="s">
        <v>731</v>
      </c>
      <c r="J37" s="771">
        <v>0</v>
      </c>
      <c r="K37" s="771">
        <v>0</v>
      </c>
      <c r="L37" s="771">
        <v>0</v>
      </c>
      <c r="M37" s="770">
        <v>7</v>
      </c>
      <c r="N37" s="771">
        <v>8.35</v>
      </c>
      <c r="O37" s="771">
        <v>2.9515654731015397</v>
      </c>
      <c r="P37" s="771">
        <v>37</v>
      </c>
      <c r="Q37" s="771">
        <v>41.3</v>
      </c>
      <c r="R37" s="771">
        <f>INPUTS[[#This Row],[DISTANCIA LOCALIDA AL CA (KM)]]-((INPUTS[[#This Row],[ÁREA URBANA
'[km2']]]*4/PI())^0.5)/2</f>
        <v>39.669697098808122</v>
      </c>
      <c r="S37" s="771">
        <f>INPUTS[[#This Row],[Distancia L3
'[Regional']]]/(INPUTS[[#This Row],[TIEMPO LOCALIDA AL CA (MINUTOS)]]/60)</f>
        <v>64.329238538607768</v>
      </c>
      <c r="T37" s="772" t="s">
        <v>882</v>
      </c>
      <c r="U37" s="771">
        <v>23854.93</v>
      </c>
      <c r="V37" s="771">
        <v>17321990</v>
      </c>
      <c r="W37" s="771">
        <v>0</v>
      </c>
      <c r="X37" s="787"/>
      <c r="Y37" s="787"/>
      <c r="Z37" s="787" t="e">
        <f>INPUTS[[#This Row],[Distancia a la ET 
'[km']]]/(INPUTS[[#This Row],[Tiempo a la ET
'[min']]]/60)</f>
        <v>#DIV/0!</v>
      </c>
      <c r="AA37" s="787"/>
      <c r="AB37" s="787"/>
      <c r="AC37" s="787" t="e">
        <f>INPUTS[[#This Row],[Distancia de ET al CA 
'[km']]]/(INPUTS[[#This Row],[Tiempo de ET a CA
'[min']]]/60)</f>
        <v>#DIV/0!</v>
      </c>
    </row>
    <row r="38" spans="1:29" s="773" customFormat="1" ht="15" hidden="1" customHeight="1" x14ac:dyDescent="0.25">
      <c r="A38" s="770">
        <v>77</v>
      </c>
      <c r="B38" s="770" t="s">
        <v>996</v>
      </c>
      <c r="C38" s="770" t="s">
        <v>996</v>
      </c>
      <c r="D38" s="771">
        <v>2957</v>
      </c>
      <c r="E38" s="771">
        <v>2957</v>
      </c>
      <c r="F38" s="771">
        <v>0.92</v>
      </c>
      <c r="G38" s="771">
        <v>2.72</v>
      </c>
      <c r="H38" s="771">
        <v>5.44</v>
      </c>
      <c r="I38" s="770" t="s">
        <v>810</v>
      </c>
      <c r="J38" s="771">
        <v>1.9</v>
      </c>
      <c r="K38" s="771">
        <v>1.1599999999999999</v>
      </c>
      <c r="L38" s="771">
        <v>2.5</v>
      </c>
      <c r="M38" s="770">
        <v>5</v>
      </c>
      <c r="N38" s="771">
        <v>1.3</v>
      </c>
      <c r="O38" s="771">
        <v>2.286977491961415</v>
      </c>
      <c r="P38" s="771">
        <v>37</v>
      </c>
      <c r="Q38" s="771">
        <v>50.6</v>
      </c>
      <c r="R38" s="771">
        <f>INPUTS[[#This Row],[DISTANCIA LOCALIDA AL CA (KM)]]-((INPUTS[[#This Row],[ÁREA URBANA
'[km2']]]*4/PI())^0.5)/2</f>
        <v>49.956724901741936</v>
      </c>
      <c r="S38" s="771">
        <f>INPUTS[[#This Row],[Distancia L3
'[Regional']]]/(INPUTS[[#This Row],[TIEMPO LOCALIDA AL CA (MINUTOS)]]/60)</f>
        <v>81.010905246068006</v>
      </c>
      <c r="T38" s="772" t="s">
        <v>913</v>
      </c>
      <c r="U38" s="771">
        <v>28.41</v>
      </c>
      <c r="V38" s="771">
        <v>30876</v>
      </c>
      <c r="W38" s="771">
        <v>0</v>
      </c>
      <c r="X38" s="787"/>
      <c r="Y38" s="787"/>
      <c r="Z38" s="787" t="e">
        <f>INPUTS[[#This Row],[Distancia a la ET 
'[km']]]/(INPUTS[[#This Row],[Tiempo a la ET
'[min']]]/60)</f>
        <v>#DIV/0!</v>
      </c>
      <c r="AA38" s="787"/>
      <c r="AB38" s="787"/>
      <c r="AC38" s="787" t="e">
        <f>INPUTS[[#This Row],[Distancia de ET al CA 
'[km']]]/(INPUTS[[#This Row],[Tiempo de ET a CA
'[min']]]/60)</f>
        <v>#DIV/0!</v>
      </c>
    </row>
    <row r="39" spans="1:29" s="773" customFormat="1" ht="15" hidden="1" customHeight="1" x14ac:dyDescent="0.25">
      <c r="A39" s="770">
        <v>80</v>
      </c>
      <c r="B39" s="770" t="s">
        <v>1000</v>
      </c>
      <c r="C39" s="770" t="s">
        <v>1001</v>
      </c>
      <c r="D39" s="771">
        <v>63368</v>
      </c>
      <c r="E39" s="771">
        <v>255963</v>
      </c>
      <c r="F39" s="771">
        <v>1.02</v>
      </c>
      <c r="G39" s="771">
        <v>130.30000000000001</v>
      </c>
      <c r="H39" s="771">
        <v>260.60000000000002</v>
      </c>
      <c r="I39" s="770" t="s">
        <v>731</v>
      </c>
      <c r="J39" s="771">
        <v>0</v>
      </c>
      <c r="K39" s="771">
        <v>0</v>
      </c>
      <c r="L39" s="771">
        <v>0</v>
      </c>
      <c r="M39" s="770">
        <v>6</v>
      </c>
      <c r="N39" s="771">
        <v>9.6999999999999993</v>
      </c>
      <c r="O39" s="771">
        <v>0.67539801172088165</v>
      </c>
      <c r="P39" s="771">
        <v>49</v>
      </c>
      <c r="Q39" s="771">
        <v>63.3</v>
      </c>
      <c r="R39" s="771">
        <f>INPUTS[[#This Row],[DISTANCIA LOCALIDA AL CA (KM)]]-((INPUTS[[#This Row],[ÁREA URBANA
'[km2']]]*4/PI())^0.5)/2</f>
        <v>61.542841527925617</v>
      </c>
      <c r="S39" s="771">
        <f>INPUTS[[#This Row],[Distancia L3
'[Regional']]]/(INPUTS[[#This Row],[TIEMPO LOCALIDA AL CA (MINUTOS)]]/60)</f>
        <v>75.358581462766068</v>
      </c>
      <c r="T39" s="772" t="s">
        <v>981</v>
      </c>
      <c r="U39" s="771">
        <v>488.89000000000004</v>
      </c>
      <c r="V39" s="771">
        <v>476675</v>
      </c>
      <c r="W39" s="771">
        <v>0</v>
      </c>
      <c r="X39" s="787"/>
      <c r="Y39" s="787"/>
      <c r="Z39" s="787" t="e">
        <f>INPUTS[[#This Row],[Distancia a la ET 
'[km']]]/(INPUTS[[#This Row],[Tiempo a la ET
'[min']]]/60)</f>
        <v>#DIV/0!</v>
      </c>
      <c r="AA39" s="787"/>
      <c r="AB39" s="787"/>
      <c r="AC39" s="787" t="e">
        <f>INPUTS[[#This Row],[Distancia de ET al CA 
'[km']]]/(INPUTS[[#This Row],[Tiempo de ET a CA
'[min']]]/60)</f>
        <v>#DIV/0!</v>
      </c>
    </row>
    <row r="40" spans="1:29" s="773" customFormat="1" ht="15" hidden="1" customHeight="1" x14ac:dyDescent="0.25">
      <c r="A40" s="770">
        <v>81</v>
      </c>
      <c r="B40" s="770" t="s">
        <v>1000</v>
      </c>
      <c r="C40" s="770" t="s">
        <v>1002</v>
      </c>
      <c r="D40" s="771">
        <v>39762</v>
      </c>
      <c r="E40" s="771">
        <v>141752</v>
      </c>
      <c r="F40" s="771">
        <v>1.02</v>
      </c>
      <c r="G40" s="771">
        <v>75.33</v>
      </c>
      <c r="H40" s="771">
        <v>150.66</v>
      </c>
      <c r="I40" s="770" t="s">
        <v>731</v>
      </c>
      <c r="J40" s="771">
        <v>0</v>
      </c>
      <c r="K40" s="771">
        <v>0</v>
      </c>
      <c r="L40" s="771">
        <v>0</v>
      </c>
      <c r="M40" s="770">
        <v>6</v>
      </c>
      <c r="N40" s="771">
        <v>13.4</v>
      </c>
      <c r="O40" s="771">
        <v>0.69991985990323824</v>
      </c>
      <c r="P40" s="771">
        <v>60</v>
      </c>
      <c r="Q40" s="771">
        <v>83</v>
      </c>
      <c r="R40" s="771">
        <f>INPUTS[[#This Row],[DISTANCIA LOCALIDA AL CA (KM)]]-((INPUTS[[#This Row],[ÁREA URBANA
'[km2']]]*4/PI())^0.5)/2</f>
        <v>80.934727021708071</v>
      </c>
      <c r="S40" s="771">
        <f>INPUTS[[#This Row],[Distancia L3
'[Regional']]]/(INPUTS[[#This Row],[TIEMPO LOCALIDA AL CA (MINUTOS)]]/60)</f>
        <v>80.934727021708071</v>
      </c>
      <c r="T40" s="772" t="s">
        <v>981</v>
      </c>
      <c r="U40" s="771">
        <v>488.89000000000004</v>
      </c>
      <c r="V40" s="771">
        <v>476675</v>
      </c>
      <c r="W40" s="771">
        <v>0</v>
      </c>
      <c r="X40" s="787"/>
      <c r="Y40" s="787"/>
      <c r="Z40" s="787" t="e">
        <f>INPUTS[[#This Row],[Distancia a la ET 
'[km']]]/(INPUTS[[#This Row],[Tiempo a la ET
'[min']]]/60)</f>
        <v>#DIV/0!</v>
      </c>
      <c r="AA40" s="787"/>
      <c r="AB40" s="787"/>
      <c r="AC40" s="787" t="e">
        <f>INPUTS[[#This Row],[Distancia de ET al CA 
'[km']]]/(INPUTS[[#This Row],[Tiempo de ET a CA
'[min']]]/60)</f>
        <v>#DIV/0!</v>
      </c>
    </row>
    <row r="41" spans="1:29" s="773" customFormat="1" ht="15" hidden="1" customHeight="1" x14ac:dyDescent="0.25">
      <c r="A41" s="770">
        <v>82</v>
      </c>
      <c r="B41" s="770" t="s">
        <v>1003</v>
      </c>
      <c r="C41" s="770" t="s">
        <v>1003</v>
      </c>
      <c r="D41" s="771">
        <v>850190</v>
      </c>
      <c r="E41" s="771">
        <v>850190</v>
      </c>
      <c r="F41" s="771">
        <v>1.41</v>
      </c>
      <c r="G41" s="771">
        <v>1198.77</v>
      </c>
      <c r="H41" s="771">
        <v>2397.54</v>
      </c>
      <c r="I41" s="770" t="s">
        <v>731</v>
      </c>
      <c r="J41" s="771">
        <v>0</v>
      </c>
      <c r="K41" s="771">
        <v>0</v>
      </c>
      <c r="L41" s="771">
        <v>0</v>
      </c>
      <c r="M41" s="770">
        <v>6</v>
      </c>
      <c r="N41" s="771">
        <v>225</v>
      </c>
      <c r="O41" s="771">
        <v>2.5164651563172518</v>
      </c>
      <c r="P41" s="771">
        <v>19</v>
      </c>
      <c r="Q41" s="771">
        <v>8.5</v>
      </c>
      <c r="R41" s="771">
        <f>INPUTS[[#This Row],[DISTANCIA LOCALIDA AL CA (KM)]]-((INPUTS[[#This Row],[ÁREA URBANA
'[km2']]]*4/PI())^0.5)/2</f>
        <v>3.7156246783656144E-2</v>
      </c>
      <c r="S41" s="771">
        <f>INPUTS[[#This Row],[Distancia L3
'[Regional']]]/(INPUTS[[#This Row],[TIEMPO LOCALIDA AL CA (MINUTOS)]]/60)</f>
        <v>0.11733551615891415</v>
      </c>
      <c r="T41" s="772" t="s">
        <v>932</v>
      </c>
      <c r="U41" s="771">
        <v>1400.83</v>
      </c>
      <c r="V41" s="771">
        <v>1047681</v>
      </c>
      <c r="W41" s="771">
        <v>0</v>
      </c>
      <c r="X41" s="787"/>
      <c r="Y41" s="787"/>
      <c r="Z41" s="787" t="e">
        <f>INPUTS[[#This Row],[Distancia a la ET 
'[km']]]/(INPUTS[[#This Row],[Tiempo a la ET
'[min']]]/60)</f>
        <v>#DIV/0!</v>
      </c>
      <c r="AA41" s="787"/>
      <c r="AB41" s="787"/>
      <c r="AC41" s="787" t="e">
        <f>INPUTS[[#This Row],[Distancia de ET al CA 
'[km']]]/(INPUTS[[#This Row],[Tiempo de ET a CA
'[min']]]/60)</f>
        <v>#DIV/0!</v>
      </c>
    </row>
    <row r="42" spans="1:29" s="773" customFormat="1" ht="15" hidden="1" customHeight="1" x14ac:dyDescent="0.25">
      <c r="A42" s="770">
        <v>90</v>
      </c>
      <c r="B42" s="770" t="s">
        <v>1013</v>
      </c>
      <c r="C42" s="770" t="s">
        <v>1013</v>
      </c>
      <c r="D42" s="771">
        <v>15558</v>
      </c>
      <c r="E42" s="771">
        <v>15558</v>
      </c>
      <c r="F42" s="771">
        <v>1.06</v>
      </c>
      <c r="G42" s="771">
        <v>16.489999999999998</v>
      </c>
      <c r="H42" s="771">
        <v>32.979999999999997</v>
      </c>
      <c r="I42" s="770" t="s">
        <v>731</v>
      </c>
      <c r="J42" s="771">
        <v>0</v>
      </c>
      <c r="K42" s="771">
        <v>0</v>
      </c>
      <c r="L42" s="771">
        <v>0</v>
      </c>
      <c r="M42" s="770">
        <v>5</v>
      </c>
      <c r="N42" s="771">
        <v>13.15</v>
      </c>
      <c r="O42" s="771">
        <v>2.7850866181270399</v>
      </c>
      <c r="P42" s="771">
        <v>63</v>
      </c>
      <c r="Q42" s="771">
        <v>53.8</v>
      </c>
      <c r="R42" s="771">
        <f>INPUTS[[#This Row],[DISTANCIA LOCALIDA AL CA (KM)]]-((INPUTS[[#This Row],[ÁREA URBANA
'[km2']]]*4/PI())^0.5)/2</f>
        <v>51.754083334219878</v>
      </c>
      <c r="S42" s="771">
        <f>INPUTS[[#This Row],[Distancia L3
'[Regional']]]/(INPUTS[[#This Row],[TIEMPO LOCALIDA AL CA (MINUTOS)]]/60)</f>
        <v>49.289603175447503</v>
      </c>
      <c r="T42" s="772" t="s">
        <v>932</v>
      </c>
      <c r="U42" s="771">
        <v>1400.83</v>
      </c>
      <c r="V42" s="771">
        <v>1047681</v>
      </c>
      <c r="W42" s="771">
        <v>0</v>
      </c>
      <c r="X42" s="787"/>
      <c r="Y42" s="787"/>
      <c r="Z42" s="787" t="e">
        <f>INPUTS[[#This Row],[Distancia a la ET 
'[km']]]/(INPUTS[[#This Row],[Tiempo a la ET
'[min']]]/60)</f>
        <v>#DIV/0!</v>
      </c>
      <c r="AA42" s="787"/>
      <c r="AB42" s="787"/>
      <c r="AC42" s="787" t="e">
        <f>INPUTS[[#This Row],[Distancia de ET al CA 
'[km']]]/(INPUTS[[#This Row],[Tiempo de ET a CA
'[min']]]/60)</f>
        <v>#DIV/0!</v>
      </c>
    </row>
    <row r="43" spans="1:29" s="773" customFormat="1" ht="15" hidden="1" customHeight="1" x14ac:dyDescent="0.25">
      <c r="A43" s="770">
        <v>92</v>
      </c>
      <c r="B43" s="770" t="s">
        <v>1015</v>
      </c>
      <c r="C43" s="770" t="s">
        <v>1016</v>
      </c>
      <c r="D43" s="771">
        <v>8695</v>
      </c>
      <c r="E43" s="771">
        <v>8695</v>
      </c>
      <c r="F43" s="771">
        <v>0.92</v>
      </c>
      <c r="G43" s="771">
        <v>8</v>
      </c>
      <c r="H43" s="771">
        <v>16</v>
      </c>
      <c r="I43" s="770" t="s">
        <v>731</v>
      </c>
      <c r="J43" s="771">
        <v>0</v>
      </c>
      <c r="K43" s="771">
        <v>0</v>
      </c>
      <c r="L43" s="771">
        <v>0</v>
      </c>
      <c r="M43" s="770">
        <v>6</v>
      </c>
      <c r="N43" s="771">
        <v>2.77</v>
      </c>
      <c r="O43" s="771">
        <v>2.8668690372940158</v>
      </c>
      <c r="P43" s="771">
        <v>93</v>
      </c>
      <c r="Q43" s="771">
        <v>147</v>
      </c>
      <c r="R43" s="771">
        <f>INPUTS[[#This Row],[DISTANCIA LOCALIDA AL CA (KM)]]-((INPUTS[[#This Row],[ÁREA URBANA
'[km2']]]*4/PI())^0.5)/2</f>
        <v>146.06100139258405</v>
      </c>
      <c r="S43" s="771">
        <f>INPUTS[[#This Row],[Distancia L3
'[Regional']]]/(INPUTS[[#This Row],[TIEMPO LOCALIDA AL CA (MINUTOS)]]/60)</f>
        <v>94.232904124247767</v>
      </c>
      <c r="T43" s="772" t="s">
        <v>981</v>
      </c>
      <c r="U43" s="771">
        <v>488.89000000000004</v>
      </c>
      <c r="V43" s="771">
        <v>476675</v>
      </c>
      <c r="W43" s="771">
        <v>0</v>
      </c>
      <c r="X43" s="787"/>
      <c r="Y43" s="787"/>
      <c r="Z43" s="787" t="e">
        <f>INPUTS[[#This Row],[Distancia a la ET 
'[km']]]/(INPUTS[[#This Row],[Tiempo a la ET
'[min']]]/60)</f>
        <v>#DIV/0!</v>
      </c>
      <c r="AA43" s="787"/>
      <c r="AB43" s="787"/>
      <c r="AC43" s="787" t="e">
        <f>INPUTS[[#This Row],[Distancia de ET al CA 
'[km']]]/(INPUTS[[#This Row],[Tiempo de ET a CA
'[min']]]/60)</f>
        <v>#DIV/0!</v>
      </c>
    </row>
    <row r="44" spans="1:29" s="773" customFormat="1" ht="15" hidden="1" customHeight="1" x14ac:dyDescent="0.25">
      <c r="A44" s="770">
        <v>93</v>
      </c>
      <c r="B44" s="770" t="s">
        <v>1017</v>
      </c>
      <c r="C44" s="770" t="s">
        <v>1017</v>
      </c>
      <c r="D44" s="771">
        <v>84038</v>
      </c>
      <c r="E44" s="771">
        <v>84038</v>
      </c>
      <c r="F44" s="771">
        <v>1.02</v>
      </c>
      <c r="G44" s="771">
        <v>85.72</v>
      </c>
      <c r="H44" s="771">
        <v>171.44</v>
      </c>
      <c r="I44" s="770" t="s">
        <v>731</v>
      </c>
      <c r="J44" s="771">
        <v>0</v>
      </c>
      <c r="K44" s="771">
        <v>0</v>
      </c>
      <c r="L44" s="771">
        <v>0</v>
      </c>
      <c r="M44" s="770">
        <v>6</v>
      </c>
      <c r="N44" s="771">
        <v>14.6</v>
      </c>
      <c r="O44" s="771">
        <v>3.1715901948460088</v>
      </c>
      <c r="P44" s="771">
        <v>69</v>
      </c>
      <c r="Q44" s="771">
        <v>65.8</v>
      </c>
      <c r="R44" s="771">
        <f>INPUTS[[#This Row],[DISTANCIA LOCALIDA AL CA (KM)]]-((INPUTS[[#This Row],[ÁREA URBANA
'[km2']]]*4/PI())^0.5)/2</f>
        <v>63.644234628192727</v>
      </c>
      <c r="S44" s="771">
        <f>INPUTS[[#This Row],[Distancia L3
'[Regional']]]/(INPUTS[[#This Row],[TIEMPO LOCALIDA AL CA (MINUTOS)]]/60)</f>
        <v>55.342812720167593</v>
      </c>
      <c r="T44" s="772" t="s">
        <v>887</v>
      </c>
      <c r="U44" s="771">
        <v>581.95000000000005</v>
      </c>
      <c r="V44" s="771">
        <v>570536</v>
      </c>
      <c r="W44" s="771">
        <v>0</v>
      </c>
      <c r="X44" s="787"/>
      <c r="Y44" s="787"/>
      <c r="Z44" s="787" t="e">
        <f>INPUTS[[#This Row],[Distancia a la ET 
'[km']]]/(INPUTS[[#This Row],[Tiempo a la ET
'[min']]]/60)</f>
        <v>#DIV/0!</v>
      </c>
      <c r="AA44" s="787"/>
      <c r="AB44" s="787"/>
      <c r="AC44" s="787" t="e">
        <f>INPUTS[[#This Row],[Distancia de ET al CA 
'[km']]]/(INPUTS[[#This Row],[Tiempo de ET a CA
'[min']]]/60)</f>
        <v>#DIV/0!</v>
      </c>
    </row>
    <row r="45" spans="1:29" s="773" customFormat="1" ht="15" hidden="1" customHeight="1" x14ac:dyDescent="0.25">
      <c r="A45" s="770">
        <v>94</v>
      </c>
      <c r="B45" s="770" t="s">
        <v>1018</v>
      </c>
      <c r="C45" s="770" t="s">
        <v>1018</v>
      </c>
      <c r="D45" s="771">
        <v>69315</v>
      </c>
      <c r="E45" s="771">
        <v>69315</v>
      </c>
      <c r="F45" s="771">
        <v>1.02</v>
      </c>
      <c r="G45" s="771">
        <v>70.7</v>
      </c>
      <c r="H45" s="771">
        <v>141.4</v>
      </c>
      <c r="I45" s="770" t="s">
        <v>731</v>
      </c>
      <c r="J45" s="771">
        <v>2.93</v>
      </c>
      <c r="K45" s="771">
        <v>0</v>
      </c>
      <c r="L45" s="771">
        <v>5.3</v>
      </c>
      <c r="M45" s="770">
        <v>5</v>
      </c>
      <c r="N45" s="771">
        <v>13.67</v>
      </c>
      <c r="O45" s="771">
        <v>2.7499754974027248</v>
      </c>
      <c r="P45" s="771">
        <v>48</v>
      </c>
      <c r="Q45" s="771">
        <v>55.1</v>
      </c>
      <c r="R45" s="771">
        <f>INPUTS[[#This Row],[DISTANCIA LOCALIDA AL CA (KM)]]-((INPUTS[[#This Row],[ÁREA URBANA
'[km2']]]*4/PI())^0.5)/2</f>
        <v>53.014023934909027</v>
      </c>
      <c r="S45" s="771">
        <f>INPUTS[[#This Row],[Distancia L3
'[Regional']]]/(INPUTS[[#This Row],[TIEMPO LOCALIDA AL CA (MINUTOS)]]/60)</f>
        <v>66.267529918636285</v>
      </c>
      <c r="T45" s="772" t="s">
        <v>984</v>
      </c>
      <c r="U45" s="771">
        <v>160.9</v>
      </c>
      <c r="V45" s="771">
        <v>155951</v>
      </c>
      <c r="W45" s="771">
        <v>0</v>
      </c>
      <c r="X45" s="787"/>
      <c r="Y45" s="787"/>
      <c r="Z45" s="787" t="e">
        <f>INPUTS[[#This Row],[Distancia a la ET 
'[km']]]/(INPUTS[[#This Row],[Tiempo a la ET
'[min']]]/60)</f>
        <v>#DIV/0!</v>
      </c>
      <c r="AA45" s="787"/>
      <c r="AB45" s="787"/>
      <c r="AC45" s="787" t="e">
        <f>INPUTS[[#This Row],[Distancia de ET al CA 
'[km']]]/(INPUTS[[#This Row],[Tiempo de ET a CA
'[min']]]/60)</f>
        <v>#DIV/0!</v>
      </c>
    </row>
    <row r="46" spans="1:29" s="773" customFormat="1" ht="15" hidden="1" customHeight="1" x14ac:dyDescent="0.25">
      <c r="A46" s="770">
        <v>105</v>
      </c>
      <c r="B46" s="770" t="s">
        <v>1033</v>
      </c>
      <c r="C46" s="770" t="s">
        <v>1033</v>
      </c>
      <c r="D46" s="771">
        <v>509913</v>
      </c>
      <c r="E46" s="771">
        <v>509913</v>
      </c>
      <c r="F46" s="771">
        <v>1.41</v>
      </c>
      <c r="G46" s="771">
        <v>718.98</v>
      </c>
      <c r="H46" s="771">
        <v>1437.96</v>
      </c>
      <c r="I46" s="770" t="s">
        <v>731</v>
      </c>
      <c r="J46" s="771">
        <v>0</v>
      </c>
      <c r="K46" s="771">
        <v>0</v>
      </c>
      <c r="L46" s="771">
        <v>0</v>
      </c>
      <c r="M46" s="770">
        <v>6</v>
      </c>
      <c r="N46" s="771">
        <v>17.8</v>
      </c>
      <c r="O46" s="771">
        <v>3.1965581856167482</v>
      </c>
      <c r="P46" s="771">
        <v>35</v>
      </c>
      <c r="Q46" s="771">
        <v>39.299999999999997</v>
      </c>
      <c r="R46" s="771">
        <f>INPUTS[[#This Row],[DISTANCIA LOCALIDA AL CA (KM)]]-((INPUTS[[#This Row],[ÁREA URBANA
'[km2']]]*4/PI())^0.5)/2</f>
        <v>36.919681539358336</v>
      </c>
      <c r="S46" s="771">
        <f>INPUTS[[#This Row],[Distancia L3
'[Regional']]]/(INPUTS[[#This Row],[TIEMPO LOCALIDA AL CA (MINUTOS)]]/60)</f>
        <v>63.290882638900001</v>
      </c>
      <c r="T46" s="772" t="s">
        <v>882</v>
      </c>
      <c r="U46" s="771">
        <v>23854.93</v>
      </c>
      <c r="V46" s="771">
        <v>17321990</v>
      </c>
      <c r="W46" s="771">
        <v>0</v>
      </c>
      <c r="X46" s="787"/>
      <c r="Y46" s="787"/>
      <c r="Z46" s="787" t="e">
        <f>INPUTS[[#This Row],[Distancia a la ET 
'[km']]]/(INPUTS[[#This Row],[Tiempo a la ET
'[min']]]/60)</f>
        <v>#DIV/0!</v>
      </c>
      <c r="AA46" s="787"/>
      <c r="AB46" s="787"/>
      <c r="AC46" s="787" t="e">
        <f>INPUTS[[#This Row],[Distancia de ET al CA 
'[km']]]/(INPUTS[[#This Row],[Tiempo de ET a CA
'[min']]]/60)</f>
        <v>#DIV/0!</v>
      </c>
    </row>
    <row r="47" spans="1:29" s="773" customFormat="1" ht="15" hidden="1" customHeight="1" x14ac:dyDescent="0.25">
      <c r="A47" s="770">
        <v>107</v>
      </c>
      <c r="B47" s="770" t="s">
        <v>1035</v>
      </c>
      <c r="C47" s="770" t="s">
        <v>1035</v>
      </c>
      <c r="D47" s="771">
        <v>132995</v>
      </c>
      <c r="E47" s="771">
        <v>132995</v>
      </c>
      <c r="F47" s="771">
        <v>1.02</v>
      </c>
      <c r="G47" s="771">
        <v>135.65</v>
      </c>
      <c r="H47" s="771">
        <v>271.3</v>
      </c>
      <c r="I47" s="770" t="s">
        <v>731</v>
      </c>
      <c r="J47" s="771">
        <v>0</v>
      </c>
      <c r="K47" s="771">
        <v>0</v>
      </c>
      <c r="L47" s="771">
        <v>0</v>
      </c>
      <c r="M47" s="770">
        <v>7</v>
      </c>
      <c r="N47" s="771">
        <v>12.82</v>
      </c>
      <c r="O47" s="771">
        <v>3.6130531962449708</v>
      </c>
      <c r="P47" s="771">
        <v>80</v>
      </c>
      <c r="Q47" s="771">
        <v>78.3</v>
      </c>
      <c r="R47" s="771">
        <f>INPUTS[[#This Row],[DISTANCIA LOCALIDA AL CA (KM)]]-((INPUTS[[#This Row],[ÁREA URBANA
'[km2']]]*4/PI())^0.5)/2</f>
        <v>76.279917640075979</v>
      </c>
      <c r="S47" s="771">
        <f>INPUTS[[#This Row],[Distancia L3
'[Regional']]]/(INPUTS[[#This Row],[TIEMPO LOCALIDA AL CA (MINUTOS)]]/60)</f>
        <v>57.209938230056984</v>
      </c>
      <c r="T47" s="772" t="s">
        <v>882</v>
      </c>
      <c r="U47" s="771">
        <v>23854.93</v>
      </c>
      <c r="V47" s="771">
        <v>17321990</v>
      </c>
      <c r="W47" s="771">
        <v>0</v>
      </c>
      <c r="X47" s="787"/>
      <c r="Y47" s="787"/>
      <c r="Z47" s="787" t="e">
        <f>INPUTS[[#This Row],[Distancia a la ET 
'[km']]]/(INPUTS[[#This Row],[Tiempo a la ET
'[min']]]/60)</f>
        <v>#DIV/0!</v>
      </c>
      <c r="AA47" s="787"/>
      <c r="AB47" s="787"/>
      <c r="AC47" s="787" t="e">
        <f>INPUTS[[#This Row],[Distancia de ET al CA 
'[km']]]/(INPUTS[[#This Row],[Tiempo de ET a CA
'[min']]]/60)</f>
        <v>#DIV/0!</v>
      </c>
    </row>
    <row r="48" spans="1:29" s="773" customFormat="1" ht="15" hidden="1" customHeight="1" x14ac:dyDescent="0.25">
      <c r="A48" s="770">
        <v>115</v>
      </c>
      <c r="B48" s="770" t="s">
        <v>1047</v>
      </c>
      <c r="C48" s="770" t="s">
        <v>1048</v>
      </c>
      <c r="D48" s="771">
        <v>16064</v>
      </c>
      <c r="E48" s="771">
        <v>16064</v>
      </c>
      <c r="F48" s="771">
        <v>1.06</v>
      </c>
      <c r="G48" s="771">
        <v>17.03</v>
      </c>
      <c r="H48" s="771">
        <v>34.06</v>
      </c>
      <c r="I48" s="770" t="s">
        <v>731</v>
      </c>
      <c r="J48" s="771">
        <v>0</v>
      </c>
      <c r="K48" s="771">
        <v>4</v>
      </c>
      <c r="L48" s="771">
        <v>5.9</v>
      </c>
      <c r="M48" s="770">
        <v>6</v>
      </c>
      <c r="N48" s="771">
        <v>4.62</v>
      </c>
      <c r="O48" s="771">
        <v>2.3621284283133521</v>
      </c>
      <c r="P48" s="771">
        <v>36</v>
      </c>
      <c r="Q48" s="771">
        <v>49.5</v>
      </c>
      <c r="R48" s="771">
        <f>INPUTS[[#This Row],[DISTANCIA LOCALIDA AL CA (KM)]]-((INPUTS[[#This Row],[ÁREA URBANA
'[km2']]]*4/PI())^0.5)/2</f>
        <v>48.28732045693468</v>
      </c>
      <c r="S48" s="771">
        <f>INPUTS[[#This Row],[Distancia L3
'[Regional']]]/(INPUTS[[#This Row],[TIEMPO LOCALIDA AL CA (MINUTOS)]]/60)</f>
        <v>80.478867428224476</v>
      </c>
      <c r="T48" s="772" t="s">
        <v>963</v>
      </c>
      <c r="U48" s="771">
        <v>69.739999999999995</v>
      </c>
      <c r="V48" s="771">
        <v>68693</v>
      </c>
      <c r="W48" s="771">
        <v>0</v>
      </c>
      <c r="X48" s="787"/>
      <c r="Y48" s="787"/>
      <c r="Z48" s="787" t="e">
        <f>INPUTS[[#This Row],[Distancia a la ET 
'[km']]]/(INPUTS[[#This Row],[Tiempo a la ET
'[min']]]/60)</f>
        <v>#DIV/0!</v>
      </c>
      <c r="AA48" s="787"/>
      <c r="AB48" s="787"/>
      <c r="AC48" s="787" t="e">
        <f>INPUTS[[#This Row],[Distancia de ET al CA 
'[km']]]/(INPUTS[[#This Row],[Tiempo de ET a CA
'[min']]]/60)</f>
        <v>#DIV/0!</v>
      </c>
    </row>
    <row r="49" spans="1:29" s="773" customFormat="1" ht="15" hidden="1" customHeight="1" x14ac:dyDescent="0.25">
      <c r="A49" s="770">
        <v>119</v>
      </c>
      <c r="B49" s="770" t="s">
        <v>1052</v>
      </c>
      <c r="C49" s="770" t="s">
        <v>1052</v>
      </c>
      <c r="D49" s="771">
        <v>22695</v>
      </c>
      <c r="E49" s="771">
        <v>22695</v>
      </c>
      <c r="F49" s="771">
        <v>1.06</v>
      </c>
      <c r="G49" s="771">
        <v>24.06</v>
      </c>
      <c r="H49" s="771">
        <v>48.12</v>
      </c>
      <c r="I49" s="770" t="s">
        <v>731</v>
      </c>
      <c r="J49" s="771">
        <v>1.65</v>
      </c>
      <c r="K49" s="771">
        <v>0</v>
      </c>
      <c r="L49" s="771">
        <v>2.75</v>
      </c>
      <c r="M49" s="770">
        <v>6</v>
      </c>
      <c r="N49" s="771">
        <v>3.43</v>
      </c>
      <c r="O49" s="771">
        <v>2.8357192737430168</v>
      </c>
      <c r="P49" s="771">
        <v>22</v>
      </c>
      <c r="Q49" s="771">
        <v>25.1</v>
      </c>
      <c r="R49" s="771">
        <f>INPUTS[[#This Row],[DISTANCIA LOCALIDA AL CA (KM)]]-((INPUTS[[#This Row],[ÁREA URBANA
'[km2']]]*4/PI())^0.5)/2</f>
        <v>24.055106268747679</v>
      </c>
      <c r="S49" s="771">
        <f>INPUTS[[#This Row],[Distancia L3
'[Regional']]]/(INPUTS[[#This Row],[TIEMPO LOCALIDA AL CA (MINUTOS)]]/60)</f>
        <v>65.60483527840276</v>
      </c>
      <c r="T49" s="772" t="s">
        <v>944</v>
      </c>
      <c r="U49" s="771">
        <v>88.050000000000011</v>
      </c>
      <c r="V49" s="771">
        <v>83064</v>
      </c>
      <c r="W49" s="771">
        <v>0</v>
      </c>
      <c r="X49" s="787"/>
      <c r="Y49" s="787"/>
      <c r="Z49" s="787" t="e">
        <f>INPUTS[[#This Row],[Distancia a la ET 
'[km']]]/(INPUTS[[#This Row],[Tiempo a la ET
'[min']]]/60)</f>
        <v>#DIV/0!</v>
      </c>
      <c r="AA49" s="787"/>
      <c r="AB49" s="787"/>
      <c r="AC49" s="787" t="e">
        <f>INPUTS[[#This Row],[Distancia de ET al CA 
'[km']]]/(INPUTS[[#This Row],[Tiempo de ET a CA
'[min']]]/60)</f>
        <v>#DIV/0!</v>
      </c>
    </row>
    <row r="50" spans="1:29" s="773" customFormat="1" ht="15" hidden="1" customHeight="1" x14ac:dyDescent="0.25">
      <c r="A50" s="770">
        <v>124</v>
      </c>
      <c r="B50" s="770" t="s">
        <v>1058</v>
      </c>
      <c r="C50" s="770" t="s">
        <v>1058</v>
      </c>
      <c r="D50" s="771">
        <v>147203</v>
      </c>
      <c r="E50" s="771">
        <v>147203</v>
      </c>
      <c r="F50" s="771">
        <v>1.02</v>
      </c>
      <c r="G50" s="771">
        <v>150.15</v>
      </c>
      <c r="H50" s="771">
        <v>300.3</v>
      </c>
      <c r="I50" s="770" t="s">
        <v>731</v>
      </c>
      <c r="J50" s="771">
        <v>0</v>
      </c>
      <c r="K50" s="771">
        <v>0</v>
      </c>
      <c r="L50" s="771">
        <v>0</v>
      </c>
      <c r="M50" s="770">
        <v>5</v>
      </c>
      <c r="N50" s="771">
        <v>21.26</v>
      </c>
      <c r="O50" s="771">
        <v>3.1089315302795444</v>
      </c>
      <c r="P50" s="771">
        <v>54</v>
      </c>
      <c r="Q50" s="771">
        <v>42.6</v>
      </c>
      <c r="R50" s="771">
        <f>INPUTS[[#This Row],[DISTANCIA LOCALIDA AL CA (KM)]]-((INPUTS[[#This Row],[ÁREA URBANA
'[km2']]]*4/PI())^0.5)/2</f>
        <v>39.9986026485238</v>
      </c>
      <c r="S50" s="771">
        <f>INPUTS[[#This Row],[Distancia L3
'[Regional']]]/(INPUTS[[#This Row],[TIEMPO LOCALIDA AL CA (MINUTOS)]]/60)</f>
        <v>44.44289183169311</v>
      </c>
      <c r="T50" s="772" t="s">
        <v>887</v>
      </c>
      <c r="U50" s="771">
        <v>581.95000000000005</v>
      </c>
      <c r="V50" s="771">
        <v>570536</v>
      </c>
      <c r="W50" s="771">
        <v>0</v>
      </c>
      <c r="X50" s="787"/>
      <c r="Y50" s="787"/>
      <c r="Z50" s="787" t="e">
        <f>INPUTS[[#This Row],[Distancia a la ET 
'[km']]]/(INPUTS[[#This Row],[Tiempo a la ET
'[min']]]/60)</f>
        <v>#DIV/0!</v>
      </c>
      <c r="AA50" s="787"/>
      <c r="AB50" s="787"/>
      <c r="AC50" s="787" t="e">
        <f>INPUTS[[#This Row],[Distancia de ET al CA 
'[km']]]/(INPUTS[[#This Row],[Tiempo de ET a CA
'[min']]]/60)</f>
        <v>#DIV/0!</v>
      </c>
    </row>
    <row r="51" spans="1:29" s="773" customFormat="1" ht="15" hidden="1" customHeight="1" x14ac:dyDescent="0.25">
      <c r="A51" s="770">
        <v>136</v>
      </c>
      <c r="B51" s="770" t="s">
        <v>1072</v>
      </c>
      <c r="C51" s="770" t="s">
        <v>1072</v>
      </c>
      <c r="D51" s="771">
        <v>3481416</v>
      </c>
      <c r="E51" s="771">
        <v>6113672</v>
      </c>
      <c r="F51" s="771">
        <v>1.41</v>
      </c>
      <c r="G51" s="771">
        <v>8620.2800000000007</v>
      </c>
      <c r="H51" s="771">
        <v>17240.560000000001</v>
      </c>
      <c r="I51" s="770" t="s">
        <v>731</v>
      </c>
      <c r="J51" s="771">
        <v>0</v>
      </c>
      <c r="K51" s="771">
        <v>0</v>
      </c>
      <c r="L51" s="771">
        <v>0</v>
      </c>
      <c r="M51" s="770">
        <v>6</v>
      </c>
      <c r="N51" s="771">
        <v>9.33</v>
      </c>
      <c r="O51" s="771">
        <v>2.0261315248191649</v>
      </c>
      <c r="P51" s="771">
        <v>72</v>
      </c>
      <c r="Q51" s="771">
        <v>36.1</v>
      </c>
      <c r="R51" s="771">
        <f>INPUTS[[#This Row],[DISTANCIA LOCALIDA AL CA (KM)]]-((INPUTS[[#This Row],[ÁREA URBANA
'[km2']]]*4/PI())^0.5)/2</f>
        <v>34.376680169528953</v>
      </c>
      <c r="S51" s="771">
        <f>INPUTS[[#This Row],[Distancia L3
'[Regional']]]/(INPUTS[[#This Row],[TIEMPO LOCALIDA AL CA (MINUTOS)]]/60)</f>
        <v>28.647233474607461</v>
      </c>
      <c r="T51" s="772" t="s">
        <v>882</v>
      </c>
      <c r="U51" s="771">
        <v>23854.93</v>
      </c>
      <c r="V51" s="771">
        <v>17321990</v>
      </c>
      <c r="W51" s="771">
        <v>0</v>
      </c>
      <c r="X51" s="787"/>
      <c r="Y51" s="787"/>
      <c r="Z51" s="787" t="e">
        <f>INPUTS[[#This Row],[Distancia a la ET 
'[km']]]/(INPUTS[[#This Row],[Tiempo a la ET
'[min']]]/60)</f>
        <v>#DIV/0!</v>
      </c>
      <c r="AA51" s="787"/>
      <c r="AB51" s="787"/>
      <c r="AC51" s="787" t="e">
        <f>INPUTS[[#This Row],[Distancia de ET al CA 
'[km']]]/(INPUTS[[#This Row],[Tiempo de ET a CA
'[min']]]/60)</f>
        <v>#DIV/0!</v>
      </c>
    </row>
    <row r="52" spans="1:29" s="773" customFormat="1" hidden="1" x14ac:dyDescent="0.25">
      <c r="A52" s="770">
        <v>146</v>
      </c>
      <c r="B52" s="770" t="s">
        <v>996</v>
      </c>
      <c r="C52" s="770" t="s">
        <v>1082</v>
      </c>
      <c r="D52" s="771">
        <v>5102</v>
      </c>
      <c r="E52" s="771">
        <v>5102</v>
      </c>
      <c r="F52" s="771">
        <v>0.92</v>
      </c>
      <c r="G52" s="771">
        <v>4.6900000000000004</v>
      </c>
      <c r="H52" s="771">
        <v>9.3800000000000008</v>
      </c>
      <c r="I52" s="770" t="s">
        <v>731</v>
      </c>
      <c r="J52" s="771">
        <v>0</v>
      </c>
      <c r="K52" s="771">
        <v>1.6</v>
      </c>
      <c r="L52" s="771">
        <v>2.2999999999999998</v>
      </c>
      <c r="M52" s="770">
        <v>5</v>
      </c>
      <c r="N52" s="771">
        <v>1.93</v>
      </c>
      <c r="O52" s="771">
        <v>2.404105888708806</v>
      </c>
      <c r="P52" s="771">
        <v>58</v>
      </c>
      <c r="Q52" s="771">
        <v>83.5</v>
      </c>
      <c r="R52" s="771">
        <f>INPUTS[[#This Row],[DISTANCIA LOCALIDA AL CA (KM)]]-((INPUTS[[#This Row],[ÁREA URBANA
'[km2']]]*4/PI())^0.5)/2</f>
        <v>82.716202781113182</v>
      </c>
      <c r="S52" s="771">
        <f>INPUTS[[#This Row],[Distancia L3
'[Regional']]]/(INPUTS[[#This Row],[TIEMPO LOCALIDA AL CA (MINUTOS)]]/60)</f>
        <v>85.568485635634332</v>
      </c>
      <c r="T52" s="772" t="s">
        <v>913</v>
      </c>
      <c r="U52" s="771">
        <v>28.41</v>
      </c>
      <c r="V52" s="771">
        <v>30876</v>
      </c>
      <c r="W52" s="771">
        <v>0</v>
      </c>
      <c r="X52" s="787"/>
      <c r="Y52" s="787"/>
      <c r="Z52" s="787" t="e">
        <f>INPUTS[[#This Row],[Distancia a la ET 
'[km']]]/(INPUTS[[#This Row],[Tiempo a la ET
'[min']]]/60)</f>
        <v>#DIV/0!</v>
      </c>
      <c r="AA52" s="787"/>
      <c r="AB52" s="787"/>
      <c r="AC52" s="787" t="e">
        <f>INPUTS[[#This Row],[Distancia de ET al CA 
'[km']]]/(INPUTS[[#This Row],[Tiempo de ET a CA
'[min']]]/60)</f>
        <v>#DIV/0!</v>
      </c>
    </row>
    <row r="53" spans="1:29" s="773" customFormat="1" ht="15" hidden="1" customHeight="1" x14ac:dyDescent="0.25">
      <c r="A53" s="770">
        <v>147</v>
      </c>
      <c r="B53" s="770" t="s">
        <v>1000</v>
      </c>
      <c r="C53" s="770" t="s">
        <v>1083</v>
      </c>
      <c r="D53" s="771">
        <v>23288</v>
      </c>
      <c r="E53" s="771">
        <v>77275</v>
      </c>
      <c r="F53" s="771">
        <v>1.02</v>
      </c>
      <c r="G53" s="771">
        <v>43.81</v>
      </c>
      <c r="H53" s="771">
        <v>87.62</v>
      </c>
      <c r="I53" s="770" t="s">
        <v>731</v>
      </c>
      <c r="J53" s="771">
        <v>0</v>
      </c>
      <c r="K53" s="771">
        <v>0</v>
      </c>
      <c r="L53" s="771">
        <v>0</v>
      </c>
      <c r="M53" s="770">
        <v>6</v>
      </c>
      <c r="N53" s="771">
        <v>8.32</v>
      </c>
      <c r="O53" s="771">
        <v>0.91111278082500569</v>
      </c>
      <c r="P53" s="771">
        <v>72</v>
      </c>
      <c r="Q53" s="771">
        <v>102</v>
      </c>
      <c r="R53" s="771">
        <f>INPUTS[[#This Row],[DISTANCIA LOCALIDA AL CA (KM)]]-((INPUTS[[#This Row],[ÁREA URBANA
'[km2']]]*4/PI())^0.5)/2</f>
        <v>100.37262842194872</v>
      </c>
      <c r="S53" s="771">
        <f>INPUTS[[#This Row],[Distancia L3
'[Regional']]]/(INPUTS[[#This Row],[TIEMPO LOCALIDA AL CA (MINUTOS)]]/60)</f>
        <v>83.643857018290603</v>
      </c>
      <c r="T53" s="772" t="s">
        <v>981</v>
      </c>
      <c r="U53" s="771">
        <v>488.89000000000004</v>
      </c>
      <c r="V53" s="771">
        <v>476675</v>
      </c>
      <c r="W53" s="771">
        <v>0</v>
      </c>
      <c r="X53" s="787"/>
      <c r="Y53" s="787"/>
      <c r="Z53" s="787" t="e">
        <f>INPUTS[[#This Row],[Distancia a la ET 
'[km']]]/(INPUTS[[#This Row],[Tiempo a la ET
'[min']]]/60)</f>
        <v>#DIV/0!</v>
      </c>
      <c r="AA53" s="787"/>
      <c r="AB53" s="787"/>
      <c r="AC53" s="787" t="e">
        <f>INPUTS[[#This Row],[Distancia de ET al CA 
'[km']]]/(INPUTS[[#This Row],[Tiempo de ET a CA
'[min']]]/60)</f>
        <v>#DIV/0!</v>
      </c>
    </row>
    <row r="54" spans="1:29" s="773" customFormat="1" ht="15" hidden="1" customHeight="1" x14ac:dyDescent="0.25">
      <c r="A54" s="770">
        <v>149</v>
      </c>
      <c r="B54" s="770" t="s">
        <v>1015</v>
      </c>
      <c r="C54" s="770" t="s">
        <v>1085</v>
      </c>
      <c r="D54" s="771">
        <v>23009</v>
      </c>
      <c r="E54" s="771">
        <v>35137</v>
      </c>
      <c r="F54" s="771">
        <v>1.06</v>
      </c>
      <c r="G54" s="771">
        <v>37.25</v>
      </c>
      <c r="H54" s="771">
        <v>74.5</v>
      </c>
      <c r="I54" s="770" t="s">
        <v>731</v>
      </c>
      <c r="J54" s="771">
        <v>0</v>
      </c>
      <c r="K54" s="771">
        <v>0</v>
      </c>
      <c r="L54" s="771">
        <v>0</v>
      </c>
      <c r="M54" s="770">
        <v>6</v>
      </c>
      <c r="N54" s="771">
        <v>6.26</v>
      </c>
      <c r="O54" s="771">
        <v>1.0205080709182324</v>
      </c>
      <c r="P54" s="771">
        <v>64</v>
      </c>
      <c r="Q54" s="771">
        <v>92.7</v>
      </c>
      <c r="R54" s="771">
        <f>INPUTS[[#This Row],[DISTANCIA LOCALIDA AL CA (KM)]]-((INPUTS[[#This Row],[ÁREA URBANA
'[km2']]]*4/PI())^0.5)/2</f>
        <v>91.288398112954468</v>
      </c>
      <c r="S54" s="771">
        <f>INPUTS[[#This Row],[Distancia L3
'[Regional']]]/(INPUTS[[#This Row],[TIEMPO LOCALIDA AL CA (MINUTOS)]]/60)</f>
        <v>85.582873230894819</v>
      </c>
      <c r="T54" s="772" t="s">
        <v>981</v>
      </c>
      <c r="U54" s="771">
        <v>488.89000000000004</v>
      </c>
      <c r="V54" s="771">
        <v>476675</v>
      </c>
      <c r="W54" s="771">
        <v>0</v>
      </c>
      <c r="X54" s="787"/>
      <c r="Y54" s="787"/>
      <c r="Z54" s="787" t="e">
        <f>INPUTS[[#This Row],[Distancia a la ET 
'[km']]]/(INPUTS[[#This Row],[Tiempo a la ET
'[min']]]/60)</f>
        <v>#DIV/0!</v>
      </c>
      <c r="AA54" s="787"/>
      <c r="AB54" s="787"/>
      <c r="AC54" s="787" t="e">
        <f>INPUTS[[#This Row],[Distancia de ET al CA 
'[km']]]/(INPUTS[[#This Row],[Tiempo de ET a CA
'[min']]]/60)</f>
        <v>#DIV/0!</v>
      </c>
    </row>
    <row r="55" spans="1:29" s="773" customFormat="1" ht="15" hidden="1" customHeight="1" x14ac:dyDescent="0.25">
      <c r="A55" s="770">
        <v>152</v>
      </c>
      <c r="B55" s="770" t="s">
        <v>1064</v>
      </c>
      <c r="C55" s="770" t="s">
        <v>1088</v>
      </c>
      <c r="D55" s="771">
        <v>5847</v>
      </c>
      <c r="E55" s="771">
        <v>5847</v>
      </c>
      <c r="F55" s="771">
        <v>0.92</v>
      </c>
      <c r="G55" s="771">
        <v>5.38</v>
      </c>
      <c r="H55" s="771">
        <v>10.76</v>
      </c>
      <c r="I55" s="770" t="s">
        <v>731</v>
      </c>
      <c r="J55" s="771">
        <v>2.4</v>
      </c>
      <c r="K55" s="771">
        <v>1</v>
      </c>
      <c r="L55" s="771">
        <v>3.85</v>
      </c>
      <c r="M55" s="770">
        <v>5</v>
      </c>
      <c r="N55" s="771">
        <v>2.62</v>
      </c>
      <c r="O55" s="771">
        <v>1.1074168797953965</v>
      </c>
      <c r="P55" s="771">
        <v>67</v>
      </c>
      <c r="Q55" s="771">
        <v>89.3</v>
      </c>
      <c r="R55" s="771">
        <f>INPUTS[[#This Row],[DISTANCIA LOCALIDA AL CA (KM)]]-((INPUTS[[#This Row],[ÁREA URBANA
'[km2']]]*4/PI())^0.5)/2</f>
        <v>88.386779379447916</v>
      </c>
      <c r="S55" s="771">
        <f>INPUTS[[#This Row],[Distancia L3
'[Regional']]]/(INPUTS[[#This Row],[TIEMPO LOCALIDA AL CA (MINUTOS)]]/60)</f>
        <v>79.152339742789181</v>
      </c>
      <c r="T55" s="772" t="s">
        <v>961</v>
      </c>
      <c r="U55" s="771">
        <v>41</v>
      </c>
      <c r="V55" s="771">
        <v>40896</v>
      </c>
      <c r="W55" s="771">
        <v>0</v>
      </c>
      <c r="X55" s="787"/>
      <c r="Y55" s="787"/>
      <c r="Z55" s="787" t="e">
        <f>INPUTS[[#This Row],[Distancia a la ET 
'[km']]]/(INPUTS[[#This Row],[Tiempo a la ET
'[min']]]/60)</f>
        <v>#DIV/0!</v>
      </c>
      <c r="AA55" s="787"/>
      <c r="AB55" s="787"/>
      <c r="AC55" s="787" t="e">
        <f>INPUTS[[#This Row],[Distancia de ET al CA 
'[km']]]/(INPUTS[[#This Row],[Tiempo de ET a CA
'[min']]]/60)</f>
        <v>#DIV/0!</v>
      </c>
    </row>
    <row r="56" spans="1:29" ht="15" hidden="1" customHeight="1" x14ac:dyDescent="0.25">
      <c r="A56" s="167">
        <v>140</v>
      </c>
      <c r="B56" s="167" t="s">
        <v>968</v>
      </c>
      <c r="C56" s="167" t="s">
        <v>1076</v>
      </c>
      <c r="D56" s="381">
        <v>24847</v>
      </c>
      <c r="E56" s="381">
        <v>24847</v>
      </c>
      <c r="F56" s="381">
        <v>1.06</v>
      </c>
      <c r="G56" s="381">
        <v>26.34</v>
      </c>
      <c r="H56" s="381">
        <v>52.68</v>
      </c>
      <c r="I56" s="167" t="s">
        <v>731</v>
      </c>
      <c r="J56" s="381">
        <v>0.26</v>
      </c>
      <c r="K56" s="381">
        <v>0</v>
      </c>
      <c r="L56" s="381">
        <v>1.45</v>
      </c>
      <c r="M56" s="167">
        <v>5</v>
      </c>
      <c r="N56" s="381">
        <v>0.7</v>
      </c>
      <c r="O56" s="381">
        <v>1.6484149855907781</v>
      </c>
      <c r="P56" s="381">
        <v>17</v>
      </c>
      <c r="Q56" s="381">
        <v>12.5</v>
      </c>
      <c r="R56" s="381">
        <f>INPUTS[[#This Row],[DISTANCIA LOCALIDA AL CA (KM)]]-((INPUTS[[#This Row],[ÁREA URBANA
'[km2']]]*4/PI())^0.5)/2</f>
        <v>12.027965128058685</v>
      </c>
      <c r="S56" s="381">
        <f>INPUTS[[#This Row],[Distancia L3
'[Regional']]]/(INPUTS[[#This Row],[TIEMPO LOCALIDA AL CA (MINUTOS)]]/60)</f>
        <v>42.451641628442424</v>
      </c>
      <c r="T56" s="198" t="s">
        <v>970</v>
      </c>
      <c r="U56" s="381">
        <v>60.419999999999995</v>
      </c>
      <c r="V56" s="381">
        <v>56989</v>
      </c>
      <c r="W56" s="381">
        <v>0</v>
      </c>
      <c r="X56" s="787"/>
      <c r="Y56" s="787"/>
      <c r="Z56" s="787" t="e">
        <f>INPUTS[[#This Row],[Distancia a la ET 
'[km']]]/(INPUTS[[#This Row],[Tiempo a la ET
'[min']]]/60)</f>
        <v>#DIV/0!</v>
      </c>
      <c r="AA56" s="787"/>
      <c r="AB56" s="787"/>
      <c r="AC56" s="787" t="e">
        <f>INPUTS[[#This Row],[Distancia de ET al CA 
'[km']]]/(INPUTS[[#This Row],[Tiempo de ET a CA
'[min']]]/60)</f>
        <v>#DIV/0!</v>
      </c>
    </row>
    <row r="57" spans="1:29" ht="15" hidden="1" customHeight="1" x14ac:dyDescent="0.25">
      <c r="A57" s="167">
        <v>47</v>
      </c>
      <c r="B57" s="167" t="s">
        <v>949</v>
      </c>
      <c r="C57" s="167" t="s">
        <v>949</v>
      </c>
      <c r="D57" s="381">
        <v>10995</v>
      </c>
      <c r="E57" s="381">
        <v>10995</v>
      </c>
      <c r="F57" s="381">
        <v>0.92</v>
      </c>
      <c r="G57" s="381">
        <v>10.119999999999999</v>
      </c>
      <c r="H57" s="381">
        <v>20.239999999999998</v>
      </c>
      <c r="I57" s="167" t="s">
        <v>731</v>
      </c>
      <c r="J57" s="381">
        <v>0</v>
      </c>
      <c r="K57" s="381">
        <v>0.25</v>
      </c>
      <c r="L57" s="381">
        <v>1.58</v>
      </c>
      <c r="M57" s="167">
        <v>6</v>
      </c>
      <c r="N57" s="381">
        <v>2.5</v>
      </c>
      <c r="O57" s="381">
        <v>2.6189385261550209</v>
      </c>
      <c r="P57" s="381">
        <v>37</v>
      </c>
      <c r="Q57" s="381">
        <v>36.9</v>
      </c>
      <c r="R57" s="381">
        <f>INPUTS[[#This Row],[DISTANCIA LOCALIDA AL CA (KM)]]-((INPUTS[[#This Row],[ÁREA URBANA
'[km2']]]*4/PI())^0.5)/2</f>
        <v>36.007937941923615</v>
      </c>
      <c r="S57" s="381">
        <f>INPUTS[[#This Row],[Distancia L3
'[Regional']]]/(INPUTS[[#This Row],[TIEMPO LOCALIDA AL CA (MINUTOS)]]/60)</f>
        <v>58.391250716632889</v>
      </c>
      <c r="T57" s="198" t="s">
        <v>950</v>
      </c>
      <c r="U57" s="381">
        <v>56.279999999999994</v>
      </c>
      <c r="V57" s="381">
        <v>55686</v>
      </c>
      <c r="W57" s="381">
        <v>0</v>
      </c>
      <c r="X57" s="787"/>
      <c r="Y57" s="787"/>
      <c r="Z57" s="787" t="e">
        <f>INPUTS[[#This Row],[Distancia a la ET 
'[km']]]/(INPUTS[[#This Row],[Tiempo a la ET
'[min']]]/60)</f>
        <v>#DIV/0!</v>
      </c>
      <c r="AA57" s="787"/>
      <c r="AB57" s="787"/>
      <c r="AC57" s="787" t="e">
        <f>INPUTS[[#This Row],[Distancia de ET al CA 
'[km']]]/(INPUTS[[#This Row],[Tiempo de ET a CA
'[min']]]/60)</f>
        <v>#DIV/0!</v>
      </c>
    </row>
    <row r="58" spans="1:29" ht="15" hidden="1" customHeight="1" x14ac:dyDescent="0.25">
      <c r="A58" s="167">
        <v>145</v>
      </c>
      <c r="B58" s="167" t="s">
        <v>985</v>
      </c>
      <c r="C58" s="167" t="s">
        <v>1081</v>
      </c>
      <c r="D58" s="381">
        <v>1698</v>
      </c>
      <c r="E58" s="381">
        <v>1698</v>
      </c>
      <c r="F58" s="381">
        <v>0.92</v>
      </c>
      <c r="G58" s="381">
        <v>1.56</v>
      </c>
      <c r="H58" s="381">
        <v>3.12</v>
      </c>
      <c r="I58" s="167" t="s">
        <v>810</v>
      </c>
      <c r="J58" s="381">
        <v>1.57</v>
      </c>
      <c r="K58" s="381">
        <v>0</v>
      </c>
      <c r="L58" s="381">
        <v>1.77</v>
      </c>
      <c r="M58" s="167">
        <v>5</v>
      </c>
      <c r="N58" s="381">
        <v>1.04</v>
      </c>
      <c r="O58" s="381">
        <v>2.4215938303341904</v>
      </c>
      <c r="P58" s="381">
        <v>40</v>
      </c>
      <c r="Q58" s="381">
        <v>53.7</v>
      </c>
      <c r="R58" s="381">
        <f>INPUTS[[#This Row],[DISTANCIA LOCALIDA AL CA (KM)]]-((INPUTS[[#This Row],[ÁREA URBANA
'[km2']]]*4/PI())^0.5)/2</f>
        <v>53.124637260824841</v>
      </c>
      <c r="S58" s="381">
        <f>INPUTS[[#This Row],[Distancia L3
'[Regional']]]/(INPUTS[[#This Row],[TIEMPO LOCALIDA AL CA (MINUTOS)]]/60)</f>
        <v>79.686955891237261</v>
      </c>
      <c r="T58" s="198" t="s">
        <v>981</v>
      </c>
      <c r="U58" s="381">
        <v>488.89000000000004</v>
      </c>
      <c r="V58" s="381">
        <v>476675</v>
      </c>
      <c r="W58" s="381">
        <v>0</v>
      </c>
      <c r="X58" s="787"/>
      <c r="Y58" s="787"/>
      <c r="Z58" s="787" t="e">
        <f>INPUTS[[#This Row],[Distancia a la ET 
'[km']]]/(INPUTS[[#This Row],[Tiempo a la ET
'[min']]]/60)</f>
        <v>#DIV/0!</v>
      </c>
      <c r="AA58" s="787"/>
      <c r="AB58" s="787"/>
      <c r="AC58" s="787" t="e">
        <f>INPUTS[[#This Row],[Distancia de ET al CA 
'[km']]]/(INPUTS[[#This Row],[Tiempo de ET a CA
'[min']]]/60)</f>
        <v>#DIV/0!</v>
      </c>
    </row>
    <row r="59" spans="1:29" ht="15" hidden="1" customHeight="1" x14ac:dyDescent="0.25">
      <c r="A59" s="167">
        <v>127</v>
      </c>
      <c r="B59" s="167" t="s">
        <v>1061</v>
      </c>
      <c r="C59" s="167" t="s">
        <v>1061</v>
      </c>
      <c r="D59" s="381">
        <v>10377</v>
      </c>
      <c r="E59" s="381">
        <v>10377</v>
      </c>
      <c r="F59" s="381">
        <v>0.92</v>
      </c>
      <c r="G59" s="381">
        <v>9.5500000000000007</v>
      </c>
      <c r="H59" s="381">
        <v>19.100000000000001</v>
      </c>
      <c r="I59" s="167" t="s">
        <v>731</v>
      </c>
      <c r="J59" s="381">
        <v>0</v>
      </c>
      <c r="K59" s="381">
        <v>0.4</v>
      </c>
      <c r="L59" s="381">
        <v>1.8</v>
      </c>
      <c r="M59" s="167">
        <v>6</v>
      </c>
      <c r="N59" s="381">
        <v>3.2</v>
      </c>
      <c r="O59" s="381">
        <v>2.3556962025316457</v>
      </c>
      <c r="P59" s="381">
        <v>48</v>
      </c>
      <c r="Q59" s="381">
        <v>60</v>
      </c>
      <c r="R59" s="381">
        <f>INPUTS[[#This Row],[DISTANCIA LOCALIDA AL CA (KM)]]-((INPUTS[[#This Row],[ÁREA URBANA
'[km2']]]*4/PI())^0.5)/2</f>
        <v>58.990746991191934</v>
      </c>
      <c r="S59" s="381">
        <f>INPUTS[[#This Row],[Distancia L3
'[Regional']]]/(INPUTS[[#This Row],[TIEMPO LOCALIDA AL CA (MINUTOS)]]/60)</f>
        <v>73.738433738989912</v>
      </c>
      <c r="T59" s="198" t="s">
        <v>923</v>
      </c>
      <c r="U59" s="381">
        <v>84.149999999999991</v>
      </c>
      <c r="V59" s="381">
        <v>83517</v>
      </c>
      <c r="W59" s="381">
        <v>0</v>
      </c>
      <c r="X59" s="787"/>
      <c r="Y59" s="787"/>
      <c r="Z59" s="787" t="e">
        <f>INPUTS[[#This Row],[Distancia a la ET 
'[km']]]/(INPUTS[[#This Row],[Tiempo a la ET
'[min']]]/60)</f>
        <v>#DIV/0!</v>
      </c>
      <c r="AA59" s="787"/>
      <c r="AB59" s="787"/>
      <c r="AC59" s="787" t="e">
        <f>INPUTS[[#This Row],[Distancia de ET al CA 
'[km']]]/(INPUTS[[#This Row],[Tiempo de ET a CA
'[min']]]/60)</f>
        <v>#DIV/0!</v>
      </c>
    </row>
    <row r="60" spans="1:29" ht="15" hidden="1" customHeight="1" x14ac:dyDescent="0.25">
      <c r="A60" s="167">
        <v>153</v>
      </c>
      <c r="B60" s="167" t="s">
        <v>1069</v>
      </c>
      <c r="C60" s="167" t="s">
        <v>1089</v>
      </c>
      <c r="D60" s="381">
        <v>8954</v>
      </c>
      <c r="E60" s="381">
        <v>8954</v>
      </c>
      <c r="F60" s="381">
        <v>0.92</v>
      </c>
      <c r="G60" s="381">
        <v>8.24</v>
      </c>
      <c r="H60" s="381">
        <v>16.48</v>
      </c>
      <c r="I60" s="167" t="s">
        <v>731</v>
      </c>
      <c r="J60" s="381">
        <v>0</v>
      </c>
      <c r="K60" s="381">
        <v>0.44</v>
      </c>
      <c r="L60" s="381">
        <v>1.9</v>
      </c>
      <c r="M60" s="167">
        <v>3</v>
      </c>
      <c r="N60" s="381">
        <v>2.39</v>
      </c>
      <c r="O60" s="381">
        <v>2.9861033907726515</v>
      </c>
      <c r="P60" s="381">
        <v>17</v>
      </c>
      <c r="Q60" s="381">
        <v>22.7</v>
      </c>
      <c r="R60" s="381">
        <f>INPUTS[[#This Row],[DISTANCIA LOCALIDA AL CA (KM)]]-((INPUTS[[#This Row],[ÁREA URBANA
'[km2']]]*4/PI())^0.5)/2</f>
        <v>21.82778407032475</v>
      </c>
      <c r="S60" s="381">
        <f>INPUTS[[#This Row],[Distancia L3
'[Regional']]]/(INPUTS[[#This Row],[TIEMPO LOCALIDA AL CA (MINUTOS)]]/60)</f>
        <v>77.039237895263824</v>
      </c>
      <c r="T60" s="198" t="s">
        <v>1090</v>
      </c>
      <c r="U60" s="381">
        <v>35.57</v>
      </c>
      <c r="V60" s="381">
        <v>34737</v>
      </c>
      <c r="W60" s="381">
        <v>0</v>
      </c>
      <c r="X60" s="787"/>
      <c r="Y60" s="787"/>
      <c r="Z60" s="787" t="e">
        <f>INPUTS[[#This Row],[Distancia a la ET 
'[km']]]/(INPUTS[[#This Row],[Tiempo a la ET
'[min']]]/60)</f>
        <v>#DIV/0!</v>
      </c>
      <c r="AA60" s="787"/>
      <c r="AB60" s="787"/>
      <c r="AC60" s="787" t="e">
        <f>INPUTS[[#This Row],[Distancia de ET al CA 
'[km']]]/(INPUTS[[#This Row],[Tiempo de ET a CA
'[min']]]/60)</f>
        <v>#DIV/0!</v>
      </c>
    </row>
    <row r="61" spans="1:29" ht="15" hidden="1" customHeight="1" x14ac:dyDescent="0.25">
      <c r="A61" s="167">
        <v>45</v>
      </c>
      <c r="B61" s="167" t="s">
        <v>946</v>
      </c>
      <c r="C61" s="167" t="s">
        <v>946</v>
      </c>
      <c r="D61" s="381">
        <v>5729</v>
      </c>
      <c r="E61" s="381">
        <v>5729</v>
      </c>
      <c r="F61" s="381">
        <v>0.92</v>
      </c>
      <c r="G61" s="381">
        <v>5.27</v>
      </c>
      <c r="H61" s="381">
        <v>10.54</v>
      </c>
      <c r="I61" s="167" t="s">
        <v>731</v>
      </c>
      <c r="J61" s="381">
        <v>0</v>
      </c>
      <c r="K61" s="381">
        <v>0.52</v>
      </c>
      <c r="L61" s="381">
        <v>1.93</v>
      </c>
      <c r="M61" s="167">
        <v>5</v>
      </c>
      <c r="N61" s="381">
        <v>2.0099999999999998</v>
      </c>
      <c r="O61" s="381">
        <v>2.4727793696275073</v>
      </c>
      <c r="P61" s="381">
        <v>48</v>
      </c>
      <c r="Q61" s="381">
        <v>73</v>
      </c>
      <c r="R61" s="381">
        <f>INPUTS[[#This Row],[DISTANCIA LOCALIDA AL CA (KM)]]-((INPUTS[[#This Row],[ÁREA URBANA
'[km2']]]*4/PI())^0.5)/2</f>
        <v>72.200123214970318</v>
      </c>
      <c r="S61" s="381">
        <f>INPUTS[[#This Row],[Distancia L3
'[Regional']]]/(INPUTS[[#This Row],[TIEMPO LOCALIDA AL CA (MINUTOS)]]/60)</f>
        <v>90.250154018712891</v>
      </c>
      <c r="T61" s="198" t="s">
        <v>947</v>
      </c>
      <c r="U61" s="381">
        <v>60.579999999999991</v>
      </c>
      <c r="V61" s="381">
        <v>59694</v>
      </c>
      <c r="W61" s="381">
        <v>0</v>
      </c>
      <c r="X61" s="787"/>
      <c r="Y61" s="787"/>
      <c r="Z61" s="787" t="e">
        <f>INPUTS[[#This Row],[Distancia a la ET 
'[km']]]/(INPUTS[[#This Row],[Tiempo a la ET
'[min']]]/60)</f>
        <v>#DIV/0!</v>
      </c>
      <c r="AA61" s="787"/>
      <c r="AB61" s="787"/>
      <c r="AC61" s="787" t="e">
        <f>INPUTS[[#This Row],[Distancia de ET al CA 
'[km']]]/(INPUTS[[#This Row],[Tiempo de ET a CA
'[min']]]/60)</f>
        <v>#DIV/0!</v>
      </c>
    </row>
    <row r="62" spans="1:29" ht="15" hidden="1" customHeight="1" x14ac:dyDescent="0.25">
      <c r="A62" s="167">
        <v>128</v>
      </c>
      <c r="B62" s="167" t="s">
        <v>1062</v>
      </c>
      <c r="C62" s="167" t="s">
        <v>1063</v>
      </c>
      <c r="D62" s="381">
        <v>2761</v>
      </c>
      <c r="E62" s="381">
        <v>2761</v>
      </c>
      <c r="F62" s="381">
        <v>0.92</v>
      </c>
      <c r="G62" s="381">
        <v>2.54</v>
      </c>
      <c r="H62" s="381">
        <v>5.08</v>
      </c>
      <c r="I62" s="167" t="s">
        <v>810</v>
      </c>
      <c r="J62" s="381">
        <v>0.85</v>
      </c>
      <c r="K62" s="381">
        <v>0.29999999999999993</v>
      </c>
      <c r="L62" s="381">
        <v>2</v>
      </c>
      <c r="M62" s="167">
        <v>5</v>
      </c>
      <c r="N62" s="381">
        <v>2</v>
      </c>
      <c r="O62" s="381">
        <v>2.4200743494423791</v>
      </c>
      <c r="P62" s="381">
        <v>47</v>
      </c>
      <c r="Q62" s="381">
        <v>57.9</v>
      </c>
      <c r="R62" s="381">
        <f>INPUTS[[#This Row],[DISTANCIA LOCALIDA AL CA (KM)]]-((INPUTS[[#This Row],[ÁREA URBANA
'[km2']]]*4/PI())^0.5)/2</f>
        <v>57.102115439197135</v>
      </c>
      <c r="S62" s="381">
        <f>INPUTS[[#This Row],[Distancia L3
'[Regional']]]/(INPUTS[[#This Row],[TIEMPO LOCALIDA AL CA (MINUTOS)]]/60)</f>
        <v>72.896317581953795</v>
      </c>
      <c r="T62" s="198" t="s">
        <v>950</v>
      </c>
      <c r="U62" s="381">
        <v>56.279999999999994</v>
      </c>
      <c r="V62" s="381">
        <v>55686</v>
      </c>
      <c r="W62" s="381">
        <v>0</v>
      </c>
      <c r="X62" s="787"/>
      <c r="Y62" s="787"/>
      <c r="Z62" s="787" t="e">
        <f>INPUTS[[#This Row],[Distancia a la ET 
'[km']]]/(INPUTS[[#This Row],[Tiempo a la ET
'[min']]]/60)</f>
        <v>#DIV/0!</v>
      </c>
      <c r="AA62" s="787"/>
      <c r="AB62" s="787"/>
      <c r="AC62" s="787" t="e">
        <f>INPUTS[[#This Row],[Distancia de ET al CA 
'[km']]]/(INPUTS[[#This Row],[Tiempo de ET a CA
'[min']]]/60)</f>
        <v>#DIV/0!</v>
      </c>
    </row>
    <row r="63" spans="1:29" ht="15" hidden="1" customHeight="1" x14ac:dyDescent="0.25">
      <c r="A63" s="167">
        <v>70</v>
      </c>
      <c r="B63" s="167" t="s">
        <v>985</v>
      </c>
      <c r="C63" s="167" t="s">
        <v>985</v>
      </c>
      <c r="D63" s="381">
        <v>3330</v>
      </c>
      <c r="E63" s="381">
        <v>3330</v>
      </c>
      <c r="F63" s="381">
        <v>0.92</v>
      </c>
      <c r="G63" s="381">
        <v>3.06</v>
      </c>
      <c r="H63" s="381">
        <v>6.12</v>
      </c>
      <c r="I63" s="167" t="s">
        <v>810</v>
      </c>
      <c r="J63" s="381">
        <v>1.24</v>
      </c>
      <c r="K63" s="381">
        <v>0</v>
      </c>
      <c r="L63" s="381">
        <v>2.0499999999999998</v>
      </c>
      <c r="M63" s="167">
        <v>5</v>
      </c>
      <c r="N63" s="381">
        <v>1.34</v>
      </c>
      <c r="O63" s="381">
        <v>2.5061728395061729</v>
      </c>
      <c r="P63" s="381">
        <v>89</v>
      </c>
      <c r="Q63" s="381">
        <v>110</v>
      </c>
      <c r="R63" s="381">
        <f>INPUTS[[#This Row],[DISTANCIA LOCALIDA AL CA (KM)]]-((INPUTS[[#This Row],[ÁREA URBANA
'[km2']]]*4/PI())^0.5)/2</f>
        <v>109.34690333985981</v>
      </c>
      <c r="S63" s="381">
        <f>INPUTS[[#This Row],[Distancia L3
'[Regional']]]/(INPUTS[[#This Row],[TIEMPO LOCALIDA AL CA (MINUTOS)]]/60)</f>
        <v>73.717013487545941</v>
      </c>
      <c r="T63" s="198" t="s">
        <v>981</v>
      </c>
      <c r="U63" s="381">
        <v>488.89000000000004</v>
      </c>
      <c r="V63" s="381">
        <v>476675</v>
      </c>
      <c r="W63" s="381">
        <v>0</v>
      </c>
      <c r="X63" s="787"/>
      <c r="Y63" s="787"/>
      <c r="Z63" s="787" t="e">
        <f>INPUTS[[#This Row],[Distancia a la ET 
'[km']]]/(INPUTS[[#This Row],[Tiempo a la ET
'[min']]]/60)</f>
        <v>#DIV/0!</v>
      </c>
      <c r="AA63" s="787"/>
      <c r="AB63" s="787"/>
      <c r="AC63" s="787" t="e">
        <f>INPUTS[[#This Row],[Distancia de ET al CA 
'[km']]]/(INPUTS[[#This Row],[Tiempo de ET a CA
'[min']]]/60)</f>
        <v>#DIV/0!</v>
      </c>
    </row>
    <row r="64" spans="1:29" ht="15" hidden="1" customHeight="1" x14ac:dyDescent="0.25">
      <c r="A64" s="167">
        <v>91</v>
      </c>
      <c r="B64" s="167" t="s">
        <v>1014</v>
      </c>
      <c r="C64" s="167" t="s">
        <v>1014</v>
      </c>
      <c r="D64" s="381">
        <v>10149</v>
      </c>
      <c r="E64" s="381">
        <v>10149</v>
      </c>
      <c r="F64" s="381">
        <v>0.92</v>
      </c>
      <c r="G64" s="381">
        <v>9.34</v>
      </c>
      <c r="H64" s="381">
        <v>18.68</v>
      </c>
      <c r="I64" s="167" t="s">
        <v>731</v>
      </c>
      <c r="J64" s="381">
        <v>0</v>
      </c>
      <c r="K64" s="381">
        <v>0.69</v>
      </c>
      <c r="L64" s="381">
        <v>2.0499999999999998</v>
      </c>
      <c r="M64" s="167">
        <v>4</v>
      </c>
      <c r="N64" s="381">
        <v>3.4</v>
      </c>
      <c r="O64" s="381">
        <v>2.471619365609349</v>
      </c>
      <c r="P64" s="381">
        <v>48</v>
      </c>
      <c r="Q64" s="381">
        <v>80.099999999999994</v>
      </c>
      <c r="R64" s="381">
        <f>INPUTS[[#This Row],[DISTANCIA LOCALIDA AL CA (KM)]]-((INPUTS[[#This Row],[ÁREA URBANA
'[km2']]]*4/PI())^0.5)/2</f>
        <v>79.059685810427979</v>
      </c>
      <c r="S64" s="381">
        <f>INPUTS[[#This Row],[Distancia L3
'[Regional']]]/(INPUTS[[#This Row],[TIEMPO LOCALIDA AL CA (MINUTOS)]]/60)</f>
        <v>98.824607263034963</v>
      </c>
      <c r="T64" s="198" t="s">
        <v>921</v>
      </c>
      <c r="U64" s="381">
        <v>31.44</v>
      </c>
      <c r="V64" s="381">
        <v>31094</v>
      </c>
      <c r="W64" s="381">
        <v>0</v>
      </c>
      <c r="X64" s="787"/>
      <c r="Y64" s="787"/>
      <c r="Z64" s="787" t="e">
        <f>INPUTS[[#This Row],[Distancia a la ET 
'[km']]]/(INPUTS[[#This Row],[Tiempo a la ET
'[min']]]/60)</f>
        <v>#DIV/0!</v>
      </c>
      <c r="AA64" s="787"/>
      <c r="AB64" s="787"/>
      <c r="AC64" s="787" t="e">
        <f>INPUTS[[#This Row],[Distancia de ET al CA 
'[km']]]/(INPUTS[[#This Row],[Tiempo de ET a CA
'[min']]]/60)</f>
        <v>#DIV/0!</v>
      </c>
    </row>
    <row r="65" spans="1:29" ht="15" hidden="1" customHeight="1" x14ac:dyDescent="0.25">
      <c r="A65" s="167">
        <v>83</v>
      </c>
      <c r="B65" s="167" t="s">
        <v>1004</v>
      </c>
      <c r="C65" s="167" t="s">
        <v>1004</v>
      </c>
      <c r="D65" s="381">
        <v>10974</v>
      </c>
      <c r="E65" s="381">
        <v>10974</v>
      </c>
      <c r="F65" s="381">
        <v>0.92</v>
      </c>
      <c r="G65" s="381">
        <v>10.1</v>
      </c>
      <c r="H65" s="381">
        <v>20.2</v>
      </c>
      <c r="I65" s="167" t="s">
        <v>731</v>
      </c>
      <c r="J65" s="381">
        <v>0</v>
      </c>
      <c r="K65" s="381">
        <v>0.75</v>
      </c>
      <c r="L65" s="381">
        <v>2.25</v>
      </c>
      <c r="M65" s="167">
        <v>5</v>
      </c>
      <c r="N65" s="381">
        <v>3.42</v>
      </c>
      <c r="O65" s="381">
        <v>2.5358577165806082</v>
      </c>
      <c r="P65" s="381">
        <v>79</v>
      </c>
      <c r="Q65" s="381">
        <v>115</v>
      </c>
      <c r="R65" s="381">
        <f>INPUTS[[#This Row],[DISTANCIA LOCALIDA AL CA (KM)]]-((INPUTS[[#This Row],[ÁREA URBANA
'[km2']]]*4/PI())^0.5)/2</f>
        <v>113.9566305492547</v>
      </c>
      <c r="S65" s="381">
        <f>INPUTS[[#This Row],[Distancia L3
'[Regional']]]/(INPUTS[[#This Row],[TIEMPO LOCALIDA AL CA (MINUTOS)]]/60)</f>
        <v>86.54933965766179</v>
      </c>
      <c r="T65" s="198" t="s">
        <v>961</v>
      </c>
      <c r="U65" s="381">
        <v>41</v>
      </c>
      <c r="V65" s="381">
        <v>40896</v>
      </c>
      <c r="W65" s="381">
        <v>0</v>
      </c>
      <c r="X65" s="787"/>
      <c r="Y65" s="787"/>
      <c r="Z65" s="787" t="e">
        <f>INPUTS[[#This Row],[Distancia a la ET 
'[km']]]/(INPUTS[[#This Row],[Tiempo a la ET
'[min']]]/60)</f>
        <v>#DIV/0!</v>
      </c>
      <c r="AA65" s="787"/>
      <c r="AB65" s="787"/>
      <c r="AC65" s="787" t="e">
        <f>INPUTS[[#This Row],[Distancia de ET al CA 
'[km']]]/(INPUTS[[#This Row],[Tiempo de ET a CA
'[min']]]/60)</f>
        <v>#DIV/0!</v>
      </c>
    </row>
    <row r="66" spans="1:29" ht="15" hidden="1" customHeight="1" x14ac:dyDescent="0.25">
      <c r="A66" s="167">
        <v>63</v>
      </c>
      <c r="B66" s="167" t="s">
        <v>975</v>
      </c>
      <c r="C66" s="167" t="s">
        <v>975</v>
      </c>
      <c r="D66" s="381">
        <v>10584</v>
      </c>
      <c r="E66" s="381">
        <v>10584</v>
      </c>
      <c r="F66" s="381">
        <v>0.92</v>
      </c>
      <c r="G66" s="381">
        <v>9.74</v>
      </c>
      <c r="H66" s="381">
        <v>19.48</v>
      </c>
      <c r="I66" s="167" t="s">
        <v>731</v>
      </c>
      <c r="J66" s="381">
        <v>0</v>
      </c>
      <c r="K66" s="381">
        <v>0.45</v>
      </c>
      <c r="L66" s="381">
        <v>2.29</v>
      </c>
      <c r="M66" s="167">
        <v>5</v>
      </c>
      <c r="N66" s="381">
        <v>3.32</v>
      </c>
      <c r="O66" s="381">
        <v>2.9697336561743342</v>
      </c>
      <c r="P66" s="381">
        <v>44</v>
      </c>
      <c r="Q66" s="381">
        <v>55.2</v>
      </c>
      <c r="R66" s="381">
        <f>INPUTS[[#This Row],[DISTANCIA LOCALIDA AL CA (KM)]]-((INPUTS[[#This Row],[ÁREA URBANA
'[km2']]]*4/PI())^0.5)/2</f>
        <v>54.171997654608617</v>
      </c>
      <c r="S66" s="381">
        <f>INPUTS[[#This Row],[Distancia L3
'[Regional']]]/(INPUTS[[#This Row],[TIEMPO LOCALIDA AL CA (MINUTOS)]]/60)</f>
        <v>73.870905892648125</v>
      </c>
      <c r="T66" s="198" t="s">
        <v>908</v>
      </c>
      <c r="U66" s="381">
        <v>122.92</v>
      </c>
      <c r="V66" s="381">
        <v>117358</v>
      </c>
      <c r="W66" s="381">
        <v>0</v>
      </c>
      <c r="X66" s="787"/>
      <c r="Y66" s="787"/>
      <c r="Z66" s="787" t="e">
        <f>INPUTS[[#This Row],[Distancia a la ET 
'[km']]]/(INPUTS[[#This Row],[Tiempo a la ET
'[min']]]/60)</f>
        <v>#DIV/0!</v>
      </c>
      <c r="AA66" s="787"/>
      <c r="AB66" s="787"/>
      <c r="AC66" s="787" t="e">
        <f>INPUTS[[#This Row],[Distancia de ET al CA 
'[km']]]/(INPUTS[[#This Row],[Tiempo de ET a CA
'[min']]]/60)</f>
        <v>#DIV/0!</v>
      </c>
    </row>
    <row r="67" spans="1:29" ht="15" hidden="1" customHeight="1" x14ac:dyDescent="0.25">
      <c r="A67" s="167">
        <v>44</v>
      </c>
      <c r="B67" s="167" t="s">
        <v>945</v>
      </c>
      <c r="C67" s="167" t="s">
        <v>945</v>
      </c>
      <c r="D67" s="381">
        <v>22111</v>
      </c>
      <c r="E67" s="381">
        <v>22111</v>
      </c>
      <c r="F67" s="381">
        <v>1.06</v>
      </c>
      <c r="G67" s="381">
        <v>23.44</v>
      </c>
      <c r="H67" s="381">
        <v>46.88</v>
      </c>
      <c r="I67" s="167" t="s">
        <v>731</v>
      </c>
      <c r="J67" s="381">
        <v>0</v>
      </c>
      <c r="K67" s="381">
        <v>0.51</v>
      </c>
      <c r="L67" s="381">
        <v>2.33</v>
      </c>
      <c r="M67" s="167">
        <v>6</v>
      </c>
      <c r="N67" s="381">
        <v>6.06</v>
      </c>
      <c r="O67" s="381">
        <v>2.5323671497584539</v>
      </c>
      <c r="P67" s="381">
        <v>6</v>
      </c>
      <c r="Q67" s="381">
        <v>2.4</v>
      </c>
      <c r="R67" s="381">
        <f>INPUTS[[#This Row],[DISTANCIA LOCALIDA AL CA (KM)]]-((INPUTS[[#This Row],[ÁREA URBANA
'[km2']]]*4/PI())^0.5)/2</f>
        <v>1.0111307079952514</v>
      </c>
      <c r="S67" s="381">
        <f>INPUTS[[#This Row],[Distancia L3
'[Regional']]]/(INPUTS[[#This Row],[TIEMPO LOCALIDA AL CA (MINUTOS)]]/60)</f>
        <v>10.111307079952514</v>
      </c>
      <c r="T67" s="198" t="s">
        <v>910</v>
      </c>
      <c r="U67" s="381">
        <v>109.77</v>
      </c>
      <c r="V67" s="381">
        <v>103552</v>
      </c>
      <c r="W67" s="381">
        <v>0</v>
      </c>
      <c r="X67" s="787"/>
      <c r="Y67" s="787"/>
      <c r="Z67" s="787" t="e">
        <f>INPUTS[[#This Row],[Distancia a la ET 
'[km']]]/(INPUTS[[#This Row],[Tiempo a la ET
'[min']]]/60)</f>
        <v>#DIV/0!</v>
      </c>
      <c r="AA67" s="787"/>
      <c r="AB67" s="787"/>
      <c r="AC67" s="787" t="e">
        <f>INPUTS[[#This Row],[Distancia de ET al CA 
'[km']]]/(INPUTS[[#This Row],[Tiempo de ET a CA
'[min']]]/60)</f>
        <v>#DIV/0!</v>
      </c>
    </row>
    <row r="68" spans="1:29" ht="15" hidden="1" customHeight="1" x14ac:dyDescent="0.25">
      <c r="A68" s="167">
        <v>61</v>
      </c>
      <c r="B68" s="167" t="s">
        <v>971</v>
      </c>
      <c r="C68" s="167" t="s">
        <v>971</v>
      </c>
      <c r="D68" s="381">
        <v>9875</v>
      </c>
      <c r="E68" s="381">
        <v>9875</v>
      </c>
      <c r="F68" s="381">
        <v>0.92</v>
      </c>
      <c r="G68" s="381">
        <v>9.09</v>
      </c>
      <c r="H68" s="381">
        <v>18.18</v>
      </c>
      <c r="I68" s="167" t="s">
        <v>731</v>
      </c>
      <c r="J68" s="381">
        <v>0</v>
      </c>
      <c r="K68" s="381">
        <v>1.04</v>
      </c>
      <c r="L68" s="381">
        <v>2.38</v>
      </c>
      <c r="M68" s="167">
        <v>5</v>
      </c>
      <c r="N68" s="381">
        <v>2.27</v>
      </c>
      <c r="O68" s="381">
        <v>2.5235766678309464</v>
      </c>
      <c r="P68" s="381">
        <v>44</v>
      </c>
      <c r="Q68" s="381">
        <v>60.1</v>
      </c>
      <c r="R68" s="381">
        <f>INPUTS[[#This Row],[DISTANCIA LOCALIDA AL CA (KM)]]-((INPUTS[[#This Row],[ÁREA URBANA
'[km2']]]*4/PI())^0.5)/2</f>
        <v>59.249962682209066</v>
      </c>
      <c r="S68" s="381">
        <f>INPUTS[[#This Row],[Distancia L3
'[Regional']]]/(INPUTS[[#This Row],[TIEMPO LOCALIDA AL CA (MINUTOS)]]/60)</f>
        <v>80.795403657557827</v>
      </c>
      <c r="T68" s="198" t="s">
        <v>947</v>
      </c>
      <c r="U68" s="381">
        <v>60.579999999999991</v>
      </c>
      <c r="V68" s="381">
        <v>59694</v>
      </c>
      <c r="W68" s="381">
        <v>0</v>
      </c>
      <c r="X68" s="787"/>
      <c r="Y68" s="787"/>
      <c r="Z68" s="787" t="e">
        <f>INPUTS[[#This Row],[Distancia a la ET 
'[km']]]/(INPUTS[[#This Row],[Tiempo a la ET
'[min']]]/60)</f>
        <v>#DIV/0!</v>
      </c>
      <c r="AA68" s="787"/>
      <c r="AB68" s="787"/>
      <c r="AC68" s="787" t="e">
        <f>INPUTS[[#This Row],[Distancia de ET al CA 
'[km']]]/(INPUTS[[#This Row],[Tiempo de ET a CA
'[min']]]/60)</f>
        <v>#DIV/0!</v>
      </c>
    </row>
    <row r="69" spans="1:29" ht="15" hidden="1" customHeight="1" x14ac:dyDescent="0.25">
      <c r="A69" s="167">
        <v>142</v>
      </c>
      <c r="B69" s="167" t="s">
        <v>976</v>
      </c>
      <c r="C69" s="167" t="s">
        <v>1078</v>
      </c>
      <c r="D69" s="381">
        <v>3053</v>
      </c>
      <c r="E69" s="381">
        <v>3053</v>
      </c>
      <c r="F69" s="381">
        <v>0.92</v>
      </c>
      <c r="G69" s="381">
        <v>2.81</v>
      </c>
      <c r="H69" s="381">
        <v>5.62</v>
      </c>
      <c r="I69" s="167" t="s">
        <v>810</v>
      </c>
      <c r="J69" s="381">
        <v>1.68</v>
      </c>
      <c r="K69" s="381">
        <v>0</v>
      </c>
      <c r="L69" s="381">
        <v>2.4500000000000002</v>
      </c>
      <c r="M69" s="167">
        <v>5</v>
      </c>
      <c r="N69" s="381">
        <v>1.8</v>
      </c>
      <c r="O69" s="381">
        <v>2.2841444270015701</v>
      </c>
      <c r="P69" s="381">
        <v>12</v>
      </c>
      <c r="Q69" s="381">
        <v>13</v>
      </c>
      <c r="R69" s="381">
        <f>INPUTS[[#This Row],[DISTANCIA LOCALIDA AL CA (KM)]]-((INPUTS[[#This Row],[ÁREA URBANA
'[km2']]]*4/PI())^0.5)/2</f>
        <v>12.243060243393952</v>
      </c>
      <c r="S69" s="381">
        <f>INPUTS[[#This Row],[Distancia L3
'[Regional']]]/(INPUTS[[#This Row],[TIEMPO LOCALIDA AL CA (MINUTOS)]]/60)</f>
        <v>61.215301216969756</v>
      </c>
      <c r="T69" s="198" t="s">
        <v>977</v>
      </c>
      <c r="U69" s="381">
        <v>11.89</v>
      </c>
      <c r="V69" s="381">
        <v>12927</v>
      </c>
      <c r="W69" s="381">
        <v>0</v>
      </c>
      <c r="X69" s="787"/>
      <c r="Y69" s="787"/>
      <c r="Z69" s="787" t="e">
        <f>INPUTS[[#This Row],[Distancia a la ET 
'[km']]]/(INPUTS[[#This Row],[Tiempo a la ET
'[min']]]/60)</f>
        <v>#DIV/0!</v>
      </c>
      <c r="AA69" s="787"/>
      <c r="AB69" s="787"/>
      <c r="AC69" s="787" t="e">
        <f>INPUTS[[#This Row],[Distancia de ET al CA 
'[km']]]/(INPUTS[[#This Row],[Tiempo de ET a CA
'[min']]]/60)</f>
        <v>#DIV/0!</v>
      </c>
    </row>
    <row r="70" spans="1:29" ht="15" hidden="1" customHeight="1" x14ac:dyDescent="0.25">
      <c r="A70" s="167">
        <v>64</v>
      </c>
      <c r="B70" s="167" t="s">
        <v>976</v>
      </c>
      <c r="C70" s="167" t="s">
        <v>976</v>
      </c>
      <c r="D70" s="381">
        <v>5359</v>
      </c>
      <c r="E70" s="381">
        <v>5359</v>
      </c>
      <c r="F70" s="381">
        <v>0.92</v>
      </c>
      <c r="G70" s="381">
        <v>4.93</v>
      </c>
      <c r="H70" s="381">
        <v>9.86</v>
      </c>
      <c r="I70" s="167" t="s">
        <v>731</v>
      </c>
      <c r="J70" s="381">
        <v>0</v>
      </c>
      <c r="K70" s="381">
        <v>0.92</v>
      </c>
      <c r="L70" s="381">
        <v>2.4500000000000002</v>
      </c>
      <c r="M70" s="167">
        <v>5</v>
      </c>
      <c r="N70" s="381">
        <v>1.9</v>
      </c>
      <c r="O70" s="381">
        <v>2.2959617428267802</v>
      </c>
      <c r="P70" s="381">
        <v>5</v>
      </c>
      <c r="Q70" s="381">
        <v>2.1</v>
      </c>
      <c r="R70" s="381">
        <f>INPUTS[[#This Row],[DISTANCIA LOCALIDA AL CA (KM)]]-((INPUTS[[#This Row],[ÁREA URBANA
'[km2']]]*4/PI())^0.5)/2</f>
        <v>1.3223183274956249</v>
      </c>
      <c r="S70" s="381">
        <f>INPUTS[[#This Row],[Distancia L3
'[Regional']]]/(INPUTS[[#This Row],[TIEMPO LOCALIDA AL CA (MINUTOS)]]/60)</f>
        <v>15.867819929947499</v>
      </c>
      <c r="T70" s="198" t="s">
        <v>977</v>
      </c>
      <c r="U70" s="381">
        <v>11.89</v>
      </c>
      <c r="V70" s="381">
        <v>12927</v>
      </c>
      <c r="W70" s="381">
        <v>0</v>
      </c>
      <c r="X70" s="787"/>
      <c r="Y70" s="787"/>
      <c r="Z70" s="787" t="e">
        <f>INPUTS[[#This Row],[Distancia a la ET 
'[km']]]/(INPUTS[[#This Row],[Tiempo a la ET
'[min']]]/60)</f>
        <v>#DIV/0!</v>
      </c>
      <c r="AA70" s="787"/>
      <c r="AB70" s="787"/>
      <c r="AC70" s="787" t="e">
        <f>INPUTS[[#This Row],[Distancia de ET al CA 
'[km']]]/(INPUTS[[#This Row],[Tiempo de ET a CA
'[min']]]/60)</f>
        <v>#DIV/0!</v>
      </c>
    </row>
    <row r="71" spans="1:29" ht="15" hidden="1" customHeight="1" x14ac:dyDescent="0.25">
      <c r="A71" s="167">
        <v>60</v>
      </c>
      <c r="B71" s="167" t="s">
        <v>968</v>
      </c>
      <c r="C71" s="167" t="s">
        <v>969</v>
      </c>
      <c r="D71" s="381">
        <v>15467</v>
      </c>
      <c r="E71" s="381">
        <v>15467</v>
      </c>
      <c r="F71" s="381">
        <v>1.06</v>
      </c>
      <c r="G71" s="381">
        <v>16.399999999999999</v>
      </c>
      <c r="H71" s="381">
        <v>32.799999999999997</v>
      </c>
      <c r="I71" s="167" t="s">
        <v>731</v>
      </c>
      <c r="J71" s="381">
        <v>0</v>
      </c>
      <c r="K71" s="381">
        <v>1.27</v>
      </c>
      <c r="L71" s="381">
        <v>2.4900000000000002</v>
      </c>
      <c r="M71" s="167">
        <v>5</v>
      </c>
      <c r="N71" s="381">
        <v>2.2400000000000002</v>
      </c>
      <c r="O71" s="381">
        <v>2.8364528996624729</v>
      </c>
      <c r="P71" s="381">
        <v>5</v>
      </c>
      <c r="Q71" s="381">
        <v>2</v>
      </c>
      <c r="R71" s="381">
        <f>INPUTS[[#This Row],[DISTANCIA LOCALIDA AL CA (KM)]]-((INPUTS[[#This Row],[ÁREA URBANA
'[km2']]]*4/PI())^0.5)/2</f>
        <v>1.1555983508710495</v>
      </c>
      <c r="S71" s="381">
        <f>INPUTS[[#This Row],[Distancia L3
'[Regional']]]/(INPUTS[[#This Row],[TIEMPO LOCALIDA AL CA (MINUTOS)]]/60)</f>
        <v>13.867180210452593</v>
      </c>
      <c r="T71" s="198" t="s">
        <v>970</v>
      </c>
      <c r="U71" s="381">
        <v>60.419999999999995</v>
      </c>
      <c r="V71" s="381">
        <v>56989</v>
      </c>
      <c r="W71" s="381">
        <v>0</v>
      </c>
      <c r="X71" s="787"/>
      <c r="Y71" s="787"/>
      <c r="Z71" s="787" t="e">
        <f>INPUTS[[#This Row],[Distancia a la ET 
'[km']]]/(INPUTS[[#This Row],[Tiempo a la ET
'[min']]]/60)</f>
        <v>#DIV/0!</v>
      </c>
      <c r="AA71" s="787"/>
      <c r="AB71" s="787"/>
      <c r="AC71" s="787" t="e">
        <f>INPUTS[[#This Row],[Distancia de ET al CA 
'[km']]]/(INPUTS[[#This Row],[Tiempo de ET a CA
'[min']]]/60)</f>
        <v>#DIV/0!</v>
      </c>
    </row>
    <row r="72" spans="1:29" ht="15" hidden="1" customHeight="1" x14ac:dyDescent="0.25">
      <c r="A72" s="167">
        <v>66</v>
      </c>
      <c r="B72" s="167" t="s">
        <v>979</v>
      </c>
      <c r="C72" s="167" t="s">
        <v>979</v>
      </c>
      <c r="D72" s="381">
        <v>1711</v>
      </c>
      <c r="E72" s="381">
        <v>1711</v>
      </c>
      <c r="F72" s="381">
        <v>0.92</v>
      </c>
      <c r="G72" s="381">
        <v>1.57</v>
      </c>
      <c r="H72" s="381">
        <v>3.14</v>
      </c>
      <c r="I72" s="167" t="s">
        <v>810</v>
      </c>
      <c r="J72" s="381">
        <v>1.35</v>
      </c>
      <c r="K72" s="381">
        <v>0</v>
      </c>
      <c r="L72" s="381">
        <v>2.5</v>
      </c>
      <c r="M72" s="167">
        <v>5</v>
      </c>
      <c r="N72" s="381">
        <v>0.86</v>
      </c>
      <c r="O72" s="381">
        <v>2.2890070921985815</v>
      </c>
      <c r="P72" s="381">
        <v>37</v>
      </c>
      <c r="Q72" s="381">
        <v>45.3</v>
      </c>
      <c r="R72" s="381">
        <f>INPUTS[[#This Row],[DISTANCIA LOCALIDA AL CA (KM)]]-((INPUTS[[#This Row],[ÁREA URBANA
'[km2']]]*4/PI())^0.5)/2</f>
        <v>44.776792104304548</v>
      </c>
      <c r="S72" s="381">
        <f>INPUTS[[#This Row],[Distancia L3
'[Regional']]]/(INPUTS[[#This Row],[TIEMPO LOCALIDA AL CA (MINUTOS)]]/60)</f>
        <v>72.611014223196563</v>
      </c>
      <c r="T72" s="198" t="s">
        <v>950</v>
      </c>
      <c r="U72" s="381">
        <v>56.279999999999994</v>
      </c>
      <c r="V72" s="381">
        <v>55686</v>
      </c>
      <c r="W72" s="381">
        <v>0</v>
      </c>
      <c r="X72" s="787"/>
      <c r="Y72" s="787"/>
      <c r="Z72" s="787" t="e">
        <f>INPUTS[[#This Row],[Distancia a la ET 
'[km']]]/(INPUTS[[#This Row],[Tiempo a la ET
'[min']]]/60)</f>
        <v>#DIV/0!</v>
      </c>
      <c r="AA72" s="787"/>
      <c r="AB72" s="787"/>
      <c r="AC72" s="787" t="e">
        <f>INPUTS[[#This Row],[Distancia de ET al CA 
'[km']]]/(INPUTS[[#This Row],[Tiempo de ET a CA
'[min']]]/60)</f>
        <v>#DIV/0!</v>
      </c>
    </row>
    <row r="73" spans="1:29" ht="15" hidden="1" customHeight="1" x14ac:dyDescent="0.25">
      <c r="A73" s="167">
        <v>144</v>
      </c>
      <c r="B73" s="167" t="s">
        <v>979</v>
      </c>
      <c r="C73" s="167" t="s">
        <v>1080</v>
      </c>
      <c r="D73" s="381">
        <v>746</v>
      </c>
      <c r="E73" s="381">
        <v>746</v>
      </c>
      <c r="F73" s="381">
        <v>0.92</v>
      </c>
      <c r="G73" s="381">
        <v>0.69</v>
      </c>
      <c r="H73" s="381">
        <v>1.38</v>
      </c>
      <c r="I73" s="167" t="s">
        <v>810</v>
      </c>
      <c r="J73" s="381">
        <v>1.45</v>
      </c>
      <c r="K73" s="381">
        <v>0</v>
      </c>
      <c r="L73" s="381">
        <v>2.5099999999999998</v>
      </c>
      <c r="M73" s="167">
        <v>5</v>
      </c>
      <c r="N73" s="381">
        <v>0.6</v>
      </c>
      <c r="O73" s="381">
        <v>2.1536388140161726</v>
      </c>
      <c r="P73" s="381">
        <v>46</v>
      </c>
      <c r="Q73" s="381">
        <v>60.1</v>
      </c>
      <c r="R73" s="381">
        <f>INPUTS[[#This Row],[DISTANCIA LOCALIDA AL CA (KM)]]-((INPUTS[[#This Row],[ÁREA URBANA
'[km2']]]*4/PI())^0.5)/2</f>
        <v>59.662980627763169</v>
      </c>
      <c r="S73" s="381">
        <f>INPUTS[[#This Row],[Distancia L3
'[Regional']]]/(INPUTS[[#This Row],[TIEMPO LOCALIDA AL CA (MINUTOS)]]/60)</f>
        <v>77.821279079691081</v>
      </c>
      <c r="T73" s="198" t="s">
        <v>921</v>
      </c>
      <c r="U73" s="381">
        <v>31.44</v>
      </c>
      <c r="V73" s="381">
        <v>31094</v>
      </c>
      <c r="W73" s="381">
        <v>0</v>
      </c>
      <c r="X73" s="787"/>
      <c r="Y73" s="787"/>
      <c r="Z73" s="787" t="e">
        <f>INPUTS[[#This Row],[Distancia a la ET 
'[km']]]/(INPUTS[[#This Row],[Tiempo a la ET
'[min']]]/60)</f>
        <v>#DIV/0!</v>
      </c>
      <c r="AA73" s="787"/>
      <c r="AB73" s="787"/>
      <c r="AC73" s="787" t="e">
        <f>INPUTS[[#This Row],[Distancia de ET al CA 
'[km']]]/(INPUTS[[#This Row],[Tiempo de ET a CA
'[min']]]/60)</f>
        <v>#DIV/0!</v>
      </c>
    </row>
    <row r="74" spans="1:29" ht="15" hidden="1" customHeight="1" x14ac:dyDescent="0.25">
      <c r="A74" s="167">
        <v>143</v>
      </c>
      <c r="B74" s="167" t="s">
        <v>976</v>
      </c>
      <c r="C74" s="167" t="s">
        <v>1079</v>
      </c>
      <c r="D74" s="381">
        <v>4515</v>
      </c>
      <c r="E74" s="381">
        <v>4515</v>
      </c>
      <c r="F74" s="381">
        <v>0.92</v>
      </c>
      <c r="G74" s="381">
        <v>4.1500000000000004</v>
      </c>
      <c r="H74" s="381">
        <v>8.3000000000000007</v>
      </c>
      <c r="I74" s="167" t="s">
        <v>810</v>
      </c>
      <c r="J74" s="381">
        <v>0.6</v>
      </c>
      <c r="K74" s="381">
        <v>0.62</v>
      </c>
      <c r="L74" s="381">
        <v>2.52</v>
      </c>
      <c r="M74" s="167">
        <v>5</v>
      </c>
      <c r="N74" s="381">
        <v>2</v>
      </c>
      <c r="O74" s="381">
        <v>2.3962155963302751</v>
      </c>
      <c r="P74" s="381">
        <v>26</v>
      </c>
      <c r="Q74" s="381">
        <v>27.7</v>
      </c>
      <c r="R74" s="381">
        <f>INPUTS[[#This Row],[DISTANCIA LOCALIDA AL CA (KM)]]-((INPUTS[[#This Row],[ÁREA URBANA
'[km2']]]*4/PI())^0.5)/2</f>
        <v>26.902115439197132</v>
      </c>
      <c r="S74" s="381">
        <f>INPUTS[[#This Row],[Distancia L3
'[Regional']]]/(INPUTS[[#This Row],[TIEMPO LOCALIDA AL CA (MINUTOS)]]/60)</f>
        <v>62.08180485968569</v>
      </c>
      <c r="T74" s="198" t="s">
        <v>977</v>
      </c>
      <c r="U74" s="381">
        <v>11.89</v>
      </c>
      <c r="V74" s="381">
        <v>12927</v>
      </c>
      <c r="W74" s="381">
        <v>0</v>
      </c>
      <c r="X74" s="787"/>
      <c r="Y74" s="787"/>
      <c r="Z74" s="787" t="e">
        <f>INPUTS[[#This Row],[Distancia a la ET 
'[km']]]/(INPUTS[[#This Row],[Tiempo a la ET
'[min']]]/60)</f>
        <v>#DIV/0!</v>
      </c>
      <c r="AA74" s="787"/>
      <c r="AB74" s="787"/>
      <c r="AC74" s="787" t="e">
        <f>INPUTS[[#This Row],[Distancia de ET al CA 
'[km']]]/(INPUTS[[#This Row],[Tiempo de ET a CA
'[min']]]/60)</f>
        <v>#DIV/0!</v>
      </c>
    </row>
    <row r="75" spans="1:29" ht="15" hidden="1" customHeight="1" x14ac:dyDescent="0.25">
      <c r="A75" s="167">
        <v>114</v>
      </c>
      <c r="B75" s="167" t="s">
        <v>1046</v>
      </c>
      <c r="C75" s="167" t="s">
        <v>1046</v>
      </c>
      <c r="D75" s="381">
        <v>16071</v>
      </c>
      <c r="E75" s="381">
        <v>16071</v>
      </c>
      <c r="F75" s="381">
        <v>1.06</v>
      </c>
      <c r="G75" s="381">
        <v>17.04</v>
      </c>
      <c r="H75" s="381">
        <v>34.08</v>
      </c>
      <c r="I75" s="167" t="s">
        <v>731</v>
      </c>
      <c r="J75" s="381">
        <v>0</v>
      </c>
      <c r="K75" s="381">
        <v>0.64</v>
      </c>
      <c r="L75" s="381">
        <v>2.6</v>
      </c>
      <c r="M75" s="167">
        <v>6</v>
      </c>
      <c r="N75" s="381">
        <v>4.0999999999999996</v>
      </c>
      <c r="O75" s="381">
        <v>2.570861255894763</v>
      </c>
      <c r="P75" s="381">
        <v>57</v>
      </c>
      <c r="Q75" s="381">
        <v>61.2</v>
      </c>
      <c r="R75" s="381">
        <f>INPUTS[[#This Row],[DISTANCIA LOCALIDA AL CA (KM)]]-((INPUTS[[#This Row],[ÁREA URBANA
'[km2']]]*4/PI())^0.5)/2</f>
        <v>60.057603162927379</v>
      </c>
      <c r="S75" s="381">
        <f>INPUTS[[#This Row],[Distancia L3
'[Regional']]]/(INPUTS[[#This Row],[TIEMPO LOCALIDA AL CA (MINUTOS)]]/60)</f>
        <v>63.21852964518672</v>
      </c>
      <c r="T75" s="198" t="s">
        <v>908</v>
      </c>
      <c r="U75" s="381">
        <v>122.92</v>
      </c>
      <c r="V75" s="381">
        <v>117358</v>
      </c>
      <c r="W75" s="381">
        <v>0</v>
      </c>
      <c r="X75" s="787"/>
      <c r="Y75" s="787"/>
      <c r="Z75" s="787" t="e">
        <f>INPUTS[[#This Row],[Distancia a la ET 
'[km']]]/(INPUTS[[#This Row],[Tiempo a la ET
'[min']]]/60)</f>
        <v>#DIV/0!</v>
      </c>
      <c r="AA75" s="787"/>
      <c r="AB75" s="787"/>
      <c r="AC75" s="787" t="e">
        <f>INPUTS[[#This Row],[Distancia de ET al CA 
'[km']]]/(INPUTS[[#This Row],[Tiempo de ET a CA
'[min']]]/60)</f>
        <v>#DIV/0!</v>
      </c>
    </row>
    <row r="76" spans="1:29" ht="15" hidden="1" customHeight="1" x14ac:dyDescent="0.25">
      <c r="A76" s="167">
        <v>148</v>
      </c>
      <c r="B76" s="167" t="s">
        <v>1006</v>
      </c>
      <c r="C76" s="167" t="s">
        <v>1084</v>
      </c>
      <c r="D76" s="381">
        <v>3401</v>
      </c>
      <c r="E76" s="381">
        <v>3401</v>
      </c>
      <c r="F76" s="381">
        <v>0.92</v>
      </c>
      <c r="G76" s="381">
        <v>3.13</v>
      </c>
      <c r="H76" s="381">
        <v>6.26</v>
      </c>
      <c r="I76" s="167" t="s">
        <v>810</v>
      </c>
      <c r="J76" s="381">
        <v>1.83</v>
      </c>
      <c r="K76" s="381">
        <v>0</v>
      </c>
      <c r="L76" s="381">
        <v>2.75</v>
      </c>
      <c r="M76" s="167">
        <v>5</v>
      </c>
      <c r="N76" s="381">
        <v>1.56</v>
      </c>
      <c r="O76" s="381">
        <v>2.5866261398176293</v>
      </c>
      <c r="P76" s="381">
        <v>66</v>
      </c>
      <c r="Q76" s="381">
        <v>84</v>
      </c>
      <c r="R76" s="381">
        <f>INPUTS[[#This Row],[DISTANCIA LOCALIDA AL CA (KM)]]-((INPUTS[[#This Row],[ÁREA URBANA
'[km2']]]*4/PI())^0.5)/2</f>
        <v>83.295327436005408</v>
      </c>
      <c r="S76" s="381">
        <f>INPUTS[[#This Row],[Distancia L3
'[Regional']]]/(INPUTS[[#This Row],[TIEMPO LOCALIDA AL CA (MINUTOS)]]/60)</f>
        <v>75.723024941823098</v>
      </c>
      <c r="T76" s="198" t="s">
        <v>952</v>
      </c>
      <c r="U76" s="381">
        <v>189.99999999999997</v>
      </c>
      <c r="V76" s="381">
        <v>185077</v>
      </c>
      <c r="W76" s="381">
        <v>0</v>
      </c>
      <c r="X76" s="787"/>
      <c r="Y76" s="787"/>
      <c r="Z76" s="787" t="e">
        <f>INPUTS[[#This Row],[Distancia a la ET 
'[km']]]/(INPUTS[[#This Row],[Tiempo a la ET
'[min']]]/60)</f>
        <v>#DIV/0!</v>
      </c>
      <c r="AA76" s="787"/>
      <c r="AB76" s="787"/>
      <c r="AC76" s="787" t="e">
        <f>INPUTS[[#This Row],[Distancia de ET al CA 
'[km']]]/(INPUTS[[#This Row],[Tiempo de ET a CA
'[min']]]/60)</f>
        <v>#DIV/0!</v>
      </c>
    </row>
    <row r="77" spans="1:29" ht="15" hidden="1" customHeight="1" x14ac:dyDescent="0.25">
      <c r="A77" s="167">
        <v>72</v>
      </c>
      <c r="B77" s="167" t="s">
        <v>988</v>
      </c>
      <c r="C77" s="167" t="s">
        <v>988</v>
      </c>
      <c r="D77" s="381">
        <v>7666</v>
      </c>
      <c r="E77" s="381">
        <v>7666</v>
      </c>
      <c r="F77" s="381">
        <v>0.92</v>
      </c>
      <c r="G77" s="381">
        <v>7.05</v>
      </c>
      <c r="H77" s="381">
        <v>14.1</v>
      </c>
      <c r="I77" s="167" t="s">
        <v>731</v>
      </c>
      <c r="J77" s="381">
        <v>0</v>
      </c>
      <c r="K77" s="381">
        <v>1.07</v>
      </c>
      <c r="L77" s="381">
        <v>2.79</v>
      </c>
      <c r="M77" s="167">
        <v>5</v>
      </c>
      <c r="N77" s="381">
        <v>2.36</v>
      </c>
      <c r="O77" s="381">
        <v>2.3334519572953738</v>
      </c>
      <c r="P77" s="381">
        <v>40</v>
      </c>
      <c r="Q77" s="381">
        <v>40.4</v>
      </c>
      <c r="R77" s="381">
        <f>INPUTS[[#This Row],[DISTANCIA LOCALIDA AL CA (KM)]]-((INPUTS[[#This Row],[ÁREA URBANA
'[km2']]]*4/PI())^0.5)/2</f>
        <v>39.533275515868077</v>
      </c>
      <c r="S77" s="381">
        <f>INPUTS[[#This Row],[Distancia L3
'[Regional']]]/(INPUTS[[#This Row],[TIEMPO LOCALIDA AL CA (MINUTOS)]]/60)</f>
        <v>59.299913273802119</v>
      </c>
      <c r="T77" s="198" t="s">
        <v>989</v>
      </c>
      <c r="U77" s="381">
        <v>40.39</v>
      </c>
      <c r="V77" s="381">
        <v>39117</v>
      </c>
      <c r="W77" s="381">
        <v>0</v>
      </c>
      <c r="X77" s="787"/>
      <c r="Y77" s="787"/>
      <c r="Z77" s="787" t="e">
        <f>INPUTS[[#This Row],[Distancia a la ET 
'[km']]]/(INPUTS[[#This Row],[Tiempo a la ET
'[min']]]/60)</f>
        <v>#DIV/0!</v>
      </c>
      <c r="AA77" s="787"/>
      <c r="AB77" s="787"/>
      <c r="AC77" s="787" t="e">
        <f>INPUTS[[#This Row],[Distancia de ET al CA 
'[km']]]/(INPUTS[[#This Row],[Tiempo de ET a CA
'[min']]]/60)</f>
        <v>#DIV/0!</v>
      </c>
    </row>
    <row r="78" spans="1:29" ht="15" hidden="1" customHeight="1" x14ac:dyDescent="0.25">
      <c r="A78" s="167">
        <v>129</v>
      </c>
      <c r="B78" s="167" t="s">
        <v>1064</v>
      </c>
      <c r="C78" s="167" t="s">
        <v>1064</v>
      </c>
      <c r="D78" s="381">
        <v>8683</v>
      </c>
      <c r="E78" s="381">
        <v>8683</v>
      </c>
      <c r="F78" s="381">
        <v>0.92</v>
      </c>
      <c r="G78" s="381">
        <v>7.99</v>
      </c>
      <c r="H78" s="381">
        <v>15.98</v>
      </c>
      <c r="I78" s="167" t="s">
        <v>731</v>
      </c>
      <c r="J78" s="381">
        <v>2</v>
      </c>
      <c r="K78" s="381">
        <v>0</v>
      </c>
      <c r="L78" s="381">
        <v>2.8</v>
      </c>
      <c r="M78" s="167">
        <v>5</v>
      </c>
      <c r="N78" s="381">
        <v>2.8</v>
      </c>
      <c r="O78" s="381">
        <v>2.413497390007457</v>
      </c>
      <c r="P78" s="381">
        <v>84</v>
      </c>
      <c r="Q78" s="381">
        <v>96.7</v>
      </c>
      <c r="R78" s="381">
        <f>INPUTS[[#This Row],[DISTANCIA LOCALIDA AL CA (KM)]]-((INPUTS[[#This Row],[ÁREA URBANA
'[km2']]]*4/PI())^0.5)/2</f>
        <v>95.755930256117367</v>
      </c>
      <c r="S78" s="381">
        <f>INPUTS[[#This Row],[Distancia L3
'[Regional']]]/(INPUTS[[#This Row],[TIEMPO LOCALIDA AL CA (MINUTOS)]]/60)</f>
        <v>68.397093040083831</v>
      </c>
      <c r="T78" s="198" t="s">
        <v>925</v>
      </c>
      <c r="U78" s="381">
        <v>609.95000000000005</v>
      </c>
      <c r="V78" s="381">
        <v>455301</v>
      </c>
      <c r="W78" s="381">
        <v>0</v>
      </c>
      <c r="X78" s="787"/>
      <c r="Y78" s="787"/>
      <c r="Z78" s="787" t="e">
        <f>INPUTS[[#This Row],[Distancia a la ET 
'[km']]]/(INPUTS[[#This Row],[Tiempo a la ET
'[min']]]/60)</f>
        <v>#DIV/0!</v>
      </c>
      <c r="AA78" s="787"/>
      <c r="AB78" s="787"/>
      <c r="AC78" s="787" t="e">
        <f>INPUTS[[#This Row],[Distancia de ET al CA 
'[km']]]/(INPUTS[[#This Row],[Tiempo de ET a CA
'[min']]]/60)</f>
        <v>#DIV/0!</v>
      </c>
    </row>
    <row r="79" spans="1:29" ht="30" hidden="1" customHeight="1" x14ac:dyDescent="0.25">
      <c r="A79" s="167">
        <v>102</v>
      </c>
      <c r="B79" s="167" t="s">
        <v>1029</v>
      </c>
      <c r="C79" s="167" t="s">
        <v>1029</v>
      </c>
      <c r="D79" s="381">
        <v>5898</v>
      </c>
      <c r="E79" s="381">
        <v>5898</v>
      </c>
      <c r="F79" s="381">
        <v>0.92</v>
      </c>
      <c r="G79" s="381">
        <v>5.43</v>
      </c>
      <c r="H79" s="381">
        <v>10.86</v>
      </c>
      <c r="I79" s="167" t="s">
        <v>731</v>
      </c>
      <c r="J79" s="381">
        <v>0.34</v>
      </c>
      <c r="K79" s="381">
        <v>1.0599999999999998</v>
      </c>
      <c r="L79" s="381">
        <v>2.81</v>
      </c>
      <c r="M79" s="167">
        <v>6</v>
      </c>
      <c r="N79" s="381">
        <v>2.16</v>
      </c>
      <c r="O79" s="381">
        <v>2.4638728323699421</v>
      </c>
      <c r="P79" s="381">
        <v>51</v>
      </c>
      <c r="Q79" s="381">
        <v>62.2</v>
      </c>
      <c r="R79" s="381">
        <f>INPUTS[[#This Row],[DISTANCIA LOCALIDA AL CA (KM)]]-((INPUTS[[#This Row],[ÁREA URBANA
'[km2']]]*4/PI())^0.5)/2</f>
        <v>61.370814041268801</v>
      </c>
      <c r="S79" s="381">
        <f>INPUTS[[#This Row],[Distancia L3
'[Regional']]]/(INPUTS[[#This Row],[TIEMPO LOCALIDA AL CA (MINUTOS)]]/60)</f>
        <v>72.200957695610356</v>
      </c>
      <c r="T79" s="198" t="s">
        <v>1030</v>
      </c>
      <c r="U79" s="381">
        <v>59.32</v>
      </c>
      <c r="V79" s="381">
        <v>58055</v>
      </c>
      <c r="W79" s="381">
        <v>0</v>
      </c>
      <c r="X79" s="787"/>
      <c r="Y79" s="787"/>
      <c r="Z79" s="787" t="e">
        <f>INPUTS[[#This Row],[Distancia a la ET 
'[km']]]/(INPUTS[[#This Row],[Tiempo a la ET
'[min']]]/60)</f>
        <v>#DIV/0!</v>
      </c>
      <c r="AA79" s="787"/>
      <c r="AB79" s="787"/>
      <c r="AC79" s="787" t="e">
        <f>INPUTS[[#This Row],[Distancia de ET al CA 
'[km']]]/(INPUTS[[#This Row],[Tiempo de ET a CA
'[min']]]/60)</f>
        <v>#DIV/0!</v>
      </c>
    </row>
    <row r="80" spans="1:29" ht="15" hidden="1" customHeight="1" x14ac:dyDescent="0.25">
      <c r="A80" s="167">
        <v>29</v>
      </c>
      <c r="B80" s="167" t="s">
        <v>916</v>
      </c>
      <c r="C80" s="167" t="s">
        <v>916</v>
      </c>
      <c r="D80" s="381">
        <v>11785</v>
      </c>
      <c r="E80" s="381">
        <v>11785</v>
      </c>
      <c r="F80" s="381">
        <v>0.92</v>
      </c>
      <c r="G80" s="381">
        <v>10.84</v>
      </c>
      <c r="H80" s="381">
        <v>21.68</v>
      </c>
      <c r="I80" s="167" t="s">
        <v>731</v>
      </c>
      <c r="J80" s="381">
        <v>1.3</v>
      </c>
      <c r="K80" s="381">
        <v>0.11</v>
      </c>
      <c r="L80" s="381">
        <v>2.82</v>
      </c>
      <c r="M80" s="167">
        <v>5</v>
      </c>
      <c r="N80" s="381">
        <v>3</v>
      </c>
      <c r="O80" s="381">
        <v>2.4053581828771113</v>
      </c>
      <c r="P80" s="381">
        <v>8</v>
      </c>
      <c r="Q80" s="381">
        <v>3.1</v>
      </c>
      <c r="R80" s="381">
        <f>INPUTS[[#This Row],[DISTANCIA LOCALIDA AL CA (KM)]]-((INPUTS[[#This Row],[ÁREA URBANA
'[km2']]]*4/PI())^0.5)/2</f>
        <v>2.12279497619416</v>
      </c>
      <c r="S80" s="381">
        <f>INPUTS[[#This Row],[Distancia L3
'[Regional']]]/(INPUTS[[#This Row],[TIEMPO LOCALIDA AL CA (MINUTOS)]]/60)</f>
        <v>15.9209623214562</v>
      </c>
      <c r="T80" s="198" t="s">
        <v>917</v>
      </c>
      <c r="U80" s="381">
        <v>122.36000000000001</v>
      </c>
      <c r="V80" s="381">
        <v>119700</v>
      </c>
      <c r="W80" s="381">
        <v>0</v>
      </c>
      <c r="X80" s="787"/>
      <c r="Y80" s="787"/>
      <c r="Z80" s="787" t="e">
        <f>INPUTS[[#This Row],[Distancia a la ET 
'[km']]]/(INPUTS[[#This Row],[Tiempo a la ET
'[min']]]/60)</f>
        <v>#DIV/0!</v>
      </c>
      <c r="AA80" s="787"/>
      <c r="AB80" s="787"/>
      <c r="AC80" s="787" t="e">
        <f>INPUTS[[#This Row],[Distancia de ET al CA 
'[km']]]/(INPUTS[[#This Row],[Tiempo de ET a CA
'[min']]]/60)</f>
        <v>#DIV/0!</v>
      </c>
    </row>
    <row r="81" spans="1:29" ht="15" hidden="1" customHeight="1" x14ac:dyDescent="0.25">
      <c r="A81" s="167">
        <v>75</v>
      </c>
      <c r="B81" s="167" t="s">
        <v>993</v>
      </c>
      <c r="C81" s="167" t="s">
        <v>994</v>
      </c>
      <c r="D81" s="381">
        <v>17552</v>
      </c>
      <c r="E81" s="381">
        <v>17552</v>
      </c>
      <c r="F81" s="381">
        <v>1.06</v>
      </c>
      <c r="G81" s="381">
        <v>18.61</v>
      </c>
      <c r="H81" s="381">
        <v>37.22</v>
      </c>
      <c r="I81" s="167" t="s">
        <v>731</v>
      </c>
      <c r="J81" s="381">
        <v>0.17</v>
      </c>
      <c r="K81" s="381">
        <v>0.66999999999999993</v>
      </c>
      <c r="L81" s="381">
        <v>2.92</v>
      </c>
      <c r="M81" s="167">
        <v>5</v>
      </c>
      <c r="N81" s="381">
        <v>4.4000000000000004</v>
      </c>
      <c r="O81" s="381">
        <v>2.4902937639580829</v>
      </c>
      <c r="P81" s="381">
        <v>44</v>
      </c>
      <c r="Q81" s="381">
        <v>53.2</v>
      </c>
      <c r="R81" s="381">
        <f>INPUTS[[#This Row],[DISTANCIA LOCALIDA AL CA (KM)]]-((INPUTS[[#This Row],[ÁREA URBANA
'[km2']]]*4/PI())^0.5)/2</f>
        <v>52.016545945459363</v>
      </c>
      <c r="S81" s="381">
        <f>INPUTS[[#This Row],[Distancia L3
'[Regional']]]/(INPUTS[[#This Row],[TIEMPO LOCALIDA AL CA (MINUTOS)]]/60)</f>
        <v>70.931653561990046</v>
      </c>
      <c r="T81" s="198" t="s">
        <v>952</v>
      </c>
      <c r="U81" s="381">
        <v>189.99999999999997</v>
      </c>
      <c r="V81" s="381">
        <v>185077</v>
      </c>
      <c r="W81" s="381">
        <v>0</v>
      </c>
      <c r="X81" s="787"/>
      <c r="Y81" s="787"/>
      <c r="Z81" s="787" t="e">
        <f>INPUTS[[#This Row],[Distancia a la ET 
'[km']]]/(INPUTS[[#This Row],[Tiempo a la ET
'[min']]]/60)</f>
        <v>#DIV/0!</v>
      </c>
      <c r="AA81" s="787"/>
      <c r="AB81" s="787"/>
      <c r="AC81" s="787" t="e">
        <f>INPUTS[[#This Row],[Distancia de ET al CA 
'[km']]]/(INPUTS[[#This Row],[Tiempo de ET a CA
'[min']]]/60)</f>
        <v>#DIV/0!</v>
      </c>
    </row>
    <row r="82" spans="1:29" ht="15" hidden="1" customHeight="1" x14ac:dyDescent="0.25">
      <c r="A82" s="167">
        <v>26</v>
      </c>
      <c r="B82" s="167" t="s">
        <v>909</v>
      </c>
      <c r="C82" s="167" t="s">
        <v>909</v>
      </c>
      <c r="D82" s="381">
        <v>44873</v>
      </c>
      <c r="E82" s="381">
        <v>44873</v>
      </c>
      <c r="F82" s="381">
        <v>1.06</v>
      </c>
      <c r="G82" s="381">
        <v>47.57</v>
      </c>
      <c r="H82" s="381">
        <v>95.14</v>
      </c>
      <c r="I82" s="167" t="s">
        <v>731</v>
      </c>
      <c r="J82" s="381">
        <v>0.28999999999999998</v>
      </c>
      <c r="K82" s="381">
        <v>0.64999999999999991</v>
      </c>
      <c r="L82" s="381">
        <v>2.97</v>
      </c>
      <c r="M82" s="167">
        <v>3</v>
      </c>
      <c r="N82" s="381">
        <v>14.53</v>
      </c>
      <c r="O82" s="381">
        <v>2.4633142085723927</v>
      </c>
      <c r="P82" s="381">
        <v>45</v>
      </c>
      <c r="Q82" s="381">
        <v>54.8</v>
      </c>
      <c r="R82" s="381">
        <f>INPUTS[[#This Row],[DISTANCIA LOCALIDA AL CA (KM)]]-((INPUTS[[#This Row],[ÁREA URBANA
'[km2']]]*4/PI())^0.5)/2</f>
        <v>52.649408768210357</v>
      </c>
      <c r="S82" s="381">
        <f>INPUTS[[#This Row],[Distancia L3
'[Regional']]]/(INPUTS[[#This Row],[TIEMPO LOCALIDA AL CA (MINUTOS)]]/60)</f>
        <v>70.199211690947138</v>
      </c>
      <c r="T82" s="198" t="s">
        <v>910</v>
      </c>
      <c r="U82" s="381">
        <v>109.77</v>
      </c>
      <c r="V82" s="381">
        <v>103552</v>
      </c>
      <c r="W82" s="381">
        <v>0</v>
      </c>
      <c r="X82" s="787">
        <v>3.2</v>
      </c>
      <c r="Y82" s="787">
        <v>7</v>
      </c>
      <c r="Z82" s="787">
        <f>INPUTS[[#This Row],[Distancia a la ET 
'[km']]]/(INPUTS[[#This Row],[Tiempo a la ET
'[min']]]/60)</f>
        <v>27.428571428571431</v>
      </c>
      <c r="AA82" s="787">
        <v>49.5</v>
      </c>
      <c r="AB82" s="787">
        <v>37</v>
      </c>
      <c r="AC82" s="787">
        <f>INPUTS[[#This Row],[Distancia de ET al CA 
'[km']]]/(INPUTS[[#This Row],[Tiempo de ET a CA
'[min']]]/60)</f>
        <v>80.27027027027026</v>
      </c>
    </row>
    <row r="83" spans="1:29" ht="15" hidden="1" customHeight="1" x14ac:dyDescent="0.25">
      <c r="A83" s="167">
        <v>125</v>
      </c>
      <c r="B83" s="167" t="s">
        <v>1059</v>
      </c>
      <c r="C83" s="167" t="s">
        <v>1059</v>
      </c>
      <c r="D83" s="381">
        <v>11656</v>
      </c>
      <c r="E83" s="381">
        <v>11656</v>
      </c>
      <c r="F83" s="381">
        <v>0.92</v>
      </c>
      <c r="G83" s="381">
        <v>10.72</v>
      </c>
      <c r="H83" s="381">
        <v>21.44</v>
      </c>
      <c r="I83" s="167" t="s">
        <v>731</v>
      </c>
      <c r="J83" s="381">
        <v>1.25</v>
      </c>
      <c r="K83" s="381">
        <v>0.10000000000000009</v>
      </c>
      <c r="L83" s="381">
        <v>3</v>
      </c>
      <c r="M83" s="167">
        <v>5</v>
      </c>
      <c r="N83" s="381">
        <v>3.25</v>
      </c>
      <c r="O83" s="381">
        <v>2.7659644502962477</v>
      </c>
      <c r="P83" s="381">
        <v>63</v>
      </c>
      <c r="Q83" s="381">
        <v>79.599999999999994</v>
      </c>
      <c r="R83" s="381">
        <f>INPUTS[[#This Row],[DISTANCIA LOCALIDA AL CA (KM)]]-((INPUTS[[#This Row],[ÁREA URBANA
'[km2']]]*4/PI())^0.5)/2</f>
        <v>78.582892763717936</v>
      </c>
      <c r="S83" s="381">
        <f>INPUTS[[#This Row],[Distancia L3
'[Regional']]]/(INPUTS[[#This Row],[TIEMPO LOCALIDA AL CA (MINUTOS)]]/60)</f>
        <v>74.840850251159935</v>
      </c>
      <c r="T83" s="198" t="s">
        <v>984</v>
      </c>
      <c r="U83" s="381">
        <v>160.9</v>
      </c>
      <c r="V83" s="381">
        <v>155951</v>
      </c>
      <c r="W83" s="381">
        <v>0</v>
      </c>
      <c r="X83" s="787"/>
      <c r="Y83" s="787"/>
      <c r="Z83" s="787" t="e">
        <f>INPUTS[[#This Row],[Distancia a la ET 
'[km']]]/(INPUTS[[#This Row],[Tiempo a la ET
'[min']]]/60)</f>
        <v>#DIV/0!</v>
      </c>
      <c r="AA83" s="787"/>
      <c r="AB83" s="787"/>
      <c r="AC83" s="787" t="e">
        <f>INPUTS[[#This Row],[Distancia de ET al CA 
'[km']]]/(INPUTS[[#This Row],[Tiempo de ET a CA
'[min']]]/60)</f>
        <v>#DIV/0!</v>
      </c>
    </row>
    <row r="84" spans="1:29" ht="30" hidden="1" customHeight="1" x14ac:dyDescent="0.25">
      <c r="A84" s="167">
        <v>132</v>
      </c>
      <c r="B84" s="167" t="s">
        <v>1067</v>
      </c>
      <c r="C84" s="167" t="s">
        <v>1067</v>
      </c>
      <c r="D84" s="381">
        <v>9989</v>
      </c>
      <c r="E84" s="381">
        <v>9989</v>
      </c>
      <c r="F84" s="381">
        <v>0.92</v>
      </c>
      <c r="G84" s="381">
        <v>9.19</v>
      </c>
      <c r="H84" s="381">
        <v>18.38</v>
      </c>
      <c r="I84" s="167" t="s">
        <v>731</v>
      </c>
      <c r="J84" s="381">
        <v>0</v>
      </c>
      <c r="K84" s="381">
        <v>1.25</v>
      </c>
      <c r="L84" s="381">
        <v>3</v>
      </c>
      <c r="M84" s="167">
        <v>4</v>
      </c>
      <c r="N84" s="381">
        <v>3.1</v>
      </c>
      <c r="O84" s="381">
        <v>2.732542372881356</v>
      </c>
      <c r="P84" s="381">
        <v>58</v>
      </c>
      <c r="Q84" s="381">
        <v>73.5</v>
      </c>
      <c r="R84" s="381">
        <f>INPUTS[[#This Row],[DISTANCIA LOCALIDA AL CA (KM)]]-((INPUTS[[#This Row],[ÁREA URBANA
'[km2']]]*4/PI())^0.5)/2</f>
        <v>72.506641732721903</v>
      </c>
      <c r="S84" s="381">
        <f>INPUTS[[#This Row],[Distancia L3
'[Regional']]]/(INPUTS[[#This Row],[TIEMPO LOCALIDA AL CA (MINUTOS)]]/60)</f>
        <v>75.006870757988182</v>
      </c>
      <c r="T84" s="198" t="s">
        <v>1030</v>
      </c>
      <c r="U84" s="381">
        <v>59.32</v>
      </c>
      <c r="V84" s="381">
        <v>58055</v>
      </c>
      <c r="W84" s="381">
        <v>0</v>
      </c>
      <c r="X84" s="787"/>
      <c r="Y84" s="787"/>
      <c r="Z84" s="787" t="e">
        <f>INPUTS[[#This Row],[Distancia a la ET 
'[km']]]/(INPUTS[[#This Row],[Tiempo a la ET
'[min']]]/60)</f>
        <v>#DIV/0!</v>
      </c>
      <c r="AA84" s="787"/>
      <c r="AB84" s="787"/>
      <c r="AC84" s="787" t="e">
        <f>INPUTS[[#This Row],[Distancia de ET al CA 
'[km']]]/(INPUTS[[#This Row],[Tiempo de ET a CA
'[min']]]/60)</f>
        <v>#DIV/0!</v>
      </c>
    </row>
    <row r="85" spans="1:29" ht="15" hidden="1" customHeight="1" x14ac:dyDescent="0.25">
      <c r="A85" s="167">
        <v>43</v>
      </c>
      <c r="B85" s="167" t="s">
        <v>943</v>
      </c>
      <c r="C85" s="167" t="s">
        <v>943</v>
      </c>
      <c r="D85" s="381">
        <v>17567</v>
      </c>
      <c r="E85" s="381">
        <v>17567</v>
      </c>
      <c r="F85" s="381">
        <v>1.06</v>
      </c>
      <c r="G85" s="381">
        <v>18.62</v>
      </c>
      <c r="H85" s="381">
        <v>37.24</v>
      </c>
      <c r="I85" s="167" t="s">
        <v>731</v>
      </c>
      <c r="J85" s="381">
        <v>0</v>
      </c>
      <c r="K85" s="381">
        <v>0.96</v>
      </c>
      <c r="L85" s="381">
        <v>3.03</v>
      </c>
      <c r="M85" s="167">
        <v>5</v>
      </c>
      <c r="N85" s="381">
        <v>5.0199999999999996</v>
      </c>
      <c r="O85" s="381">
        <v>2.8891832229580574</v>
      </c>
      <c r="P85" s="381">
        <v>28</v>
      </c>
      <c r="Q85" s="381">
        <v>38.6</v>
      </c>
      <c r="R85" s="381">
        <f>INPUTS[[#This Row],[DISTANCIA LOCALIDA AL CA (KM)]]-((INPUTS[[#This Row],[ÁREA URBANA
'[km2']]]*4/PI())^0.5)/2</f>
        <v>37.335913124566737</v>
      </c>
      <c r="S85" s="381">
        <f>INPUTS[[#This Row],[Distancia L3
'[Regional']]]/(INPUTS[[#This Row],[TIEMPO LOCALIDA AL CA (MINUTOS)]]/60)</f>
        <v>80.005528124071574</v>
      </c>
      <c r="T85" s="198" t="s">
        <v>944</v>
      </c>
      <c r="U85" s="381">
        <v>88.050000000000011</v>
      </c>
      <c r="V85" s="381">
        <v>83064</v>
      </c>
      <c r="W85" s="381">
        <v>0</v>
      </c>
      <c r="X85" s="787"/>
      <c r="Y85" s="787"/>
      <c r="Z85" s="787" t="e">
        <f>INPUTS[[#This Row],[Distancia a la ET 
'[km']]]/(INPUTS[[#This Row],[Tiempo a la ET
'[min']]]/60)</f>
        <v>#DIV/0!</v>
      </c>
      <c r="AA85" s="787"/>
      <c r="AB85" s="787"/>
      <c r="AC85" s="787" t="e">
        <f>INPUTS[[#This Row],[Distancia de ET al CA 
'[km']]]/(INPUTS[[#This Row],[Tiempo de ET a CA
'[min']]]/60)</f>
        <v>#DIV/0!</v>
      </c>
    </row>
    <row r="86" spans="1:29" ht="15" hidden="1" customHeight="1" x14ac:dyDescent="0.25">
      <c r="A86" s="167">
        <v>68</v>
      </c>
      <c r="B86" s="167" t="s">
        <v>982</v>
      </c>
      <c r="C86" s="167" t="s">
        <v>982</v>
      </c>
      <c r="D86" s="381">
        <v>10526</v>
      </c>
      <c r="E86" s="381">
        <v>10526</v>
      </c>
      <c r="F86" s="381">
        <v>0.92</v>
      </c>
      <c r="G86" s="381">
        <v>9.68</v>
      </c>
      <c r="H86" s="381">
        <v>19.36</v>
      </c>
      <c r="I86" s="167" t="s">
        <v>731</v>
      </c>
      <c r="J86" s="381">
        <v>0</v>
      </c>
      <c r="K86" s="381">
        <v>0.14000000000000001</v>
      </c>
      <c r="L86" s="381">
        <v>3.08</v>
      </c>
      <c r="M86" s="167">
        <v>5</v>
      </c>
      <c r="N86" s="381">
        <v>3.25</v>
      </c>
      <c r="O86" s="381">
        <v>2.3702290076335877</v>
      </c>
      <c r="P86" s="381">
        <v>55</v>
      </c>
      <c r="Q86" s="381">
        <v>70.8</v>
      </c>
      <c r="R86" s="381">
        <f>INPUTS[[#This Row],[DISTANCIA LOCALIDA AL CA (KM)]]-((INPUTS[[#This Row],[ÁREA URBANA
'[km2']]]*4/PI())^0.5)/2</f>
        <v>69.782892763717939</v>
      </c>
      <c r="S86" s="381">
        <f>INPUTS[[#This Row],[Distancia L3
'[Regional']]]/(INPUTS[[#This Row],[TIEMPO LOCALIDA AL CA (MINUTOS)]]/60)</f>
        <v>76.126792105874117</v>
      </c>
      <c r="T86" s="198" t="s">
        <v>963</v>
      </c>
      <c r="U86" s="381">
        <v>69.739999999999995</v>
      </c>
      <c r="V86" s="381">
        <v>68693</v>
      </c>
      <c r="W86" s="381">
        <v>0</v>
      </c>
      <c r="X86" s="787"/>
      <c r="Y86" s="787"/>
      <c r="Z86" s="787" t="e">
        <f>INPUTS[[#This Row],[Distancia a la ET 
'[km']]]/(INPUTS[[#This Row],[Tiempo a la ET
'[min']]]/60)</f>
        <v>#DIV/0!</v>
      </c>
      <c r="AA86" s="787"/>
      <c r="AB86" s="787"/>
      <c r="AC86" s="787" t="e">
        <f>INPUTS[[#This Row],[Distancia de ET al CA 
'[km']]]/(INPUTS[[#This Row],[Tiempo de ET a CA
'[min']]]/60)</f>
        <v>#DIV/0!</v>
      </c>
    </row>
    <row r="87" spans="1:29" ht="15" hidden="1" customHeight="1" x14ac:dyDescent="0.25">
      <c r="A87" s="167">
        <v>25</v>
      </c>
      <c r="B87" s="167" t="s">
        <v>861</v>
      </c>
      <c r="C87" s="167" t="s">
        <v>861</v>
      </c>
      <c r="D87" s="381">
        <v>25868</v>
      </c>
      <c r="E87" s="381">
        <v>25868</v>
      </c>
      <c r="F87" s="381">
        <v>1.06</v>
      </c>
      <c r="G87" s="381">
        <v>27.42</v>
      </c>
      <c r="H87" s="381">
        <v>54.84</v>
      </c>
      <c r="I87" s="167" t="s">
        <v>731</v>
      </c>
      <c r="J87" s="381">
        <v>0.56000000000000005</v>
      </c>
      <c r="K87" s="381">
        <v>1.22</v>
      </c>
      <c r="L87" s="381">
        <v>3.2</v>
      </c>
      <c r="M87" s="167">
        <v>5</v>
      </c>
      <c r="N87" s="381">
        <v>7.41</v>
      </c>
      <c r="O87" s="381">
        <v>2.5248624743824828</v>
      </c>
      <c r="P87" s="381">
        <v>47</v>
      </c>
      <c r="Q87" s="381">
        <v>52.1</v>
      </c>
      <c r="R87" s="381">
        <f>INPUTS[[#This Row],[DISTANCIA LOCALIDA AL CA (KM)]]-((INPUTS[[#This Row],[ÁREA URBANA
'[km2']]]*4/PI())^0.5)/2</f>
        <v>50.564201752630936</v>
      </c>
      <c r="S87" s="381">
        <f>INPUTS[[#This Row],[Distancia L3
'[Regional']]]/(INPUTS[[#This Row],[TIEMPO LOCALIDA AL CA (MINUTOS)]]/60)</f>
        <v>64.550044790592679</v>
      </c>
      <c r="T87" s="198" t="s">
        <v>908</v>
      </c>
      <c r="U87" s="381">
        <v>122.92</v>
      </c>
      <c r="V87" s="381">
        <v>117358</v>
      </c>
      <c r="W87" s="381">
        <v>0</v>
      </c>
      <c r="X87" s="787"/>
      <c r="Y87" s="787"/>
      <c r="Z87" s="787" t="e">
        <f>INPUTS[[#This Row],[Distancia a la ET 
'[km']]]/(INPUTS[[#This Row],[Tiempo a la ET
'[min']]]/60)</f>
        <v>#DIV/0!</v>
      </c>
      <c r="AA87" s="787"/>
      <c r="AB87" s="787"/>
      <c r="AC87" s="787" t="e">
        <f>INPUTS[[#This Row],[Distancia de ET al CA 
'[km']]]/(INPUTS[[#This Row],[Tiempo de ET a CA
'[min']]]/60)</f>
        <v>#DIV/0!</v>
      </c>
    </row>
    <row r="88" spans="1:29" ht="15" hidden="1" customHeight="1" x14ac:dyDescent="0.25">
      <c r="A88" s="167">
        <v>100</v>
      </c>
      <c r="B88" s="167" t="s">
        <v>1026</v>
      </c>
      <c r="C88" s="167" t="s">
        <v>1027</v>
      </c>
      <c r="D88" s="381">
        <v>32689</v>
      </c>
      <c r="E88" s="381">
        <v>32689</v>
      </c>
      <c r="F88" s="381">
        <v>1.06</v>
      </c>
      <c r="G88" s="381">
        <v>34.65</v>
      </c>
      <c r="H88" s="381">
        <v>69.3</v>
      </c>
      <c r="I88" s="167" t="s">
        <v>731</v>
      </c>
      <c r="J88" s="381">
        <v>1</v>
      </c>
      <c r="K88" s="381">
        <v>0</v>
      </c>
      <c r="L88" s="381">
        <v>3.21</v>
      </c>
      <c r="M88" s="167">
        <v>6</v>
      </c>
      <c r="N88" s="381">
        <v>5.76</v>
      </c>
      <c r="O88" s="381">
        <v>2.6283922171018945</v>
      </c>
      <c r="P88" s="381">
        <v>7</v>
      </c>
      <c r="Q88" s="381">
        <v>4.8</v>
      </c>
      <c r="R88" s="381">
        <f>INPUTS[[#This Row],[DISTANCIA LOCALIDA AL CA (KM)]]-((INPUTS[[#This Row],[ÁREA URBANA
'[km2']]]*4/PI())^0.5)/2</f>
        <v>3.445944999485385</v>
      </c>
      <c r="S88" s="381">
        <f>INPUTS[[#This Row],[Distancia L3
'[Regional']]]/(INPUTS[[#This Row],[TIEMPO LOCALIDA AL CA (MINUTOS)]]/60)</f>
        <v>29.536671424160442</v>
      </c>
      <c r="T88" s="198" t="s">
        <v>927</v>
      </c>
      <c r="U88" s="381">
        <v>34.65</v>
      </c>
      <c r="V88" s="381">
        <v>32689</v>
      </c>
      <c r="W88" s="381">
        <v>0</v>
      </c>
      <c r="X88" s="787"/>
      <c r="Y88" s="787"/>
      <c r="Z88" s="787" t="e">
        <f>INPUTS[[#This Row],[Distancia a la ET 
'[km']]]/(INPUTS[[#This Row],[Tiempo a la ET
'[min']]]/60)</f>
        <v>#DIV/0!</v>
      </c>
      <c r="AA88" s="787"/>
      <c r="AB88" s="787"/>
      <c r="AC88" s="787" t="e">
        <f>INPUTS[[#This Row],[Distancia de ET al CA 
'[km']]]/(INPUTS[[#This Row],[Tiempo de ET a CA
'[min']]]/60)</f>
        <v>#DIV/0!</v>
      </c>
    </row>
    <row r="89" spans="1:29" ht="15" hidden="1" customHeight="1" x14ac:dyDescent="0.25">
      <c r="A89" s="167">
        <v>38</v>
      </c>
      <c r="B89" s="167" t="s">
        <v>933</v>
      </c>
      <c r="C89" s="167" t="s">
        <v>934</v>
      </c>
      <c r="D89" s="381">
        <v>31125</v>
      </c>
      <c r="E89" s="381">
        <v>31125</v>
      </c>
      <c r="F89" s="381">
        <v>1.06</v>
      </c>
      <c r="G89" s="381">
        <v>32.99</v>
      </c>
      <c r="H89" s="381">
        <v>65.98</v>
      </c>
      <c r="I89" s="167" t="s">
        <v>731</v>
      </c>
      <c r="J89" s="381">
        <v>0</v>
      </c>
      <c r="K89" s="381">
        <v>0.45</v>
      </c>
      <c r="L89" s="381">
        <v>3.26</v>
      </c>
      <c r="M89" s="167">
        <v>6</v>
      </c>
      <c r="N89" s="381">
        <v>10.08</v>
      </c>
      <c r="O89" s="381">
        <v>2.3847691748455109</v>
      </c>
      <c r="P89" s="381">
        <v>6</v>
      </c>
      <c r="Q89" s="381">
        <v>3.6</v>
      </c>
      <c r="R89" s="381">
        <f>INPUTS[[#This Row],[DISTANCIA LOCALIDA AL CA (KM)]]-((INPUTS[[#This Row],[ÁREA URBANA
'[km2']]]*4/PI())^0.5)/2</f>
        <v>1.8087536035674463</v>
      </c>
      <c r="S89" s="381">
        <f>INPUTS[[#This Row],[Distancia L3
'[Regional']]]/(INPUTS[[#This Row],[TIEMPO LOCALIDA AL CA (MINUTOS)]]/60)</f>
        <v>18.087536035674461</v>
      </c>
      <c r="T89" s="198" t="s">
        <v>935</v>
      </c>
      <c r="U89" s="381">
        <v>58.17</v>
      </c>
      <c r="V89" s="381">
        <v>56204</v>
      </c>
      <c r="W89" s="381">
        <v>0</v>
      </c>
      <c r="X89" s="787"/>
      <c r="Y89" s="787"/>
      <c r="Z89" s="787" t="e">
        <f>INPUTS[[#This Row],[Distancia a la ET 
'[km']]]/(INPUTS[[#This Row],[Tiempo a la ET
'[min']]]/60)</f>
        <v>#DIV/0!</v>
      </c>
      <c r="AA89" s="787"/>
      <c r="AB89" s="787"/>
      <c r="AC89" s="787" t="e">
        <f>INPUTS[[#This Row],[Distancia de ET al CA 
'[km']]]/(INPUTS[[#This Row],[Tiempo de ET a CA
'[min']]]/60)</f>
        <v>#DIV/0!</v>
      </c>
    </row>
    <row r="90" spans="1:29" ht="15" hidden="1" customHeight="1" x14ac:dyDescent="0.25">
      <c r="A90" s="167">
        <v>85</v>
      </c>
      <c r="B90" s="167" t="s">
        <v>1006</v>
      </c>
      <c r="C90" s="167" t="s">
        <v>1007</v>
      </c>
      <c r="D90" s="381">
        <v>10918</v>
      </c>
      <c r="E90" s="381">
        <v>10918</v>
      </c>
      <c r="F90" s="381">
        <v>0.92</v>
      </c>
      <c r="G90" s="381">
        <v>10.039999999999999</v>
      </c>
      <c r="H90" s="381">
        <v>20.079999999999998</v>
      </c>
      <c r="I90" s="167" t="s">
        <v>731</v>
      </c>
      <c r="J90" s="381">
        <v>0</v>
      </c>
      <c r="K90" s="381">
        <v>1.78</v>
      </c>
      <c r="L90" s="381">
        <v>3.26</v>
      </c>
      <c r="M90" s="167">
        <v>5</v>
      </c>
      <c r="N90" s="381">
        <v>3.03</v>
      </c>
      <c r="O90" s="381">
        <v>2.5526315789473686</v>
      </c>
      <c r="P90" s="381">
        <v>45</v>
      </c>
      <c r="Q90" s="381">
        <v>55.9</v>
      </c>
      <c r="R90" s="381">
        <f>INPUTS[[#This Row],[DISTANCIA LOCALIDA AL CA (KM)]]-((INPUTS[[#This Row],[ÁREA URBANA
'[km2']]]*4/PI())^0.5)/2</f>
        <v>54.917921105441678</v>
      </c>
      <c r="S90" s="381">
        <f>INPUTS[[#This Row],[Distancia L3
'[Regional']]]/(INPUTS[[#This Row],[TIEMPO LOCALIDA AL CA (MINUTOS)]]/60)</f>
        <v>73.223894807255576</v>
      </c>
      <c r="T90" s="198" t="s">
        <v>952</v>
      </c>
      <c r="U90" s="381">
        <v>189.99999999999997</v>
      </c>
      <c r="V90" s="381">
        <v>185077</v>
      </c>
      <c r="W90" s="381">
        <v>0</v>
      </c>
      <c r="X90" s="787"/>
      <c r="Y90" s="787"/>
      <c r="Z90" s="787" t="e">
        <f>INPUTS[[#This Row],[Distancia a la ET 
'[km']]]/(INPUTS[[#This Row],[Tiempo a la ET
'[min']]]/60)</f>
        <v>#DIV/0!</v>
      </c>
      <c r="AA90" s="787"/>
      <c r="AB90" s="787"/>
      <c r="AC90" s="787" t="e">
        <f>INPUTS[[#This Row],[Distancia de ET al CA 
'[km']]]/(INPUTS[[#This Row],[Tiempo de ET a CA
'[min']]]/60)</f>
        <v>#DIV/0!</v>
      </c>
    </row>
    <row r="91" spans="1:29" ht="15" hidden="1" customHeight="1" x14ac:dyDescent="0.25">
      <c r="A91" s="167">
        <v>27</v>
      </c>
      <c r="B91" s="167" t="s">
        <v>911</v>
      </c>
      <c r="C91" s="167" t="s">
        <v>912</v>
      </c>
      <c r="D91" s="381">
        <v>10910</v>
      </c>
      <c r="E91" s="381">
        <v>10910</v>
      </c>
      <c r="F91" s="381">
        <v>0.92</v>
      </c>
      <c r="G91" s="381">
        <v>10.039999999999999</v>
      </c>
      <c r="H91" s="381">
        <v>20.079999999999998</v>
      </c>
      <c r="I91" s="167" t="s">
        <v>731</v>
      </c>
      <c r="J91" s="381">
        <v>0.67</v>
      </c>
      <c r="K91" s="381">
        <v>0.26999999999999991</v>
      </c>
      <c r="L91" s="381">
        <v>3.32</v>
      </c>
      <c r="M91" s="167">
        <v>6</v>
      </c>
      <c r="N91" s="381">
        <v>4.3099999999999996</v>
      </c>
      <c r="O91" s="381">
        <v>2.390497401633259</v>
      </c>
      <c r="P91" s="381">
        <v>8</v>
      </c>
      <c r="Q91" s="381">
        <v>3.2</v>
      </c>
      <c r="R91" s="381">
        <f>INPUTS[[#This Row],[DISTANCIA LOCALIDA AL CA (KM)]]-((INPUTS[[#This Row],[ÁREA URBANA
'[km2']]]*4/PI())^0.5)/2</f>
        <v>2.0287119869766714</v>
      </c>
      <c r="S91" s="381">
        <f>INPUTS[[#This Row],[Distancia L3
'[Regional']]]/(INPUTS[[#This Row],[TIEMPO LOCALIDA AL CA (MINUTOS)]]/60)</f>
        <v>15.215339902325036</v>
      </c>
      <c r="T91" s="198" t="s">
        <v>913</v>
      </c>
      <c r="U91" s="381">
        <v>28.41</v>
      </c>
      <c r="V91" s="381">
        <v>30876</v>
      </c>
      <c r="W91" s="381">
        <v>0</v>
      </c>
      <c r="X91" s="787"/>
      <c r="Y91" s="787"/>
      <c r="Z91" s="787" t="e">
        <f>INPUTS[[#This Row],[Distancia a la ET 
'[km']]]/(INPUTS[[#This Row],[Tiempo a la ET
'[min']]]/60)</f>
        <v>#DIV/0!</v>
      </c>
      <c r="AA91" s="787"/>
      <c r="AB91" s="787"/>
      <c r="AC91" s="787" t="e">
        <f>INPUTS[[#This Row],[Distancia de ET al CA 
'[km']]]/(INPUTS[[#This Row],[Tiempo de ET a CA
'[min']]]/60)</f>
        <v>#DIV/0!</v>
      </c>
    </row>
    <row r="92" spans="1:29" ht="15" hidden="1" customHeight="1" x14ac:dyDescent="0.25">
      <c r="A92" s="167">
        <v>111</v>
      </c>
      <c r="B92" s="167" t="s">
        <v>1041</v>
      </c>
      <c r="C92" s="167" t="s">
        <v>1041</v>
      </c>
      <c r="D92" s="381">
        <v>15868</v>
      </c>
      <c r="E92" s="381">
        <v>15868</v>
      </c>
      <c r="F92" s="381">
        <v>1.06</v>
      </c>
      <c r="G92" s="381">
        <v>16.82</v>
      </c>
      <c r="H92" s="381">
        <v>33.64</v>
      </c>
      <c r="I92" s="167" t="s">
        <v>731</v>
      </c>
      <c r="J92" s="381">
        <v>1.1499999999999999</v>
      </c>
      <c r="K92" s="381">
        <v>0.55000000000000004</v>
      </c>
      <c r="L92" s="381">
        <v>3.35</v>
      </c>
      <c r="M92" s="167">
        <v>6</v>
      </c>
      <c r="N92" s="381">
        <v>2.54</v>
      </c>
      <c r="O92" s="381">
        <v>2.5333998005982052</v>
      </c>
      <c r="P92" s="381">
        <v>50</v>
      </c>
      <c r="Q92" s="381">
        <v>71.2</v>
      </c>
      <c r="R92" s="381">
        <f>INPUTS[[#This Row],[DISTANCIA LOCALIDA AL CA (KM)]]-((INPUTS[[#This Row],[ÁREA URBANA
'[km2']]]*4/PI())^0.5)/2</f>
        <v>70.300829765335379</v>
      </c>
      <c r="S92" s="381">
        <f>INPUTS[[#This Row],[Distancia L3
'[Regional']]]/(INPUTS[[#This Row],[TIEMPO LOCALIDA AL CA (MINUTOS)]]/60)</f>
        <v>84.360995718402449</v>
      </c>
      <c r="T92" s="198" t="s">
        <v>1042</v>
      </c>
      <c r="U92" s="381">
        <v>183.07999999999998</v>
      </c>
      <c r="V92" s="381">
        <v>178865</v>
      </c>
      <c r="W92" s="381">
        <v>0</v>
      </c>
      <c r="X92" s="787"/>
      <c r="Y92" s="787"/>
      <c r="Z92" s="787" t="e">
        <f>INPUTS[[#This Row],[Distancia a la ET 
'[km']]]/(INPUTS[[#This Row],[Tiempo a la ET
'[min']]]/60)</f>
        <v>#DIV/0!</v>
      </c>
      <c r="AA92" s="787"/>
      <c r="AB92" s="787"/>
      <c r="AC92" s="787" t="e">
        <f>INPUTS[[#This Row],[Distancia de ET al CA 
'[km']]]/(INPUTS[[#This Row],[Tiempo de ET a CA
'[min']]]/60)</f>
        <v>#DIV/0!</v>
      </c>
    </row>
    <row r="93" spans="1:29" ht="15" hidden="1" customHeight="1" x14ac:dyDescent="0.25">
      <c r="A93" s="167">
        <v>112</v>
      </c>
      <c r="B93" s="167" t="s">
        <v>1043</v>
      </c>
      <c r="C93" s="167" t="s">
        <v>1044</v>
      </c>
      <c r="D93" s="381">
        <v>15160</v>
      </c>
      <c r="E93" s="381">
        <v>15160</v>
      </c>
      <c r="F93" s="381">
        <v>1.06</v>
      </c>
      <c r="G93" s="381">
        <v>16.07</v>
      </c>
      <c r="H93" s="381">
        <v>32.14</v>
      </c>
      <c r="I93" s="167" t="s">
        <v>731</v>
      </c>
      <c r="J93" s="381">
        <v>0</v>
      </c>
      <c r="K93" s="381">
        <v>2</v>
      </c>
      <c r="L93" s="381">
        <v>3.35</v>
      </c>
      <c r="M93" s="167">
        <v>5</v>
      </c>
      <c r="N93" s="381">
        <v>3.82</v>
      </c>
      <c r="O93" s="381">
        <v>2.8894658753709197</v>
      </c>
      <c r="P93" s="381">
        <v>35</v>
      </c>
      <c r="Q93" s="381">
        <v>49</v>
      </c>
      <c r="R93" s="381">
        <f>INPUTS[[#This Row],[DISTANCIA LOCALIDA AL CA (KM)]]-((INPUTS[[#This Row],[ÁREA URBANA
'[km2']]]*4/PI())^0.5)/2</f>
        <v>47.897301598249967</v>
      </c>
      <c r="S93" s="381">
        <f>INPUTS[[#This Row],[Distancia L3
'[Regional']]]/(INPUTS[[#This Row],[TIEMPO LOCALIDA AL CA (MINUTOS)]]/60)</f>
        <v>82.109659882714226</v>
      </c>
      <c r="T93" s="198" t="s">
        <v>947</v>
      </c>
      <c r="U93" s="381">
        <v>60.579999999999991</v>
      </c>
      <c r="V93" s="381">
        <v>59694</v>
      </c>
      <c r="W93" s="381">
        <v>0</v>
      </c>
      <c r="X93" s="787"/>
      <c r="Y93" s="787"/>
      <c r="Z93" s="787" t="e">
        <f>INPUTS[[#This Row],[Distancia a la ET 
'[km']]]/(INPUTS[[#This Row],[Tiempo a la ET
'[min']]]/60)</f>
        <v>#DIV/0!</v>
      </c>
      <c r="AA93" s="787"/>
      <c r="AB93" s="787"/>
      <c r="AC93" s="787" t="e">
        <f>INPUTS[[#This Row],[Distancia de ET al CA 
'[km']]]/(INPUTS[[#This Row],[Tiempo de ET a CA
'[min']]]/60)</f>
        <v>#DIV/0!</v>
      </c>
    </row>
    <row r="94" spans="1:29" ht="15" hidden="1" customHeight="1" x14ac:dyDescent="0.25">
      <c r="A94" s="167">
        <v>36</v>
      </c>
      <c r="B94" s="167" t="s">
        <v>930</v>
      </c>
      <c r="C94" s="167" t="s">
        <v>930</v>
      </c>
      <c r="D94" s="381">
        <v>16410</v>
      </c>
      <c r="E94" s="381">
        <v>16410</v>
      </c>
      <c r="F94" s="381">
        <v>1.06</v>
      </c>
      <c r="G94" s="381">
        <v>17.39</v>
      </c>
      <c r="H94" s="381">
        <v>34.78</v>
      </c>
      <c r="I94" s="167" t="s">
        <v>731</v>
      </c>
      <c r="J94" s="381">
        <v>0</v>
      </c>
      <c r="K94" s="381">
        <v>1.26</v>
      </c>
      <c r="L94" s="381">
        <v>3.37</v>
      </c>
      <c r="M94" s="167">
        <v>5</v>
      </c>
      <c r="N94" s="381">
        <v>7.07</v>
      </c>
      <c r="O94" s="381">
        <v>2.4513304721030043</v>
      </c>
      <c r="P94" s="381">
        <v>75</v>
      </c>
      <c r="Q94" s="381">
        <v>106</v>
      </c>
      <c r="R94" s="381">
        <f>INPUTS[[#This Row],[DISTANCIA LOCALIDA AL CA (KM)]]-((INPUTS[[#This Row],[ÁREA URBANA
'[km2']]]*4/PI())^0.5)/2</f>
        <v>104.49984970908932</v>
      </c>
      <c r="S94" s="381">
        <f>INPUTS[[#This Row],[Distancia L3
'[Regional']]]/(INPUTS[[#This Row],[TIEMPO LOCALIDA AL CA (MINUTOS)]]/60)</f>
        <v>83.59987976727146</v>
      </c>
      <c r="T94" s="198" t="s">
        <v>915</v>
      </c>
      <c r="U94" s="381">
        <v>88.149999999999991</v>
      </c>
      <c r="V94" s="381">
        <v>87738</v>
      </c>
      <c r="W94" s="381">
        <v>0</v>
      </c>
      <c r="X94" s="787"/>
      <c r="Y94" s="787"/>
      <c r="Z94" s="787" t="e">
        <f>INPUTS[[#This Row],[Distancia a la ET 
'[km']]]/(INPUTS[[#This Row],[Tiempo a la ET
'[min']]]/60)</f>
        <v>#DIV/0!</v>
      </c>
      <c r="AA94" s="787"/>
      <c r="AB94" s="787"/>
      <c r="AC94" s="787" t="e">
        <f>INPUTS[[#This Row],[Distancia de ET al CA 
'[km']]]/(INPUTS[[#This Row],[Tiempo de ET a CA
'[min']]]/60)</f>
        <v>#DIV/0!</v>
      </c>
    </row>
    <row r="95" spans="1:29" ht="15" hidden="1" customHeight="1" x14ac:dyDescent="0.25">
      <c r="A95" s="167">
        <v>28</v>
      </c>
      <c r="B95" s="167" t="s">
        <v>914</v>
      </c>
      <c r="C95" s="167" t="s">
        <v>914</v>
      </c>
      <c r="D95" s="381">
        <v>10588</v>
      </c>
      <c r="E95" s="381">
        <v>10588</v>
      </c>
      <c r="F95" s="381">
        <v>0.92</v>
      </c>
      <c r="G95" s="381">
        <v>9.74</v>
      </c>
      <c r="H95" s="381">
        <v>19.48</v>
      </c>
      <c r="I95" s="167" t="s">
        <v>731</v>
      </c>
      <c r="J95" s="381">
        <v>0.12</v>
      </c>
      <c r="K95" s="381">
        <v>1.8899999999999997</v>
      </c>
      <c r="L95" s="381">
        <v>3.38</v>
      </c>
      <c r="M95" s="167">
        <v>5</v>
      </c>
      <c r="N95" s="381">
        <v>4.17</v>
      </c>
      <c r="O95" s="381">
        <v>2.5416316232127838</v>
      </c>
      <c r="P95" s="381">
        <v>42</v>
      </c>
      <c r="Q95" s="381">
        <v>52.9</v>
      </c>
      <c r="R95" s="381">
        <f>INPUTS[[#This Row],[DISTANCIA LOCALIDA AL CA (KM)]]-((INPUTS[[#This Row],[ÁREA URBANA
'[km2']]]*4/PI())^0.5)/2</f>
        <v>51.747892268324527</v>
      </c>
      <c r="S95" s="381">
        <f>INPUTS[[#This Row],[Distancia L3
'[Regional']]]/(INPUTS[[#This Row],[TIEMPO LOCALIDA AL CA (MINUTOS)]]/60)</f>
        <v>73.925560383320757</v>
      </c>
      <c r="T95" s="198" t="s">
        <v>915</v>
      </c>
      <c r="U95" s="381">
        <v>88.149999999999991</v>
      </c>
      <c r="V95" s="381">
        <v>87738</v>
      </c>
      <c r="W95" s="381">
        <v>0</v>
      </c>
      <c r="X95" s="787"/>
      <c r="Y95" s="787"/>
      <c r="Z95" s="787" t="e">
        <f>INPUTS[[#This Row],[Distancia a la ET 
'[km']]]/(INPUTS[[#This Row],[Tiempo a la ET
'[min']]]/60)</f>
        <v>#DIV/0!</v>
      </c>
      <c r="AA95" s="787"/>
      <c r="AB95" s="787"/>
      <c r="AC95" s="787" t="e">
        <f>INPUTS[[#This Row],[Distancia de ET al CA 
'[km']]]/(INPUTS[[#This Row],[Tiempo de ET a CA
'[min']]]/60)</f>
        <v>#DIV/0!</v>
      </c>
    </row>
    <row r="96" spans="1:29" ht="15" customHeight="1" x14ac:dyDescent="0.25">
      <c r="A96" s="167">
        <v>101</v>
      </c>
      <c r="B96" s="167" t="s">
        <v>1028</v>
      </c>
      <c r="C96" s="167" t="s">
        <v>1028</v>
      </c>
      <c r="D96" s="381">
        <v>36568</v>
      </c>
      <c r="E96" s="381">
        <v>36568</v>
      </c>
      <c r="F96" s="381">
        <v>1.06</v>
      </c>
      <c r="G96" s="381">
        <v>38.76</v>
      </c>
      <c r="H96" s="381">
        <v>77.52</v>
      </c>
      <c r="I96" s="167" t="s">
        <v>731</v>
      </c>
      <c r="J96" s="381">
        <v>0</v>
      </c>
      <c r="K96" s="381">
        <v>0.68</v>
      </c>
      <c r="L96" s="381">
        <v>3.4</v>
      </c>
      <c r="M96" s="167">
        <v>4</v>
      </c>
      <c r="N96" s="381">
        <v>9.5500000000000007</v>
      </c>
      <c r="O96" s="381">
        <v>2.457563712882862</v>
      </c>
      <c r="P96" s="381">
        <v>47</v>
      </c>
      <c r="Q96" s="381">
        <v>60</v>
      </c>
      <c r="R96" s="381">
        <f>INPUTS[[#This Row],[DISTANCIA LOCALIDA AL CA (KM)]]-((INPUTS[[#This Row],[ÁREA URBANA
'[km2']]]*4/PI())^0.5)/2</f>
        <v>58.256480739121244</v>
      </c>
      <c r="S96" s="381">
        <f>INPUTS[[#This Row],[Distancia L3
'[Regional']]]/(INPUTS[[#This Row],[TIEMPO LOCALIDA AL CA (MINUTOS)]]/60)</f>
        <v>74.369975411644148</v>
      </c>
      <c r="T96" s="198" t="s">
        <v>910</v>
      </c>
      <c r="U96" s="381">
        <v>109.77</v>
      </c>
      <c r="V96" s="381">
        <v>103552</v>
      </c>
      <c r="W96" s="381">
        <v>0</v>
      </c>
      <c r="X96" s="787">
        <v>4.7</v>
      </c>
      <c r="Y96" s="787">
        <v>9</v>
      </c>
      <c r="Z96" s="787">
        <f>INPUTS[[#This Row],[Distancia a la ET 
'[km']]]/(INPUTS[[#This Row],[Tiempo a la ET
'[min']]]/60)</f>
        <v>31.333333333333336</v>
      </c>
      <c r="AA96" s="787">
        <v>56.2</v>
      </c>
      <c r="AB96" s="787">
        <v>41</v>
      </c>
      <c r="AC96" s="787">
        <f>INPUTS[[#This Row],[Distancia de ET al CA 
'[km']]]/(INPUTS[[#This Row],[Tiempo de ET a CA
'[min']]]/60)</f>
        <v>82.243902439024396</v>
      </c>
    </row>
    <row r="97" spans="1:29" ht="15" hidden="1" customHeight="1" x14ac:dyDescent="0.25">
      <c r="A97" s="167">
        <v>87</v>
      </c>
      <c r="B97" s="167" t="s">
        <v>1009</v>
      </c>
      <c r="C97" s="167" t="s">
        <v>1009</v>
      </c>
      <c r="D97" s="381">
        <v>15534</v>
      </c>
      <c r="E97" s="381">
        <v>15534</v>
      </c>
      <c r="F97" s="381">
        <v>1.06</v>
      </c>
      <c r="G97" s="381">
        <v>16.47</v>
      </c>
      <c r="H97" s="381">
        <v>32.94</v>
      </c>
      <c r="I97" s="167" t="s">
        <v>731</v>
      </c>
      <c r="J97" s="381">
        <v>0.82</v>
      </c>
      <c r="K97" s="381">
        <v>2.6500000000000004</v>
      </c>
      <c r="L97" s="381">
        <v>3.49</v>
      </c>
      <c r="M97" s="167">
        <v>5</v>
      </c>
      <c r="N97" s="381">
        <v>4.28</v>
      </c>
      <c r="O97" s="381">
        <v>2.7287033151489717</v>
      </c>
      <c r="P97" s="381">
        <v>48</v>
      </c>
      <c r="Q97" s="381">
        <v>57.3</v>
      </c>
      <c r="R97" s="381">
        <f>INPUTS[[#This Row],[DISTANCIA LOCALIDA AL CA (KM)]]-((INPUTS[[#This Row],[ÁREA URBANA
'[km2']]]*4/PI())^0.5)/2</f>
        <v>56.132795513688095</v>
      </c>
      <c r="S97" s="381">
        <f>INPUTS[[#This Row],[Distancia L3
'[Regional']]]/(INPUTS[[#This Row],[TIEMPO LOCALIDA AL CA (MINUTOS)]]/60)</f>
        <v>70.165994392110107</v>
      </c>
      <c r="T97" s="198" t="s">
        <v>1010</v>
      </c>
      <c r="U97" s="381">
        <v>138.53</v>
      </c>
      <c r="V97" s="381">
        <v>135199</v>
      </c>
      <c r="W97" s="381">
        <v>0</v>
      </c>
      <c r="X97" s="787"/>
      <c r="Y97" s="787"/>
      <c r="Z97" s="787" t="e">
        <f>INPUTS[[#This Row],[Distancia a la ET 
'[km']]]/(INPUTS[[#This Row],[Tiempo a la ET
'[min']]]/60)</f>
        <v>#DIV/0!</v>
      </c>
      <c r="AA97" s="787"/>
      <c r="AB97" s="787"/>
      <c r="AC97" s="787" t="e">
        <f>INPUTS[[#This Row],[Distancia de ET al CA 
'[km']]]/(INPUTS[[#This Row],[Tiempo de ET a CA
'[min']]]/60)</f>
        <v>#DIV/0!</v>
      </c>
    </row>
    <row r="98" spans="1:29" ht="15" hidden="1" customHeight="1" x14ac:dyDescent="0.25">
      <c r="A98" s="167">
        <v>117</v>
      </c>
      <c r="B98" s="167" t="s">
        <v>1050</v>
      </c>
      <c r="C98" s="167" t="s">
        <v>1050</v>
      </c>
      <c r="D98" s="381">
        <v>8498</v>
      </c>
      <c r="E98" s="381">
        <v>8498</v>
      </c>
      <c r="F98" s="381">
        <v>0.92</v>
      </c>
      <c r="G98" s="381">
        <v>7.82</v>
      </c>
      <c r="H98" s="381">
        <v>15.64</v>
      </c>
      <c r="I98" s="167" t="s">
        <v>731</v>
      </c>
      <c r="J98" s="381">
        <v>0</v>
      </c>
      <c r="K98" s="381">
        <v>2</v>
      </c>
      <c r="L98" s="381">
        <v>3.5</v>
      </c>
      <c r="M98" s="167">
        <v>5</v>
      </c>
      <c r="N98" s="381">
        <v>2.54</v>
      </c>
      <c r="O98" s="381">
        <v>2.2935862691960254</v>
      </c>
      <c r="P98" s="381">
        <v>67</v>
      </c>
      <c r="Q98" s="381">
        <v>54.5</v>
      </c>
      <c r="R98" s="381">
        <f>INPUTS[[#This Row],[DISTANCIA LOCALIDA AL CA (KM)]]-((INPUTS[[#This Row],[ÁREA URBANA
'[km2']]]*4/PI())^0.5)/2</f>
        <v>53.600829765335376</v>
      </c>
      <c r="S98" s="381">
        <f>INPUTS[[#This Row],[Distancia L3
'[Regional']]]/(INPUTS[[#This Row],[TIEMPO LOCALIDA AL CA (MINUTOS)]]/60)</f>
        <v>48.000743073434663</v>
      </c>
      <c r="T98" s="198" t="s">
        <v>913</v>
      </c>
      <c r="U98" s="381">
        <v>28.41</v>
      </c>
      <c r="V98" s="381">
        <v>30876</v>
      </c>
      <c r="W98" s="381">
        <v>0</v>
      </c>
      <c r="X98" s="787"/>
      <c r="Y98" s="787"/>
      <c r="Z98" s="787" t="e">
        <f>INPUTS[[#This Row],[Distancia a la ET 
'[km']]]/(INPUTS[[#This Row],[Tiempo a la ET
'[min']]]/60)</f>
        <v>#DIV/0!</v>
      </c>
      <c r="AA98" s="787"/>
      <c r="AB98" s="787"/>
      <c r="AC98" s="787" t="e">
        <f>INPUTS[[#This Row],[Distancia de ET al CA 
'[km']]]/(INPUTS[[#This Row],[Tiempo de ET a CA
'[min']]]/60)</f>
        <v>#DIV/0!</v>
      </c>
    </row>
    <row r="99" spans="1:29" ht="15" hidden="1" customHeight="1" x14ac:dyDescent="0.25">
      <c r="A99" s="167">
        <v>71</v>
      </c>
      <c r="B99" s="167" t="s">
        <v>986</v>
      </c>
      <c r="C99" s="167" t="s">
        <v>987</v>
      </c>
      <c r="D99" s="381">
        <v>12243</v>
      </c>
      <c r="E99" s="381">
        <v>12243</v>
      </c>
      <c r="F99" s="381">
        <v>0.92</v>
      </c>
      <c r="G99" s="381">
        <v>11.26</v>
      </c>
      <c r="H99" s="381">
        <v>22.52</v>
      </c>
      <c r="I99" s="167" t="s">
        <v>731</v>
      </c>
      <c r="J99" s="381">
        <v>1.17</v>
      </c>
      <c r="K99" s="381">
        <v>0.83000000000000007</v>
      </c>
      <c r="L99" s="381">
        <v>3.55</v>
      </c>
      <c r="M99" s="167">
        <v>5</v>
      </c>
      <c r="N99" s="381">
        <v>3.7</v>
      </c>
      <c r="O99" s="381">
        <v>2.446986089644513</v>
      </c>
      <c r="P99" s="381">
        <v>9</v>
      </c>
      <c r="Q99" s="381">
        <v>3.8</v>
      </c>
      <c r="R99" s="381">
        <f>INPUTS[[#This Row],[DISTANCIA LOCALIDA AL CA (KM)]]-((INPUTS[[#This Row],[ÁREA URBANA
'[km2']]]*4/PI())^0.5)/2</f>
        <v>2.7147596676864492</v>
      </c>
      <c r="S99" s="381">
        <f>INPUTS[[#This Row],[Distancia L3
'[Regional']]]/(INPUTS[[#This Row],[TIEMPO LOCALIDA AL CA (MINUTOS)]]/60)</f>
        <v>18.098397784576328</v>
      </c>
      <c r="T99" s="198" t="s">
        <v>939</v>
      </c>
      <c r="U99" s="381">
        <v>141.04000000000002</v>
      </c>
      <c r="V99" s="381">
        <v>134672</v>
      </c>
      <c r="W99" s="381">
        <v>0</v>
      </c>
      <c r="X99" s="787"/>
      <c r="Y99" s="787"/>
      <c r="Z99" s="787" t="e">
        <f>INPUTS[[#This Row],[Distancia a la ET 
'[km']]]/(INPUTS[[#This Row],[Tiempo a la ET
'[min']]]/60)</f>
        <v>#DIV/0!</v>
      </c>
      <c r="AA99" s="787"/>
      <c r="AB99" s="787"/>
      <c r="AC99" s="787" t="e">
        <f>INPUTS[[#This Row],[Distancia de ET al CA 
'[km']]]/(INPUTS[[#This Row],[Tiempo de ET a CA
'[min']]]/60)</f>
        <v>#DIV/0!</v>
      </c>
    </row>
    <row r="100" spans="1:29" ht="15" hidden="1" customHeight="1" x14ac:dyDescent="0.25">
      <c r="A100" s="167">
        <v>78</v>
      </c>
      <c r="B100" s="167" t="s">
        <v>997</v>
      </c>
      <c r="C100" s="167" t="s">
        <v>998</v>
      </c>
      <c r="D100" s="381">
        <v>9983</v>
      </c>
      <c r="E100" s="381">
        <v>9983</v>
      </c>
      <c r="F100" s="381">
        <v>0.92</v>
      </c>
      <c r="G100" s="381">
        <v>9.18</v>
      </c>
      <c r="H100" s="381">
        <v>18.36</v>
      </c>
      <c r="I100" s="167" t="s">
        <v>731</v>
      </c>
      <c r="J100" s="381">
        <v>0</v>
      </c>
      <c r="K100" s="381">
        <v>2.27</v>
      </c>
      <c r="L100" s="381">
        <v>3.57</v>
      </c>
      <c r="M100" s="167">
        <v>6</v>
      </c>
      <c r="N100" s="381">
        <v>3.4</v>
      </c>
      <c r="O100" s="381">
        <v>2.5182056510340809</v>
      </c>
      <c r="P100" s="381">
        <v>58</v>
      </c>
      <c r="Q100" s="381">
        <v>72.3</v>
      </c>
      <c r="R100" s="381">
        <f>INPUTS[[#This Row],[DISTANCIA LOCALIDA AL CA (KM)]]-((INPUTS[[#This Row],[ÁREA URBANA
'[km2']]]*4/PI())^0.5)/2</f>
        <v>71.259685810427982</v>
      </c>
      <c r="S100" s="381">
        <f>INPUTS[[#This Row],[Distancia L3
'[Regional']]]/(INPUTS[[#This Row],[TIEMPO LOCALIDA AL CA (MINUTOS)]]/60)</f>
        <v>73.716916355615155</v>
      </c>
      <c r="T100" s="198" t="s">
        <v>935</v>
      </c>
      <c r="U100" s="381">
        <v>58.17</v>
      </c>
      <c r="V100" s="381">
        <v>56204</v>
      </c>
      <c r="W100" s="381">
        <v>0</v>
      </c>
      <c r="X100" s="787"/>
      <c r="Y100" s="787"/>
      <c r="Z100" s="787" t="e">
        <f>INPUTS[[#This Row],[Distancia a la ET 
'[km']]]/(INPUTS[[#This Row],[Tiempo a la ET
'[min']]]/60)</f>
        <v>#DIV/0!</v>
      </c>
      <c r="AA100" s="787"/>
      <c r="AB100" s="787"/>
      <c r="AC100" s="787" t="e">
        <f>INPUTS[[#This Row],[Distancia de ET al CA 
'[km']]]/(INPUTS[[#This Row],[Tiempo de ET a CA
'[min']]]/60)</f>
        <v>#DIV/0!</v>
      </c>
    </row>
    <row r="101" spans="1:29" ht="15" hidden="1" customHeight="1" x14ac:dyDescent="0.25">
      <c r="A101" s="167">
        <v>137</v>
      </c>
      <c r="B101" s="167" t="s">
        <v>911</v>
      </c>
      <c r="C101" s="167" t="s">
        <v>1073</v>
      </c>
      <c r="D101" s="381">
        <v>3409</v>
      </c>
      <c r="E101" s="381">
        <v>3409</v>
      </c>
      <c r="F101" s="381">
        <v>0.92</v>
      </c>
      <c r="G101" s="381">
        <v>3.14</v>
      </c>
      <c r="H101" s="381">
        <v>6.28</v>
      </c>
      <c r="I101" s="167" t="s">
        <v>810</v>
      </c>
      <c r="J101" s="381">
        <v>0</v>
      </c>
      <c r="K101" s="381">
        <v>2.48</v>
      </c>
      <c r="L101" s="381">
        <v>3.65</v>
      </c>
      <c r="M101" s="167">
        <v>6</v>
      </c>
      <c r="N101" s="381">
        <v>1.1299999999999999</v>
      </c>
      <c r="O101" s="381">
        <v>2.2034246575342467</v>
      </c>
      <c r="P101" s="381">
        <v>46</v>
      </c>
      <c r="Q101" s="381">
        <v>55.5</v>
      </c>
      <c r="R101" s="381">
        <f>INPUTS[[#This Row],[DISTANCIA LOCALIDA AL CA (KM)]]-((INPUTS[[#This Row],[ÁREA URBANA
'[km2']]]*4/PI())^0.5)/2</f>
        <v>54.900258246086132</v>
      </c>
      <c r="S101" s="381">
        <f>INPUTS[[#This Row],[Distancia L3
'[Regional']]]/(INPUTS[[#This Row],[TIEMPO LOCALIDA AL CA (MINUTOS)]]/60)</f>
        <v>71.609032494894947</v>
      </c>
      <c r="T101" s="198" t="s">
        <v>913</v>
      </c>
      <c r="U101" s="381">
        <v>28.41</v>
      </c>
      <c r="V101" s="381">
        <v>30876</v>
      </c>
      <c r="W101" s="381">
        <v>0</v>
      </c>
      <c r="X101" s="787"/>
      <c r="Y101" s="787"/>
      <c r="Z101" s="787" t="e">
        <f>INPUTS[[#This Row],[Distancia a la ET 
'[km']]]/(INPUTS[[#This Row],[Tiempo a la ET
'[min']]]/60)</f>
        <v>#DIV/0!</v>
      </c>
      <c r="AA101" s="787"/>
      <c r="AB101" s="787"/>
      <c r="AC101" s="787" t="e">
        <f>INPUTS[[#This Row],[Distancia de ET al CA 
'[km']]]/(INPUTS[[#This Row],[Tiempo de ET a CA
'[min']]]/60)</f>
        <v>#DIV/0!</v>
      </c>
    </row>
    <row r="102" spans="1:29" ht="15" hidden="1" customHeight="1" x14ac:dyDescent="0.25">
      <c r="A102" s="167">
        <v>53</v>
      </c>
      <c r="B102" s="167" t="s">
        <v>958</v>
      </c>
      <c r="C102" s="167" t="s">
        <v>958</v>
      </c>
      <c r="D102" s="381">
        <v>11701</v>
      </c>
      <c r="E102" s="381">
        <v>11701</v>
      </c>
      <c r="F102" s="381">
        <v>0.92</v>
      </c>
      <c r="G102" s="381">
        <v>10.76</v>
      </c>
      <c r="H102" s="381">
        <v>21.52</v>
      </c>
      <c r="I102" s="167" t="s">
        <v>731</v>
      </c>
      <c r="J102" s="381">
        <v>1.31</v>
      </c>
      <c r="K102" s="381">
        <v>1.0699999999999998</v>
      </c>
      <c r="L102" s="381">
        <v>3.67</v>
      </c>
      <c r="M102" s="167">
        <v>5</v>
      </c>
      <c r="N102" s="381">
        <v>4.1399999999999997</v>
      </c>
      <c r="O102" s="381">
        <v>2.43649449618967</v>
      </c>
      <c r="P102" s="381">
        <v>29</v>
      </c>
      <c r="Q102" s="381">
        <v>34.700000000000003</v>
      </c>
      <c r="R102" s="381">
        <f>INPUTS[[#This Row],[DISTANCIA LOCALIDA AL CA (KM)]]-((INPUTS[[#This Row],[ÁREA URBANA
'[km2']]]*4/PI())^0.5)/2</f>
        <v>33.55204402140113</v>
      </c>
      <c r="S102" s="381">
        <f>INPUTS[[#This Row],[Distancia L3
'[Regional']]]/(INPUTS[[#This Row],[TIEMPO LOCALIDA AL CA (MINUTOS)]]/60)</f>
        <v>69.418022113243723</v>
      </c>
      <c r="T102" s="198" t="s">
        <v>959</v>
      </c>
      <c r="U102" s="381">
        <v>38.19</v>
      </c>
      <c r="V102" s="381">
        <v>37574</v>
      </c>
      <c r="W102" s="381">
        <v>0</v>
      </c>
      <c r="X102" s="787"/>
      <c r="Y102" s="787"/>
      <c r="Z102" s="787" t="e">
        <f>INPUTS[[#This Row],[Distancia a la ET 
'[km']]]/(INPUTS[[#This Row],[Tiempo a la ET
'[min']]]/60)</f>
        <v>#DIV/0!</v>
      </c>
      <c r="AA102" s="787"/>
      <c r="AB102" s="787"/>
      <c r="AC102" s="787" t="e">
        <f>INPUTS[[#This Row],[Distancia de ET al CA 
'[km']]]/(INPUTS[[#This Row],[Tiempo de ET a CA
'[min']]]/60)</f>
        <v>#DIV/0!</v>
      </c>
    </row>
    <row r="103" spans="1:29" ht="15" hidden="1" customHeight="1" x14ac:dyDescent="0.25">
      <c r="A103" s="167">
        <v>65</v>
      </c>
      <c r="B103" s="167" t="s">
        <v>978</v>
      </c>
      <c r="C103" s="167" t="s">
        <v>978</v>
      </c>
      <c r="D103" s="381">
        <v>22096</v>
      </c>
      <c r="E103" s="381">
        <v>22096</v>
      </c>
      <c r="F103" s="381">
        <v>1.06</v>
      </c>
      <c r="G103" s="381">
        <v>23.42</v>
      </c>
      <c r="H103" s="381">
        <v>46.84</v>
      </c>
      <c r="I103" s="167" t="s">
        <v>731</v>
      </c>
      <c r="J103" s="381">
        <v>0.69</v>
      </c>
      <c r="K103" s="381">
        <v>0.53</v>
      </c>
      <c r="L103" s="381">
        <v>3.91</v>
      </c>
      <c r="M103" s="167">
        <v>3</v>
      </c>
      <c r="N103" s="381">
        <v>7.72</v>
      </c>
      <c r="O103" s="381">
        <v>2.2281082645824286</v>
      </c>
      <c r="P103" s="381">
        <v>26</v>
      </c>
      <c r="Q103" s="381">
        <v>33.700000000000003</v>
      </c>
      <c r="R103" s="381">
        <f>INPUTS[[#This Row],[DISTANCIA LOCALIDA AL CA (KM)]]-((INPUTS[[#This Row],[ÁREA URBANA
'[km2']]]*4/PI())^0.5)/2</f>
        <v>32.13240556222636</v>
      </c>
      <c r="S103" s="381">
        <f>INPUTS[[#This Row],[Distancia L3
'[Regional']]]/(INPUTS[[#This Row],[TIEMPO LOCALIDA AL CA (MINUTOS)]]/60)</f>
        <v>74.151705143599287</v>
      </c>
      <c r="T103" s="198" t="s">
        <v>939</v>
      </c>
      <c r="U103" s="381">
        <v>141.04000000000002</v>
      </c>
      <c r="V103" s="381">
        <v>134672</v>
      </c>
      <c r="W103" s="381">
        <v>0</v>
      </c>
      <c r="X103" s="787"/>
      <c r="Y103" s="787"/>
      <c r="Z103" s="787" t="e">
        <f>INPUTS[[#This Row],[Distancia a la ET 
'[km']]]/(INPUTS[[#This Row],[Tiempo a la ET
'[min']]]/60)</f>
        <v>#DIV/0!</v>
      </c>
      <c r="AA103" s="787"/>
      <c r="AB103" s="787"/>
      <c r="AC103" s="787" t="e">
        <f>INPUTS[[#This Row],[Distancia de ET al CA 
'[km']]]/(INPUTS[[#This Row],[Tiempo de ET a CA
'[min']]]/60)</f>
        <v>#DIV/0!</v>
      </c>
    </row>
    <row r="104" spans="1:29" ht="15" hidden="1" customHeight="1" x14ac:dyDescent="0.25">
      <c r="A104" s="167">
        <v>120</v>
      </c>
      <c r="B104" s="167" t="s">
        <v>1053</v>
      </c>
      <c r="C104" s="167" t="s">
        <v>1053</v>
      </c>
      <c r="D104" s="381">
        <v>25547</v>
      </c>
      <c r="E104" s="381">
        <v>25547</v>
      </c>
      <c r="F104" s="381">
        <v>1.06</v>
      </c>
      <c r="G104" s="381">
        <v>27.08</v>
      </c>
      <c r="H104" s="381">
        <v>54.16</v>
      </c>
      <c r="I104" s="167" t="s">
        <v>731</v>
      </c>
      <c r="J104" s="381">
        <v>1.1100000000000001</v>
      </c>
      <c r="K104" s="381">
        <v>0</v>
      </c>
      <c r="L104" s="381">
        <v>4</v>
      </c>
      <c r="M104" s="167">
        <v>7</v>
      </c>
      <c r="N104" s="381">
        <v>5.7</v>
      </c>
      <c r="O104" s="381">
        <v>2.9372956909361068</v>
      </c>
      <c r="P104" s="381">
        <v>8</v>
      </c>
      <c r="Q104" s="381">
        <v>4.5</v>
      </c>
      <c r="R104" s="381">
        <f>INPUTS[[#This Row],[DISTANCIA LOCALIDA AL CA (KM)]]-((INPUTS[[#This Row],[ÁREA URBANA
'[km2']]]*4/PI())^0.5)/2</f>
        <v>3.1530158311072816</v>
      </c>
      <c r="S104" s="381">
        <f>INPUTS[[#This Row],[Distancia L3
'[Regional']]]/(INPUTS[[#This Row],[TIEMPO LOCALIDA AL CA (MINUTOS)]]/60)</f>
        <v>23.647618733304611</v>
      </c>
      <c r="T104" s="198" t="s">
        <v>944</v>
      </c>
      <c r="U104" s="381">
        <v>88.050000000000011</v>
      </c>
      <c r="V104" s="381">
        <v>83064</v>
      </c>
      <c r="W104" s="381">
        <v>0</v>
      </c>
      <c r="X104" s="787"/>
      <c r="Y104" s="787"/>
      <c r="Z104" s="787" t="e">
        <f>INPUTS[[#This Row],[Distancia a la ET 
'[km']]]/(INPUTS[[#This Row],[Tiempo a la ET
'[min']]]/60)</f>
        <v>#DIV/0!</v>
      </c>
      <c r="AA104" s="787"/>
      <c r="AB104" s="787"/>
      <c r="AC104" s="787" t="e">
        <f>INPUTS[[#This Row],[Distancia de ET al CA 
'[km']]]/(INPUTS[[#This Row],[Tiempo de ET a CA
'[min']]]/60)</f>
        <v>#DIV/0!</v>
      </c>
    </row>
    <row r="105" spans="1:29" ht="15" hidden="1" customHeight="1" x14ac:dyDescent="0.25">
      <c r="A105" s="167">
        <v>56</v>
      </c>
      <c r="B105" s="167" t="s">
        <v>964</v>
      </c>
      <c r="C105" s="167" t="s">
        <v>964</v>
      </c>
      <c r="D105" s="381">
        <v>15096</v>
      </c>
      <c r="E105" s="381">
        <v>15096</v>
      </c>
      <c r="F105" s="381">
        <v>1.06</v>
      </c>
      <c r="G105" s="381">
        <v>16</v>
      </c>
      <c r="H105" s="381">
        <v>32</v>
      </c>
      <c r="I105" s="167" t="s">
        <v>731</v>
      </c>
      <c r="J105" s="381">
        <v>0</v>
      </c>
      <c r="K105" s="381">
        <v>2.1</v>
      </c>
      <c r="L105" s="381">
        <v>4.05</v>
      </c>
      <c r="M105" s="167">
        <v>5</v>
      </c>
      <c r="N105" s="381">
        <v>3.75</v>
      </c>
      <c r="O105" s="381">
        <v>2.8368827521647555</v>
      </c>
      <c r="P105" s="381">
        <v>60</v>
      </c>
      <c r="Q105" s="381">
        <v>79.5</v>
      </c>
      <c r="R105" s="381">
        <f>INPUTS[[#This Row],[DISTANCIA LOCALIDA AL CA (KM)]]-((INPUTS[[#This Row],[ÁREA URBANA
'[km2']]]*4/PI())^0.5)/2</f>
        <v>78.407451569407925</v>
      </c>
      <c r="S105" s="381">
        <f>INPUTS[[#This Row],[Distancia L3
'[Regional']]]/(INPUTS[[#This Row],[TIEMPO LOCALIDA AL CA (MINUTOS)]]/60)</f>
        <v>78.407451569407925</v>
      </c>
      <c r="T105" s="198" t="s">
        <v>935</v>
      </c>
      <c r="U105" s="381">
        <v>58.17</v>
      </c>
      <c r="V105" s="381">
        <v>56204</v>
      </c>
      <c r="W105" s="381">
        <v>0</v>
      </c>
      <c r="X105" s="787"/>
      <c r="Y105" s="787"/>
      <c r="Z105" s="787" t="e">
        <f>INPUTS[[#This Row],[Distancia a la ET 
'[km']]]/(INPUTS[[#This Row],[Tiempo a la ET
'[min']]]/60)</f>
        <v>#DIV/0!</v>
      </c>
      <c r="AA105" s="787"/>
      <c r="AB105" s="787"/>
      <c r="AC105" s="787" t="e">
        <f>INPUTS[[#This Row],[Distancia de ET al CA 
'[km']]]/(INPUTS[[#This Row],[Tiempo de ET a CA
'[min']]]/60)</f>
        <v>#DIV/0!</v>
      </c>
    </row>
    <row r="106" spans="1:29" ht="15" hidden="1" customHeight="1" x14ac:dyDescent="0.25">
      <c r="A106" s="167">
        <v>55</v>
      </c>
      <c r="B106" s="167" t="s">
        <v>962</v>
      </c>
      <c r="C106" s="167" t="s">
        <v>962</v>
      </c>
      <c r="D106" s="381">
        <v>30747</v>
      </c>
      <c r="E106" s="381">
        <v>30747</v>
      </c>
      <c r="F106" s="381">
        <v>1.06</v>
      </c>
      <c r="G106" s="381">
        <v>32.590000000000003</v>
      </c>
      <c r="H106" s="381">
        <v>65.180000000000007</v>
      </c>
      <c r="I106" s="167" t="s">
        <v>731</v>
      </c>
      <c r="J106" s="381">
        <v>1.6</v>
      </c>
      <c r="K106" s="381">
        <v>0.45</v>
      </c>
      <c r="L106" s="381">
        <v>4.2300000000000004</v>
      </c>
      <c r="M106" s="167">
        <v>6</v>
      </c>
      <c r="N106" s="381">
        <v>9.65</v>
      </c>
      <c r="O106" s="381">
        <v>2.5118034878774989</v>
      </c>
      <c r="P106" s="381">
        <v>9</v>
      </c>
      <c r="Q106" s="381">
        <v>3.9</v>
      </c>
      <c r="R106" s="381">
        <f>INPUTS[[#This Row],[DISTANCIA LOCALIDA AL CA (KM)]]-((INPUTS[[#This Row],[ÁREA URBANA
'[km2']]]*4/PI())^0.5)/2</f>
        <v>2.1473761379937848</v>
      </c>
      <c r="S106" s="381">
        <f>INPUTS[[#This Row],[Distancia L3
'[Regional']]]/(INPUTS[[#This Row],[TIEMPO LOCALIDA AL CA (MINUTOS)]]/60)</f>
        <v>14.315840919958566</v>
      </c>
      <c r="T106" s="198" t="s">
        <v>963</v>
      </c>
      <c r="U106" s="381">
        <v>69.739999999999995</v>
      </c>
      <c r="V106" s="381">
        <v>68693</v>
      </c>
      <c r="W106" s="381">
        <v>0</v>
      </c>
      <c r="X106" s="787"/>
      <c r="Y106" s="787"/>
      <c r="Z106" s="787" t="e">
        <f>INPUTS[[#This Row],[Distancia a la ET 
'[km']]]/(INPUTS[[#This Row],[Tiempo a la ET
'[min']]]/60)</f>
        <v>#DIV/0!</v>
      </c>
      <c r="AA106" s="787"/>
      <c r="AB106" s="787"/>
      <c r="AC106" s="787" t="e">
        <f>INPUTS[[#This Row],[Distancia de ET al CA 
'[km']]]/(INPUTS[[#This Row],[Tiempo de ET a CA
'[min']]]/60)</f>
        <v>#DIV/0!</v>
      </c>
    </row>
    <row r="107" spans="1:29" ht="15" hidden="1" customHeight="1" x14ac:dyDescent="0.25">
      <c r="A107" s="167">
        <v>96</v>
      </c>
      <c r="B107" s="167" t="s">
        <v>1021</v>
      </c>
      <c r="C107" s="167" t="s">
        <v>1021</v>
      </c>
      <c r="D107" s="381">
        <v>11314</v>
      </c>
      <c r="E107" s="381">
        <v>54869</v>
      </c>
      <c r="F107" s="381">
        <v>1.02</v>
      </c>
      <c r="G107" s="381">
        <v>27.43</v>
      </c>
      <c r="H107" s="381">
        <v>54.86</v>
      </c>
      <c r="I107" s="167" t="s">
        <v>731</v>
      </c>
      <c r="J107" s="381">
        <v>0</v>
      </c>
      <c r="K107" s="381">
        <v>1.1200000000000001</v>
      </c>
      <c r="L107" s="381">
        <v>4.26</v>
      </c>
      <c r="M107" s="167">
        <v>5</v>
      </c>
      <c r="N107" s="381">
        <v>6.28</v>
      </c>
      <c r="O107" s="381">
        <v>0.65704531346989448</v>
      </c>
      <c r="P107" s="381">
        <v>10</v>
      </c>
      <c r="Q107" s="381">
        <v>5.9</v>
      </c>
      <c r="R107" s="381">
        <f>INPUTS[[#This Row],[DISTANCIA LOCALIDA AL CA (KM)]]-((INPUTS[[#This Row],[ÁREA URBANA
'[km2']]]*4/PI())^0.5)/2</f>
        <v>4.4861449560742788</v>
      </c>
      <c r="S107" s="381">
        <f>INPUTS[[#This Row],[Distancia L3
'[Regional']]]/(INPUTS[[#This Row],[TIEMPO LOCALIDA AL CA (MINUTOS)]]/60)</f>
        <v>26.916869736445673</v>
      </c>
      <c r="T107" s="198" t="s">
        <v>959</v>
      </c>
      <c r="U107" s="381">
        <v>38.19</v>
      </c>
      <c r="V107" s="381">
        <v>37574</v>
      </c>
      <c r="W107" s="381">
        <v>0</v>
      </c>
      <c r="X107" s="787"/>
      <c r="Y107" s="787"/>
      <c r="Z107" s="787" t="e">
        <f>INPUTS[[#This Row],[Distancia a la ET 
'[km']]]/(INPUTS[[#This Row],[Tiempo a la ET
'[min']]]/60)</f>
        <v>#DIV/0!</v>
      </c>
      <c r="AA107" s="787"/>
      <c r="AB107" s="787"/>
      <c r="AC107" s="787" t="e">
        <f>INPUTS[[#This Row],[Distancia de ET al CA 
'[km']]]/(INPUTS[[#This Row],[Tiempo de ET a CA
'[min']]]/60)</f>
        <v>#DIV/0!</v>
      </c>
    </row>
    <row r="108" spans="1:29" ht="15" hidden="1" customHeight="1" x14ac:dyDescent="0.25">
      <c r="A108" s="167">
        <v>50</v>
      </c>
      <c r="B108" s="167" t="s">
        <v>954</v>
      </c>
      <c r="C108" s="167" t="s">
        <v>954</v>
      </c>
      <c r="D108" s="381">
        <v>71844</v>
      </c>
      <c r="E108" s="381">
        <v>71844</v>
      </c>
      <c r="F108" s="381">
        <v>1.02</v>
      </c>
      <c r="G108" s="381">
        <v>73.28</v>
      </c>
      <c r="H108" s="381">
        <v>146.56</v>
      </c>
      <c r="I108" s="167" t="s">
        <v>731</v>
      </c>
      <c r="J108" s="381">
        <v>1.04</v>
      </c>
      <c r="K108" s="381">
        <v>0.17999999999999994</v>
      </c>
      <c r="L108" s="381">
        <v>4.3</v>
      </c>
      <c r="M108" s="167">
        <v>5</v>
      </c>
      <c r="N108" s="381">
        <v>15.42</v>
      </c>
      <c r="O108" s="381">
        <v>2.4493303007328784</v>
      </c>
      <c r="P108" s="381">
        <v>39</v>
      </c>
      <c r="Q108" s="381">
        <v>37.6</v>
      </c>
      <c r="R108" s="381">
        <f>INPUTS[[#This Row],[DISTANCIA LOCALIDA AL CA (KM)]]-((INPUTS[[#This Row],[ÁREA URBANA
'[km2']]]*4/PI())^0.5)/2</f>
        <v>35.384522975755772</v>
      </c>
      <c r="S108" s="381">
        <f>INPUTS[[#This Row],[Distancia L3
'[Regional']]]/(INPUTS[[#This Row],[TIEMPO LOCALIDA AL CA (MINUTOS)]]/60)</f>
        <v>54.437727655008878</v>
      </c>
      <c r="T108" s="198" t="s">
        <v>917</v>
      </c>
      <c r="U108" s="381">
        <v>122.36000000000001</v>
      </c>
      <c r="V108" s="381">
        <v>119700</v>
      </c>
      <c r="W108" s="381">
        <v>0</v>
      </c>
      <c r="X108" s="787"/>
      <c r="Y108" s="787"/>
      <c r="Z108" s="787" t="e">
        <f>INPUTS[[#This Row],[Distancia a la ET 
'[km']]]/(INPUTS[[#This Row],[Tiempo a la ET
'[min']]]/60)</f>
        <v>#DIV/0!</v>
      </c>
      <c r="AA108" s="787"/>
      <c r="AB108" s="787"/>
      <c r="AC108" s="787" t="e">
        <f>INPUTS[[#This Row],[Distancia de ET al CA 
'[km']]]/(INPUTS[[#This Row],[Tiempo de ET a CA
'[min']]]/60)</f>
        <v>#DIV/0!</v>
      </c>
    </row>
    <row r="109" spans="1:29" ht="15" hidden="1" customHeight="1" x14ac:dyDescent="0.25">
      <c r="A109" s="167">
        <v>39</v>
      </c>
      <c r="B109" s="167" t="s">
        <v>936</v>
      </c>
      <c r="C109" s="167" t="s">
        <v>936</v>
      </c>
      <c r="D109" s="381">
        <v>36071</v>
      </c>
      <c r="E109" s="381">
        <v>36071</v>
      </c>
      <c r="F109" s="381">
        <v>1.06</v>
      </c>
      <c r="G109" s="381">
        <v>38.24</v>
      </c>
      <c r="H109" s="381">
        <v>76.48</v>
      </c>
      <c r="I109" s="167" t="s">
        <v>731</v>
      </c>
      <c r="J109" s="381">
        <v>0</v>
      </c>
      <c r="K109" s="381">
        <v>0.88</v>
      </c>
      <c r="L109" s="381">
        <v>4.43</v>
      </c>
      <c r="M109" s="167">
        <v>5</v>
      </c>
      <c r="N109" s="381">
        <v>14.83</v>
      </c>
      <c r="O109" s="381">
        <v>2.5833592534992222</v>
      </c>
      <c r="P109" s="381">
        <v>33</v>
      </c>
      <c r="Q109" s="381">
        <v>31.8</v>
      </c>
      <c r="R109" s="381">
        <f>INPUTS[[#This Row],[DISTANCIA LOCALIDA AL CA (KM)]]-((INPUTS[[#This Row],[ÁREA URBANA
'[km2']]]*4/PI())^0.5)/2</f>
        <v>29.627320637529408</v>
      </c>
      <c r="S109" s="381">
        <f>INPUTS[[#This Row],[Distancia L3
'[Regional']]]/(INPUTS[[#This Row],[TIEMPO LOCALIDA AL CA (MINUTOS)]]/60)</f>
        <v>53.867855704598917</v>
      </c>
      <c r="T109" s="198" t="s">
        <v>917</v>
      </c>
      <c r="U109" s="381">
        <v>122.36000000000001</v>
      </c>
      <c r="V109" s="381">
        <v>119700</v>
      </c>
      <c r="W109" s="381">
        <v>0</v>
      </c>
      <c r="X109" s="787"/>
      <c r="Y109" s="787"/>
      <c r="Z109" s="787" t="e">
        <f>INPUTS[[#This Row],[Distancia a la ET 
'[km']]]/(INPUTS[[#This Row],[Tiempo a la ET
'[min']]]/60)</f>
        <v>#DIV/0!</v>
      </c>
      <c r="AA109" s="787"/>
      <c r="AB109" s="787"/>
      <c r="AC109" s="787" t="e">
        <f>INPUTS[[#This Row],[Distancia de ET al CA 
'[km']]]/(INPUTS[[#This Row],[Tiempo de ET a CA
'[min']]]/60)</f>
        <v>#DIV/0!</v>
      </c>
    </row>
    <row r="110" spans="1:29" ht="15" hidden="1" customHeight="1" x14ac:dyDescent="0.25">
      <c r="A110" s="167">
        <v>97</v>
      </c>
      <c r="B110" s="167" t="s">
        <v>1022</v>
      </c>
      <c r="C110" s="167" t="s">
        <v>1022</v>
      </c>
      <c r="D110" s="381">
        <v>19204</v>
      </c>
      <c r="E110" s="381">
        <v>19204</v>
      </c>
      <c r="F110" s="381">
        <v>1.06</v>
      </c>
      <c r="G110" s="381">
        <v>20.36</v>
      </c>
      <c r="H110" s="381">
        <v>40.72</v>
      </c>
      <c r="I110" s="167" t="s">
        <v>731</v>
      </c>
      <c r="J110" s="381">
        <v>1</v>
      </c>
      <c r="K110" s="381">
        <v>2.2000000000000002</v>
      </c>
      <c r="L110" s="381">
        <v>4.53</v>
      </c>
      <c r="M110" s="167">
        <v>6</v>
      </c>
      <c r="N110" s="381">
        <v>6.33</v>
      </c>
      <c r="O110" s="381">
        <v>2.7441377879228055</v>
      </c>
      <c r="P110" s="381">
        <v>17</v>
      </c>
      <c r="Q110" s="381">
        <v>11.2</v>
      </c>
      <c r="R110" s="381">
        <f>INPUTS[[#This Row],[DISTANCIA LOCALIDA AL CA (KM)]]-((INPUTS[[#This Row],[ÁREA URBANA
'[km2']]]*4/PI())^0.5)/2</f>
        <v>9.7805277108927431</v>
      </c>
      <c r="S110" s="381">
        <f>INPUTS[[#This Row],[Distancia L3
'[Regional']]]/(INPUTS[[#This Row],[TIEMPO LOCALIDA AL CA (MINUTOS)]]/60)</f>
        <v>34.519509567856744</v>
      </c>
      <c r="T110" s="198" t="s">
        <v>984</v>
      </c>
      <c r="U110" s="381">
        <v>160.9</v>
      </c>
      <c r="V110" s="381">
        <v>155951</v>
      </c>
      <c r="W110" s="381">
        <v>0</v>
      </c>
      <c r="X110" s="787"/>
      <c r="Y110" s="787"/>
      <c r="Z110" s="787" t="e">
        <f>INPUTS[[#This Row],[Distancia a la ET 
'[km']]]/(INPUTS[[#This Row],[Tiempo a la ET
'[min']]]/60)</f>
        <v>#DIV/0!</v>
      </c>
      <c r="AA110" s="787"/>
      <c r="AB110" s="787"/>
      <c r="AC110" s="787" t="e">
        <f>INPUTS[[#This Row],[Distancia de ET al CA 
'[km']]]/(INPUTS[[#This Row],[Tiempo de ET a CA
'[min']]]/60)</f>
        <v>#DIV/0!</v>
      </c>
    </row>
    <row r="111" spans="1:29" ht="15" hidden="1" customHeight="1" x14ac:dyDescent="0.25">
      <c r="A111" s="167">
        <v>104</v>
      </c>
      <c r="B111" s="167" t="s">
        <v>1032</v>
      </c>
      <c r="C111" s="167" t="s">
        <v>1032</v>
      </c>
      <c r="D111" s="381">
        <v>4152</v>
      </c>
      <c r="E111" s="381">
        <v>4152</v>
      </c>
      <c r="F111" s="381">
        <v>0.92</v>
      </c>
      <c r="G111" s="381">
        <v>3.82</v>
      </c>
      <c r="H111" s="381">
        <v>7.64</v>
      </c>
      <c r="I111" s="167" t="s">
        <v>810</v>
      </c>
      <c r="J111" s="381">
        <v>2.9</v>
      </c>
      <c r="K111" s="381">
        <v>0.45000000000000018</v>
      </c>
      <c r="L111" s="381">
        <v>4.6399999999999997</v>
      </c>
      <c r="M111" s="167">
        <v>5</v>
      </c>
      <c r="N111" s="381">
        <v>1.57</v>
      </c>
      <c r="O111" s="381">
        <v>2.5145728643216079</v>
      </c>
      <c r="P111" s="381">
        <v>60</v>
      </c>
      <c r="Q111" s="381">
        <v>72.599999999999994</v>
      </c>
      <c r="R111" s="381">
        <f>INPUTS[[#This Row],[DISTANCIA LOCALIDA AL CA (KM)]]-((INPUTS[[#This Row],[ÁREA URBANA
'[km2']]]*4/PI())^0.5)/2</f>
        <v>71.893072478037126</v>
      </c>
      <c r="S111" s="381">
        <f>INPUTS[[#This Row],[Distancia L3
'[Regional']]]/(INPUTS[[#This Row],[TIEMPO LOCALIDA AL CA (MINUTOS)]]/60)</f>
        <v>71.893072478037126</v>
      </c>
      <c r="T111" s="198" t="s">
        <v>950</v>
      </c>
      <c r="U111" s="381">
        <v>56.279999999999994</v>
      </c>
      <c r="V111" s="381">
        <v>55686</v>
      </c>
      <c r="W111" s="381">
        <v>0</v>
      </c>
      <c r="X111" s="787"/>
      <c r="Y111" s="787"/>
      <c r="Z111" s="787" t="e">
        <f>INPUTS[[#This Row],[Distancia a la ET 
'[km']]]/(INPUTS[[#This Row],[Tiempo a la ET
'[min']]]/60)</f>
        <v>#DIV/0!</v>
      </c>
      <c r="AA111" s="787"/>
      <c r="AB111" s="787"/>
      <c r="AC111" s="787" t="e">
        <f>INPUTS[[#This Row],[Distancia de ET al CA 
'[km']]]/(INPUTS[[#This Row],[Tiempo de ET a CA
'[min']]]/60)</f>
        <v>#DIV/0!</v>
      </c>
    </row>
    <row r="112" spans="1:29" ht="15" hidden="1" customHeight="1" x14ac:dyDescent="0.25">
      <c r="A112" s="167">
        <v>84</v>
      </c>
      <c r="B112" s="167" t="s">
        <v>1005</v>
      </c>
      <c r="C112" s="167" t="s">
        <v>1005</v>
      </c>
      <c r="D112" s="381">
        <v>27909</v>
      </c>
      <c r="E112" s="381">
        <v>27909</v>
      </c>
      <c r="F112" s="381">
        <v>1.06</v>
      </c>
      <c r="G112" s="381">
        <v>29.58</v>
      </c>
      <c r="H112" s="381">
        <v>59.16</v>
      </c>
      <c r="I112" s="167" t="s">
        <v>731</v>
      </c>
      <c r="J112" s="381">
        <v>0</v>
      </c>
      <c r="K112" s="381">
        <v>2.44</v>
      </c>
      <c r="L112" s="381">
        <v>4.67</v>
      </c>
      <c r="M112" s="167">
        <v>3</v>
      </c>
      <c r="N112" s="381">
        <v>5.63</v>
      </c>
      <c r="O112" s="381">
        <v>2.5471922118010211</v>
      </c>
      <c r="P112" s="381">
        <v>57</v>
      </c>
      <c r="Q112" s="381">
        <v>78.099999999999994</v>
      </c>
      <c r="R112" s="381">
        <f>INPUTS[[#This Row],[DISTANCIA LOCALIDA AL CA (KM)]]-((INPUTS[[#This Row],[ÁREA URBANA
'[km2']]]*4/PI())^0.5)/2</f>
        <v>76.761312336945338</v>
      </c>
      <c r="S112" s="381">
        <f>INPUTS[[#This Row],[Distancia L3
'[Regional']]]/(INPUTS[[#This Row],[TIEMPO LOCALIDA AL CA (MINUTOS)]]/60)</f>
        <v>80.801381407310885</v>
      </c>
      <c r="T112" s="198" t="s">
        <v>908</v>
      </c>
      <c r="U112" s="381">
        <v>122.92</v>
      </c>
      <c r="V112" s="381">
        <v>117358</v>
      </c>
      <c r="W112" s="381">
        <v>0</v>
      </c>
      <c r="X112" s="787"/>
      <c r="Y112" s="787"/>
      <c r="Z112" s="787" t="e">
        <f>INPUTS[[#This Row],[Distancia a la ET 
'[km']]]/(INPUTS[[#This Row],[Tiempo a la ET
'[min']]]/60)</f>
        <v>#DIV/0!</v>
      </c>
      <c r="AA112" s="787"/>
      <c r="AB112" s="787"/>
      <c r="AC112" s="787" t="e">
        <f>INPUTS[[#This Row],[Distancia de ET al CA 
'[km']]]/(INPUTS[[#This Row],[Tiempo de ET a CA
'[min']]]/60)</f>
        <v>#DIV/0!</v>
      </c>
    </row>
    <row r="113" spans="1:29" ht="15" hidden="1" customHeight="1" x14ac:dyDescent="0.25">
      <c r="A113" s="167">
        <v>30</v>
      </c>
      <c r="B113" s="167" t="s">
        <v>918</v>
      </c>
      <c r="C113" s="167" t="s">
        <v>918</v>
      </c>
      <c r="D113" s="381">
        <v>33099</v>
      </c>
      <c r="E113" s="381">
        <v>33099</v>
      </c>
      <c r="F113" s="381">
        <v>1.06</v>
      </c>
      <c r="G113" s="381">
        <v>35.08</v>
      </c>
      <c r="H113" s="381">
        <v>70.16</v>
      </c>
      <c r="I113" s="167" t="s">
        <v>731</v>
      </c>
      <c r="J113" s="381">
        <v>1.6</v>
      </c>
      <c r="K113" s="381">
        <v>0.12999999999999989</v>
      </c>
      <c r="L113" s="381">
        <v>4.79</v>
      </c>
      <c r="M113" s="167">
        <v>5</v>
      </c>
      <c r="N113" s="381">
        <v>7.22</v>
      </c>
      <c r="O113" s="381">
        <v>2.7612174458738625</v>
      </c>
      <c r="P113" s="381">
        <v>39</v>
      </c>
      <c r="Q113" s="381">
        <v>49.2</v>
      </c>
      <c r="R113" s="381">
        <f>INPUTS[[#This Row],[DISTANCIA LOCALIDA AL CA (KM)]]-((INPUTS[[#This Row],[ÁREA URBANA
'[km2']]]*4/PI())^0.5)/2</f>
        <v>47.684019334474556</v>
      </c>
      <c r="S113" s="381">
        <f>INPUTS[[#This Row],[Distancia L3
'[Regional']]]/(INPUTS[[#This Row],[TIEMPO LOCALIDA AL CA (MINUTOS)]]/60)</f>
        <v>73.360029745345471</v>
      </c>
      <c r="T113" s="198" t="s">
        <v>919</v>
      </c>
      <c r="U113" s="381">
        <v>241.44999999999996</v>
      </c>
      <c r="V113" s="381">
        <v>231848</v>
      </c>
      <c r="W113" s="381">
        <v>0</v>
      </c>
      <c r="X113" s="787"/>
      <c r="Y113" s="787"/>
      <c r="Z113" s="787" t="e">
        <f>INPUTS[[#This Row],[Distancia a la ET 
'[km']]]/(INPUTS[[#This Row],[Tiempo a la ET
'[min']]]/60)</f>
        <v>#DIV/0!</v>
      </c>
      <c r="AA113" s="787"/>
      <c r="AB113" s="787"/>
      <c r="AC113" s="787" t="e">
        <f>INPUTS[[#This Row],[Distancia de ET al CA 
'[km']]]/(INPUTS[[#This Row],[Tiempo de ET a CA
'[min']]]/60)</f>
        <v>#DIV/0!</v>
      </c>
    </row>
    <row r="114" spans="1:29" ht="15" hidden="1" customHeight="1" x14ac:dyDescent="0.25">
      <c r="A114" s="167">
        <v>113</v>
      </c>
      <c r="B114" s="167" t="s">
        <v>1045</v>
      </c>
      <c r="C114" s="167" t="s">
        <v>1045</v>
      </c>
      <c r="D114" s="381">
        <v>23029</v>
      </c>
      <c r="E114" s="381">
        <v>23029</v>
      </c>
      <c r="F114" s="381">
        <v>1.06</v>
      </c>
      <c r="G114" s="381">
        <v>24.41</v>
      </c>
      <c r="H114" s="381">
        <v>48.82</v>
      </c>
      <c r="I114" s="167" t="s">
        <v>731</v>
      </c>
      <c r="J114" s="381">
        <v>2.7</v>
      </c>
      <c r="K114" s="381">
        <v>9.9999999999999645E-2</v>
      </c>
      <c r="L114" s="381">
        <v>4.8499999999999996</v>
      </c>
      <c r="M114" s="167">
        <v>5</v>
      </c>
      <c r="N114" s="381">
        <v>5.15</v>
      </c>
      <c r="O114" s="381">
        <v>2.5250383239652527</v>
      </c>
      <c r="P114" s="381">
        <v>36</v>
      </c>
      <c r="Q114" s="381">
        <v>42.5</v>
      </c>
      <c r="R114" s="381">
        <f>INPUTS[[#This Row],[DISTANCIA LOCALIDA AL CA (KM)]]-((INPUTS[[#This Row],[ÁREA URBANA
'[km2']]]*4/PI())^0.5)/2</f>
        <v>41.219650081482989</v>
      </c>
      <c r="S114" s="381">
        <f>INPUTS[[#This Row],[Distancia L3
'[Regional']]]/(INPUTS[[#This Row],[TIEMPO LOCALIDA AL CA (MINUTOS)]]/60)</f>
        <v>68.699416802471646</v>
      </c>
      <c r="T114" s="198" t="s">
        <v>919</v>
      </c>
      <c r="U114" s="381">
        <v>241.44999999999996</v>
      </c>
      <c r="V114" s="381">
        <v>231848</v>
      </c>
      <c r="W114" s="381">
        <v>0</v>
      </c>
      <c r="X114" s="787"/>
      <c r="Y114" s="787"/>
      <c r="Z114" s="787" t="e">
        <f>INPUTS[[#This Row],[Distancia a la ET 
'[km']]]/(INPUTS[[#This Row],[Tiempo a la ET
'[min']]]/60)</f>
        <v>#DIV/0!</v>
      </c>
      <c r="AA114" s="787"/>
      <c r="AB114" s="787"/>
      <c r="AC114" s="787" t="e">
        <f>INPUTS[[#This Row],[Distancia de ET al CA 
'[km']]]/(INPUTS[[#This Row],[Tiempo de ET a CA
'[min']]]/60)</f>
        <v>#DIV/0!</v>
      </c>
    </row>
    <row r="115" spans="1:29" ht="15" hidden="1" customHeight="1" x14ac:dyDescent="0.25">
      <c r="A115" s="167">
        <v>88</v>
      </c>
      <c r="B115" s="167" t="s">
        <v>1011</v>
      </c>
      <c r="C115" s="167" t="s">
        <v>1011</v>
      </c>
      <c r="D115" s="381">
        <v>39793</v>
      </c>
      <c r="E115" s="381">
        <v>39793</v>
      </c>
      <c r="F115" s="381">
        <v>1.06</v>
      </c>
      <c r="G115" s="381">
        <v>42.18</v>
      </c>
      <c r="H115" s="381">
        <v>84.36</v>
      </c>
      <c r="I115" s="167" t="s">
        <v>731</v>
      </c>
      <c r="J115" s="381">
        <v>0.82</v>
      </c>
      <c r="K115" s="381">
        <v>1.9500000000000002</v>
      </c>
      <c r="L115" s="381">
        <v>4.93</v>
      </c>
      <c r="M115" s="167">
        <v>3</v>
      </c>
      <c r="N115" s="381">
        <v>8.69</v>
      </c>
      <c r="O115" s="381">
        <v>2.7688884768703068</v>
      </c>
      <c r="P115" s="381">
        <v>42</v>
      </c>
      <c r="Q115" s="381">
        <v>40.9</v>
      </c>
      <c r="R115" s="381">
        <f>INPUTS[[#This Row],[DISTANCIA LOCALIDA AL CA (KM)]]-((INPUTS[[#This Row],[ÁREA URBANA
'[km2']]]*4/PI())^0.5)/2</f>
        <v>39.236836474985957</v>
      </c>
      <c r="S115" s="381">
        <f>INPUTS[[#This Row],[Distancia L3
'[Regional']]]/(INPUTS[[#This Row],[TIEMPO LOCALIDA AL CA (MINUTOS)]]/60)</f>
        <v>56.052623535694231</v>
      </c>
      <c r="T115" s="198" t="s">
        <v>984</v>
      </c>
      <c r="U115" s="381">
        <v>160.9</v>
      </c>
      <c r="V115" s="381">
        <v>155951</v>
      </c>
      <c r="W115" s="381">
        <v>0</v>
      </c>
      <c r="X115" s="787"/>
      <c r="Y115" s="787"/>
      <c r="Z115" s="787" t="e">
        <f>INPUTS[[#This Row],[Distancia a la ET 
'[km']]]/(INPUTS[[#This Row],[Tiempo a la ET
'[min']]]/60)</f>
        <v>#DIV/0!</v>
      </c>
      <c r="AA115" s="787"/>
      <c r="AB115" s="787"/>
      <c r="AC115" s="787" t="e">
        <f>INPUTS[[#This Row],[Distancia de ET al CA 
'[km']]]/(INPUTS[[#This Row],[Tiempo de ET a CA
'[min']]]/60)</f>
        <v>#DIV/0!</v>
      </c>
    </row>
    <row r="116" spans="1:29" ht="15" hidden="1" customHeight="1" x14ac:dyDescent="0.25">
      <c r="A116" s="167">
        <v>118</v>
      </c>
      <c r="B116" s="167" t="s">
        <v>1051</v>
      </c>
      <c r="C116" s="167" t="s">
        <v>1051</v>
      </c>
      <c r="D116" s="381">
        <v>39305</v>
      </c>
      <c r="E116" s="381">
        <v>39305</v>
      </c>
      <c r="F116" s="381">
        <v>1.06</v>
      </c>
      <c r="G116" s="381">
        <v>41.66</v>
      </c>
      <c r="H116" s="381">
        <v>83.32</v>
      </c>
      <c r="I116" s="167" t="s">
        <v>731</v>
      </c>
      <c r="J116" s="381">
        <v>2.13</v>
      </c>
      <c r="K116" s="381">
        <v>0.57000000000000028</v>
      </c>
      <c r="L116" s="381">
        <v>5</v>
      </c>
      <c r="M116" s="167">
        <v>5</v>
      </c>
      <c r="N116" s="381">
        <v>6.53</v>
      </c>
      <c r="O116" s="381">
        <v>2.7576305220883532</v>
      </c>
      <c r="P116" s="381">
        <v>45</v>
      </c>
      <c r="Q116" s="381">
        <v>59.7</v>
      </c>
      <c r="R116" s="381">
        <f>INPUTS[[#This Row],[DISTANCIA LOCALIDA AL CA (KM)]]-((INPUTS[[#This Row],[ÁREA URBANA
'[km2']]]*4/PI())^0.5)/2</f>
        <v>58.258277572907964</v>
      </c>
      <c r="S116" s="381">
        <f>INPUTS[[#This Row],[Distancia L3
'[Regional']]]/(INPUTS[[#This Row],[TIEMPO LOCALIDA AL CA (MINUTOS)]]/60)</f>
        <v>77.677703430543957</v>
      </c>
      <c r="T116" s="198" t="s">
        <v>919</v>
      </c>
      <c r="U116" s="381">
        <v>241.44999999999996</v>
      </c>
      <c r="V116" s="381">
        <v>231848</v>
      </c>
      <c r="W116" s="381">
        <v>0</v>
      </c>
      <c r="X116" s="787"/>
      <c r="Y116" s="787"/>
      <c r="Z116" s="787" t="e">
        <f>INPUTS[[#This Row],[Distancia a la ET 
'[km']]]/(INPUTS[[#This Row],[Tiempo a la ET
'[min']]]/60)</f>
        <v>#DIV/0!</v>
      </c>
      <c r="AA116" s="787"/>
      <c r="AB116" s="787"/>
      <c r="AC116" s="787" t="e">
        <f>INPUTS[[#This Row],[Distancia de ET al CA 
'[km']]]/(INPUTS[[#This Row],[Tiempo de ET a CA
'[min']]]/60)</f>
        <v>#DIV/0!</v>
      </c>
    </row>
    <row r="117" spans="1:29" ht="15" hidden="1" customHeight="1" x14ac:dyDescent="0.25">
      <c r="A117" s="167">
        <v>131</v>
      </c>
      <c r="B117" s="167" t="s">
        <v>1066</v>
      </c>
      <c r="C117" s="167" t="s">
        <v>1066</v>
      </c>
      <c r="D117" s="381">
        <v>51436</v>
      </c>
      <c r="E117" s="381">
        <v>51436</v>
      </c>
      <c r="F117" s="381">
        <v>1.02</v>
      </c>
      <c r="G117" s="381">
        <v>52.46</v>
      </c>
      <c r="H117" s="381">
        <v>104.92</v>
      </c>
      <c r="I117" s="167" t="s">
        <v>731</v>
      </c>
      <c r="J117" s="381">
        <v>0</v>
      </c>
      <c r="K117" s="381">
        <v>1.3</v>
      </c>
      <c r="L117" s="381">
        <v>5</v>
      </c>
      <c r="M117" s="167">
        <v>6</v>
      </c>
      <c r="N117" s="381">
        <v>13.4</v>
      </c>
      <c r="O117" s="381">
        <v>2.3869111280875988</v>
      </c>
      <c r="P117" s="381">
        <v>10</v>
      </c>
      <c r="Q117" s="381">
        <v>5.2</v>
      </c>
      <c r="R117" s="381">
        <f>INPUTS[[#This Row],[DISTANCIA LOCALIDA AL CA (KM)]]-((INPUTS[[#This Row],[ÁREA URBANA
'[km2']]]*4/PI())^0.5)/2</f>
        <v>3.134727021708076</v>
      </c>
      <c r="S117" s="381">
        <f>INPUTS[[#This Row],[Distancia L3
'[Regional']]]/(INPUTS[[#This Row],[TIEMPO LOCALIDA AL CA (MINUTOS)]]/60)</f>
        <v>18.808362130248458</v>
      </c>
      <c r="T117" s="198" t="s">
        <v>915</v>
      </c>
      <c r="U117" s="381">
        <v>88.149999999999991</v>
      </c>
      <c r="V117" s="381">
        <v>87738</v>
      </c>
      <c r="W117" s="381">
        <v>0</v>
      </c>
      <c r="X117" s="787"/>
      <c r="Y117" s="787"/>
      <c r="Z117" s="787" t="e">
        <f>INPUTS[[#This Row],[Distancia a la ET 
'[km']]]/(INPUTS[[#This Row],[Tiempo a la ET
'[min']]]/60)</f>
        <v>#DIV/0!</v>
      </c>
      <c r="AA117" s="787"/>
      <c r="AB117" s="787"/>
      <c r="AC117" s="787" t="e">
        <f>INPUTS[[#This Row],[Distancia de ET al CA 
'[km']]]/(INPUTS[[#This Row],[Tiempo de ET a CA
'[min']]]/60)</f>
        <v>#DIV/0!</v>
      </c>
    </row>
    <row r="118" spans="1:29" ht="15" hidden="1" customHeight="1" x14ac:dyDescent="0.25">
      <c r="A118" s="167">
        <v>89</v>
      </c>
      <c r="B118" s="167" t="s">
        <v>1012</v>
      </c>
      <c r="C118" s="167" t="s">
        <v>1012</v>
      </c>
      <c r="D118" s="381">
        <v>144164</v>
      </c>
      <c r="E118" s="381">
        <v>144164</v>
      </c>
      <c r="F118" s="381">
        <v>1.02</v>
      </c>
      <c r="G118" s="381">
        <v>147.05000000000001</v>
      </c>
      <c r="H118" s="381">
        <v>294.10000000000002</v>
      </c>
      <c r="I118" s="167" t="s">
        <v>731</v>
      </c>
      <c r="J118" s="381">
        <v>0.52</v>
      </c>
      <c r="K118" s="381">
        <v>0.85000000000000009</v>
      </c>
      <c r="L118" s="381">
        <v>5.08</v>
      </c>
      <c r="M118" s="167">
        <v>6</v>
      </c>
      <c r="N118" s="381">
        <v>31.53</v>
      </c>
      <c r="O118" s="381">
        <v>2.8468713450292396</v>
      </c>
      <c r="P118" s="381">
        <v>11</v>
      </c>
      <c r="Q118" s="381">
        <v>5.4</v>
      </c>
      <c r="R118" s="381">
        <f>INPUTS[[#This Row],[DISTANCIA LOCALIDA AL CA (KM)]]-((INPUTS[[#This Row],[ÁREA URBANA
'[km2']]]*4/PI())^0.5)/2</f>
        <v>2.231986314522155</v>
      </c>
      <c r="S118" s="381">
        <f>INPUTS[[#This Row],[Distancia L3
'[Regional']]]/(INPUTS[[#This Row],[TIEMPO LOCALIDA AL CA (MINUTOS)]]/60)</f>
        <v>12.174470806484482</v>
      </c>
      <c r="T118" s="198" t="s">
        <v>927</v>
      </c>
      <c r="U118" s="381">
        <v>147.05000000000001</v>
      </c>
      <c r="V118" s="381">
        <v>144164</v>
      </c>
      <c r="W118" s="381">
        <v>0</v>
      </c>
      <c r="X118" s="787"/>
      <c r="Y118" s="787"/>
      <c r="Z118" s="787" t="e">
        <f>INPUTS[[#This Row],[Distancia a la ET 
'[km']]]/(INPUTS[[#This Row],[Tiempo a la ET
'[min']]]/60)</f>
        <v>#DIV/0!</v>
      </c>
      <c r="AA118" s="787"/>
      <c r="AB118" s="787"/>
      <c r="AC118" s="787" t="e">
        <f>INPUTS[[#This Row],[Distancia de ET al CA 
'[km']]]/(INPUTS[[#This Row],[Tiempo de ET a CA
'[min']]]/60)</f>
        <v>#DIV/0!</v>
      </c>
    </row>
    <row r="119" spans="1:29" ht="15" hidden="1" customHeight="1" x14ac:dyDescent="0.25">
      <c r="A119" s="167">
        <v>95</v>
      </c>
      <c r="B119" s="167" t="s">
        <v>1019</v>
      </c>
      <c r="C119" s="167" t="s">
        <v>1020</v>
      </c>
      <c r="D119" s="381">
        <v>24934</v>
      </c>
      <c r="E119" s="381">
        <v>24934</v>
      </c>
      <c r="F119" s="381">
        <v>1.06</v>
      </c>
      <c r="G119" s="381">
        <v>26.43</v>
      </c>
      <c r="H119" s="381">
        <v>52.86</v>
      </c>
      <c r="I119" s="167" t="s">
        <v>731</v>
      </c>
      <c r="J119" s="381">
        <v>0</v>
      </c>
      <c r="K119" s="381">
        <v>1.59</v>
      </c>
      <c r="L119" s="381">
        <v>5.08</v>
      </c>
      <c r="M119" s="167">
        <v>5</v>
      </c>
      <c r="N119" s="381">
        <v>7.46</v>
      </c>
      <c r="O119" s="381">
        <v>2.5874923919659158</v>
      </c>
      <c r="P119" s="381">
        <v>54</v>
      </c>
      <c r="Q119" s="381">
        <v>49.5</v>
      </c>
      <c r="R119" s="381">
        <f>INPUTS[[#This Row],[DISTANCIA LOCALIDA AL CA (KM)]]-((INPUTS[[#This Row],[ÁREA URBANA
'[km2']]]*4/PI())^0.5)/2</f>
        <v>47.959028958438516</v>
      </c>
      <c r="S119" s="381">
        <f>INPUTS[[#This Row],[Distancia L3
'[Regional']]]/(INPUTS[[#This Row],[TIEMPO LOCALIDA AL CA (MINUTOS)]]/60)</f>
        <v>53.28780995382057</v>
      </c>
      <c r="T119" s="198" t="s">
        <v>939</v>
      </c>
      <c r="U119" s="381">
        <v>141.04000000000002</v>
      </c>
      <c r="V119" s="381">
        <v>134672</v>
      </c>
      <c r="W119" s="381">
        <v>0</v>
      </c>
      <c r="X119" s="787"/>
      <c r="Y119" s="787"/>
      <c r="Z119" s="787" t="e">
        <f>INPUTS[[#This Row],[Distancia a la ET 
'[km']]]/(INPUTS[[#This Row],[Tiempo a la ET
'[min']]]/60)</f>
        <v>#DIV/0!</v>
      </c>
      <c r="AA119" s="787"/>
      <c r="AB119" s="787"/>
      <c r="AC119" s="787" t="e">
        <f>INPUTS[[#This Row],[Distancia de ET al CA 
'[km']]]/(INPUTS[[#This Row],[Tiempo de ET a CA
'[min']]]/60)</f>
        <v>#DIV/0!</v>
      </c>
    </row>
    <row r="120" spans="1:29" ht="15" hidden="1" customHeight="1" x14ac:dyDescent="0.25">
      <c r="A120" s="167">
        <v>134</v>
      </c>
      <c r="B120" s="167" t="s">
        <v>1069</v>
      </c>
      <c r="C120" s="167" t="s">
        <v>1070</v>
      </c>
      <c r="D120" s="381">
        <v>6062</v>
      </c>
      <c r="E120" s="381">
        <v>6062</v>
      </c>
      <c r="F120" s="381">
        <v>0.92</v>
      </c>
      <c r="G120" s="381">
        <v>5.58</v>
      </c>
      <c r="H120" s="381">
        <v>11.16</v>
      </c>
      <c r="I120" s="167" t="s">
        <v>731</v>
      </c>
      <c r="J120" s="381">
        <v>2.1</v>
      </c>
      <c r="K120" s="381">
        <v>1.6999999999999997</v>
      </c>
      <c r="L120" s="381">
        <v>5.15</v>
      </c>
      <c r="M120" s="167">
        <v>3</v>
      </c>
      <c r="N120" s="381">
        <v>1.6</v>
      </c>
      <c r="O120" s="381">
        <v>2.5167946257197698</v>
      </c>
      <c r="P120" s="381">
        <v>57</v>
      </c>
      <c r="Q120" s="381">
        <v>58.5</v>
      </c>
      <c r="R120" s="381">
        <f>INPUTS[[#This Row],[DISTANCIA LOCALIDA AL CA (KM)]]-((INPUTS[[#This Row],[ÁREA URBANA
'[km2']]]*4/PI())^0.5)/2</f>
        <v>57.786350353538893</v>
      </c>
      <c r="S120" s="381">
        <f>INPUTS[[#This Row],[Distancia L3
'[Regional']]]/(INPUTS[[#This Row],[TIEMPO LOCALIDA AL CA (MINUTOS)]]/60)</f>
        <v>60.827737214251471</v>
      </c>
      <c r="T120" s="198" t="s">
        <v>925</v>
      </c>
      <c r="U120" s="381">
        <v>609.95000000000005</v>
      </c>
      <c r="V120" s="381">
        <v>455301</v>
      </c>
      <c r="W120" s="381">
        <v>0</v>
      </c>
      <c r="X120" s="787"/>
      <c r="Y120" s="787"/>
      <c r="Z120" s="787" t="e">
        <f>INPUTS[[#This Row],[Distancia a la ET 
'[km']]]/(INPUTS[[#This Row],[Tiempo a la ET
'[min']]]/60)</f>
        <v>#DIV/0!</v>
      </c>
      <c r="AA120" s="787"/>
      <c r="AB120" s="787"/>
      <c r="AC120" s="787" t="e">
        <f>INPUTS[[#This Row],[Distancia de ET al CA 
'[km']]]/(INPUTS[[#This Row],[Tiempo de ET a CA
'[min']]]/60)</f>
        <v>#DIV/0!</v>
      </c>
    </row>
    <row r="121" spans="1:29" ht="15" hidden="1" customHeight="1" x14ac:dyDescent="0.25">
      <c r="A121" s="167">
        <v>121</v>
      </c>
      <c r="B121" s="167" t="s">
        <v>1054</v>
      </c>
      <c r="C121" s="167" t="s">
        <v>1054</v>
      </c>
      <c r="D121" s="381">
        <v>9304</v>
      </c>
      <c r="E121" s="381">
        <v>9304</v>
      </c>
      <c r="F121" s="381">
        <v>0.92</v>
      </c>
      <c r="G121" s="381">
        <v>8.56</v>
      </c>
      <c r="H121" s="381">
        <v>17.12</v>
      </c>
      <c r="I121" s="167" t="s">
        <v>731</v>
      </c>
      <c r="J121" s="381">
        <v>2.2999999999999998</v>
      </c>
      <c r="K121" s="381">
        <v>0.70000000000000018</v>
      </c>
      <c r="L121" s="381">
        <v>5.3</v>
      </c>
      <c r="M121" s="167">
        <v>5</v>
      </c>
      <c r="N121" s="381">
        <v>3.3</v>
      </c>
      <c r="O121" s="381">
        <v>2.5064758009543286</v>
      </c>
      <c r="P121" s="381">
        <v>58</v>
      </c>
      <c r="Q121" s="381">
        <v>69</v>
      </c>
      <c r="R121" s="381">
        <f>INPUTS[[#This Row],[DISTANCIA LOCALIDA AL CA (KM)]]-((INPUTS[[#This Row],[ÁREA URBANA
'[km2']]]*4/PI())^0.5)/2</f>
        <v>67.975098724556105</v>
      </c>
      <c r="S121" s="381">
        <f>INPUTS[[#This Row],[Distancia L3
'[Regional']]]/(INPUTS[[#This Row],[TIEMPO LOCALIDA AL CA (MINUTOS)]]/60)</f>
        <v>70.31906764609252</v>
      </c>
      <c r="T121" s="198" t="s">
        <v>915</v>
      </c>
      <c r="U121" s="381">
        <v>88.149999999999991</v>
      </c>
      <c r="V121" s="381">
        <v>87738</v>
      </c>
      <c r="W121" s="381">
        <v>0</v>
      </c>
      <c r="X121" s="787"/>
      <c r="Y121" s="787"/>
      <c r="Z121" s="787" t="e">
        <f>INPUTS[[#This Row],[Distancia a la ET 
'[km']]]/(INPUTS[[#This Row],[Tiempo a la ET
'[min']]]/60)</f>
        <v>#DIV/0!</v>
      </c>
      <c r="AA121" s="787"/>
      <c r="AB121" s="787"/>
      <c r="AC121" s="787" t="e">
        <f>INPUTS[[#This Row],[Distancia de ET al CA 
'[km']]]/(INPUTS[[#This Row],[Tiempo de ET a CA
'[min']]]/60)</f>
        <v>#DIV/0!</v>
      </c>
    </row>
    <row r="122" spans="1:29" ht="15" hidden="1" customHeight="1" x14ac:dyDescent="0.25">
      <c r="A122" s="167">
        <v>32</v>
      </c>
      <c r="B122" s="167" t="s">
        <v>922</v>
      </c>
      <c r="C122" s="167" t="s">
        <v>922</v>
      </c>
      <c r="D122" s="381">
        <v>73140</v>
      </c>
      <c r="E122" s="381">
        <v>73140</v>
      </c>
      <c r="F122" s="381">
        <v>1.02</v>
      </c>
      <c r="G122" s="381">
        <v>74.599999999999994</v>
      </c>
      <c r="H122" s="381">
        <v>149.19999999999999</v>
      </c>
      <c r="I122" s="167" t="s">
        <v>731</v>
      </c>
      <c r="J122" s="381">
        <v>0</v>
      </c>
      <c r="K122" s="381">
        <v>1.67</v>
      </c>
      <c r="L122" s="381">
        <v>5.39</v>
      </c>
      <c r="M122" s="167">
        <v>6</v>
      </c>
      <c r="N122" s="381">
        <v>22.48</v>
      </c>
      <c r="O122" s="381">
        <v>2.6386363636363637</v>
      </c>
      <c r="P122" s="381">
        <v>13</v>
      </c>
      <c r="Q122" s="381">
        <v>5.8</v>
      </c>
      <c r="R122" s="381">
        <f>INPUTS[[#This Row],[DISTANCIA LOCALIDA AL CA (KM)]]-((INPUTS[[#This Row],[ÁREA URBANA
'[km2']]]*4/PI())^0.5)/2</f>
        <v>3.1250035062805006</v>
      </c>
      <c r="S122" s="381">
        <f>INPUTS[[#This Row],[Distancia L3
'[Regional']]]/(INPUTS[[#This Row],[TIEMPO LOCALIDA AL CA (MINUTOS)]]/60)</f>
        <v>14.423093105910002</v>
      </c>
      <c r="T122" s="198" t="s">
        <v>923</v>
      </c>
      <c r="U122" s="381">
        <v>84.149999999999991</v>
      </c>
      <c r="V122" s="381">
        <v>83517</v>
      </c>
      <c r="W122" s="381">
        <v>0</v>
      </c>
      <c r="X122" s="787"/>
      <c r="Y122" s="787"/>
      <c r="Z122" s="787" t="e">
        <f>INPUTS[[#This Row],[Distancia a la ET 
'[km']]]/(INPUTS[[#This Row],[Tiempo a la ET
'[min']]]/60)</f>
        <v>#DIV/0!</v>
      </c>
      <c r="AA122" s="787"/>
      <c r="AB122" s="787"/>
      <c r="AC122" s="787" t="e">
        <f>INPUTS[[#This Row],[Distancia de ET al CA 
'[km']]]/(INPUTS[[#This Row],[Tiempo de ET a CA
'[min']]]/60)</f>
        <v>#DIV/0!</v>
      </c>
    </row>
    <row r="123" spans="1:29" ht="15" hidden="1" customHeight="1" x14ac:dyDescent="0.25">
      <c r="A123" s="167">
        <v>123</v>
      </c>
      <c r="B123" s="167" t="s">
        <v>1057</v>
      </c>
      <c r="C123" s="167" t="s">
        <v>1057</v>
      </c>
      <c r="D123" s="381">
        <v>65942</v>
      </c>
      <c r="E123" s="381">
        <v>65942</v>
      </c>
      <c r="F123" s="381">
        <v>1.02</v>
      </c>
      <c r="G123" s="381">
        <v>67.260000000000005</v>
      </c>
      <c r="H123" s="381">
        <v>134.52000000000001</v>
      </c>
      <c r="I123" s="167" t="s">
        <v>731</v>
      </c>
      <c r="J123" s="381">
        <v>2.62</v>
      </c>
      <c r="K123" s="381">
        <v>1.87</v>
      </c>
      <c r="L123" s="381">
        <v>5.45</v>
      </c>
      <c r="M123" s="167">
        <v>5</v>
      </c>
      <c r="N123" s="381">
        <v>8.92</v>
      </c>
      <c r="O123" s="381">
        <v>2.9152792283590343</v>
      </c>
      <c r="P123" s="381">
        <v>15</v>
      </c>
      <c r="Q123" s="381">
        <v>5.7</v>
      </c>
      <c r="R123" s="381">
        <f>INPUTS[[#This Row],[DISTANCIA LOCALIDA AL CA (KM)]]-((INPUTS[[#This Row],[ÁREA URBANA
'[km2']]]*4/PI())^0.5)/2</f>
        <v>4.0149705685776844</v>
      </c>
      <c r="S123" s="381">
        <f>INPUTS[[#This Row],[Distancia L3
'[Regional']]]/(INPUTS[[#This Row],[TIEMPO LOCALIDA AL CA (MINUTOS)]]/60)</f>
        <v>16.059882274310738</v>
      </c>
      <c r="T123" s="198" t="s">
        <v>929</v>
      </c>
      <c r="U123" s="381">
        <v>106.18</v>
      </c>
      <c r="V123" s="381">
        <v>102655</v>
      </c>
      <c r="W123" s="381">
        <v>0</v>
      </c>
      <c r="X123" s="787"/>
      <c r="Y123" s="787"/>
      <c r="Z123" s="787" t="e">
        <f>INPUTS[[#This Row],[Distancia a la ET 
'[km']]]/(INPUTS[[#This Row],[Tiempo a la ET
'[min']]]/60)</f>
        <v>#DIV/0!</v>
      </c>
      <c r="AA123" s="787"/>
      <c r="AB123" s="787"/>
      <c r="AC123" s="787" t="e">
        <f>INPUTS[[#This Row],[Distancia de ET al CA 
'[km']]]/(INPUTS[[#This Row],[Tiempo de ET a CA
'[min']]]/60)</f>
        <v>#DIV/0!</v>
      </c>
    </row>
    <row r="124" spans="1:29" ht="15" hidden="1" customHeight="1" x14ac:dyDescent="0.25">
      <c r="A124" s="167">
        <v>116</v>
      </c>
      <c r="B124" s="167" t="s">
        <v>1049</v>
      </c>
      <c r="C124" s="167" t="s">
        <v>1049</v>
      </c>
      <c r="D124" s="381">
        <v>36926</v>
      </c>
      <c r="E124" s="381">
        <v>36926</v>
      </c>
      <c r="F124" s="381">
        <v>1.06</v>
      </c>
      <c r="G124" s="381">
        <v>39.14</v>
      </c>
      <c r="H124" s="381">
        <v>78.28</v>
      </c>
      <c r="I124" s="167" t="s">
        <v>731</v>
      </c>
      <c r="J124" s="381">
        <v>0</v>
      </c>
      <c r="K124" s="381">
        <v>3.17</v>
      </c>
      <c r="L124" s="381">
        <v>5.51</v>
      </c>
      <c r="M124" s="167">
        <v>5</v>
      </c>
      <c r="N124" s="381">
        <v>7.6</v>
      </c>
      <c r="O124" s="381">
        <v>2.5808100289296045</v>
      </c>
      <c r="P124" s="381">
        <v>11</v>
      </c>
      <c r="Q124" s="381">
        <v>5.7</v>
      </c>
      <c r="R124" s="381">
        <f>INPUTS[[#This Row],[DISTANCIA LOCALIDA AL CA (KM)]]-((INPUTS[[#This Row],[ÁREA URBANA
'[km2']]]*4/PI())^0.5)/2</f>
        <v>4.1446366549912499</v>
      </c>
      <c r="S124" s="381">
        <f>INPUTS[[#This Row],[Distancia L3
'[Regional']]]/(INPUTS[[#This Row],[TIEMPO LOCALIDA AL CA (MINUTOS)]]/60)</f>
        <v>22.607109027225</v>
      </c>
      <c r="T124" s="198" t="s">
        <v>908</v>
      </c>
      <c r="U124" s="381">
        <v>122.92</v>
      </c>
      <c r="V124" s="381">
        <v>117358</v>
      </c>
      <c r="W124" s="381">
        <v>0</v>
      </c>
      <c r="X124" s="787"/>
      <c r="Y124" s="787"/>
      <c r="Z124" s="787" t="e">
        <f>INPUTS[[#This Row],[Distancia a la ET 
'[km']]]/(INPUTS[[#This Row],[Tiempo a la ET
'[min']]]/60)</f>
        <v>#DIV/0!</v>
      </c>
      <c r="AA124" s="787"/>
      <c r="AB124" s="787"/>
      <c r="AC124" s="787" t="e">
        <f>INPUTS[[#This Row],[Distancia de ET al CA 
'[km']]]/(INPUTS[[#This Row],[Tiempo de ET a CA
'[min']]]/60)</f>
        <v>#DIV/0!</v>
      </c>
    </row>
    <row r="125" spans="1:29" ht="15" hidden="1" customHeight="1" x14ac:dyDescent="0.25">
      <c r="A125" s="167">
        <v>79</v>
      </c>
      <c r="B125" s="167" t="s">
        <v>999</v>
      </c>
      <c r="C125" s="167" t="s">
        <v>999</v>
      </c>
      <c r="D125" s="381">
        <v>104307</v>
      </c>
      <c r="E125" s="381">
        <v>104307</v>
      </c>
      <c r="F125" s="381">
        <v>1.02</v>
      </c>
      <c r="G125" s="381">
        <v>106.39</v>
      </c>
      <c r="H125" s="381">
        <v>212.78</v>
      </c>
      <c r="I125" s="167" t="s">
        <v>731</v>
      </c>
      <c r="J125" s="381">
        <v>1.35</v>
      </c>
      <c r="K125" s="381">
        <v>1.3199999999999998</v>
      </c>
      <c r="L125" s="381">
        <v>5.53</v>
      </c>
      <c r="M125" s="167">
        <v>3</v>
      </c>
      <c r="N125" s="381">
        <v>18.600000000000001</v>
      </c>
      <c r="O125" s="381">
        <v>2.5585182586322839</v>
      </c>
      <c r="P125" s="381">
        <v>11</v>
      </c>
      <c r="Q125" s="381">
        <v>7.1</v>
      </c>
      <c r="R125" s="381">
        <f>INPUTS[[#This Row],[DISTANCIA LOCALIDA AL CA (KM)]]-((INPUTS[[#This Row],[ÁREA URBANA
'[km2']]]*4/PI())^0.5)/2</f>
        <v>4.6667791133934209</v>
      </c>
      <c r="S125" s="381">
        <f>INPUTS[[#This Row],[Distancia L3
'[Regional']]]/(INPUTS[[#This Row],[TIEMPO LOCALIDA AL CA (MINUTOS)]]/60)</f>
        <v>25.455158800327752</v>
      </c>
      <c r="T125" s="198" t="s">
        <v>952</v>
      </c>
      <c r="U125" s="381">
        <v>189.99999999999997</v>
      </c>
      <c r="V125" s="381">
        <v>185077</v>
      </c>
      <c r="W125" s="381">
        <v>0</v>
      </c>
      <c r="X125" s="787"/>
      <c r="Y125" s="787"/>
      <c r="Z125" s="787" t="e">
        <f>INPUTS[[#This Row],[Distancia a la ET 
'[km']]]/(INPUTS[[#This Row],[Tiempo a la ET
'[min']]]/60)</f>
        <v>#DIV/0!</v>
      </c>
      <c r="AA125" s="787"/>
      <c r="AB125" s="787"/>
      <c r="AC125" s="787" t="e">
        <f>INPUTS[[#This Row],[Distancia de ET al CA 
'[km']]]/(INPUTS[[#This Row],[Tiempo de ET a CA
'[min']]]/60)</f>
        <v>#DIV/0!</v>
      </c>
    </row>
    <row r="126" spans="1:29" ht="15" hidden="1" customHeight="1" x14ac:dyDescent="0.25">
      <c r="A126" s="167">
        <v>48</v>
      </c>
      <c r="B126" s="167" t="s">
        <v>951</v>
      </c>
      <c r="C126" s="167" t="s">
        <v>951</v>
      </c>
      <c r="D126" s="381">
        <v>48899</v>
      </c>
      <c r="E126" s="381">
        <v>48899</v>
      </c>
      <c r="F126" s="381">
        <v>1.06</v>
      </c>
      <c r="G126" s="381">
        <v>51.83</v>
      </c>
      <c r="H126" s="381">
        <v>103.66</v>
      </c>
      <c r="I126" s="167" t="s">
        <v>731</v>
      </c>
      <c r="J126" s="381">
        <v>0</v>
      </c>
      <c r="K126" s="381">
        <v>3.51</v>
      </c>
      <c r="L126" s="381">
        <v>5.54</v>
      </c>
      <c r="M126" s="167">
        <v>5</v>
      </c>
      <c r="N126" s="381">
        <v>13.36</v>
      </c>
      <c r="O126" s="381">
        <v>2.6783324037925267</v>
      </c>
      <c r="P126" s="381">
        <v>45</v>
      </c>
      <c r="Q126" s="381">
        <v>56.9</v>
      </c>
      <c r="R126" s="381">
        <f>INPUTS[[#This Row],[DISTANCIA LOCALIDA AL CA (KM)]]-((INPUTS[[#This Row],[ÁREA URBANA
'[km2']]]*4/PI())^0.5)/2</f>
        <v>54.837811822501294</v>
      </c>
      <c r="S126" s="381">
        <f>INPUTS[[#This Row],[Distancia L3
'[Regional']]]/(INPUTS[[#This Row],[TIEMPO LOCALIDA AL CA (MINUTOS)]]/60)</f>
        <v>73.11708243000173</v>
      </c>
      <c r="T126" s="198" t="s">
        <v>952</v>
      </c>
      <c r="U126" s="381">
        <v>189.99999999999997</v>
      </c>
      <c r="V126" s="381">
        <v>185077</v>
      </c>
      <c r="W126" s="381">
        <v>0</v>
      </c>
      <c r="X126" s="787"/>
      <c r="Y126" s="787"/>
      <c r="Z126" s="787" t="e">
        <f>INPUTS[[#This Row],[Distancia a la ET 
'[km']]]/(INPUTS[[#This Row],[Tiempo a la ET
'[min']]]/60)</f>
        <v>#DIV/0!</v>
      </c>
      <c r="AA126" s="787"/>
      <c r="AB126" s="787"/>
      <c r="AC126" s="787" t="e">
        <f>INPUTS[[#This Row],[Distancia de ET al CA 
'[km']]]/(INPUTS[[#This Row],[Tiempo de ET a CA
'[min']]]/60)</f>
        <v>#DIV/0!</v>
      </c>
    </row>
    <row r="127" spans="1:29" ht="15" hidden="1" customHeight="1" x14ac:dyDescent="0.25">
      <c r="A127" s="167">
        <v>86</v>
      </c>
      <c r="B127" s="167" t="s">
        <v>1008</v>
      </c>
      <c r="C127" s="167" t="s">
        <v>1008</v>
      </c>
      <c r="D127" s="381">
        <v>31451</v>
      </c>
      <c r="E127" s="381">
        <v>31451</v>
      </c>
      <c r="F127" s="381">
        <v>1.06</v>
      </c>
      <c r="G127" s="381">
        <v>33.340000000000003</v>
      </c>
      <c r="H127" s="381">
        <v>66.680000000000007</v>
      </c>
      <c r="I127" s="167" t="s">
        <v>731</v>
      </c>
      <c r="J127" s="381">
        <v>3.13</v>
      </c>
      <c r="K127" s="381">
        <v>0.32000000000000028</v>
      </c>
      <c r="L127" s="381">
        <v>5.67</v>
      </c>
      <c r="M127" s="167">
        <v>6</v>
      </c>
      <c r="N127" s="381">
        <v>7.04</v>
      </c>
      <c r="O127" s="381">
        <v>2.5203054806828393</v>
      </c>
      <c r="P127" s="381">
        <v>11</v>
      </c>
      <c r="Q127" s="381">
        <v>5.4</v>
      </c>
      <c r="R127" s="381">
        <f>INPUTS[[#This Row],[DISTANCIA LOCALIDA AL CA (KM)]]-((INPUTS[[#This Row],[ÁREA URBANA
'[km2']]]*4/PI())^0.5)/2</f>
        <v>3.9030358725961785</v>
      </c>
      <c r="S127" s="381">
        <f>INPUTS[[#This Row],[Distancia L3
'[Regional']]]/(INPUTS[[#This Row],[TIEMPO LOCALIDA AL CA (MINUTOS)]]/60)</f>
        <v>21.289286577797338</v>
      </c>
      <c r="T127" s="198" t="s">
        <v>989</v>
      </c>
      <c r="U127" s="381">
        <v>40.39</v>
      </c>
      <c r="V127" s="381">
        <v>39117</v>
      </c>
      <c r="W127" s="381">
        <v>0</v>
      </c>
      <c r="X127" s="787"/>
      <c r="Y127" s="787"/>
      <c r="Z127" s="787" t="e">
        <f>INPUTS[[#This Row],[Distancia a la ET 
'[km']]]/(INPUTS[[#This Row],[Tiempo a la ET
'[min']]]/60)</f>
        <v>#DIV/0!</v>
      </c>
      <c r="AA127" s="787"/>
      <c r="AB127" s="787"/>
      <c r="AC127" s="787" t="e">
        <f>INPUTS[[#This Row],[Distancia de ET al CA 
'[km']]]/(INPUTS[[#This Row],[Tiempo de ET a CA
'[min']]]/60)</f>
        <v>#DIV/0!</v>
      </c>
    </row>
    <row r="128" spans="1:29" ht="15" hidden="1" customHeight="1" x14ac:dyDescent="0.25">
      <c r="A128" s="167">
        <v>150</v>
      </c>
      <c r="B128" s="167" t="s">
        <v>1036</v>
      </c>
      <c r="C128" s="167" t="s">
        <v>1086</v>
      </c>
      <c r="D128" s="381">
        <v>5776</v>
      </c>
      <c r="E128" s="381">
        <v>5776</v>
      </c>
      <c r="F128" s="381">
        <v>0.92</v>
      </c>
      <c r="G128" s="381">
        <v>5.31</v>
      </c>
      <c r="H128" s="381">
        <v>10.62</v>
      </c>
      <c r="I128" s="167" t="s">
        <v>731</v>
      </c>
      <c r="J128" s="381">
        <v>3.72</v>
      </c>
      <c r="K128" s="381">
        <v>0</v>
      </c>
      <c r="L128" s="381">
        <v>5.69</v>
      </c>
      <c r="M128" s="167">
        <v>6</v>
      </c>
      <c r="N128" s="381">
        <v>2.78</v>
      </c>
      <c r="O128" s="381">
        <v>2.0590200445434297</v>
      </c>
      <c r="P128" s="381">
        <v>102</v>
      </c>
      <c r="Q128" s="381">
        <v>137</v>
      </c>
      <c r="R128" s="381">
        <f>INPUTS[[#This Row],[DISTANCIA LOCALIDA AL CA (KM)]]-((INPUTS[[#This Row],[ÁREA URBANA
'[km2']]]*4/PI())^0.5)/2</f>
        <v>136.05930797622656</v>
      </c>
      <c r="S128" s="381">
        <f>INPUTS[[#This Row],[Distancia L3
'[Regional']]]/(INPUTS[[#This Row],[TIEMPO LOCALIDA AL CA (MINUTOS)]]/60)</f>
        <v>80.034887044839152</v>
      </c>
      <c r="T128" s="198" t="s">
        <v>963</v>
      </c>
      <c r="U128" s="381">
        <v>69.739999999999995</v>
      </c>
      <c r="V128" s="381">
        <v>68693</v>
      </c>
      <c r="W128" s="381">
        <v>0</v>
      </c>
      <c r="X128" s="787"/>
      <c r="Y128" s="787"/>
      <c r="Z128" s="787" t="e">
        <f>INPUTS[[#This Row],[Distancia a la ET 
'[km']]]/(INPUTS[[#This Row],[Tiempo a la ET
'[min']]]/60)</f>
        <v>#DIV/0!</v>
      </c>
      <c r="AA128" s="787"/>
      <c r="AB128" s="787"/>
      <c r="AC128" s="787" t="e">
        <f>INPUTS[[#This Row],[Distancia de ET al CA 
'[km']]]/(INPUTS[[#This Row],[Tiempo de ET a CA
'[min']]]/60)</f>
        <v>#DIV/0!</v>
      </c>
    </row>
    <row r="129" spans="1:29" ht="15" hidden="1" customHeight="1" x14ac:dyDescent="0.25">
      <c r="A129" s="167">
        <v>108</v>
      </c>
      <c r="B129" s="167" t="s">
        <v>1036</v>
      </c>
      <c r="C129" s="167" t="s">
        <v>1036</v>
      </c>
      <c r="D129" s="381">
        <v>5580</v>
      </c>
      <c r="E129" s="381">
        <v>5580</v>
      </c>
      <c r="F129" s="381">
        <v>0.92</v>
      </c>
      <c r="G129" s="381">
        <v>5.13</v>
      </c>
      <c r="H129" s="381">
        <v>10.26</v>
      </c>
      <c r="I129" s="167" t="s">
        <v>731</v>
      </c>
      <c r="J129" s="381">
        <v>4.5</v>
      </c>
      <c r="K129" s="381">
        <v>0</v>
      </c>
      <c r="L129" s="381">
        <v>5.7</v>
      </c>
      <c r="M129" s="167">
        <v>6</v>
      </c>
      <c r="N129" s="381">
        <v>1.88</v>
      </c>
      <c r="O129" s="381">
        <v>2.1717032967032965</v>
      </c>
      <c r="P129" s="381">
        <v>56</v>
      </c>
      <c r="Q129" s="381">
        <v>80.400000000000006</v>
      </c>
      <c r="R129" s="381">
        <f>INPUTS[[#This Row],[DISTANCIA LOCALIDA AL CA (KM)]]-((INPUTS[[#This Row],[ÁREA URBANA
'[km2']]]*4/PI())^0.5)/2</f>
        <v>79.626422217210504</v>
      </c>
      <c r="S129" s="381">
        <f>INPUTS[[#This Row],[Distancia L3
'[Regional']]]/(INPUTS[[#This Row],[TIEMPO LOCALIDA AL CA (MINUTOS)]]/60)</f>
        <v>85.314023804154104</v>
      </c>
      <c r="T129" s="198" t="s">
        <v>963</v>
      </c>
      <c r="U129" s="381">
        <v>69.739999999999995</v>
      </c>
      <c r="V129" s="381">
        <v>68693</v>
      </c>
      <c r="W129" s="381">
        <v>0</v>
      </c>
      <c r="X129" s="787"/>
      <c r="Y129" s="787"/>
      <c r="Z129" s="787" t="e">
        <f>INPUTS[[#This Row],[Distancia a la ET 
'[km']]]/(INPUTS[[#This Row],[Tiempo a la ET
'[min']]]/60)</f>
        <v>#DIV/0!</v>
      </c>
      <c r="AA129" s="787"/>
      <c r="AB129" s="787"/>
      <c r="AC129" s="787" t="e">
        <f>INPUTS[[#This Row],[Distancia de ET al CA 
'[km']]]/(INPUTS[[#This Row],[Tiempo de ET a CA
'[min']]]/60)</f>
        <v>#DIV/0!</v>
      </c>
    </row>
    <row r="130" spans="1:29" ht="15" hidden="1" customHeight="1" x14ac:dyDescent="0.25">
      <c r="A130" s="167">
        <v>52</v>
      </c>
      <c r="B130" s="167" t="s">
        <v>956</v>
      </c>
      <c r="C130" s="167" t="s">
        <v>957</v>
      </c>
      <c r="D130" s="381">
        <v>63599</v>
      </c>
      <c r="E130" s="381">
        <v>63599</v>
      </c>
      <c r="F130" s="381">
        <v>1.02</v>
      </c>
      <c r="G130" s="381">
        <v>64.87</v>
      </c>
      <c r="H130" s="381">
        <v>129.74</v>
      </c>
      <c r="I130" s="167" t="s">
        <v>731</v>
      </c>
      <c r="J130" s="381">
        <v>3.22</v>
      </c>
      <c r="K130" s="381">
        <v>0.20999999999999996</v>
      </c>
      <c r="L130" s="381">
        <v>5.73</v>
      </c>
      <c r="M130" s="167">
        <v>3</v>
      </c>
      <c r="N130" s="381">
        <v>11.33</v>
      </c>
      <c r="O130" s="381">
        <v>2.7994335365560943</v>
      </c>
      <c r="P130" s="381">
        <v>24</v>
      </c>
      <c r="Q130" s="381">
        <v>16.399999999999999</v>
      </c>
      <c r="R130" s="381">
        <f>INPUTS[[#This Row],[DISTANCIA LOCALIDA AL CA (KM)]]-((INPUTS[[#This Row],[ÁREA URBANA
'[km2']]]*4/PI())^0.5)/2</f>
        <v>14.500934174268213</v>
      </c>
      <c r="S130" s="381">
        <f>INPUTS[[#This Row],[Distancia L3
'[Regional']]]/(INPUTS[[#This Row],[TIEMPO LOCALIDA AL CA (MINUTOS)]]/60)</f>
        <v>36.252335435670531</v>
      </c>
      <c r="T130" s="198" t="s">
        <v>925</v>
      </c>
      <c r="U130" s="381">
        <v>609.95000000000005</v>
      </c>
      <c r="V130" s="381">
        <v>455301</v>
      </c>
      <c r="W130" s="381">
        <v>0</v>
      </c>
      <c r="X130" s="787"/>
      <c r="Y130" s="787"/>
      <c r="Z130" s="787" t="e">
        <f>INPUTS[[#This Row],[Distancia a la ET 
'[km']]]/(INPUTS[[#This Row],[Tiempo a la ET
'[min']]]/60)</f>
        <v>#DIV/0!</v>
      </c>
      <c r="AA130" s="787"/>
      <c r="AB130" s="787"/>
      <c r="AC130" s="787" t="e">
        <f>INPUTS[[#This Row],[Distancia de ET al CA 
'[km']]]/(INPUTS[[#This Row],[Tiempo de ET a CA
'[min']]]/60)</f>
        <v>#DIV/0!</v>
      </c>
    </row>
    <row r="131" spans="1:29" ht="15" hidden="1" customHeight="1" x14ac:dyDescent="0.25">
      <c r="A131" s="167">
        <v>57</v>
      </c>
      <c r="B131" s="167" t="s">
        <v>965</v>
      </c>
      <c r="C131" s="167" t="s">
        <v>965</v>
      </c>
      <c r="D131" s="381">
        <v>36067</v>
      </c>
      <c r="E131" s="381">
        <v>36067</v>
      </c>
      <c r="F131" s="381">
        <v>1.06</v>
      </c>
      <c r="G131" s="381">
        <v>38.229999999999997</v>
      </c>
      <c r="H131" s="381">
        <v>76.459999999999994</v>
      </c>
      <c r="I131" s="167" t="s">
        <v>731</v>
      </c>
      <c r="J131" s="381">
        <v>2.33</v>
      </c>
      <c r="K131" s="381">
        <v>8.0000000000000071E-2</v>
      </c>
      <c r="L131" s="381">
        <v>5.99</v>
      </c>
      <c r="M131" s="167">
        <v>5</v>
      </c>
      <c r="N131" s="381">
        <v>7.43</v>
      </c>
      <c r="O131" s="381">
        <v>2.6191437802907918</v>
      </c>
      <c r="P131" s="381">
        <v>8</v>
      </c>
      <c r="Q131" s="381">
        <v>3.8</v>
      </c>
      <c r="R131" s="381">
        <f>INPUTS[[#This Row],[DISTANCIA LOCALIDA AL CA (KM)]]-((INPUTS[[#This Row],[ÁREA URBANA
'[km2']]]*4/PI())^0.5)/2</f>
        <v>2.2621305470406257</v>
      </c>
      <c r="S131" s="381">
        <f>INPUTS[[#This Row],[Distancia L3
'[Regional']]]/(INPUTS[[#This Row],[TIEMPO LOCALIDA AL CA (MINUTOS)]]/60)</f>
        <v>16.965979102804692</v>
      </c>
      <c r="T131" s="198" t="s">
        <v>950</v>
      </c>
      <c r="U131" s="381">
        <v>56.279999999999994</v>
      </c>
      <c r="V131" s="381">
        <v>55686</v>
      </c>
      <c r="W131" s="381">
        <v>0</v>
      </c>
      <c r="X131" s="787"/>
      <c r="Y131" s="787"/>
      <c r="Z131" s="787" t="e">
        <f>INPUTS[[#This Row],[Distancia a la ET 
'[km']]]/(INPUTS[[#This Row],[Tiempo a la ET
'[min']]]/60)</f>
        <v>#DIV/0!</v>
      </c>
      <c r="AA131" s="787"/>
      <c r="AB131" s="787"/>
      <c r="AC131" s="787" t="e">
        <f>INPUTS[[#This Row],[Distancia de ET al CA 
'[km']]]/(INPUTS[[#This Row],[Tiempo de ET a CA
'[min']]]/60)</f>
        <v>#DIV/0!</v>
      </c>
    </row>
    <row r="132" spans="1:29" ht="15" hidden="1" customHeight="1" x14ac:dyDescent="0.25">
      <c r="A132" s="167">
        <v>139</v>
      </c>
      <c r="B132" s="167" t="s">
        <v>968</v>
      </c>
      <c r="C132" s="167" t="s">
        <v>1075</v>
      </c>
      <c r="D132" s="381">
        <v>16675</v>
      </c>
      <c r="E132" s="381">
        <v>16675</v>
      </c>
      <c r="F132" s="381">
        <v>1.06</v>
      </c>
      <c r="G132" s="381">
        <v>17.68</v>
      </c>
      <c r="H132" s="381">
        <v>35.36</v>
      </c>
      <c r="I132" s="167" t="s">
        <v>731</v>
      </c>
      <c r="J132" s="381">
        <v>4.49</v>
      </c>
      <c r="K132" s="381">
        <v>0</v>
      </c>
      <c r="L132" s="381">
        <v>6</v>
      </c>
      <c r="M132" s="167">
        <v>5</v>
      </c>
      <c r="N132" s="381">
        <v>2.39</v>
      </c>
      <c r="O132" s="381">
        <v>2.954695222405272</v>
      </c>
      <c r="P132" s="381">
        <v>30</v>
      </c>
      <c r="Q132" s="381">
        <v>16.600000000000001</v>
      </c>
      <c r="R132" s="381">
        <f>INPUTS[[#This Row],[DISTANCIA LOCALIDA AL CA (KM)]]-((INPUTS[[#This Row],[ÁREA URBANA
'[km2']]]*4/PI())^0.5)/2</f>
        <v>15.727784070324752</v>
      </c>
      <c r="S132" s="381">
        <f>INPUTS[[#This Row],[Distancia L3
'[Regional']]]/(INPUTS[[#This Row],[TIEMPO LOCALIDA AL CA (MINUTOS)]]/60)</f>
        <v>31.455568140649504</v>
      </c>
      <c r="T132" s="198" t="s">
        <v>970</v>
      </c>
      <c r="U132" s="381">
        <v>60.419999999999995</v>
      </c>
      <c r="V132" s="381">
        <v>56989</v>
      </c>
      <c r="W132" s="381">
        <v>0</v>
      </c>
      <c r="X132" s="787"/>
      <c r="Y132" s="787"/>
      <c r="Z132" s="787" t="e">
        <f>INPUTS[[#This Row],[Distancia a la ET 
'[km']]]/(INPUTS[[#This Row],[Tiempo a la ET
'[min']]]/60)</f>
        <v>#DIV/0!</v>
      </c>
      <c r="AA132" s="787"/>
      <c r="AB132" s="787"/>
      <c r="AC132" s="787" t="e">
        <f>INPUTS[[#This Row],[Distancia de ET al CA 
'[km']]]/(INPUTS[[#This Row],[Tiempo de ET a CA
'[min']]]/60)</f>
        <v>#DIV/0!</v>
      </c>
    </row>
    <row r="133" spans="1:29" ht="15" hidden="1" customHeight="1" x14ac:dyDescent="0.25">
      <c r="A133" s="167">
        <v>49</v>
      </c>
      <c r="B133" s="167" t="s">
        <v>953</v>
      </c>
      <c r="C133" s="167" t="s">
        <v>953</v>
      </c>
      <c r="D133" s="381">
        <v>43326</v>
      </c>
      <c r="E133" s="381">
        <v>43326</v>
      </c>
      <c r="F133" s="381">
        <v>1.06</v>
      </c>
      <c r="G133" s="381">
        <v>45.93</v>
      </c>
      <c r="H133" s="381">
        <v>91.86</v>
      </c>
      <c r="I133" s="167" t="s">
        <v>731</v>
      </c>
      <c r="J133" s="381">
        <v>0</v>
      </c>
      <c r="K133" s="381">
        <v>2.59</v>
      </c>
      <c r="L133" s="381">
        <v>6.1</v>
      </c>
      <c r="M133" s="167">
        <v>6</v>
      </c>
      <c r="N133" s="381">
        <v>11.37</v>
      </c>
      <c r="O133" s="381">
        <v>2.5192653673163417</v>
      </c>
      <c r="P133" s="381">
        <v>39</v>
      </c>
      <c r="Q133" s="381">
        <v>38.1</v>
      </c>
      <c r="R133" s="381">
        <f>INPUTS[[#This Row],[DISTANCIA LOCALIDA AL CA (KM)]]-((INPUTS[[#This Row],[ÁREA URBANA
'[km2']]]*4/PI())^0.5)/2</f>
        <v>36.197584849221997</v>
      </c>
      <c r="S133" s="381">
        <f>INPUTS[[#This Row],[Distancia L3
'[Regional']]]/(INPUTS[[#This Row],[TIEMPO LOCALIDA AL CA (MINUTOS)]]/60)</f>
        <v>55.688592075726149</v>
      </c>
      <c r="T133" s="198" t="s">
        <v>939</v>
      </c>
      <c r="U133" s="381">
        <v>141.04000000000002</v>
      </c>
      <c r="V133" s="381">
        <v>134672</v>
      </c>
      <c r="W133" s="381">
        <v>0</v>
      </c>
      <c r="X133" s="787"/>
      <c r="Y133" s="787"/>
      <c r="Z133" s="787" t="e">
        <f>INPUTS[[#This Row],[Distancia a la ET 
'[km']]]/(INPUTS[[#This Row],[Tiempo a la ET
'[min']]]/60)</f>
        <v>#DIV/0!</v>
      </c>
      <c r="AA133" s="787"/>
      <c r="AB133" s="787"/>
      <c r="AC133" s="787" t="e">
        <f>INPUTS[[#This Row],[Distancia de ET al CA 
'[km']]]/(INPUTS[[#This Row],[Tiempo de ET a CA
'[min']]]/60)</f>
        <v>#DIV/0!</v>
      </c>
    </row>
    <row r="134" spans="1:29" ht="30" hidden="1" customHeight="1" x14ac:dyDescent="0.25">
      <c r="A134" s="167">
        <v>130</v>
      </c>
      <c r="B134" s="167" t="s">
        <v>1065</v>
      </c>
      <c r="C134" s="167" t="s">
        <v>1065</v>
      </c>
      <c r="D134" s="381">
        <v>42168</v>
      </c>
      <c r="E134" s="381">
        <v>42168</v>
      </c>
      <c r="F134" s="381">
        <v>1.06</v>
      </c>
      <c r="G134" s="381">
        <v>44.7</v>
      </c>
      <c r="H134" s="381">
        <v>89.4</v>
      </c>
      <c r="I134" s="167" t="s">
        <v>731</v>
      </c>
      <c r="J134" s="381">
        <v>0.25</v>
      </c>
      <c r="K134" s="381">
        <v>2.75</v>
      </c>
      <c r="L134" s="381">
        <v>6.1</v>
      </c>
      <c r="M134" s="167">
        <v>5</v>
      </c>
      <c r="N134" s="381">
        <v>9.1</v>
      </c>
      <c r="O134" s="381">
        <v>2.5724615384615386</v>
      </c>
      <c r="P134" s="381">
        <v>12</v>
      </c>
      <c r="Q134" s="381">
        <v>5.8</v>
      </c>
      <c r="R134" s="381">
        <f>INPUTS[[#This Row],[DISTANCIA LOCALIDA AL CA (KM)]]-((INPUTS[[#This Row],[ÁREA URBANA
'[km2']]]*4/PI())^0.5)/2</f>
        <v>4.0980540654085118</v>
      </c>
      <c r="S134" s="381">
        <f>INPUTS[[#This Row],[Distancia L3
'[Regional']]]/(INPUTS[[#This Row],[TIEMPO LOCALIDA AL CA (MINUTOS)]]/60)</f>
        <v>20.490270327042559</v>
      </c>
      <c r="T134" s="198" t="s">
        <v>1030</v>
      </c>
      <c r="U134" s="381">
        <v>59.32</v>
      </c>
      <c r="V134" s="381">
        <v>58055</v>
      </c>
      <c r="W134" s="381">
        <v>0</v>
      </c>
      <c r="X134" s="787"/>
      <c r="Y134" s="787"/>
      <c r="Z134" s="787" t="e">
        <f>INPUTS[[#This Row],[Distancia a la ET 
'[km']]]/(INPUTS[[#This Row],[Tiempo a la ET
'[min']]]/60)</f>
        <v>#DIV/0!</v>
      </c>
      <c r="AA134" s="787"/>
      <c r="AB134" s="787"/>
      <c r="AC134" s="787" t="e">
        <f>INPUTS[[#This Row],[Distancia de ET al CA 
'[km']]]/(INPUTS[[#This Row],[Tiempo de ET a CA
'[min']]]/60)</f>
        <v>#DIV/0!</v>
      </c>
    </row>
    <row r="135" spans="1:29" ht="15" hidden="1" customHeight="1" x14ac:dyDescent="0.25">
      <c r="A135" s="167">
        <v>138</v>
      </c>
      <c r="B135" s="167" t="s">
        <v>946</v>
      </c>
      <c r="C135" s="167" t="s">
        <v>1074</v>
      </c>
      <c r="D135" s="381">
        <v>3692</v>
      </c>
      <c r="E135" s="381">
        <v>3692</v>
      </c>
      <c r="F135" s="381">
        <v>0.92</v>
      </c>
      <c r="G135" s="381">
        <v>3.4</v>
      </c>
      <c r="H135" s="381">
        <v>6.8</v>
      </c>
      <c r="I135" s="167" t="s">
        <v>810</v>
      </c>
      <c r="J135" s="381">
        <v>0</v>
      </c>
      <c r="K135" s="381">
        <v>4.76</v>
      </c>
      <c r="L135" s="381">
        <v>6.43</v>
      </c>
      <c r="M135" s="167">
        <v>5</v>
      </c>
      <c r="N135" s="381">
        <v>1.73</v>
      </c>
      <c r="O135" s="381">
        <v>2.5485668789808917</v>
      </c>
      <c r="P135" s="381">
        <v>26</v>
      </c>
      <c r="Q135" s="381">
        <v>35.799999999999997</v>
      </c>
      <c r="R135" s="381">
        <f>INPUTS[[#This Row],[DISTANCIA LOCALIDA AL CA (KM)]]-((INPUTS[[#This Row],[ÁREA URBANA
'[km2']]]*4/PI())^0.5)/2</f>
        <v>35.057924462673803</v>
      </c>
      <c r="S135" s="381">
        <f>INPUTS[[#This Row],[Distancia L3
'[Regional']]]/(INPUTS[[#This Row],[TIEMPO LOCALIDA AL CA (MINUTOS)]]/60)</f>
        <v>80.902902606170315</v>
      </c>
      <c r="T135" s="198" t="s">
        <v>947</v>
      </c>
      <c r="U135" s="381">
        <v>60.579999999999991</v>
      </c>
      <c r="V135" s="381">
        <v>59694</v>
      </c>
      <c r="W135" s="381">
        <v>0</v>
      </c>
      <c r="X135" s="787"/>
      <c r="Y135" s="787"/>
      <c r="Z135" s="787" t="e">
        <f>INPUTS[[#This Row],[Distancia a la ET 
'[km']]]/(INPUTS[[#This Row],[Tiempo a la ET
'[min']]]/60)</f>
        <v>#DIV/0!</v>
      </c>
      <c r="AA135" s="787"/>
      <c r="AB135" s="787"/>
      <c r="AC135" s="787" t="e">
        <f>INPUTS[[#This Row],[Distancia de ET al CA 
'[km']]]/(INPUTS[[#This Row],[Tiempo de ET a CA
'[min']]]/60)</f>
        <v>#DIV/0!</v>
      </c>
    </row>
    <row r="136" spans="1:29" ht="15" hidden="1" customHeight="1" x14ac:dyDescent="0.25">
      <c r="A136" s="167">
        <v>103</v>
      </c>
      <c r="B136" s="167" t="s">
        <v>1031</v>
      </c>
      <c r="C136" s="167" t="s">
        <v>1031</v>
      </c>
      <c r="D136" s="381">
        <v>107337</v>
      </c>
      <c r="E136" s="381">
        <v>107337</v>
      </c>
      <c r="F136" s="381">
        <v>1.02</v>
      </c>
      <c r="G136" s="381">
        <v>109.48</v>
      </c>
      <c r="H136" s="381">
        <v>218.96</v>
      </c>
      <c r="I136" s="167" t="s">
        <v>731</v>
      </c>
      <c r="J136" s="381">
        <v>4.13</v>
      </c>
      <c r="K136" s="381">
        <v>1.42</v>
      </c>
      <c r="L136" s="381">
        <v>7.45</v>
      </c>
      <c r="M136" s="167">
        <v>5</v>
      </c>
      <c r="N136" s="381">
        <v>17.77</v>
      </c>
      <c r="O136" s="381">
        <v>2.7148755420899424</v>
      </c>
      <c r="P136" s="381">
        <v>16</v>
      </c>
      <c r="Q136" s="381">
        <v>6.8</v>
      </c>
      <c r="R136" s="381">
        <f>INPUTS[[#This Row],[DISTANCIA LOCALIDA AL CA (KM)]]-((INPUTS[[#This Row],[ÁREA URBANA
'[km2']]]*4/PI())^0.5)/2</f>
        <v>4.4216882715913872</v>
      </c>
      <c r="S136" s="381">
        <f>INPUTS[[#This Row],[Distancia L3
'[Regional']]]/(INPUTS[[#This Row],[TIEMPO LOCALIDA AL CA (MINUTOS)]]/60)</f>
        <v>16.581331018467701</v>
      </c>
      <c r="T136" s="198" t="s">
        <v>919</v>
      </c>
      <c r="U136" s="381">
        <v>241.44999999999996</v>
      </c>
      <c r="V136" s="381">
        <v>231848</v>
      </c>
      <c r="W136" s="381">
        <v>0</v>
      </c>
      <c r="X136" s="787"/>
      <c r="Y136" s="787"/>
      <c r="Z136" s="787" t="e">
        <f>INPUTS[[#This Row],[Distancia a la ET 
'[km']]]/(INPUTS[[#This Row],[Tiempo a la ET
'[min']]]/60)</f>
        <v>#DIV/0!</v>
      </c>
      <c r="AA136" s="787"/>
      <c r="AB136" s="787"/>
      <c r="AC136" s="787" t="e">
        <f>INPUTS[[#This Row],[Distancia de ET al CA 
'[km']]]/(INPUTS[[#This Row],[Tiempo de ET a CA
'[min']]]/60)</f>
        <v>#DIV/0!</v>
      </c>
    </row>
    <row r="137" spans="1:29" ht="15" hidden="1" customHeight="1" x14ac:dyDescent="0.25">
      <c r="A137" s="167">
        <v>110</v>
      </c>
      <c r="B137" s="167" t="s">
        <v>1039</v>
      </c>
      <c r="C137" s="167" t="s">
        <v>1039</v>
      </c>
      <c r="D137" s="381">
        <v>18866</v>
      </c>
      <c r="E137" s="381">
        <v>18866</v>
      </c>
      <c r="F137" s="381">
        <v>1.06</v>
      </c>
      <c r="G137" s="381">
        <v>20</v>
      </c>
      <c r="H137" s="381">
        <v>40</v>
      </c>
      <c r="I137" s="167" t="s">
        <v>731</v>
      </c>
      <c r="J137" s="381">
        <v>5.37</v>
      </c>
      <c r="K137" s="381">
        <v>0.89999999999999947</v>
      </c>
      <c r="L137" s="381">
        <v>7.5</v>
      </c>
      <c r="M137" s="167">
        <v>5</v>
      </c>
      <c r="N137" s="381">
        <v>3.15</v>
      </c>
      <c r="O137" s="381">
        <v>3.147211720226843</v>
      </c>
      <c r="P137" s="381">
        <v>39</v>
      </c>
      <c r="Q137" s="381">
        <v>43.2</v>
      </c>
      <c r="R137" s="381">
        <f>INPUTS[[#This Row],[DISTANCIA LOCALIDA AL CA (KM)]]-((INPUTS[[#This Row],[ÁREA URBANA
'[km2']]]*4/PI())^0.5)/2</f>
        <v>42.198662823281325</v>
      </c>
      <c r="S137" s="381">
        <f>INPUTS[[#This Row],[Distancia L3
'[Regional']]]/(INPUTS[[#This Row],[TIEMPO LOCALIDA AL CA (MINUTOS)]]/60)</f>
        <v>64.921019728125117</v>
      </c>
      <c r="T137" s="198" t="s">
        <v>1040</v>
      </c>
      <c r="U137" s="381">
        <v>212.13</v>
      </c>
      <c r="V137" s="381">
        <v>208563</v>
      </c>
      <c r="W137" s="381">
        <v>0</v>
      </c>
      <c r="X137" s="787"/>
      <c r="Y137" s="787"/>
      <c r="Z137" s="787" t="e">
        <f>INPUTS[[#This Row],[Distancia a la ET 
'[km']]]/(INPUTS[[#This Row],[Tiempo a la ET
'[min']]]/60)</f>
        <v>#DIV/0!</v>
      </c>
      <c r="AA137" s="787"/>
      <c r="AB137" s="787"/>
      <c r="AC137" s="787" t="e">
        <f>INPUTS[[#This Row],[Distancia de ET al CA 
'[km']]]/(INPUTS[[#This Row],[Tiempo de ET a CA
'[min']]]/60)</f>
        <v>#DIV/0!</v>
      </c>
    </row>
    <row r="138" spans="1:29" ht="15" hidden="1" customHeight="1" x14ac:dyDescent="0.25">
      <c r="A138" s="167">
        <v>122</v>
      </c>
      <c r="B138" s="167" t="s">
        <v>1055</v>
      </c>
      <c r="C138" s="167" t="s">
        <v>1056</v>
      </c>
      <c r="D138" s="381">
        <v>176096</v>
      </c>
      <c r="E138" s="381">
        <v>176096</v>
      </c>
      <c r="F138" s="381">
        <v>1.02</v>
      </c>
      <c r="G138" s="381">
        <v>179.62</v>
      </c>
      <c r="H138" s="381">
        <v>359.24</v>
      </c>
      <c r="I138" s="167" t="s">
        <v>731</v>
      </c>
      <c r="J138" s="381">
        <v>2.74</v>
      </c>
      <c r="K138" s="381">
        <v>0.6599999999999997</v>
      </c>
      <c r="L138" s="381">
        <v>7.62</v>
      </c>
      <c r="M138" s="167">
        <v>5</v>
      </c>
      <c r="N138" s="381">
        <v>23.8</v>
      </c>
      <c r="O138" s="381">
        <v>3.0420091532138711</v>
      </c>
      <c r="P138" s="381">
        <v>17</v>
      </c>
      <c r="Q138" s="381">
        <v>8</v>
      </c>
      <c r="R138" s="381">
        <f>INPUTS[[#This Row],[DISTANCIA LOCALIDA AL CA (KM)]]-((INPUTS[[#This Row],[ÁREA URBANA
'[km2']]]*4/PI())^0.5)/2</f>
        <v>5.2475873690207315</v>
      </c>
      <c r="S138" s="381">
        <f>INPUTS[[#This Row],[Distancia L3
'[Regional']]]/(INPUTS[[#This Row],[TIEMPO LOCALIDA AL CA (MINUTOS)]]/60)</f>
        <v>18.520896596543757</v>
      </c>
      <c r="T138" s="198" t="s">
        <v>1040</v>
      </c>
      <c r="U138" s="381">
        <v>212.13</v>
      </c>
      <c r="V138" s="381">
        <v>208563</v>
      </c>
      <c r="W138" s="381">
        <v>0</v>
      </c>
      <c r="X138" s="787"/>
      <c r="Y138" s="787"/>
      <c r="Z138" s="787" t="e">
        <f>INPUTS[[#This Row],[Distancia a la ET 
'[km']]]/(INPUTS[[#This Row],[Tiempo a la ET
'[min']]]/60)</f>
        <v>#DIV/0!</v>
      </c>
      <c r="AA138" s="787"/>
      <c r="AB138" s="787"/>
      <c r="AC138" s="787" t="e">
        <f>INPUTS[[#This Row],[Distancia de ET al CA 
'[km']]]/(INPUTS[[#This Row],[Tiempo de ET a CA
'[min']]]/60)</f>
        <v>#DIV/0!</v>
      </c>
    </row>
    <row r="139" spans="1:29" ht="15" hidden="1" customHeight="1" x14ac:dyDescent="0.25">
      <c r="A139" s="167">
        <v>109</v>
      </c>
      <c r="B139" s="167" t="s">
        <v>1037</v>
      </c>
      <c r="C139" s="167" t="s">
        <v>1038</v>
      </c>
      <c r="D139" s="381">
        <v>10560</v>
      </c>
      <c r="E139" s="381">
        <v>10560</v>
      </c>
      <c r="F139" s="381">
        <v>0.92</v>
      </c>
      <c r="G139" s="381">
        <v>9.7200000000000006</v>
      </c>
      <c r="H139" s="381">
        <v>19.440000000000001</v>
      </c>
      <c r="I139" s="167" t="s">
        <v>731</v>
      </c>
      <c r="J139" s="381">
        <v>5.61</v>
      </c>
      <c r="K139" s="381">
        <v>0.83000000000000007</v>
      </c>
      <c r="L139" s="381">
        <v>7.64</v>
      </c>
      <c r="M139" s="167">
        <v>5</v>
      </c>
      <c r="N139" s="381">
        <v>3.07</v>
      </c>
      <c r="O139" s="381">
        <v>2.4199630314232903</v>
      </c>
      <c r="P139" s="381">
        <v>11</v>
      </c>
      <c r="Q139" s="381">
        <v>8</v>
      </c>
      <c r="R139" s="381">
        <f>INPUTS[[#This Row],[DISTANCIA LOCALIDA AL CA (KM)]]-((INPUTS[[#This Row],[ÁREA URBANA
'[km2']]]*4/PI())^0.5)/2</f>
        <v>7.0114599903978405</v>
      </c>
      <c r="S139" s="381">
        <f>INPUTS[[#This Row],[Distancia L3
'[Regional']]]/(INPUTS[[#This Row],[TIEMPO LOCALIDA AL CA (MINUTOS)]]/60)</f>
        <v>38.244327220351863</v>
      </c>
      <c r="T139" s="198" t="s">
        <v>927</v>
      </c>
      <c r="U139" s="381">
        <v>9.7200000000000006</v>
      </c>
      <c r="V139" s="381">
        <v>10560</v>
      </c>
      <c r="W139" s="381">
        <v>0</v>
      </c>
      <c r="X139" s="787"/>
      <c r="Y139" s="787"/>
      <c r="Z139" s="787" t="e">
        <f>INPUTS[[#This Row],[Distancia a la ET 
'[km']]]/(INPUTS[[#This Row],[Tiempo a la ET
'[min']]]/60)</f>
        <v>#DIV/0!</v>
      </c>
      <c r="AA139" s="787"/>
      <c r="AB139" s="787"/>
      <c r="AC139" s="787" t="e">
        <f>INPUTS[[#This Row],[Distancia de ET al CA 
'[km']]]/(INPUTS[[#This Row],[Tiempo de ET a CA
'[min']]]/60)</f>
        <v>#DIV/0!</v>
      </c>
    </row>
    <row r="140" spans="1:29" ht="15" hidden="1" customHeight="1" x14ac:dyDescent="0.25">
      <c r="A140" s="167">
        <v>99</v>
      </c>
      <c r="B140" s="167" t="s">
        <v>1025</v>
      </c>
      <c r="C140" s="167" t="s">
        <v>1025</v>
      </c>
      <c r="D140" s="381">
        <v>108680</v>
      </c>
      <c r="E140" s="381">
        <v>108680</v>
      </c>
      <c r="F140" s="381">
        <v>1.02</v>
      </c>
      <c r="G140" s="381">
        <v>110.85</v>
      </c>
      <c r="H140" s="381">
        <v>221.7</v>
      </c>
      <c r="I140" s="167" t="s">
        <v>731</v>
      </c>
      <c r="J140" s="381">
        <v>0</v>
      </c>
      <c r="K140" s="381">
        <v>3.87</v>
      </c>
      <c r="L140" s="381">
        <v>7.71</v>
      </c>
      <c r="M140" s="167">
        <v>5</v>
      </c>
      <c r="N140" s="381">
        <v>27</v>
      </c>
      <c r="O140" s="381">
        <v>2.5558625797629899</v>
      </c>
      <c r="P140" s="381">
        <v>17</v>
      </c>
      <c r="Q140" s="381">
        <v>8</v>
      </c>
      <c r="R140" s="381">
        <f>INPUTS[[#This Row],[DISTANCIA LOCALIDA AL CA (KM)]]-((INPUTS[[#This Row],[ÁREA URBANA
'[km2']]]*4/PI())^0.5)/2</f>
        <v>5.0683849285824802</v>
      </c>
      <c r="S140" s="381">
        <f>INPUTS[[#This Row],[Distancia L3
'[Regional']]]/(INPUTS[[#This Row],[TIEMPO LOCALIDA AL CA (MINUTOS)]]/60)</f>
        <v>17.888417394996988</v>
      </c>
      <c r="T140" s="198" t="s">
        <v>927</v>
      </c>
      <c r="U140" s="381">
        <v>110.85</v>
      </c>
      <c r="V140" s="381">
        <v>108680</v>
      </c>
      <c r="W140" s="381">
        <v>0</v>
      </c>
      <c r="X140" s="787"/>
      <c r="Y140" s="787"/>
      <c r="Z140" s="787" t="e">
        <f>INPUTS[[#This Row],[Distancia a la ET 
'[km']]]/(INPUTS[[#This Row],[Tiempo a la ET
'[min']]]/60)</f>
        <v>#DIV/0!</v>
      </c>
      <c r="AA140" s="787"/>
      <c r="AB140" s="787"/>
      <c r="AC140" s="787" t="e">
        <f>INPUTS[[#This Row],[Distancia de ET al CA 
'[km']]]/(INPUTS[[#This Row],[Tiempo de ET a CA
'[min']]]/60)</f>
        <v>#DIV/0!</v>
      </c>
    </row>
    <row r="141" spans="1:29" ht="15" hidden="1" customHeight="1" x14ac:dyDescent="0.25">
      <c r="A141" s="167">
        <v>31</v>
      </c>
      <c r="B141" s="167" t="s">
        <v>920</v>
      </c>
      <c r="C141" s="167" t="s">
        <v>920</v>
      </c>
      <c r="D141" s="381">
        <v>20199</v>
      </c>
      <c r="E141" s="381">
        <v>20199</v>
      </c>
      <c r="F141" s="381">
        <v>1.06</v>
      </c>
      <c r="G141" s="381">
        <v>21.41</v>
      </c>
      <c r="H141" s="381">
        <v>42.82</v>
      </c>
      <c r="I141" s="167" t="s">
        <v>731</v>
      </c>
      <c r="J141" s="381">
        <v>0</v>
      </c>
      <c r="K141" s="381">
        <v>5.86</v>
      </c>
      <c r="L141" s="381">
        <v>7.76</v>
      </c>
      <c r="M141" s="167">
        <v>6</v>
      </c>
      <c r="N141" s="381">
        <v>5.28</v>
      </c>
      <c r="O141" s="381">
        <v>2.5663612178539759</v>
      </c>
      <c r="P141" s="381">
        <v>11</v>
      </c>
      <c r="Q141" s="381">
        <v>8.1999999999999993</v>
      </c>
      <c r="R141" s="381">
        <f>INPUTS[[#This Row],[DISTANCIA LOCALIDA AL CA (KM)]]-((INPUTS[[#This Row],[ÁREA URBANA
'[km2']]]*4/PI())^0.5)/2</f>
        <v>6.9035910371142846</v>
      </c>
      <c r="S141" s="381">
        <f>INPUTS[[#This Row],[Distancia L3
'[Regional']]]/(INPUTS[[#This Row],[TIEMPO LOCALIDA AL CA (MINUTOS)]]/60)</f>
        <v>37.655951111532467</v>
      </c>
      <c r="T141" s="198" t="s">
        <v>921</v>
      </c>
      <c r="U141" s="381">
        <v>31.44</v>
      </c>
      <c r="V141" s="381">
        <v>31094</v>
      </c>
      <c r="W141" s="381">
        <v>0</v>
      </c>
      <c r="X141" s="787"/>
      <c r="Y141" s="787"/>
      <c r="Z141" s="787" t="e">
        <f>INPUTS[[#This Row],[Distancia a la ET 
'[km']]]/(INPUTS[[#This Row],[Tiempo a la ET
'[min']]]/60)</f>
        <v>#DIV/0!</v>
      </c>
      <c r="AA141" s="787"/>
      <c r="AB141" s="787"/>
      <c r="AC141" s="787" t="e">
        <f>INPUTS[[#This Row],[Distancia de ET al CA 
'[km']]]/(INPUTS[[#This Row],[Tiempo de ET a CA
'[min']]]/60)</f>
        <v>#DIV/0!</v>
      </c>
    </row>
    <row r="142" spans="1:29" ht="15" hidden="1" customHeight="1" x14ac:dyDescent="0.25">
      <c r="A142" s="167">
        <v>151</v>
      </c>
      <c r="B142" s="167" t="s">
        <v>1039</v>
      </c>
      <c r="C142" s="167" t="s">
        <v>1087</v>
      </c>
      <c r="D142" s="381">
        <v>13601</v>
      </c>
      <c r="E142" s="381">
        <v>13601</v>
      </c>
      <c r="F142" s="381">
        <v>0.92</v>
      </c>
      <c r="G142" s="381">
        <v>12.51</v>
      </c>
      <c r="H142" s="381">
        <v>25.02</v>
      </c>
      <c r="I142" s="167" t="s">
        <v>731</v>
      </c>
      <c r="J142" s="381">
        <v>0.47</v>
      </c>
      <c r="K142" s="381">
        <v>4.91</v>
      </c>
      <c r="L142" s="381">
        <v>7.8</v>
      </c>
      <c r="M142" s="167">
        <v>5</v>
      </c>
      <c r="N142" s="381">
        <v>3.75</v>
      </c>
      <c r="O142" s="381">
        <v>2.8528072837632776</v>
      </c>
      <c r="P142" s="381">
        <v>31</v>
      </c>
      <c r="Q142" s="381">
        <v>36.200000000000003</v>
      </c>
      <c r="R142" s="381">
        <f>INPUTS[[#This Row],[DISTANCIA LOCALIDA AL CA (KM)]]-((INPUTS[[#This Row],[ÁREA URBANA
'[km2']]]*4/PI())^0.5)/2</f>
        <v>35.107451569407921</v>
      </c>
      <c r="S142" s="381">
        <f>INPUTS[[#This Row],[Distancia L3
'[Regional']]]/(INPUTS[[#This Row],[TIEMPO LOCALIDA AL CA (MINUTOS)]]/60)</f>
        <v>67.949906263370167</v>
      </c>
      <c r="T142" s="198" t="s">
        <v>1040</v>
      </c>
      <c r="U142" s="381">
        <v>212.13</v>
      </c>
      <c r="V142" s="381">
        <v>208563</v>
      </c>
      <c r="W142" s="381">
        <v>0</v>
      </c>
      <c r="X142" s="787"/>
      <c r="Y142" s="787"/>
      <c r="Z142" s="787" t="e">
        <f>INPUTS[[#This Row],[Distancia a la ET 
'[km']]]/(INPUTS[[#This Row],[Tiempo a la ET
'[min']]]/60)</f>
        <v>#DIV/0!</v>
      </c>
      <c r="AA142" s="787"/>
      <c r="AB142" s="787"/>
      <c r="AC142" s="787" t="e">
        <f>INPUTS[[#This Row],[Distancia de ET al CA 
'[km']]]/(INPUTS[[#This Row],[Tiempo de ET a CA
'[min']]]/60)</f>
        <v>#DIV/0!</v>
      </c>
    </row>
    <row r="143" spans="1:29" ht="15" hidden="1" customHeight="1" x14ac:dyDescent="0.25">
      <c r="A143" s="167">
        <v>54</v>
      </c>
      <c r="B143" s="167" t="s">
        <v>960</v>
      </c>
      <c r="C143" s="167" t="s">
        <v>960</v>
      </c>
      <c r="D143" s="381">
        <v>24075</v>
      </c>
      <c r="E143" s="381">
        <v>24075</v>
      </c>
      <c r="F143" s="381">
        <v>1.06</v>
      </c>
      <c r="G143" s="381">
        <v>25.52</v>
      </c>
      <c r="H143" s="381">
        <v>51.04</v>
      </c>
      <c r="I143" s="167" t="s">
        <v>731</v>
      </c>
      <c r="J143" s="381">
        <v>0.88</v>
      </c>
      <c r="K143" s="381">
        <v>3.7800000000000002</v>
      </c>
      <c r="L143" s="381">
        <v>8.4</v>
      </c>
      <c r="M143" s="167">
        <v>5</v>
      </c>
      <c r="N143" s="381">
        <v>8.1300000000000008</v>
      </c>
      <c r="O143" s="381">
        <v>2.4481092183158149</v>
      </c>
      <c r="P143" s="381">
        <v>13</v>
      </c>
      <c r="Q143" s="381">
        <v>9.3000000000000007</v>
      </c>
      <c r="R143" s="381">
        <f>INPUTS[[#This Row],[DISTANCIA LOCALIDA AL CA (KM)]]-((INPUTS[[#This Row],[ÁREA URBANA
'[km2']]]*4/PI())^0.5)/2</f>
        <v>7.6913175034599846</v>
      </c>
      <c r="S143" s="381">
        <f>INPUTS[[#This Row],[Distancia L3
'[Regional']]]/(INPUTS[[#This Row],[TIEMPO LOCALIDA AL CA (MINUTOS)]]/60)</f>
        <v>35.498388477507618</v>
      </c>
      <c r="T143" s="198" t="s">
        <v>961</v>
      </c>
      <c r="U143" s="381">
        <v>41</v>
      </c>
      <c r="V143" s="381">
        <v>40896</v>
      </c>
      <c r="W143" s="381">
        <v>0</v>
      </c>
      <c r="X143" s="787"/>
      <c r="Y143" s="787"/>
      <c r="Z143" s="787" t="e">
        <f>INPUTS[[#This Row],[Distancia a la ET 
'[km']]]/(INPUTS[[#This Row],[Tiempo a la ET
'[min']]]/60)</f>
        <v>#DIV/0!</v>
      </c>
      <c r="AA143" s="787"/>
      <c r="AB143" s="787"/>
      <c r="AC143" s="787" t="e">
        <f>INPUTS[[#This Row],[Distancia de ET al CA 
'[km']]]/(INPUTS[[#This Row],[Tiempo de ET a CA
'[min']]]/60)</f>
        <v>#DIV/0!</v>
      </c>
    </row>
    <row r="144" spans="1:29" ht="15" hidden="1" customHeight="1" x14ac:dyDescent="0.25">
      <c r="A144" s="167">
        <v>154</v>
      </c>
      <c r="B144" s="167" t="s">
        <v>1069</v>
      </c>
      <c r="C144" s="167" t="s">
        <v>1091</v>
      </c>
      <c r="D144" s="381">
        <v>25783</v>
      </c>
      <c r="E144" s="381">
        <v>25783</v>
      </c>
      <c r="F144" s="381">
        <v>1.06</v>
      </c>
      <c r="G144" s="381">
        <v>27.33</v>
      </c>
      <c r="H144" s="381">
        <v>54.66</v>
      </c>
      <c r="I144" s="167" t="s">
        <v>731</v>
      </c>
      <c r="J144" s="381">
        <v>6.11</v>
      </c>
      <c r="K144" s="381">
        <v>0</v>
      </c>
      <c r="L144" s="381">
        <v>8.4600000000000009</v>
      </c>
      <c r="M144" s="167">
        <v>3</v>
      </c>
      <c r="N144" s="381">
        <v>3.95</v>
      </c>
      <c r="O144" s="381">
        <v>2.9977897063467003</v>
      </c>
      <c r="P144" s="381">
        <v>9</v>
      </c>
      <c r="Q144" s="381">
        <v>7.9</v>
      </c>
      <c r="R144" s="381">
        <f>INPUTS[[#This Row],[DISTANCIA LOCALIDA AL CA (KM)]]-((INPUTS[[#This Row],[ÁREA URBANA
'[km2']]]*4/PI())^0.5)/2</f>
        <v>6.7786953801816505</v>
      </c>
      <c r="S144" s="381">
        <f>INPUTS[[#This Row],[Distancia L3
'[Regional']]]/(INPUTS[[#This Row],[TIEMPO LOCALIDA AL CA (MINUTOS)]]/60)</f>
        <v>45.191302534544342</v>
      </c>
      <c r="T144" s="198" t="s">
        <v>1090</v>
      </c>
      <c r="U144" s="381">
        <v>35.57</v>
      </c>
      <c r="V144" s="381">
        <v>34737</v>
      </c>
      <c r="W144" s="381">
        <v>0</v>
      </c>
      <c r="X144" s="787"/>
      <c r="Y144" s="787"/>
      <c r="Z144" s="787" t="e">
        <f>INPUTS[[#This Row],[Distancia a la ET 
'[km']]]/(INPUTS[[#This Row],[Tiempo a la ET
'[min']]]/60)</f>
        <v>#DIV/0!</v>
      </c>
      <c r="AA144" s="787"/>
      <c r="AB144" s="787"/>
      <c r="AC144" s="787" t="e">
        <f>INPUTS[[#This Row],[Distancia de ET al CA 
'[km']]]/(INPUTS[[#This Row],[Tiempo de ET a CA
'[min']]]/60)</f>
        <v>#DIV/0!</v>
      </c>
    </row>
    <row r="145" spans="1:29" ht="15" hidden="1" customHeight="1" x14ac:dyDescent="0.25">
      <c r="A145" s="167">
        <v>76</v>
      </c>
      <c r="B145" s="167" t="s">
        <v>995</v>
      </c>
      <c r="C145" s="167" t="s">
        <v>995</v>
      </c>
      <c r="D145" s="381">
        <v>25238</v>
      </c>
      <c r="E145" s="381">
        <v>25238</v>
      </c>
      <c r="F145" s="381">
        <v>1.06</v>
      </c>
      <c r="G145" s="381">
        <v>26.75</v>
      </c>
      <c r="H145" s="381">
        <v>53.5</v>
      </c>
      <c r="I145" s="167" t="s">
        <v>731</v>
      </c>
      <c r="J145" s="381">
        <v>4.6500000000000004</v>
      </c>
      <c r="K145" s="381">
        <v>1.3699999999999992</v>
      </c>
      <c r="L145" s="381">
        <v>8.4600000000000009</v>
      </c>
      <c r="M145" s="167">
        <v>5</v>
      </c>
      <c r="N145" s="381">
        <v>6.86</v>
      </c>
      <c r="O145" s="381">
        <v>2.6589553324603523</v>
      </c>
      <c r="P145" s="381">
        <v>12</v>
      </c>
      <c r="Q145" s="381">
        <v>5.4</v>
      </c>
      <c r="R145" s="381">
        <f>INPUTS[[#This Row],[DISTANCIA LOCALIDA AL CA (KM)]]-((INPUTS[[#This Row],[ÁREA URBANA
'[km2']]]*4/PI())^0.5)/2</f>
        <v>3.922297114024337</v>
      </c>
      <c r="S145" s="381">
        <f>INPUTS[[#This Row],[Distancia L3
'[Regional']]]/(INPUTS[[#This Row],[TIEMPO LOCALIDA AL CA (MINUTOS)]]/60)</f>
        <v>19.611485570121683</v>
      </c>
      <c r="T145" s="198" t="s">
        <v>947</v>
      </c>
      <c r="U145" s="381">
        <v>60.579999999999991</v>
      </c>
      <c r="V145" s="381">
        <v>59694</v>
      </c>
      <c r="W145" s="381">
        <v>0</v>
      </c>
      <c r="X145" s="787"/>
      <c r="Y145" s="787"/>
      <c r="Z145" s="787" t="e">
        <f>INPUTS[[#This Row],[Distancia a la ET 
'[km']]]/(INPUTS[[#This Row],[Tiempo a la ET
'[min']]]/60)</f>
        <v>#DIV/0!</v>
      </c>
      <c r="AA145" s="787"/>
      <c r="AB145" s="787"/>
      <c r="AC145" s="787" t="e">
        <f>INPUTS[[#This Row],[Distancia de ET al CA 
'[km']]]/(INPUTS[[#This Row],[Tiempo de ET a CA
'[min']]]/60)</f>
        <v>#DIV/0!</v>
      </c>
    </row>
    <row r="146" spans="1:29" ht="15" hidden="1" customHeight="1" x14ac:dyDescent="0.25">
      <c r="A146" s="167">
        <v>98</v>
      </c>
      <c r="B146" s="167" t="s">
        <v>1023</v>
      </c>
      <c r="C146" s="167" t="s">
        <v>1024</v>
      </c>
      <c r="D146" s="381">
        <v>109682</v>
      </c>
      <c r="E146" s="381">
        <v>119665</v>
      </c>
      <c r="F146" s="381">
        <v>1.02</v>
      </c>
      <c r="G146" s="381">
        <v>122.06</v>
      </c>
      <c r="H146" s="381">
        <v>244.12</v>
      </c>
      <c r="I146" s="167" t="s">
        <v>731</v>
      </c>
      <c r="J146" s="381">
        <v>0.9</v>
      </c>
      <c r="K146" s="381">
        <v>5.5</v>
      </c>
      <c r="L146" s="381">
        <v>9.32</v>
      </c>
      <c r="M146" s="167">
        <v>5</v>
      </c>
      <c r="N146" s="381">
        <v>24.58</v>
      </c>
      <c r="O146" s="381">
        <v>2.229690992767916</v>
      </c>
      <c r="P146" s="381">
        <v>20</v>
      </c>
      <c r="Q146" s="381">
        <v>13.7</v>
      </c>
      <c r="R146" s="381">
        <f>INPUTS[[#This Row],[DISTANCIA LOCALIDA AL CA (KM)]]-((INPUTS[[#This Row],[ÁREA URBANA
'[km2']]]*4/PI())^0.5)/2</f>
        <v>10.902848412688797</v>
      </c>
      <c r="S146" s="381">
        <f>INPUTS[[#This Row],[Distancia L3
'[Regional']]]/(INPUTS[[#This Row],[TIEMPO LOCALIDA AL CA (MINUTOS)]]/60)</f>
        <v>32.708545238066392</v>
      </c>
      <c r="T146" s="198" t="s">
        <v>1010</v>
      </c>
      <c r="U146" s="381">
        <v>138.53</v>
      </c>
      <c r="V146" s="381">
        <v>135199</v>
      </c>
      <c r="W146" s="381">
        <v>0</v>
      </c>
      <c r="X146" s="787"/>
      <c r="Y146" s="787"/>
      <c r="Z146" s="787" t="e">
        <f>INPUTS[[#This Row],[Distancia a la ET 
'[km']]]/(INPUTS[[#This Row],[Tiempo a la ET
'[min']]]/60)</f>
        <v>#DIV/0!</v>
      </c>
      <c r="AA146" s="787"/>
      <c r="AB146" s="787"/>
      <c r="AC146" s="787" t="e">
        <f>INPUTS[[#This Row],[Distancia de ET al CA 
'[km']]]/(INPUTS[[#This Row],[Tiempo de ET a CA
'[min']]]/60)</f>
        <v>#DIV/0!</v>
      </c>
    </row>
    <row r="147" spans="1:29" ht="15" hidden="1" customHeight="1" x14ac:dyDescent="0.25">
      <c r="A147" s="167">
        <v>46</v>
      </c>
      <c r="B147" s="167" t="s">
        <v>948</v>
      </c>
      <c r="C147" s="167" t="s">
        <v>948</v>
      </c>
      <c r="D147" s="381">
        <v>17255</v>
      </c>
      <c r="E147" s="381">
        <v>17255</v>
      </c>
      <c r="F147" s="381">
        <v>1.06</v>
      </c>
      <c r="G147" s="381">
        <v>18.29</v>
      </c>
      <c r="H147" s="381">
        <v>36.58</v>
      </c>
      <c r="I147" s="167" t="s">
        <v>731</v>
      </c>
      <c r="J147" s="381">
        <v>6.43</v>
      </c>
      <c r="K147" s="381">
        <v>8.9999999999999858E-2</v>
      </c>
      <c r="L147" s="381">
        <v>9.9600000000000009</v>
      </c>
      <c r="M147" s="167">
        <v>5</v>
      </c>
      <c r="N147" s="381">
        <v>7.53</v>
      </c>
      <c r="O147" s="381">
        <v>2.7461306964746344</v>
      </c>
      <c r="P147" s="381">
        <v>49</v>
      </c>
      <c r="Q147" s="381">
        <v>62</v>
      </c>
      <c r="R147" s="381">
        <f>INPUTS[[#This Row],[DISTANCIA LOCALIDA AL CA (KM)]]-((INPUTS[[#This Row],[ÁREA URBANA
'[km2']]]*4/PI())^0.5)/2</f>
        <v>60.451816082319695</v>
      </c>
      <c r="S147" s="381">
        <f>INPUTS[[#This Row],[Distancia L3
'[Regional']]]/(INPUTS[[#This Row],[TIEMPO LOCALIDA AL CA (MINUTOS)]]/60)</f>
        <v>74.022631937534328</v>
      </c>
      <c r="T147" s="198" t="s">
        <v>944</v>
      </c>
      <c r="U147" s="381">
        <v>88.050000000000011</v>
      </c>
      <c r="V147" s="381">
        <v>83064</v>
      </c>
      <c r="W147" s="381">
        <v>0</v>
      </c>
      <c r="X147" s="787"/>
      <c r="Y147" s="787"/>
      <c r="Z147" s="787" t="e">
        <f>INPUTS[[#This Row],[Distancia a la ET 
'[km']]]/(INPUTS[[#This Row],[Tiempo a la ET
'[min']]]/60)</f>
        <v>#DIV/0!</v>
      </c>
      <c r="AA147" s="787"/>
      <c r="AB147" s="787"/>
      <c r="AC147" s="787" t="e">
        <f>INPUTS[[#This Row],[Distancia de ET al CA 
'[km']]]/(INPUTS[[#This Row],[Tiempo de ET a CA
'[min']]]/60)</f>
        <v>#DIV/0!</v>
      </c>
    </row>
    <row r="148" spans="1:29" ht="15" hidden="1" customHeight="1" x14ac:dyDescent="0.25">
      <c r="A148" s="167">
        <v>133</v>
      </c>
      <c r="B148" s="167" t="s">
        <v>1068</v>
      </c>
      <c r="C148" s="167" t="s">
        <v>1068</v>
      </c>
      <c r="D148" s="381">
        <v>48188</v>
      </c>
      <c r="E148" s="381">
        <v>139363</v>
      </c>
      <c r="F148" s="381">
        <v>1.02</v>
      </c>
      <c r="G148" s="381">
        <v>80.239999999999995</v>
      </c>
      <c r="H148" s="381">
        <v>160.47999999999999</v>
      </c>
      <c r="I148" s="167" t="s">
        <v>731</v>
      </c>
      <c r="J148" s="381">
        <v>6.65</v>
      </c>
      <c r="K148" s="381">
        <v>0.89</v>
      </c>
      <c r="L148" s="381">
        <v>10.3</v>
      </c>
      <c r="M148" s="167">
        <v>6</v>
      </c>
      <c r="N148" s="381">
        <v>14.5</v>
      </c>
      <c r="O148" s="381">
        <v>1.0904635566364507</v>
      </c>
      <c r="P148" s="381">
        <v>19</v>
      </c>
      <c r="Q148" s="381">
        <v>9.8000000000000007</v>
      </c>
      <c r="R148" s="381">
        <f>INPUTS[[#This Row],[DISTANCIA LOCALIDA AL CA (KM)]]-((INPUTS[[#This Row],[ÁREA URBANA
'[km2']]]*4/PI())^0.5)/2</f>
        <v>7.6516300715042203</v>
      </c>
      <c r="S148" s="381">
        <f>INPUTS[[#This Row],[Distancia L3
'[Regional']]]/(INPUTS[[#This Row],[TIEMPO LOCALIDA AL CA (MINUTOS)]]/60)</f>
        <v>24.163042331065959</v>
      </c>
      <c r="T148" s="198" t="s">
        <v>981</v>
      </c>
      <c r="U148" s="381">
        <v>488.89000000000004</v>
      </c>
      <c r="V148" s="381">
        <v>476675</v>
      </c>
      <c r="W148" s="381">
        <v>0</v>
      </c>
      <c r="X148" s="787"/>
      <c r="Y148" s="787"/>
      <c r="Z148" s="787" t="e">
        <f>INPUTS[[#This Row],[Distancia a la ET 
'[km']]]/(INPUTS[[#This Row],[Tiempo a la ET
'[min']]]/60)</f>
        <v>#DIV/0!</v>
      </c>
      <c r="AA148" s="787"/>
      <c r="AB148" s="787"/>
      <c r="AC148" s="787" t="e">
        <f>INPUTS[[#This Row],[Distancia de ET al CA 
'[km']]]/(INPUTS[[#This Row],[Tiempo de ET a CA
'[min']]]/60)</f>
        <v>#DIV/0!</v>
      </c>
    </row>
    <row r="149" spans="1:29" ht="15" hidden="1" customHeight="1" x14ac:dyDescent="0.25">
      <c r="A149" s="167">
        <v>135</v>
      </c>
      <c r="B149" s="167" t="s">
        <v>1071</v>
      </c>
      <c r="C149" s="167" t="s">
        <v>1071</v>
      </c>
      <c r="D149" s="381">
        <v>132135</v>
      </c>
      <c r="E149" s="381">
        <v>132135</v>
      </c>
      <c r="F149" s="381">
        <v>1.02</v>
      </c>
      <c r="G149" s="381">
        <v>134.78</v>
      </c>
      <c r="H149" s="381">
        <v>269.56</v>
      </c>
      <c r="I149" s="167" t="s">
        <v>731</v>
      </c>
      <c r="J149" s="381">
        <v>2.0499999999999998</v>
      </c>
      <c r="K149" s="381">
        <v>5.45</v>
      </c>
      <c r="L149" s="381">
        <v>11</v>
      </c>
      <c r="M149" s="167">
        <v>5</v>
      </c>
      <c r="N149" s="381">
        <v>13.1</v>
      </c>
      <c r="O149" s="381">
        <v>3.2379794261675485</v>
      </c>
      <c r="P149" s="381">
        <v>24</v>
      </c>
      <c r="Q149" s="381">
        <v>12.1</v>
      </c>
      <c r="R149" s="381">
        <f>INPUTS[[#This Row],[DISTANCIA LOCALIDA AL CA (KM)]]-((INPUTS[[#This Row],[ÁREA URBANA
'[km2']]]*4/PI())^0.5)/2</f>
        <v>10.057976613991</v>
      </c>
      <c r="S149" s="381">
        <f>INPUTS[[#This Row],[Distancia L3
'[Regional']]]/(INPUTS[[#This Row],[TIEMPO LOCALIDA AL CA (MINUTOS)]]/60)</f>
        <v>25.144941534977498</v>
      </c>
      <c r="T149" s="198" t="s">
        <v>941</v>
      </c>
      <c r="U149" s="381">
        <v>248.99</v>
      </c>
      <c r="V149" s="381">
        <v>244102</v>
      </c>
      <c r="W149" s="381">
        <v>0</v>
      </c>
      <c r="X149" s="787"/>
      <c r="Y149" s="787"/>
      <c r="Z149" s="787" t="e">
        <f>INPUTS[[#This Row],[Distancia a la ET 
'[km']]]/(INPUTS[[#This Row],[Tiempo a la ET
'[min']]]/60)</f>
        <v>#DIV/0!</v>
      </c>
      <c r="AA149" s="787"/>
      <c r="AB149" s="787"/>
      <c r="AC149" s="787" t="e">
        <f>INPUTS[[#This Row],[Distancia de ET al CA 
'[km']]]/(INPUTS[[#This Row],[Tiempo de ET a CA
'[min']]]/60)</f>
        <v>#DIV/0!</v>
      </c>
    </row>
    <row r="150" spans="1:29" ht="15" hidden="1" customHeight="1" x14ac:dyDescent="0.25">
      <c r="A150" s="167">
        <v>33</v>
      </c>
      <c r="B150" s="167" t="s">
        <v>924</v>
      </c>
      <c r="C150" s="167" t="s">
        <v>924</v>
      </c>
      <c r="D150" s="381">
        <v>376957</v>
      </c>
      <c r="E150" s="381">
        <v>376957</v>
      </c>
      <c r="F150" s="381">
        <v>1.41</v>
      </c>
      <c r="G150" s="381">
        <v>531.51</v>
      </c>
      <c r="H150" s="381">
        <v>1063.02</v>
      </c>
      <c r="I150" s="167" t="s">
        <v>731</v>
      </c>
      <c r="J150" s="381">
        <v>0.72</v>
      </c>
      <c r="K150" s="381">
        <v>1.05</v>
      </c>
      <c r="L150" s="381">
        <v>11.85</v>
      </c>
      <c r="M150" s="167">
        <v>6</v>
      </c>
      <c r="N150" s="381">
        <v>108.02</v>
      </c>
      <c r="O150" s="381">
        <v>2.4097123998114096</v>
      </c>
      <c r="P150" s="381">
        <v>17</v>
      </c>
      <c r="Q150" s="381">
        <v>11.7</v>
      </c>
      <c r="R150" s="381">
        <f>INPUTS[[#This Row],[DISTANCIA LOCALIDA AL CA (KM)]]-((INPUTS[[#This Row],[ÁREA URBANA
'[km2']]]*4/PI())^0.5)/2</f>
        <v>5.8362269906166153</v>
      </c>
      <c r="S150" s="381">
        <f>INPUTS[[#This Row],[Distancia L3
'[Regional']]]/(INPUTS[[#This Row],[TIEMPO LOCALIDA AL CA (MINUTOS)]]/60)</f>
        <v>20.598448202176289</v>
      </c>
      <c r="T150" s="198" t="s">
        <v>925</v>
      </c>
      <c r="U150" s="381">
        <v>609.95000000000005</v>
      </c>
      <c r="V150" s="381">
        <v>455301</v>
      </c>
      <c r="W150" s="381">
        <v>0</v>
      </c>
      <c r="X150" s="787"/>
      <c r="Y150" s="787"/>
      <c r="Z150" s="787" t="e">
        <f>INPUTS[[#This Row],[Distancia a la ET 
'[km']]]/(INPUTS[[#This Row],[Tiempo a la ET
'[min']]]/60)</f>
        <v>#DIV/0!</v>
      </c>
      <c r="AA150" s="787"/>
      <c r="AB150" s="787"/>
      <c r="AC150" s="787" t="e">
        <f>INPUTS[[#This Row],[Distancia de ET al CA 
'[km']]]/(INPUTS[[#This Row],[Tiempo de ET a CA
'[min']]]/60)</f>
        <v>#DIV/0!</v>
      </c>
    </row>
    <row r="151" spans="1:29" ht="15" hidden="1" customHeight="1" x14ac:dyDescent="0.25">
      <c r="A151" s="167">
        <v>126</v>
      </c>
      <c r="B151" s="167" t="s">
        <v>1060</v>
      </c>
      <c r="C151" s="167" t="s">
        <v>1060</v>
      </c>
      <c r="D151" s="381">
        <v>162997</v>
      </c>
      <c r="E151" s="381">
        <v>162997</v>
      </c>
      <c r="F151" s="381">
        <v>1.02</v>
      </c>
      <c r="G151" s="381">
        <v>166.26</v>
      </c>
      <c r="H151" s="381">
        <v>332.52</v>
      </c>
      <c r="I151" s="167" t="s">
        <v>731</v>
      </c>
      <c r="J151" s="381">
        <v>1.1499999999999999</v>
      </c>
      <c r="K151" s="381">
        <v>4.3499999999999996</v>
      </c>
      <c r="L151" s="381">
        <v>12</v>
      </c>
      <c r="M151" s="167">
        <v>5</v>
      </c>
      <c r="N151" s="381">
        <v>23.4</v>
      </c>
      <c r="O151" s="381">
        <v>2.4638792885442129</v>
      </c>
      <c r="P151" s="381">
        <v>20</v>
      </c>
      <c r="Q151" s="381">
        <v>9.4</v>
      </c>
      <c r="R151" s="381">
        <f>INPUTS[[#This Row],[DISTANCIA LOCALIDA AL CA (KM)]]-((INPUTS[[#This Row],[ÁREA URBANA
'[km2']]]*4/PI())^0.5)/2</f>
        <v>6.670814895119662</v>
      </c>
      <c r="S151" s="381">
        <f>INPUTS[[#This Row],[Distancia L3
'[Regional']]]/(INPUTS[[#This Row],[TIEMPO LOCALIDA AL CA (MINUTOS)]]/60)</f>
        <v>20.012444685358986</v>
      </c>
      <c r="T151" s="198" t="s">
        <v>1042</v>
      </c>
      <c r="U151" s="381">
        <v>183.07999999999998</v>
      </c>
      <c r="V151" s="381">
        <v>178865</v>
      </c>
      <c r="W151" s="381">
        <v>0</v>
      </c>
      <c r="X151" s="787"/>
      <c r="Y151" s="787"/>
      <c r="Z151" s="787" t="e">
        <f>INPUTS[[#This Row],[Distancia a la ET 
'[km']]]/(INPUTS[[#This Row],[Tiempo a la ET
'[min']]]/60)</f>
        <v>#DIV/0!</v>
      </c>
      <c r="AA151" s="787"/>
      <c r="AB151" s="787"/>
      <c r="AC151" s="787" t="e">
        <f>INPUTS[[#This Row],[Distancia de ET al CA 
'[km']]]/(INPUTS[[#This Row],[Tiempo de ET a CA
'[min']]]/60)</f>
        <v>#DIV/0!</v>
      </c>
    </row>
    <row r="152" spans="1:29" ht="30" hidden="1" customHeight="1" x14ac:dyDescent="0.25">
      <c r="A152" s="167">
        <v>62</v>
      </c>
      <c r="B152" s="167" t="s">
        <v>972</v>
      </c>
      <c r="C152" s="167" t="s">
        <v>973</v>
      </c>
      <c r="D152" s="381">
        <v>42236</v>
      </c>
      <c r="E152" s="381">
        <v>58060</v>
      </c>
      <c r="F152" s="381">
        <v>1.02</v>
      </c>
      <c r="G152" s="381">
        <v>59.22</v>
      </c>
      <c r="H152" s="381">
        <v>118.44</v>
      </c>
      <c r="I152" s="167" t="s">
        <v>731</v>
      </c>
      <c r="J152" s="381">
        <v>6.27</v>
      </c>
      <c r="K152" s="381">
        <v>0.59000000000000075</v>
      </c>
      <c r="L152" s="381">
        <v>12.27</v>
      </c>
      <c r="M152" s="167">
        <v>5</v>
      </c>
      <c r="N152" s="381">
        <v>16.84</v>
      </c>
      <c r="O152" s="381">
        <v>1.4307310908030333</v>
      </c>
      <c r="P152" s="381">
        <v>33</v>
      </c>
      <c r="Q152" s="381">
        <v>34.799999999999997</v>
      </c>
      <c r="R152" s="381">
        <f>INPUTS[[#This Row],[DISTANCIA LOCALIDA AL CA (KM)]]-((INPUTS[[#This Row],[ÁREA URBANA
'[km2']]]*4/PI())^0.5)/2</f>
        <v>32.484759519329572</v>
      </c>
      <c r="S152" s="381">
        <f>INPUTS[[#This Row],[Distancia L3
'[Regional']]]/(INPUTS[[#This Row],[TIEMPO LOCALIDA AL CA (MINUTOS)]]/60)</f>
        <v>59.06319912605376</v>
      </c>
      <c r="T152" s="198" t="s">
        <v>974</v>
      </c>
      <c r="U152" s="381">
        <v>1217.67</v>
      </c>
      <c r="V152" s="381">
        <v>882394</v>
      </c>
      <c r="W152" s="381">
        <v>0</v>
      </c>
      <c r="X152" s="787"/>
      <c r="Y152" s="787"/>
      <c r="Z152" s="787" t="e">
        <f>INPUTS[[#This Row],[Distancia a la ET 
'[km']]]/(INPUTS[[#This Row],[Tiempo a la ET
'[min']]]/60)</f>
        <v>#DIV/0!</v>
      </c>
      <c r="AA152" s="787"/>
      <c r="AB152" s="787"/>
      <c r="AC152" s="787" t="e">
        <f>INPUTS[[#This Row],[Distancia de ET al CA 
'[km']]]/(INPUTS[[#This Row],[Tiempo de ET a CA
'[min']]]/60)</f>
        <v>#DIV/0!</v>
      </c>
    </row>
    <row r="153" spans="1:29" ht="15" hidden="1" customHeight="1" x14ac:dyDescent="0.25">
      <c r="A153" s="167">
        <v>34</v>
      </c>
      <c r="B153" s="167" t="s">
        <v>926</v>
      </c>
      <c r="C153" s="167" t="s">
        <v>926</v>
      </c>
      <c r="D153" s="381">
        <v>55106</v>
      </c>
      <c r="E153" s="381">
        <v>55106</v>
      </c>
      <c r="F153" s="381">
        <v>1.02</v>
      </c>
      <c r="G153" s="381">
        <v>56.21</v>
      </c>
      <c r="H153" s="381">
        <v>112.42</v>
      </c>
      <c r="I153" s="167" t="s">
        <v>731</v>
      </c>
      <c r="J153" s="381">
        <v>8.4</v>
      </c>
      <c r="K153" s="381">
        <v>1.2599999999999998</v>
      </c>
      <c r="L153" s="381">
        <v>12.66</v>
      </c>
      <c r="M153" s="167">
        <v>6</v>
      </c>
      <c r="N153" s="381">
        <v>11.78</v>
      </c>
      <c r="O153" s="381">
        <v>2.687959655389788</v>
      </c>
      <c r="P153" s="381">
        <v>17</v>
      </c>
      <c r="Q153" s="381">
        <v>12.3</v>
      </c>
      <c r="R153" s="381">
        <f>INPUTS[[#This Row],[DISTANCIA LOCALIDA AL CA (KM)]]-((INPUTS[[#This Row],[ÁREA URBANA
'[km2']]]*4/PI())^0.5)/2</f>
        <v>10.363588251624915</v>
      </c>
      <c r="S153" s="381">
        <f>INPUTS[[#This Row],[Distancia L3
'[Regional']]]/(INPUTS[[#This Row],[TIEMPO LOCALIDA AL CA (MINUTOS)]]/60)</f>
        <v>36.577370299852639</v>
      </c>
      <c r="T153" s="198" t="s">
        <v>927</v>
      </c>
      <c r="U153" s="381">
        <v>56.21</v>
      </c>
      <c r="V153" s="381">
        <v>55106</v>
      </c>
      <c r="W153" s="381">
        <v>0</v>
      </c>
      <c r="X153" s="787"/>
      <c r="Y153" s="787"/>
      <c r="Z153" s="787" t="e">
        <f>INPUTS[[#This Row],[Distancia a la ET 
'[km']]]/(INPUTS[[#This Row],[Tiempo a la ET
'[min']]]/60)</f>
        <v>#DIV/0!</v>
      </c>
      <c r="AA153" s="787"/>
      <c r="AB153" s="787"/>
      <c r="AC153" s="787" t="e">
        <f>INPUTS[[#This Row],[Distancia de ET al CA 
'[km']]]/(INPUTS[[#This Row],[Tiempo de ET a CA
'[min']]]/60)</f>
        <v>#DIV/0!</v>
      </c>
    </row>
    <row r="154" spans="1:29" ht="30" hidden="1" customHeight="1" x14ac:dyDescent="0.25">
      <c r="A154" s="167">
        <v>73</v>
      </c>
      <c r="B154" s="167" t="s">
        <v>990</v>
      </c>
      <c r="C154" s="167" t="s">
        <v>991</v>
      </c>
      <c r="D154" s="381">
        <v>721109</v>
      </c>
      <c r="E154" s="381">
        <v>816453</v>
      </c>
      <c r="F154" s="381">
        <v>1.41</v>
      </c>
      <c r="G154" s="381">
        <v>1151.2</v>
      </c>
      <c r="H154" s="381">
        <v>2302.4</v>
      </c>
      <c r="I154" s="167" t="s">
        <v>731</v>
      </c>
      <c r="J154" s="381">
        <v>6.36</v>
      </c>
      <c r="K154" s="381">
        <v>1.5</v>
      </c>
      <c r="L154" s="381">
        <v>13.4</v>
      </c>
      <c r="M154" s="167">
        <v>6</v>
      </c>
      <c r="N154" s="381">
        <v>95.64</v>
      </c>
      <c r="O154" s="381">
        <v>1.9936260361471287</v>
      </c>
      <c r="P154" s="381">
        <v>27</v>
      </c>
      <c r="Q154" s="381">
        <v>13.8</v>
      </c>
      <c r="R154" s="381">
        <f>INPUTS[[#This Row],[DISTANCIA LOCALIDA AL CA (KM)]]-((INPUTS[[#This Row],[ÁREA URBANA
'[km2']]]*4/PI())^0.5)/2</f>
        <v>8.2824681682279593</v>
      </c>
      <c r="S154" s="381">
        <f>INPUTS[[#This Row],[Distancia L3
'[Regional']]]/(INPUTS[[#This Row],[TIEMPO LOCALIDA AL CA (MINUTOS)]]/60)</f>
        <v>18.405484818284354</v>
      </c>
      <c r="T154" s="198" t="s">
        <v>974</v>
      </c>
      <c r="U154" s="381">
        <v>1217.67</v>
      </c>
      <c r="V154" s="381">
        <v>882394</v>
      </c>
      <c r="W154" s="381">
        <v>0</v>
      </c>
      <c r="X154" s="787"/>
      <c r="Y154" s="787"/>
      <c r="Z154" s="787" t="e">
        <f>INPUTS[[#This Row],[Distancia a la ET 
'[km']]]/(INPUTS[[#This Row],[Tiempo a la ET
'[min']]]/60)</f>
        <v>#DIV/0!</v>
      </c>
      <c r="AA154" s="787"/>
      <c r="AB154" s="787"/>
      <c r="AC154" s="787" t="e">
        <f>INPUTS[[#This Row],[Distancia de ET al CA 
'[km']]]/(INPUTS[[#This Row],[Tiempo de ET a CA
'[min']]]/60)</f>
        <v>#DIV/0!</v>
      </c>
    </row>
    <row r="155" spans="1:29" ht="30" hidden="1" customHeight="1" x14ac:dyDescent="0.25">
      <c r="A155" s="167">
        <v>141</v>
      </c>
      <c r="B155" s="167" t="s">
        <v>972</v>
      </c>
      <c r="C155" s="167" t="s">
        <v>1077</v>
      </c>
      <c r="D155" s="381">
        <v>7881</v>
      </c>
      <c r="E155" s="381">
        <v>7881</v>
      </c>
      <c r="F155" s="381">
        <v>0.92</v>
      </c>
      <c r="G155" s="381">
        <v>7.25</v>
      </c>
      <c r="H155" s="381">
        <v>14.5</v>
      </c>
      <c r="I155" s="167" t="s">
        <v>731</v>
      </c>
      <c r="J155" s="381">
        <v>0</v>
      </c>
      <c r="K155" s="381">
        <v>13.12</v>
      </c>
      <c r="L155" s="381">
        <v>15</v>
      </c>
      <c r="M155" s="167">
        <v>5</v>
      </c>
      <c r="N155" s="381">
        <v>2.54</v>
      </c>
      <c r="O155" s="381">
        <v>3.1064727954971856</v>
      </c>
      <c r="P155" s="381">
        <v>38</v>
      </c>
      <c r="Q155" s="381">
        <v>28.3</v>
      </c>
      <c r="R155" s="381">
        <f>INPUTS[[#This Row],[DISTANCIA LOCALIDA AL CA (KM)]]-((INPUTS[[#This Row],[ÁREA URBANA
'[km2']]]*4/PI())^0.5)/2</f>
        <v>27.400829765335381</v>
      </c>
      <c r="S155" s="381">
        <f>INPUTS[[#This Row],[Distancia L3
'[Regional']]]/(INPUTS[[#This Row],[TIEMPO LOCALIDA AL CA (MINUTOS)]]/60)</f>
        <v>43.264468050529551</v>
      </c>
      <c r="T155" s="198" t="s">
        <v>974</v>
      </c>
      <c r="U155" s="381">
        <v>1217.67</v>
      </c>
      <c r="V155" s="381">
        <v>882394</v>
      </c>
      <c r="W155" s="381">
        <v>0</v>
      </c>
      <c r="X155" s="787"/>
      <c r="Y155" s="787"/>
      <c r="Z155" s="787" t="e">
        <f>INPUTS[[#This Row],[Distancia a la ET 
'[km']]]/(INPUTS[[#This Row],[Tiempo a la ET
'[min']]]/60)</f>
        <v>#DIV/0!</v>
      </c>
      <c r="AA155" s="787"/>
      <c r="AB155" s="787"/>
      <c r="AC155" s="787" t="e">
        <f>INPUTS[[#This Row],[Distancia de ET al CA 
'[km']]]/(INPUTS[[#This Row],[Tiempo de ET a CA
'[min']]]/60)</f>
        <v>#DIV/0!</v>
      </c>
    </row>
    <row r="156" spans="1:29" ht="15" hidden="1" customHeight="1" x14ac:dyDescent="0.25">
      <c r="A156" s="167">
        <v>106</v>
      </c>
      <c r="B156" s="167" t="s">
        <v>1034</v>
      </c>
      <c r="C156" s="167" t="s">
        <v>1034</v>
      </c>
      <c r="D156" s="381">
        <v>50315</v>
      </c>
      <c r="E156" s="381">
        <v>142888</v>
      </c>
      <c r="F156" s="381">
        <v>1.02</v>
      </c>
      <c r="G156" s="381">
        <v>82.88</v>
      </c>
      <c r="H156" s="381">
        <v>165.76</v>
      </c>
      <c r="I156" s="167" t="s">
        <v>731</v>
      </c>
      <c r="J156" s="381">
        <v>14.1</v>
      </c>
      <c r="K156" s="381">
        <v>1</v>
      </c>
      <c r="L156" s="381">
        <v>15.93</v>
      </c>
      <c r="M156" s="167">
        <v>5</v>
      </c>
      <c r="N156" s="381">
        <v>4.12</v>
      </c>
      <c r="O156" s="381">
        <v>1.0470830756545042</v>
      </c>
      <c r="P156" s="381">
        <v>16</v>
      </c>
      <c r="Q156" s="381">
        <v>15.4</v>
      </c>
      <c r="R156" s="381">
        <f>INPUTS[[#This Row],[DISTANCIA LOCALIDA AL CA (KM)]]-((INPUTS[[#This Row],[ÁREA URBANA
'[km2']]]*4/PI())^0.5)/2</f>
        <v>14.254820218883857</v>
      </c>
      <c r="S156" s="381">
        <f>INPUTS[[#This Row],[Distancia L3
'[Regional']]]/(INPUTS[[#This Row],[TIEMPO LOCALIDA AL CA (MINUTOS)]]/60)</f>
        <v>53.455575820814467</v>
      </c>
      <c r="T156" s="198" t="s">
        <v>981</v>
      </c>
      <c r="U156" s="381">
        <v>488.89000000000004</v>
      </c>
      <c r="V156" s="381">
        <v>476675</v>
      </c>
      <c r="W156" s="381">
        <v>0</v>
      </c>
      <c r="X156" s="787"/>
      <c r="Y156" s="787"/>
      <c r="Z156" s="787" t="e">
        <f>INPUTS[[#This Row],[Distancia a la ET 
'[km']]]/(INPUTS[[#This Row],[Tiempo a la ET
'[min']]]/60)</f>
        <v>#DIV/0!</v>
      </c>
      <c r="AA156" s="787"/>
      <c r="AB156" s="787"/>
      <c r="AC156" s="787" t="e">
        <f>INPUTS[[#This Row],[Distancia de ET al CA 
'[km']]]/(INPUTS[[#This Row],[Tiempo de ET a CA
'[min']]]/60)</f>
        <v>#DIV/0!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9">
    <tabColor rgb="FFFFFF00"/>
  </sheetPr>
  <dimension ref="A1:N127"/>
  <sheetViews>
    <sheetView view="pageBreakPreview" topLeftCell="A37" zoomScale="139" zoomScaleNormal="100" zoomScaleSheetLayoutView="90" workbookViewId="0">
      <selection activeCell="D45" sqref="D45"/>
    </sheetView>
  </sheetViews>
  <sheetFormatPr baseColWidth="10" defaultRowHeight="15" x14ac:dyDescent="0.25"/>
  <cols>
    <col min="2" max="2" width="18.85546875" style="325" customWidth="1"/>
    <col min="3" max="3" width="66.85546875" style="325" customWidth="1"/>
    <col min="4" max="4" width="19.5703125" bestFit="1" customWidth="1"/>
    <col min="5" max="5" width="14.85546875" bestFit="1" customWidth="1"/>
    <col min="6" max="6" width="33.28515625" customWidth="1"/>
    <col min="7" max="7" width="31.42578125" bestFit="1" customWidth="1"/>
    <col min="8" max="8" width="17.140625" customWidth="1"/>
    <col min="10" max="10" width="11.85546875" bestFit="1" customWidth="1"/>
  </cols>
  <sheetData>
    <row r="1" spans="2:8" ht="15.75" thickBot="1" x14ac:dyDescent="0.3">
      <c r="B1" s="748" t="s">
        <v>180</v>
      </c>
      <c r="C1" s="749"/>
      <c r="D1" s="158"/>
      <c r="E1" s="159"/>
    </row>
    <row r="2" spans="2:8" x14ac:dyDescent="0.25">
      <c r="B2" s="169" t="s">
        <v>113</v>
      </c>
      <c r="C2" s="750" t="str">
        <f>VLOOKUP($H$2,INPUTS[],INPUTS!$C$1,FALSE)</f>
        <v>Pehuajó</v>
      </c>
      <c r="G2" s="1" t="s">
        <v>862</v>
      </c>
      <c r="H2" s="765">
        <v>101</v>
      </c>
    </row>
    <row r="3" spans="2:8" x14ac:dyDescent="0.25">
      <c r="B3" s="169" t="s">
        <v>805</v>
      </c>
      <c r="D3" s="547" t="str">
        <f>VLOOKUP($H$2,INPUTS[],INPUTS!$I$1,FALSE)</f>
        <v>SI</v>
      </c>
      <c r="E3" s="14" t="s">
        <v>732</v>
      </c>
    </row>
    <row r="4" spans="2:8" x14ac:dyDescent="0.25">
      <c r="B4" s="169" t="s">
        <v>0</v>
      </c>
    </row>
    <row r="5" spans="2:8" x14ac:dyDescent="0.25">
      <c r="B5" s="325" t="s">
        <v>1</v>
      </c>
      <c r="C5" s="325" t="s">
        <v>2</v>
      </c>
      <c r="D5" s="4">
        <v>0</v>
      </c>
      <c r="E5" t="s">
        <v>3</v>
      </c>
    </row>
    <row r="6" spans="2:8" x14ac:dyDescent="0.25">
      <c r="B6" s="325" t="s">
        <v>4</v>
      </c>
      <c r="C6" s="325" t="s">
        <v>5</v>
      </c>
      <c r="D6" s="4">
        <f>+D64/1000</f>
        <v>191</v>
      </c>
      <c r="E6" t="s">
        <v>3</v>
      </c>
    </row>
    <row r="7" spans="2:8" x14ac:dyDescent="0.25">
      <c r="B7" s="325" t="s">
        <v>6</v>
      </c>
      <c r="C7" s="325" t="s">
        <v>8</v>
      </c>
      <c r="D7" s="125">
        <f>VLOOKUP($H$2,INPUTS[],INPUTS!$X$1,FALSE)</f>
        <v>4.7</v>
      </c>
      <c r="E7" t="s">
        <v>3</v>
      </c>
    </row>
    <row r="8" spans="2:8" x14ac:dyDescent="0.25">
      <c r="B8" s="325" t="s">
        <v>7</v>
      </c>
      <c r="C8" s="325" t="s">
        <v>9</v>
      </c>
      <c r="D8" s="125">
        <f>VLOOKUP($H$2,INPUTS[],INPUTS!$W$1,FALSE)</f>
        <v>0</v>
      </c>
      <c r="E8" t="s">
        <v>3</v>
      </c>
    </row>
    <row r="9" spans="2:8" x14ac:dyDescent="0.25">
      <c r="B9" s="325" t="s">
        <v>10</v>
      </c>
      <c r="C9" s="325" t="s">
        <v>11</v>
      </c>
      <c r="D9" s="125">
        <f>VLOOKUP($H$2,INPUTS[],INPUTS!$X$1,FALSE)</f>
        <v>4.7</v>
      </c>
      <c r="E9" t="s">
        <v>3</v>
      </c>
    </row>
    <row r="10" spans="2:8" x14ac:dyDescent="0.25">
      <c r="B10" s="325" t="s">
        <v>809</v>
      </c>
      <c r="D10" s="742" t="s">
        <v>731</v>
      </c>
    </row>
    <row r="11" spans="2:8" ht="15" customHeight="1" x14ac:dyDescent="0.25">
      <c r="B11" s="169" t="s">
        <v>12</v>
      </c>
    </row>
    <row r="12" spans="2:8" ht="15" customHeight="1" x14ac:dyDescent="0.25">
      <c r="B12" s="325" t="s">
        <v>13</v>
      </c>
      <c r="C12" s="325" t="s">
        <v>18</v>
      </c>
      <c r="D12">
        <v>50</v>
      </c>
      <c r="E12" t="s">
        <v>23</v>
      </c>
    </row>
    <row r="13" spans="2:8" ht="15" customHeight="1" x14ac:dyDescent="0.25">
      <c r="B13" s="325" t="s">
        <v>14</v>
      </c>
      <c r="C13" s="325" t="s">
        <v>19</v>
      </c>
      <c r="D13">
        <v>10</v>
      </c>
      <c r="E13" t="s">
        <v>23</v>
      </c>
    </row>
    <row r="14" spans="2:8" ht="15" customHeight="1" x14ac:dyDescent="0.25">
      <c r="B14" s="325" t="s">
        <v>15</v>
      </c>
      <c r="C14" s="325" t="s">
        <v>20</v>
      </c>
      <c r="D14" s="125">
        <f>VLOOKUP($H$2,INPUTS[],INPUTS!$Z$1,FALSE)</f>
        <v>31.333333333333336</v>
      </c>
      <c r="E14" t="s">
        <v>23</v>
      </c>
    </row>
    <row r="15" spans="2:8" ht="15" customHeight="1" x14ac:dyDescent="0.25">
      <c r="B15" s="325" t="s">
        <v>16</v>
      </c>
      <c r="C15" s="325" t="s">
        <v>21</v>
      </c>
      <c r="D15">
        <v>40</v>
      </c>
      <c r="E15" t="s">
        <v>23</v>
      </c>
    </row>
    <row r="16" spans="2:8" x14ac:dyDescent="0.25">
      <c r="B16" s="325" t="s">
        <v>17</v>
      </c>
      <c r="C16" s="325" t="s">
        <v>22</v>
      </c>
      <c r="D16" s="125">
        <f>VLOOKUP($H$2,INPUTS[],INPUTS!$Z$1,FALSE)</f>
        <v>31.333333333333336</v>
      </c>
      <c r="E16" t="s">
        <v>23</v>
      </c>
    </row>
    <row r="18" spans="2:5" x14ac:dyDescent="0.25">
      <c r="B18" s="169" t="s">
        <v>24</v>
      </c>
    </row>
    <row r="19" spans="2:5" x14ac:dyDescent="0.25">
      <c r="B19" s="751" t="s">
        <v>39</v>
      </c>
    </row>
    <row r="20" spans="2:5" x14ac:dyDescent="0.25">
      <c r="B20" s="325" t="s">
        <v>25</v>
      </c>
      <c r="C20" s="325" t="s">
        <v>31</v>
      </c>
      <c r="D20" s="4">
        <f>+D5/D12</f>
        <v>0</v>
      </c>
      <c r="E20" t="s">
        <v>30</v>
      </c>
    </row>
    <row r="21" spans="2:5" x14ac:dyDescent="0.25">
      <c r="B21" s="325" t="s">
        <v>26</v>
      </c>
      <c r="C21" s="325" t="s">
        <v>32</v>
      </c>
      <c r="D21" s="4">
        <f>+D6/D13</f>
        <v>19.100000000000001</v>
      </c>
      <c r="E21" t="s">
        <v>30</v>
      </c>
    </row>
    <row r="22" spans="2:5" x14ac:dyDescent="0.25">
      <c r="B22" s="325" t="s">
        <v>27</v>
      </c>
      <c r="C22" s="325" t="s">
        <v>33</v>
      </c>
      <c r="D22" s="4">
        <f t="shared" ref="D22:D24" si="0">+D7/D14</f>
        <v>0.15</v>
      </c>
      <c r="E22" t="s">
        <v>30</v>
      </c>
    </row>
    <row r="23" spans="2:5" x14ac:dyDescent="0.25">
      <c r="B23" s="325" t="s">
        <v>28</v>
      </c>
      <c r="C23" s="325" t="s">
        <v>34</v>
      </c>
      <c r="D23" s="4">
        <f t="shared" si="0"/>
        <v>0</v>
      </c>
      <c r="E23" t="s">
        <v>30</v>
      </c>
    </row>
    <row r="24" spans="2:5" x14ac:dyDescent="0.25">
      <c r="B24" s="325" t="s">
        <v>29</v>
      </c>
      <c r="C24" s="325" t="s">
        <v>35</v>
      </c>
      <c r="D24" s="4">
        <f t="shared" si="0"/>
        <v>0.15</v>
      </c>
      <c r="E24" t="s">
        <v>30</v>
      </c>
    </row>
    <row r="25" spans="2:5" x14ac:dyDescent="0.25">
      <c r="B25" s="751" t="s">
        <v>40</v>
      </c>
    </row>
    <row r="26" spans="2:5" ht="29.45" customHeight="1" x14ac:dyDescent="0.25">
      <c r="B26" s="751"/>
      <c r="C26" s="741" t="s">
        <v>811</v>
      </c>
      <c r="D26" s="141">
        <f>ROUND((D62*20/100)/100,0)</f>
        <v>382</v>
      </c>
      <c r="E26" t="s">
        <v>49</v>
      </c>
    </row>
    <row r="27" spans="2:5" x14ac:dyDescent="0.25">
      <c r="C27" s="325" t="s">
        <v>50</v>
      </c>
      <c r="D27" s="672">
        <v>5</v>
      </c>
      <c r="E27" t="s">
        <v>52</v>
      </c>
    </row>
    <row r="28" spans="2:5" x14ac:dyDescent="0.25">
      <c r="B28" s="325" t="s">
        <v>36</v>
      </c>
      <c r="C28" s="325" t="s">
        <v>51</v>
      </c>
      <c r="D28" s="4">
        <f>+D26*D27/60</f>
        <v>31.833333333333332</v>
      </c>
      <c r="E28" t="s">
        <v>30</v>
      </c>
    </row>
    <row r="29" spans="2:5" x14ac:dyDescent="0.25">
      <c r="B29" s="325" t="s">
        <v>38</v>
      </c>
      <c r="C29" s="325" t="s">
        <v>37</v>
      </c>
      <c r="D29" s="672">
        <f>15/60</f>
        <v>0.25</v>
      </c>
      <c r="E29" t="s">
        <v>30</v>
      </c>
    </row>
    <row r="30" spans="2:5" x14ac:dyDescent="0.25">
      <c r="B30" s="751" t="s">
        <v>44</v>
      </c>
    </row>
    <row r="31" spans="2:5" x14ac:dyDescent="0.25">
      <c r="B31" s="325" t="s">
        <v>41</v>
      </c>
      <c r="C31" s="325" t="s">
        <v>45</v>
      </c>
      <c r="D31" s="4">
        <f>+SUM(D20:D24)+D28+D29</f>
        <v>51.483333333333334</v>
      </c>
      <c r="E31" t="s">
        <v>30</v>
      </c>
    </row>
    <row r="32" spans="2:5" x14ac:dyDescent="0.25">
      <c r="C32" s="325" t="s">
        <v>43</v>
      </c>
      <c r="D32" s="672">
        <v>5</v>
      </c>
      <c r="E32" t="s">
        <v>46</v>
      </c>
    </row>
    <row r="33" spans="2:6" x14ac:dyDescent="0.25">
      <c r="B33" s="325" t="s">
        <v>47</v>
      </c>
      <c r="C33" s="325" t="s">
        <v>42</v>
      </c>
      <c r="D33" s="4">
        <f>+D31*D32/100</f>
        <v>2.5741666666666667</v>
      </c>
      <c r="E33" t="s">
        <v>30</v>
      </c>
    </row>
    <row r="34" spans="2:6" x14ac:dyDescent="0.25">
      <c r="B34" s="752" t="s">
        <v>53</v>
      </c>
    </row>
    <row r="35" spans="2:6" x14ac:dyDescent="0.25">
      <c r="B35" s="753" t="s">
        <v>54</v>
      </c>
      <c r="C35" s="753" t="s">
        <v>55</v>
      </c>
      <c r="D35" s="24">
        <f>+D31+D33</f>
        <v>54.057500000000005</v>
      </c>
      <c r="E35" s="23" t="s">
        <v>30</v>
      </c>
    </row>
    <row r="36" spans="2:6" x14ac:dyDescent="0.25">
      <c r="B36" s="753"/>
      <c r="C36" s="325" t="s">
        <v>93</v>
      </c>
      <c r="D36" s="673">
        <v>8</v>
      </c>
      <c r="E36" t="s">
        <v>30</v>
      </c>
    </row>
    <row r="38" spans="2:6" x14ac:dyDescent="0.25">
      <c r="B38" s="169" t="s">
        <v>56</v>
      </c>
    </row>
    <row r="39" spans="2:6" x14ac:dyDescent="0.25">
      <c r="B39" s="325" t="s">
        <v>57</v>
      </c>
      <c r="C39" s="325" t="s">
        <v>58</v>
      </c>
      <c r="D39" s="6">
        <f>VLOOKUP($H$2,INPUTS[],INPUTS!$E$1,FALSE)</f>
        <v>36568</v>
      </c>
      <c r="E39" t="s">
        <v>59</v>
      </c>
      <c r="F39" s="807"/>
    </row>
    <row r="40" spans="2:6" x14ac:dyDescent="0.25">
      <c r="B40" s="325" t="s">
        <v>60</v>
      </c>
      <c r="C40" s="325" t="s">
        <v>61</v>
      </c>
      <c r="D40" s="740">
        <f>VLOOKUP($H$2,INPUTS[],INPUTS!$F$1,FALSE)</f>
        <v>1.06</v>
      </c>
      <c r="E40" t="s">
        <v>62</v>
      </c>
      <c r="F40" s="807"/>
    </row>
    <row r="41" spans="2:6" x14ac:dyDescent="0.25">
      <c r="B41" s="325" t="s">
        <v>63</v>
      </c>
      <c r="C41" s="325" t="s">
        <v>64</v>
      </c>
      <c r="D41" s="141">
        <f>+D39*D40/1000</f>
        <v>38.762080000000005</v>
      </c>
      <c r="E41" t="s">
        <v>65</v>
      </c>
      <c r="F41" s="807"/>
    </row>
    <row r="42" spans="2:6" x14ac:dyDescent="0.25">
      <c r="C42" s="325" t="s">
        <v>66</v>
      </c>
      <c r="D42" s="141">
        <v>100</v>
      </c>
      <c r="E42" t="s">
        <v>46</v>
      </c>
      <c r="F42" s="807"/>
    </row>
    <row r="43" spans="2:6" x14ac:dyDescent="0.25">
      <c r="B43" s="325" t="s">
        <v>67</v>
      </c>
      <c r="C43" s="325" t="s">
        <v>80</v>
      </c>
      <c r="D43" s="141">
        <f>D41*0.65</f>
        <v>25.195352000000003</v>
      </c>
      <c r="E43" s="325" t="s">
        <v>65</v>
      </c>
      <c r="F43" s="331"/>
    </row>
    <row r="44" spans="2:6" x14ac:dyDescent="0.25">
      <c r="B44" s="325" t="s">
        <v>68</v>
      </c>
      <c r="C44" s="325" t="s">
        <v>69</v>
      </c>
      <c r="D44" s="1">
        <f>VLOOKUP($H$2,INPUTS[],INPUTS!$M$1,FALSE)</f>
        <v>4</v>
      </c>
      <c r="E44" t="s">
        <v>70</v>
      </c>
    </row>
    <row r="45" spans="2:6" x14ac:dyDescent="0.25">
      <c r="C45" s="325" t="s">
        <v>79</v>
      </c>
      <c r="D45">
        <f>+VLOOKUP(D44,'Generación crítica '!$A$14:$B$20,2)</f>
        <v>2</v>
      </c>
      <c r="F45" s="36"/>
    </row>
    <row r="46" spans="2:6" x14ac:dyDescent="0.25">
      <c r="B46" s="325" t="s">
        <v>81</v>
      </c>
      <c r="C46" s="325" t="s">
        <v>85</v>
      </c>
      <c r="D46" s="141">
        <f>+D43*D45</f>
        <v>50.390704000000007</v>
      </c>
      <c r="E46" t="s">
        <v>65</v>
      </c>
    </row>
    <row r="47" spans="2:6" x14ac:dyDescent="0.25">
      <c r="C47" s="325" t="s">
        <v>83</v>
      </c>
      <c r="D47">
        <f>IF(D3="SI",0.5,0.23)</f>
        <v>0.5</v>
      </c>
      <c r="E47" t="s">
        <v>84</v>
      </c>
    </row>
    <row r="48" spans="2:6" x14ac:dyDescent="0.25">
      <c r="C48" s="754" t="s">
        <v>85</v>
      </c>
      <c r="D48" s="163">
        <f>+D46/D47</f>
        <v>100.78140800000001</v>
      </c>
      <c r="E48" s="131" t="s">
        <v>87</v>
      </c>
    </row>
    <row r="51" spans="2:5" x14ac:dyDescent="0.25">
      <c r="B51" s="169" t="s">
        <v>149</v>
      </c>
    </row>
    <row r="53" spans="2:5" x14ac:dyDescent="0.25">
      <c r="B53" s="160" t="s">
        <v>150</v>
      </c>
      <c r="C53" s="160" t="s">
        <v>151</v>
      </c>
      <c r="D53" s="160" t="s">
        <v>152</v>
      </c>
      <c r="E53" s="160" t="s">
        <v>153</v>
      </c>
    </row>
    <row r="54" spans="2:5" x14ac:dyDescent="0.25">
      <c r="B54" s="755"/>
      <c r="C54" s="544"/>
      <c r="D54" s="545"/>
      <c r="E54" s="134">
        <f t="shared" ref="E54:E56" si="1">+D54*2</f>
        <v>0</v>
      </c>
    </row>
    <row r="55" spans="2:5" x14ac:dyDescent="0.25">
      <c r="B55" s="755"/>
      <c r="C55" s="133">
        <f>VLOOKUP($H$2,INPUTS[],INPUTS!$N$1,FALSE)*(1000^2)</f>
        <v>9550000</v>
      </c>
      <c r="D55" s="545">
        <f>C55/(100^2)</f>
        <v>955</v>
      </c>
      <c r="E55" s="134">
        <f>D55*4</f>
        <v>3820</v>
      </c>
    </row>
    <row r="56" spans="2:5" x14ac:dyDescent="0.25">
      <c r="B56" s="755"/>
      <c r="C56" s="544"/>
      <c r="D56" s="545"/>
      <c r="E56" s="134">
        <f t="shared" si="1"/>
        <v>0</v>
      </c>
    </row>
    <row r="57" spans="2:5" x14ac:dyDescent="0.25">
      <c r="B57" s="160" t="s">
        <v>154</v>
      </c>
      <c r="C57" s="161">
        <f>SUM(C54:C56)</f>
        <v>9550000</v>
      </c>
      <c r="D57" s="162">
        <f>SUM(D54:D56)</f>
        <v>955</v>
      </c>
      <c r="E57" s="162">
        <f>SUM(E54:E56)</f>
        <v>3820</v>
      </c>
    </row>
    <row r="58" spans="2:5" x14ac:dyDescent="0.25">
      <c r="B58" s="135"/>
      <c r="C58" s="135"/>
      <c r="D58" s="135"/>
      <c r="E58" s="135"/>
    </row>
    <row r="59" spans="2:5" x14ac:dyDescent="0.25">
      <c r="B59" s="809" t="s">
        <v>155</v>
      </c>
      <c r="C59" s="809"/>
      <c r="D59" s="136">
        <f>+$C$57/$D$57</f>
        <v>10000</v>
      </c>
      <c r="E59" s="137" t="s">
        <v>156</v>
      </c>
    </row>
    <row r="60" spans="2:5" x14ac:dyDescent="0.25">
      <c r="B60" s="809" t="s">
        <v>157</v>
      </c>
      <c r="C60" s="809"/>
      <c r="D60" s="136">
        <f>+$D$57*2</f>
        <v>1910</v>
      </c>
      <c r="E60" s="137" t="s">
        <v>160</v>
      </c>
    </row>
    <row r="61" spans="2:5" x14ac:dyDescent="0.25">
      <c r="B61" s="809" t="s">
        <v>158</v>
      </c>
      <c r="C61" s="809"/>
      <c r="D61" s="136">
        <f>+SQRT(D59)</f>
        <v>100</v>
      </c>
      <c r="E61" s="137" t="s">
        <v>159</v>
      </c>
    </row>
    <row r="62" spans="2:5" x14ac:dyDescent="0.25">
      <c r="B62" s="808" t="s">
        <v>161</v>
      </c>
      <c r="C62" s="808"/>
      <c r="D62" s="138">
        <f>+D60*D61</f>
        <v>191000</v>
      </c>
      <c r="E62" s="139" t="s">
        <v>159</v>
      </c>
    </row>
    <row r="64" spans="2:5" x14ac:dyDescent="0.25">
      <c r="B64" s="808" t="s">
        <v>162</v>
      </c>
      <c r="C64" s="808"/>
      <c r="D64" s="743">
        <f>+D62</f>
        <v>191000</v>
      </c>
      <c r="E64" s="139" t="s">
        <v>159</v>
      </c>
    </row>
    <row r="66" spans="2:7" x14ac:dyDescent="0.25">
      <c r="B66" s="169" t="s">
        <v>178</v>
      </c>
    </row>
    <row r="67" spans="2:7" x14ac:dyDescent="0.25">
      <c r="C67" s="325" t="s">
        <v>175</v>
      </c>
      <c r="D67" s="766">
        <f>D39/D55</f>
        <v>38.29109947643979</v>
      </c>
      <c r="E67" t="s">
        <v>174</v>
      </c>
    </row>
    <row r="68" spans="2:7" x14ac:dyDescent="0.25">
      <c r="C68" s="325" t="s">
        <v>176</v>
      </c>
      <c r="D68" s="767">
        <v>0.54</v>
      </c>
      <c r="E68" t="s">
        <v>814</v>
      </c>
    </row>
    <row r="69" spans="2:7" x14ac:dyDescent="0.25">
      <c r="C69" s="325" t="s">
        <v>177</v>
      </c>
      <c r="D69" s="768">
        <f>+(D5*D12+D6*D13+D7*D14+D8*D15+D9*D16)/SUM(D5:D9)</f>
        <v>11.000665335994681</v>
      </c>
      <c r="E69" t="s">
        <v>23</v>
      </c>
    </row>
    <row r="70" spans="2:7" x14ac:dyDescent="0.25">
      <c r="D70" s="680"/>
    </row>
    <row r="71" spans="2:7" x14ac:dyDescent="0.25">
      <c r="B71" s="169" t="s">
        <v>218</v>
      </c>
      <c r="D71" s="680"/>
    </row>
    <row r="72" spans="2:7" x14ac:dyDescent="0.25">
      <c r="D72" s="680"/>
    </row>
    <row r="73" spans="2:7" x14ac:dyDescent="0.25">
      <c r="C73" s="325" t="s">
        <v>219</v>
      </c>
      <c r="D73" s="769">
        <v>10</v>
      </c>
      <c r="E73" t="s">
        <v>211</v>
      </c>
    </row>
    <row r="74" spans="2:7" x14ac:dyDescent="0.25">
      <c r="C74" s="325" t="s">
        <v>187</v>
      </c>
      <c r="D74" s="756">
        <v>945.63</v>
      </c>
      <c r="E74" t="s">
        <v>815</v>
      </c>
    </row>
    <row r="75" spans="2:7" x14ac:dyDescent="0.25">
      <c r="C75" s="325" t="s">
        <v>188</v>
      </c>
      <c r="D75" s="756">
        <v>50000</v>
      </c>
      <c r="E75" t="s">
        <v>3</v>
      </c>
    </row>
    <row r="76" spans="2:7" x14ac:dyDescent="0.25">
      <c r="C76" s="325" t="s">
        <v>215</v>
      </c>
      <c r="D76" s="756">
        <v>6</v>
      </c>
      <c r="E76" t="s">
        <v>126</v>
      </c>
      <c r="G76" s="2" t="s">
        <v>734</v>
      </c>
    </row>
    <row r="77" spans="2:7" x14ac:dyDescent="0.25">
      <c r="C77" s="325" t="s">
        <v>1116</v>
      </c>
      <c r="D77" s="756">
        <v>10</v>
      </c>
      <c r="E77" t="s">
        <v>46</v>
      </c>
    </row>
    <row r="79" spans="2:7" x14ac:dyDescent="0.25">
      <c r="B79" s="169" t="s">
        <v>197</v>
      </c>
    </row>
    <row r="80" spans="2:7" x14ac:dyDescent="0.25">
      <c r="B80" s="168" t="s">
        <v>114</v>
      </c>
      <c r="C80" s="169" t="str">
        <f>IF($D$3="SI","Precio (chasis +compactador)","Precio (chasis + volcador)")</f>
        <v>Precio (chasis +compactador)</v>
      </c>
      <c r="D80" s="502" t="s">
        <v>704</v>
      </c>
    </row>
    <row r="81" spans="2:9" x14ac:dyDescent="0.25">
      <c r="B81" s="167">
        <v>9</v>
      </c>
      <c r="C81" s="744">
        <f>IF($D$3="SI",I98,N98)</f>
        <v>146334.31228261493</v>
      </c>
      <c r="D81" s="723">
        <f>+C81*CoeficientePase!$C$42</f>
        <v>258426.39549109797</v>
      </c>
    </row>
    <row r="82" spans="2:9" x14ac:dyDescent="0.25">
      <c r="B82" s="167">
        <v>12</v>
      </c>
      <c r="C82" s="744">
        <f t="shared" ref="C82:C89" si="2">IF($D$3="SI",I99,N99)</f>
        <v>151762.46468843042</v>
      </c>
      <c r="D82" s="723">
        <f>+C82*CoeficientePase!$C$42</f>
        <v>268012.51263976813</v>
      </c>
    </row>
    <row r="83" spans="2:9" x14ac:dyDescent="0.25">
      <c r="B83" s="167">
        <v>15</v>
      </c>
      <c r="C83" s="744">
        <f t="shared" si="2"/>
        <v>157190.61709424594</v>
      </c>
      <c r="D83" s="723">
        <f>+C83*CoeficientePase!$C$42</f>
        <v>277598.62978843832</v>
      </c>
    </row>
    <row r="84" spans="2:9" x14ac:dyDescent="0.25">
      <c r="B84" s="167">
        <v>16</v>
      </c>
      <c r="C84" s="744">
        <f t="shared" si="2"/>
        <v>159000.00122951777</v>
      </c>
      <c r="D84" s="723">
        <f>+C84*CoeficientePase!$C$42</f>
        <v>280794.00217132841</v>
      </c>
    </row>
    <row r="85" spans="2:9" x14ac:dyDescent="0.25">
      <c r="B85" s="167">
        <v>17</v>
      </c>
      <c r="C85" s="744">
        <f t="shared" si="2"/>
        <v>160809.3853647896</v>
      </c>
      <c r="D85" s="723">
        <f>+C85*CoeficientePase!$C$42</f>
        <v>283989.37455421843</v>
      </c>
    </row>
    <row r="86" spans="2:9" x14ac:dyDescent="0.25">
      <c r="B86" s="167">
        <v>18</v>
      </c>
      <c r="C86" s="744">
        <f t="shared" si="2"/>
        <v>162618.76950006143</v>
      </c>
      <c r="D86" s="723">
        <f>+C86*CoeficientePase!$C$42</f>
        <v>287184.74693710852</v>
      </c>
    </row>
    <row r="87" spans="2:9" x14ac:dyDescent="0.25">
      <c r="B87" s="167">
        <v>19</v>
      </c>
      <c r="C87" s="744">
        <f t="shared" si="2"/>
        <v>164428.15363533326</v>
      </c>
      <c r="D87" s="723">
        <f>+C87*CoeficientePase!$C$42</f>
        <v>290380.11931999854</v>
      </c>
    </row>
    <row r="88" spans="2:9" x14ac:dyDescent="0.25">
      <c r="B88" s="167">
        <v>21</v>
      </c>
      <c r="C88" s="744">
        <f t="shared" si="2"/>
        <v>168046.92190587695</v>
      </c>
      <c r="D88" s="723">
        <f>+C88*CoeficientePase!$C$42</f>
        <v>296770.86408577871</v>
      </c>
    </row>
    <row r="89" spans="2:9" x14ac:dyDescent="0.25">
      <c r="B89" s="167">
        <v>24</v>
      </c>
      <c r="C89" s="744">
        <f t="shared" si="2"/>
        <v>173475.07431169244</v>
      </c>
      <c r="D89" s="723">
        <f>+C89*CoeficientePase!$C$42</f>
        <v>306356.98123444885</v>
      </c>
    </row>
    <row r="91" spans="2:9" x14ac:dyDescent="0.25">
      <c r="B91" s="169" t="s">
        <v>220</v>
      </c>
    </row>
    <row r="93" spans="2:9" x14ac:dyDescent="0.25">
      <c r="C93" s="325" t="s">
        <v>138</v>
      </c>
      <c r="D93" s="723">
        <f>'Mano de Obra'!G6</f>
        <v>1578.11</v>
      </c>
      <c r="E93" t="s">
        <v>819</v>
      </c>
    </row>
    <row r="94" spans="2:9" x14ac:dyDescent="0.25">
      <c r="C94" s="325" t="s">
        <v>313</v>
      </c>
      <c r="D94" s="723">
        <f>'Mano de Obra'!G7</f>
        <v>1578.11</v>
      </c>
      <c r="E94" t="s">
        <v>819</v>
      </c>
    </row>
    <row r="95" spans="2:9" x14ac:dyDescent="0.25">
      <c r="C95" s="325" t="s">
        <v>314</v>
      </c>
      <c r="D95" s="723">
        <f>'Mano de Obra'!G8</f>
        <v>1346.43</v>
      </c>
      <c r="E95" t="s">
        <v>819</v>
      </c>
    </row>
    <row r="96" spans="2:9" x14ac:dyDescent="0.25">
      <c r="C96" s="325" t="s">
        <v>221</v>
      </c>
      <c r="D96" s="723">
        <f>'Mano de Obra'!G9</f>
        <v>1346.43</v>
      </c>
      <c r="E96" t="s">
        <v>819</v>
      </c>
      <c r="I96" s="140"/>
    </row>
    <row r="97" spans="1:14" x14ac:dyDescent="0.25">
      <c r="C97" s="325" t="s">
        <v>170</v>
      </c>
      <c r="D97" s="723">
        <f>'Mano de Obra'!G10</f>
        <v>1346.43</v>
      </c>
      <c r="E97" t="s">
        <v>819</v>
      </c>
      <c r="H97" s="7" t="s">
        <v>735</v>
      </c>
      <c r="I97" s="7" t="s">
        <v>736</v>
      </c>
      <c r="J97" s="7" t="s">
        <v>737</v>
      </c>
      <c r="K97" s="7" t="s">
        <v>738</v>
      </c>
      <c r="N97" s="7" t="s">
        <v>1112</v>
      </c>
    </row>
    <row r="98" spans="1:14" x14ac:dyDescent="0.25">
      <c r="C98" s="325" t="s">
        <v>315</v>
      </c>
      <c r="D98" s="723">
        <f>'Mano de Obra'!G11</f>
        <v>2019.67</v>
      </c>
      <c r="E98" t="s">
        <v>819</v>
      </c>
      <c r="G98" s="140"/>
      <c r="H98" s="14">
        <v>9</v>
      </c>
      <c r="I98" s="140">
        <f t="shared" ref="I98:I106" si="3">(500351.13/276.53118)*H98+35962839.88/276.53118</f>
        <v>146334.31228261493</v>
      </c>
      <c r="N98" s="140">
        <f>VLOOKUP(H98,P_Datos!$J$85:$K$95,2,FALSE)</f>
        <v>138078.42000000001</v>
      </c>
    </row>
    <row r="99" spans="1:14" x14ac:dyDescent="0.25">
      <c r="C99" s="325" t="s">
        <v>316</v>
      </c>
      <c r="D99" s="723">
        <f>'Mano de Obra'!G12</f>
        <v>1842</v>
      </c>
      <c r="E99" t="s">
        <v>819</v>
      </c>
      <c r="G99" s="140"/>
      <c r="H99" s="14">
        <v>12</v>
      </c>
      <c r="I99" s="140">
        <f t="shared" si="3"/>
        <v>151762.46468843042</v>
      </c>
      <c r="J99" s="549">
        <f>+I99/I98-1</f>
        <v>3.7094187420186886E-2</v>
      </c>
      <c r="K99" s="549">
        <f>+J99/(H99-H98)</f>
        <v>1.2364729140062295E-2</v>
      </c>
      <c r="L99" s="548"/>
      <c r="N99" s="140">
        <f>VLOOKUP(H99,P_Datos!$J$85:$K$95,2,FALSE)</f>
        <v>143506.56</v>
      </c>
    </row>
    <row r="100" spans="1:14" x14ac:dyDescent="0.25">
      <c r="C100" s="325" t="s">
        <v>663</v>
      </c>
      <c r="D100" s="723">
        <f>'Mano de Obra'!G13</f>
        <v>531.54999999999995</v>
      </c>
      <c r="E100" t="s">
        <v>819</v>
      </c>
      <c r="G100" s="140"/>
      <c r="H100" s="14">
        <v>15</v>
      </c>
      <c r="I100" s="140">
        <f t="shared" si="3"/>
        <v>157190.61709424594</v>
      </c>
      <c r="J100" s="549">
        <f t="shared" ref="J100:J106" si="4">+I100/I99-1</f>
        <v>3.576742389469989E-2</v>
      </c>
      <c r="K100" s="549">
        <f t="shared" ref="K100:K106" si="5">+J100/(H100-H99)</f>
        <v>1.1922474631566629E-2</v>
      </c>
      <c r="L100" s="548"/>
      <c r="N100" s="140">
        <f>VLOOKUP(H100,P_Datos!$J$85:$K$95,2,FALSE)</f>
        <v>148934.70000000001</v>
      </c>
    </row>
    <row r="101" spans="1:14" x14ac:dyDescent="0.25">
      <c r="C101" s="325" t="s">
        <v>672</v>
      </c>
      <c r="D101" s="723">
        <f>'Mano de Obra'!G14</f>
        <v>2197.34</v>
      </c>
      <c r="E101" t="s">
        <v>819</v>
      </c>
      <c r="G101" s="140"/>
      <c r="H101" s="14">
        <v>16</v>
      </c>
      <c r="I101" s="140">
        <f>(500351.13/276.53118)*H101+35962839.88/276.53118</f>
        <v>159000.00122951777</v>
      </c>
      <c r="J101" s="549">
        <f t="shared" si="4"/>
        <v>1.1510764247378624E-2</v>
      </c>
      <c r="K101" s="549">
        <f t="shared" si="5"/>
        <v>1.1510764247378624E-2</v>
      </c>
      <c r="L101" s="548"/>
      <c r="N101" s="140">
        <f>VLOOKUP(H101,P_Datos!$J$85:$K$95,2,FALSE)</f>
        <v>150744.08000000002</v>
      </c>
    </row>
    <row r="102" spans="1:14" x14ac:dyDescent="0.25">
      <c r="G102" s="140"/>
      <c r="H102" s="14">
        <v>17</v>
      </c>
      <c r="I102" s="140">
        <f t="shared" si="3"/>
        <v>160809.3853647896</v>
      </c>
      <c r="J102" s="549">
        <f t="shared" si="4"/>
        <v>1.1379774347674232E-2</v>
      </c>
      <c r="K102" s="549">
        <f t="shared" si="5"/>
        <v>1.1379774347674232E-2</v>
      </c>
      <c r="L102" s="548"/>
      <c r="N102" s="140">
        <f>VLOOKUP(H102,P_Datos!$J$85:$K$95,2,FALSE)</f>
        <v>152553.46</v>
      </c>
    </row>
    <row r="103" spans="1:14" x14ac:dyDescent="0.25">
      <c r="A103" s="2" t="s">
        <v>790</v>
      </c>
      <c r="G103" s="140"/>
      <c r="H103" s="14">
        <v>18</v>
      </c>
      <c r="I103" s="140">
        <f t="shared" si="3"/>
        <v>162618.76950006143</v>
      </c>
      <c r="J103" s="549">
        <f t="shared" si="4"/>
        <v>1.1251732174507811E-2</v>
      </c>
      <c r="K103" s="549">
        <f t="shared" si="5"/>
        <v>1.1251732174507811E-2</v>
      </c>
      <c r="L103" s="548"/>
      <c r="N103" s="140">
        <f>VLOOKUP(H103,P_Datos!$J$85:$K$95,2,FALSE)</f>
        <v>154362.84</v>
      </c>
    </row>
    <row r="104" spans="1:14" x14ac:dyDescent="0.25">
      <c r="A104" t="s">
        <v>792</v>
      </c>
      <c r="C104" s="757">
        <v>1550</v>
      </c>
      <c r="D104" s="723">
        <f>+C104*CoeficientePase!$C$43</f>
        <v>2997.7</v>
      </c>
      <c r="G104" s="140"/>
      <c r="H104" s="14">
        <v>19</v>
      </c>
      <c r="I104" s="140">
        <f t="shared" si="3"/>
        <v>164428.15363533326</v>
      </c>
      <c r="J104" s="549">
        <f t="shared" si="4"/>
        <v>1.1126539333893737E-2</v>
      </c>
      <c r="K104" s="549">
        <f t="shared" si="5"/>
        <v>1.1126539333893737E-2</v>
      </c>
      <c r="L104" s="548"/>
      <c r="N104" s="140">
        <f>VLOOKUP(H104,P_Datos!$J$85:$K$95,2,FALSE)</f>
        <v>156172.22</v>
      </c>
    </row>
    <row r="105" spans="1:14" x14ac:dyDescent="0.25">
      <c r="A105" t="s">
        <v>793</v>
      </c>
      <c r="C105" s="757">
        <f>C104</f>
        <v>1550</v>
      </c>
      <c r="D105" s="723">
        <f>+C105*CoeficientePase!$C$43</f>
        <v>2997.7</v>
      </c>
      <c r="G105" s="140"/>
      <c r="H105" s="14">
        <v>21</v>
      </c>
      <c r="I105" s="140">
        <f t="shared" si="3"/>
        <v>168046.92190587695</v>
      </c>
      <c r="J105" s="549">
        <f t="shared" si="4"/>
        <v>2.2008203525591741E-2</v>
      </c>
      <c r="K105" s="549">
        <f t="shared" si="5"/>
        <v>1.100410176279587E-2</v>
      </c>
      <c r="L105" s="548"/>
      <c r="N105" s="140">
        <f>VLOOKUP(H105,P_Datos!$J$85:$K$95,2,FALSE)</f>
        <v>159790.98000000001</v>
      </c>
    </row>
    <row r="106" spans="1:14" x14ac:dyDescent="0.25">
      <c r="H106" s="14">
        <v>24</v>
      </c>
      <c r="I106" s="140">
        <f t="shared" si="3"/>
        <v>173475.07431169244</v>
      </c>
      <c r="J106" s="549">
        <f t="shared" si="4"/>
        <v>3.2301409298385098E-2</v>
      </c>
      <c r="K106" s="549">
        <f t="shared" si="5"/>
        <v>1.0767136432795033E-2</v>
      </c>
      <c r="N106" s="140">
        <f>VLOOKUP(H106,P_Datos!$J$85:$K$95,2,FALSE)</f>
        <v>165219.12</v>
      </c>
    </row>
    <row r="107" spans="1:14" x14ac:dyDescent="0.25">
      <c r="I107" s="550" t="s">
        <v>739</v>
      </c>
      <c r="J107" s="551"/>
      <c r="K107" s="552">
        <f>+AVERAGE(K99:K106)</f>
        <v>1.1415906508834279E-2</v>
      </c>
      <c r="N107" s="140"/>
    </row>
    <row r="108" spans="1:14" x14ac:dyDescent="0.25">
      <c r="B108" s="169" t="s">
        <v>349</v>
      </c>
      <c r="D108" s="724">
        <v>80</v>
      </c>
    </row>
    <row r="109" spans="1:14" x14ac:dyDescent="0.25">
      <c r="B109" s="169"/>
      <c r="D109" s="747"/>
    </row>
    <row r="110" spans="1:14" x14ac:dyDescent="0.25">
      <c r="B110" s="169" t="s">
        <v>319</v>
      </c>
      <c r="D110" s="745">
        <v>0.12</v>
      </c>
    </row>
    <row r="111" spans="1:14" x14ac:dyDescent="0.25">
      <c r="D111" s="680"/>
    </row>
    <row r="112" spans="1:14" x14ac:dyDescent="0.25">
      <c r="B112" s="169" t="s">
        <v>716</v>
      </c>
      <c r="D112" s="746">
        <v>5</v>
      </c>
    </row>
    <row r="113" spans="2:4" x14ac:dyDescent="0.25">
      <c r="D113" s="680"/>
    </row>
    <row r="114" spans="2:4" x14ac:dyDescent="0.25">
      <c r="B114" s="169" t="s">
        <v>720</v>
      </c>
      <c r="D114" s="746">
        <v>15</v>
      </c>
    </row>
    <row r="115" spans="2:4" x14ac:dyDescent="0.25">
      <c r="D115" s="680"/>
    </row>
    <row r="116" spans="2:4" x14ac:dyDescent="0.25">
      <c r="B116" s="169" t="s">
        <v>718</v>
      </c>
      <c r="D116" s="746">
        <v>2</v>
      </c>
    </row>
    <row r="117" spans="2:4" x14ac:dyDescent="0.25">
      <c r="B117" s="169" t="s">
        <v>719</v>
      </c>
      <c r="D117" s="746">
        <v>1</v>
      </c>
    </row>
    <row r="118" spans="2:4" x14ac:dyDescent="0.25">
      <c r="C118" s="526"/>
      <c r="D118" s="680"/>
    </row>
    <row r="119" spans="2:4" x14ac:dyDescent="0.25">
      <c r="B119" s="169" t="s">
        <v>789</v>
      </c>
      <c r="D119" s="746">
        <v>0</v>
      </c>
    </row>
    <row r="120" spans="2:4" x14ac:dyDescent="0.25">
      <c r="D120" s="680"/>
    </row>
    <row r="121" spans="2:4" x14ac:dyDescent="0.25">
      <c r="B121" s="169" t="s">
        <v>791</v>
      </c>
      <c r="D121" s="746">
        <f>D119*2</f>
        <v>0</v>
      </c>
    </row>
    <row r="122" spans="2:4" x14ac:dyDescent="0.25">
      <c r="D122" s="680"/>
    </row>
    <row r="123" spans="2:4" x14ac:dyDescent="0.25">
      <c r="B123" s="507" t="s">
        <v>803</v>
      </c>
      <c r="C123" s="135"/>
      <c r="D123" s="760">
        <v>0</v>
      </c>
    </row>
    <row r="124" spans="2:4" x14ac:dyDescent="0.25">
      <c r="D124" s="680"/>
    </row>
    <row r="125" spans="2:4" x14ac:dyDescent="0.25">
      <c r="B125" s="169" t="s">
        <v>807</v>
      </c>
      <c r="D125" s="760">
        <v>1</v>
      </c>
    </row>
    <row r="126" spans="2:4" x14ac:dyDescent="0.25">
      <c r="D126" s="680"/>
    </row>
    <row r="127" spans="2:4" x14ac:dyDescent="0.25">
      <c r="B127" s="507" t="s">
        <v>808</v>
      </c>
      <c r="D127" s="760">
        <v>0</v>
      </c>
    </row>
  </sheetData>
  <mergeCells count="6">
    <mergeCell ref="F39:F42"/>
    <mergeCell ref="B62:C62"/>
    <mergeCell ref="B64:C64"/>
    <mergeCell ref="B59:C59"/>
    <mergeCell ref="B60:C60"/>
    <mergeCell ref="B61:C61"/>
  </mergeCells>
  <pageMargins left="0.70866141732283472" right="0.70866141732283472" top="0.74803149606299213" bottom="0.74803149606299213" header="0.31496062992125984" footer="0.31496062992125984"/>
  <pageSetup paperSize="9" scale="59" orientation="portrait" r:id="rId1"/>
  <headerFooter>
    <oddHeader>&amp;L&amp;"Arial,Negrita Cursiva"&amp;10HYTSA Estudios y Proyectos S.A.</oddHeader>
    <oddFooter>&amp;L&amp;"Arial,Negrita Cursiva"&amp;10&amp;F - &amp;A&amp;R&amp;"Arial,Negrita Cursiva"&amp;10&amp;P</oddFooter>
  </headerFooter>
  <rowBreaks count="1" manualBreakCount="1">
    <brk id="65" max="4" man="1"/>
  </rowBreaks>
  <ignoredErrors>
    <ignoredError sqref="E5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_Todojunto">
                <anchor moveWithCells="1" sizeWithCells="1">
                  <from>
                    <xdr:col>5</xdr:col>
                    <xdr:colOff>114300</xdr:colOff>
                    <xdr:row>65</xdr:row>
                    <xdr:rowOff>85725</xdr:rowOff>
                  </from>
                  <to>
                    <xdr:col>5</xdr:col>
                    <xdr:colOff>2019300</xdr:colOff>
                    <xdr:row>68</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4">
    <tabColor rgb="FFFFFF00"/>
  </sheetPr>
  <dimension ref="B1:T114"/>
  <sheetViews>
    <sheetView view="pageBreakPreview" topLeftCell="A88" zoomScaleNormal="100" zoomScaleSheetLayoutView="100" workbookViewId="0">
      <selection activeCell="E74" sqref="E74"/>
    </sheetView>
  </sheetViews>
  <sheetFormatPr baseColWidth="10" defaultRowHeight="15" x14ac:dyDescent="0.25"/>
  <cols>
    <col min="2" max="2" width="12.28515625" customWidth="1"/>
    <col min="3" max="3" width="56.42578125" bestFit="1" customWidth="1"/>
    <col min="4" max="4" width="16.7109375" customWidth="1"/>
    <col min="5" max="5" width="14.85546875" bestFit="1" customWidth="1"/>
    <col min="8" max="8" width="17.140625" customWidth="1"/>
    <col min="10" max="10" width="11.85546875" bestFit="1" customWidth="1"/>
  </cols>
  <sheetData>
    <row r="1" spans="2:8" ht="15.75" thickBot="1" x14ac:dyDescent="0.3">
      <c r="B1" s="157" t="s">
        <v>230</v>
      </c>
      <c r="C1" s="158"/>
      <c r="D1" s="158"/>
      <c r="E1" s="159"/>
    </row>
    <row r="2" spans="2:8" x14ac:dyDescent="0.25">
      <c r="B2" s="2" t="s">
        <v>113</v>
      </c>
      <c r="C2" s="2" t="str">
        <f>+Datos!C2</f>
        <v>Pehuajó</v>
      </c>
      <c r="G2" s="1" t="s">
        <v>862</v>
      </c>
      <c r="H2" s="765">
        <f>Datos!H2</f>
        <v>101</v>
      </c>
    </row>
    <row r="3" spans="2:8" x14ac:dyDescent="0.25">
      <c r="B3" s="2" t="s">
        <v>730</v>
      </c>
      <c r="D3" s="547" t="s">
        <v>731</v>
      </c>
      <c r="E3" s="14" t="s">
        <v>732</v>
      </c>
    </row>
    <row r="4" spans="2:8" x14ac:dyDescent="0.25">
      <c r="B4" s="2" t="s">
        <v>0</v>
      </c>
    </row>
    <row r="5" spans="2:8" x14ac:dyDescent="0.25">
      <c r="B5" t="s">
        <v>1</v>
      </c>
      <c r="C5" t="s">
        <v>2</v>
      </c>
      <c r="D5" s="150">
        <f>+Datos!D5</f>
        <v>0</v>
      </c>
      <c r="E5" t="s">
        <v>3</v>
      </c>
    </row>
    <row r="6" spans="2:8" x14ac:dyDescent="0.25">
      <c r="B6" t="s">
        <v>4</v>
      </c>
      <c r="C6" t="s">
        <v>5</v>
      </c>
      <c r="D6" s="150">
        <f>+Datos!D6</f>
        <v>191</v>
      </c>
      <c r="E6" t="s">
        <v>3</v>
      </c>
    </row>
    <row r="7" spans="2:8" x14ac:dyDescent="0.25">
      <c r="B7" t="s">
        <v>6</v>
      </c>
      <c r="C7" t="s">
        <v>8</v>
      </c>
      <c r="D7" s="150">
        <f>+Datos!D7</f>
        <v>4.7</v>
      </c>
      <c r="E7" t="s">
        <v>3</v>
      </c>
    </row>
    <row r="8" spans="2:8" x14ac:dyDescent="0.25">
      <c r="B8" t="s">
        <v>7</v>
      </c>
      <c r="C8" t="s">
        <v>9</v>
      </c>
      <c r="D8" s="150">
        <f>+Datos!D8</f>
        <v>0</v>
      </c>
      <c r="E8" t="s">
        <v>3</v>
      </c>
    </row>
    <row r="9" spans="2:8" x14ac:dyDescent="0.25">
      <c r="B9" t="s">
        <v>10</v>
      </c>
      <c r="C9" t="s">
        <v>11</v>
      </c>
      <c r="D9" s="150">
        <f>+Datos!D9</f>
        <v>4.7</v>
      </c>
      <c r="E9" t="s">
        <v>3</v>
      </c>
    </row>
    <row r="10" spans="2:8" x14ac:dyDescent="0.25">
      <c r="D10" s="150"/>
    </row>
    <row r="11" spans="2:8" x14ac:dyDescent="0.25">
      <c r="B11" s="2" t="s">
        <v>12</v>
      </c>
      <c r="D11" s="150"/>
    </row>
    <row r="12" spans="2:8" x14ac:dyDescent="0.25">
      <c r="B12" t="s">
        <v>13</v>
      </c>
      <c r="C12" t="s">
        <v>18</v>
      </c>
      <c r="D12" s="150">
        <f>+Datos!D12</f>
        <v>50</v>
      </c>
      <c r="E12" t="s">
        <v>23</v>
      </c>
    </row>
    <row r="13" spans="2:8" x14ac:dyDescent="0.25">
      <c r="B13" t="s">
        <v>14</v>
      </c>
      <c r="C13" t="s">
        <v>19</v>
      </c>
      <c r="D13" s="150">
        <f>+Datos!D13</f>
        <v>10</v>
      </c>
      <c r="E13" t="s">
        <v>23</v>
      </c>
    </row>
    <row r="14" spans="2:8" x14ac:dyDescent="0.25">
      <c r="B14" t="s">
        <v>15</v>
      </c>
      <c r="C14" t="s">
        <v>20</v>
      </c>
      <c r="D14" s="150">
        <f>+Datos!D14</f>
        <v>31.333333333333336</v>
      </c>
      <c r="E14" t="s">
        <v>23</v>
      </c>
    </row>
    <row r="15" spans="2:8" x14ac:dyDescent="0.25">
      <c r="B15" t="s">
        <v>16</v>
      </c>
      <c r="C15" t="s">
        <v>21</v>
      </c>
      <c r="D15" s="150">
        <f>+Datos!D15</f>
        <v>40</v>
      </c>
      <c r="E15" t="s">
        <v>23</v>
      </c>
    </row>
    <row r="16" spans="2:8" x14ac:dyDescent="0.25">
      <c r="B16" t="s">
        <v>17</v>
      </c>
      <c r="C16" t="s">
        <v>22</v>
      </c>
      <c r="D16" s="150">
        <f>+Datos!D16</f>
        <v>31.333333333333336</v>
      </c>
      <c r="E16" t="s">
        <v>23</v>
      </c>
    </row>
    <row r="17" spans="2:5" x14ac:dyDescent="0.25">
      <c r="D17" s="150"/>
    </row>
    <row r="18" spans="2:5" x14ac:dyDescent="0.25">
      <c r="B18" s="2" t="s">
        <v>24</v>
      </c>
      <c r="D18" s="150"/>
    </row>
    <row r="19" spans="2:5" x14ac:dyDescent="0.25">
      <c r="B19" s="3" t="s">
        <v>39</v>
      </c>
      <c r="D19" s="150"/>
    </row>
    <row r="20" spans="2:5" x14ac:dyDescent="0.25">
      <c r="B20" t="s">
        <v>25</v>
      </c>
      <c r="C20" t="s">
        <v>31</v>
      </c>
      <c r="D20" s="150">
        <f>+Datos!D20</f>
        <v>0</v>
      </c>
      <c r="E20" t="s">
        <v>30</v>
      </c>
    </row>
    <row r="21" spans="2:5" x14ac:dyDescent="0.25">
      <c r="B21" t="s">
        <v>26</v>
      </c>
      <c r="C21" t="s">
        <v>32</v>
      </c>
      <c r="D21" s="150">
        <f>+Datos!D21</f>
        <v>19.100000000000001</v>
      </c>
      <c r="E21" t="s">
        <v>30</v>
      </c>
    </row>
    <row r="22" spans="2:5" x14ac:dyDescent="0.25">
      <c r="B22" t="s">
        <v>27</v>
      </c>
      <c r="C22" t="s">
        <v>33</v>
      </c>
      <c r="D22" s="150">
        <f>+Datos!D22</f>
        <v>0.15</v>
      </c>
      <c r="E22" t="s">
        <v>30</v>
      </c>
    </row>
    <row r="23" spans="2:5" x14ac:dyDescent="0.25">
      <c r="B23" t="s">
        <v>28</v>
      </c>
      <c r="C23" t="s">
        <v>34</v>
      </c>
      <c r="D23" s="150">
        <f>+Datos!D23</f>
        <v>0</v>
      </c>
      <c r="E23" t="s">
        <v>30</v>
      </c>
    </row>
    <row r="24" spans="2:5" x14ac:dyDescent="0.25">
      <c r="B24" t="s">
        <v>29</v>
      </c>
      <c r="C24" t="s">
        <v>35</v>
      </c>
      <c r="D24" s="150">
        <f>+Datos!D24</f>
        <v>0.15</v>
      </c>
      <c r="E24" t="s">
        <v>30</v>
      </c>
    </row>
    <row r="25" spans="2:5" x14ac:dyDescent="0.25">
      <c r="B25" s="3" t="s">
        <v>40</v>
      </c>
    </row>
    <row r="26" spans="2:5" x14ac:dyDescent="0.25">
      <c r="B26" s="3"/>
      <c r="C26" t="s">
        <v>48</v>
      </c>
      <c r="D26">
        <v>0</v>
      </c>
      <c r="E26" t="s">
        <v>49</v>
      </c>
    </row>
    <row r="27" spans="2:5" x14ac:dyDescent="0.25">
      <c r="C27" t="s">
        <v>50</v>
      </c>
      <c r="D27">
        <f>+Datos!D27</f>
        <v>5</v>
      </c>
      <c r="E27" t="s">
        <v>52</v>
      </c>
    </row>
    <row r="28" spans="2:5" x14ac:dyDescent="0.25">
      <c r="B28" t="s">
        <v>36</v>
      </c>
      <c r="C28" t="s">
        <v>51</v>
      </c>
      <c r="D28" s="4">
        <f>+Datos!D28</f>
        <v>31.833333333333332</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51.483333333333334</v>
      </c>
      <c r="E31" t="s">
        <v>30</v>
      </c>
    </row>
    <row r="32" spans="2:5" x14ac:dyDescent="0.25">
      <c r="C32" t="s">
        <v>43</v>
      </c>
      <c r="D32">
        <f>+Datos!D32</f>
        <v>5</v>
      </c>
      <c r="E32" t="s">
        <v>46</v>
      </c>
    </row>
    <row r="33" spans="2:7" x14ac:dyDescent="0.25">
      <c r="B33" t="s">
        <v>47</v>
      </c>
      <c r="C33" t="s">
        <v>42</v>
      </c>
      <c r="D33" s="4">
        <f>+Datos!D33</f>
        <v>2.5741666666666667</v>
      </c>
      <c r="E33" t="s">
        <v>30</v>
      </c>
    </row>
    <row r="34" spans="2:7" x14ac:dyDescent="0.25">
      <c r="B34" s="5" t="s">
        <v>53</v>
      </c>
    </row>
    <row r="35" spans="2:7" x14ac:dyDescent="0.25">
      <c r="B35" s="23" t="s">
        <v>54</v>
      </c>
      <c r="C35" s="23" t="s">
        <v>55</v>
      </c>
      <c r="D35" s="24">
        <f>+Datos!D35</f>
        <v>54.057500000000005</v>
      </c>
      <c r="E35" s="23" t="s">
        <v>30</v>
      </c>
    </row>
    <row r="36" spans="2:7" x14ac:dyDescent="0.25">
      <c r="B36" s="23"/>
      <c r="C36" t="s">
        <v>93</v>
      </c>
      <c r="D36" s="4">
        <f>+Datos!D36</f>
        <v>8</v>
      </c>
      <c r="E36" t="s">
        <v>30</v>
      </c>
    </row>
    <row r="38" spans="2:7" x14ac:dyDescent="0.25">
      <c r="B38" s="2" t="s">
        <v>56</v>
      </c>
    </row>
    <row r="39" spans="2:7" x14ac:dyDescent="0.25">
      <c r="B39" t="s">
        <v>57</v>
      </c>
      <c r="C39" t="s">
        <v>1115</v>
      </c>
      <c r="D39" s="6">
        <f>(VLOOKUP($H$2,INPUTS[],INPUTS!$D$1,FALSE))</f>
        <v>36568</v>
      </c>
      <c r="E39" t="s">
        <v>59</v>
      </c>
    </row>
    <row r="40" spans="2:7" x14ac:dyDescent="0.25">
      <c r="B40" t="s">
        <v>845</v>
      </c>
      <c r="C40" t="s">
        <v>846</v>
      </c>
      <c r="D40" s="740">
        <f>VLOOKUP(Datos!$H$2,INPUTS[],INPUTS!$O$1,FALSE)</f>
        <v>2.457563712882862</v>
      </c>
      <c r="E40" t="s">
        <v>856</v>
      </c>
    </row>
    <row r="41" spans="2:7" x14ac:dyDescent="0.25">
      <c r="B41" t="s">
        <v>847</v>
      </c>
      <c r="C41" t="s">
        <v>848</v>
      </c>
      <c r="D41" s="140">
        <f>D39/D40</f>
        <v>14879.776995528493</v>
      </c>
      <c r="E41" t="s">
        <v>857</v>
      </c>
    </row>
    <row r="42" spans="2:7" x14ac:dyDescent="0.25">
      <c r="C42" t="s">
        <v>849</v>
      </c>
      <c r="D42" s="673">
        <v>0.01</v>
      </c>
      <c r="E42" t="s">
        <v>858</v>
      </c>
    </row>
    <row r="43" spans="2:7" x14ac:dyDescent="0.25">
      <c r="B43" t="s">
        <v>67</v>
      </c>
      <c r="C43" t="s">
        <v>850</v>
      </c>
      <c r="D43" s="673">
        <f>IF(D39&gt;300000,(D41/5)*(D42/(5*30.5)),D41*D42/(5*30.5))</f>
        <v>0.97572308167399957</v>
      </c>
      <c r="E43" t="s">
        <v>65</v>
      </c>
    </row>
    <row r="44" spans="2:7" x14ac:dyDescent="0.25">
      <c r="B44" t="s">
        <v>68</v>
      </c>
      <c r="C44" t="s">
        <v>851</v>
      </c>
      <c r="D44" s="672">
        <v>3</v>
      </c>
      <c r="E44" t="s">
        <v>70</v>
      </c>
    </row>
    <row r="45" spans="2:7" x14ac:dyDescent="0.25">
      <c r="C45" t="s">
        <v>852</v>
      </c>
      <c r="D45">
        <f>+VLOOKUP(D44,'Generación crítica '!$A$14:$B$20,2)</f>
        <v>3</v>
      </c>
      <c r="F45" s="36"/>
      <c r="G45" s="195"/>
    </row>
    <row r="46" spans="2:7" x14ac:dyDescent="0.25">
      <c r="B46" t="s">
        <v>81</v>
      </c>
      <c r="C46" t="s">
        <v>853</v>
      </c>
      <c r="D46" s="4">
        <f>D43*D45</f>
        <v>2.9271692450219988</v>
      </c>
      <c r="E46" t="s">
        <v>65</v>
      </c>
    </row>
    <row r="47" spans="2:7" x14ac:dyDescent="0.25">
      <c r="C47" t="s">
        <v>854</v>
      </c>
      <c r="D47" s="672">
        <v>10</v>
      </c>
      <c r="E47" t="s">
        <v>46</v>
      </c>
    </row>
    <row r="48" spans="2:7" x14ac:dyDescent="0.25">
      <c r="B48" t="s">
        <v>855</v>
      </c>
      <c r="C48" s="196" t="s">
        <v>1114</v>
      </c>
      <c r="D48" s="2">
        <f>+ROUNDUP(D46*(1+D47/100),2)</f>
        <v>3.2199999999999998</v>
      </c>
      <c r="E48" s="196" t="s">
        <v>65</v>
      </c>
    </row>
    <row r="50" spans="2:6" x14ac:dyDescent="0.25">
      <c r="C50" t="s">
        <v>231</v>
      </c>
      <c r="D50" s="672">
        <v>0.35</v>
      </c>
      <c r="E50" t="s">
        <v>84</v>
      </c>
      <c r="F50" s="164"/>
    </row>
    <row r="51" spans="2:6" x14ac:dyDescent="0.25">
      <c r="C51" s="197" t="s">
        <v>853</v>
      </c>
      <c r="D51" s="163">
        <f>D48/D50</f>
        <v>9.1999999999999993</v>
      </c>
      <c r="E51" s="163" t="s">
        <v>87</v>
      </c>
    </row>
    <row r="54" spans="2:6" x14ac:dyDescent="0.25">
      <c r="B54" s="2" t="s">
        <v>149</v>
      </c>
    </row>
    <row r="56" spans="2:6" x14ac:dyDescent="0.25">
      <c r="B56" s="160" t="s">
        <v>150</v>
      </c>
      <c r="C56" s="160" t="s">
        <v>151</v>
      </c>
      <c r="D56" s="160" t="s">
        <v>152</v>
      </c>
      <c r="E56" s="160" t="s">
        <v>153</v>
      </c>
    </row>
    <row r="57" spans="2:6" x14ac:dyDescent="0.25">
      <c r="B57" s="543"/>
      <c r="C57" s="544"/>
      <c r="D57" s="545"/>
      <c r="E57" s="134">
        <f t="shared" ref="E57:E59" si="0">+D57*2</f>
        <v>0</v>
      </c>
    </row>
    <row r="58" spans="2:6" x14ac:dyDescent="0.25">
      <c r="B58" s="543"/>
      <c r="C58" s="544">
        <f>+Datos!C55</f>
        <v>9550000</v>
      </c>
      <c r="D58" s="545">
        <f>+Datos!D55</f>
        <v>955</v>
      </c>
      <c r="E58" s="134">
        <f t="shared" si="0"/>
        <v>1910</v>
      </c>
    </row>
    <row r="59" spans="2:6" x14ac:dyDescent="0.25">
      <c r="B59" s="543"/>
      <c r="C59" s="544"/>
      <c r="D59" s="545"/>
      <c r="E59" s="134">
        <f t="shared" si="0"/>
        <v>0</v>
      </c>
    </row>
    <row r="60" spans="2:6" x14ac:dyDescent="0.25">
      <c r="B60" s="160" t="s">
        <v>154</v>
      </c>
      <c r="C60" s="161">
        <f>SUM(C57:C59)</f>
        <v>9550000</v>
      </c>
      <c r="D60" s="162">
        <f>SUM(D57:D59)</f>
        <v>955</v>
      </c>
      <c r="E60" s="162">
        <f>SUM(E57:E59)</f>
        <v>1910</v>
      </c>
    </row>
    <row r="61" spans="2:6" x14ac:dyDescent="0.25">
      <c r="B61" s="135"/>
      <c r="C61" s="135"/>
      <c r="D61" s="135"/>
      <c r="E61" s="135"/>
    </row>
    <row r="62" spans="2:6" x14ac:dyDescent="0.25">
      <c r="B62" s="810" t="s">
        <v>155</v>
      </c>
      <c r="C62" s="810"/>
      <c r="D62" s="136">
        <f>+Datos!D59</f>
        <v>10000</v>
      </c>
      <c r="E62" s="137" t="s">
        <v>156</v>
      </c>
    </row>
    <row r="63" spans="2:6" x14ac:dyDescent="0.25">
      <c r="B63" s="810" t="s">
        <v>157</v>
      </c>
      <c r="C63" s="810"/>
      <c r="D63" s="136">
        <f>+Datos!D60</f>
        <v>1910</v>
      </c>
      <c r="E63" s="137" t="s">
        <v>160</v>
      </c>
    </row>
    <row r="64" spans="2:6" x14ac:dyDescent="0.25">
      <c r="B64" s="810" t="s">
        <v>158</v>
      </c>
      <c r="C64" s="810"/>
      <c r="D64" s="136">
        <f>+Datos!D61</f>
        <v>100</v>
      </c>
      <c r="E64" s="137" t="s">
        <v>159</v>
      </c>
    </row>
    <row r="65" spans="2:5" x14ac:dyDescent="0.25">
      <c r="B65" s="811" t="s">
        <v>161</v>
      </c>
      <c r="C65" s="811"/>
      <c r="D65" s="138">
        <f>+Datos!D62</f>
        <v>191000</v>
      </c>
      <c r="E65" s="139" t="s">
        <v>159</v>
      </c>
    </row>
    <row r="67" spans="2:5" x14ac:dyDescent="0.25">
      <c r="B67" s="811" t="s">
        <v>162</v>
      </c>
      <c r="C67" s="811"/>
      <c r="D67" s="138">
        <f>+Datos!D64</f>
        <v>191000</v>
      </c>
      <c r="E67" s="139" t="s">
        <v>159</v>
      </c>
    </row>
    <row r="69" spans="2:5" x14ac:dyDescent="0.25">
      <c r="B69" s="2" t="s">
        <v>178</v>
      </c>
    </row>
    <row r="70" spans="2:5" x14ac:dyDescent="0.25">
      <c r="C70" t="s">
        <v>175</v>
      </c>
      <c r="D70">
        <f>+Datos!D67</f>
        <v>38.29109947643979</v>
      </c>
      <c r="E70" t="s">
        <v>174</v>
      </c>
    </row>
    <row r="71" spans="2:5" x14ac:dyDescent="0.25">
      <c r="C71" t="s">
        <v>176</v>
      </c>
      <c r="D71">
        <f>+Datos!D68</f>
        <v>0.54</v>
      </c>
      <c r="E71" t="s">
        <v>814</v>
      </c>
    </row>
    <row r="72" spans="2:5" x14ac:dyDescent="0.25">
      <c r="C72" t="s">
        <v>177</v>
      </c>
      <c r="D72" s="25">
        <f>+Datos!D69</f>
        <v>11.000665335994681</v>
      </c>
      <c r="E72" t="s">
        <v>23</v>
      </c>
    </row>
    <row r="75" spans="2:5" x14ac:dyDescent="0.25">
      <c r="B75" s="2" t="s">
        <v>218</v>
      </c>
    </row>
    <row r="77" spans="2:5" x14ac:dyDescent="0.25">
      <c r="C77" s="285" t="s">
        <v>219</v>
      </c>
      <c r="D77" s="506">
        <f>+Datos!D73</f>
        <v>10</v>
      </c>
      <c r="E77" t="s">
        <v>211</v>
      </c>
    </row>
    <row r="78" spans="2:5" x14ac:dyDescent="0.25">
      <c r="C78" s="285" t="s">
        <v>187</v>
      </c>
      <c r="D78" s="725">
        <f>+Datos!D74</f>
        <v>945.63</v>
      </c>
      <c r="E78" t="s">
        <v>815</v>
      </c>
    </row>
    <row r="79" spans="2:5" x14ac:dyDescent="0.25">
      <c r="C79" s="285" t="s">
        <v>188</v>
      </c>
      <c r="D79" s="117">
        <f>+Datos!D75</f>
        <v>50000</v>
      </c>
      <c r="E79" t="s">
        <v>3</v>
      </c>
    </row>
    <row r="80" spans="2:5" x14ac:dyDescent="0.25">
      <c r="C80" s="285" t="s">
        <v>215</v>
      </c>
      <c r="D80" s="546">
        <f>+Datos!D76</f>
        <v>6</v>
      </c>
      <c r="E80" t="s">
        <v>126</v>
      </c>
    </row>
    <row r="81" spans="2:20" x14ac:dyDescent="0.25">
      <c r="C81" s="285"/>
      <c r="D81" s="285"/>
    </row>
    <row r="82" spans="2:20" x14ac:dyDescent="0.25">
      <c r="C82" s="285"/>
      <c r="D82" s="285"/>
    </row>
    <row r="83" spans="2:20" ht="15.75" thickBot="1" x14ac:dyDescent="0.3">
      <c r="B83" s="2" t="s">
        <v>197</v>
      </c>
      <c r="C83" s="285"/>
      <c r="D83" s="285"/>
      <c r="I83" s="553">
        <f>+Datos!K107</f>
        <v>1.1415906508834279E-2</v>
      </c>
    </row>
    <row r="84" spans="2:20" ht="30.75" thickTop="1" x14ac:dyDescent="0.25">
      <c r="B84" s="168" t="s">
        <v>114</v>
      </c>
      <c r="C84" s="507" t="s">
        <v>1110</v>
      </c>
      <c r="D84" s="508" t="s">
        <v>704</v>
      </c>
      <c r="I84" s="14"/>
      <c r="J84" s="14" t="s">
        <v>735</v>
      </c>
      <c r="K84" s="14" t="s">
        <v>740</v>
      </c>
      <c r="L84" s="554"/>
      <c r="M84" s="555"/>
      <c r="N84" s="555"/>
      <c r="O84" s="555"/>
      <c r="P84" s="555"/>
      <c r="Q84" s="555"/>
      <c r="R84" s="555"/>
      <c r="S84" s="555"/>
      <c r="T84" s="556"/>
    </row>
    <row r="85" spans="2:20" x14ac:dyDescent="0.25">
      <c r="B85" s="198">
        <v>6</v>
      </c>
      <c r="C85" s="723">
        <f>K85</f>
        <v>132650.28</v>
      </c>
      <c r="D85" s="723">
        <f>+C85*CoeficientePase!$C$42</f>
        <v>234260.39447999999</v>
      </c>
      <c r="I85" s="279"/>
      <c r="J85" s="198">
        <v>6</v>
      </c>
      <c r="K85" s="279">
        <f>1809.38*J85+121794</f>
        <v>132650.28</v>
      </c>
      <c r="L85" s="785"/>
      <c r="M85" s="558"/>
      <c r="N85" s="559"/>
      <c r="O85" s="325"/>
      <c r="P85" s="325"/>
      <c r="Q85" s="325"/>
      <c r="R85" s="325"/>
      <c r="S85" s="325"/>
      <c r="T85" s="560"/>
    </row>
    <row r="86" spans="2:20" x14ac:dyDescent="0.25">
      <c r="B86" s="167">
        <v>9</v>
      </c>
      <c r="C86" s="723">
        <f>K87</f>
        <v>138078.42000000001</v>
      </c>
      <c r="D86" s="723">
        <f>+C86*CoeficientePase!$C$42</f>
        <v>243846.48972000001</v>
      </c>
      <c r="I86" s="279"/>
      <c r="J86" s="167">
        <v>8</v>
      </c>
      <c r="K86" s="279">
        <f t="shared" ref="K86:K95" si="1">1809.38*J86+121794</f>
        <v>136269.04</v>
      </c>
      <c r="L86" s="557"/>
      <c r="M86" s="561"/>
      <c r="N86" s="562"/>
      <c r="O86" s="337"/>
      <c r="P86" s="337"/>
      <c r="Q86" s="337"/>
      <c r="R86" s="337"/>
      <c r="S86" s="563"/>
      <c r="T86" s="560"/>
    </row>
    <row r="87" spans="2:20" x14ac:dyDescent="0.25">
      <c r="B87" s="167">
        <v>12</v>
      </c>
      <c r="C87" s="723">
        <f t="shared" ref="C87:C94" si="2">K88</f>
        <v>143506.56</v>
      </c>
      <c r="D87" s="723">
        <f>+C87*CoeficientePase!$C$42</f>
        <v>253432.58496000001</v>
      </c>
      <c r="I87" s="279"/>
      <c r="J87" s="167">
        <v>9</v>
      </c>
      <c r="K87" s="279">
        <f t="shared" si="1"/>
        <v>138078.42000000001</v>
      </c>
      <c r="L87" s="557"/>
      <c r="M87" s="564"/>
      <c r="N87" s="565"/>
      <c r="O87" s="325"/>
      <c r="P87" s="325"/>
      <c r="Q87" s="325"/>
      <c r="R87" s="325"/>
      <c r="S87" s="566"/>
      <c r="T87" s="560"/>
    </row>
    <row r="88" spans="2:20" x14ac:dyDescent="0.25">
      <c r="B88" s="167">
        <v>15</v>
      </c>
      <c r="C88" s="723">
        <f t="shared" si="2"/>
        <v>148934.70000000001</v>
      </c>
      <c r="D88" s="723">
        <f>+C88*CoeficientePase!$C$42</f>
        <v>263018.6802</v>
      </c>
      <c r="I88" s="279"/>
      <c r="J88" s="167">
        <v>12</v>
      </c>
      <c r="K88" s="279">
        <f t="shared" si="1"/>
        <v>143506.56</v>
      </c>
      <c r="L88" s="557"/>
      <c r="M88" s="567"/>
      <c r="N88" s="568"/>
      <c r="O88" s="568"/>
      <c r="P88" s="568"/>
      <c r="Q88" s="568"/>
      <c r="R88" s="568"/>
      <c r="S88" s="569"/>
      <c r="T88" s="560"/>
    </row>
    <row r="89" spans="2:20" x14ac:dyDescent="0.25">
      <c r="B89" s="167">
        <v>16</v>
      </c>
      <c r="C89" s="723">
        <f t="shared" si="2"/>
        <v>150744.08000000002</v>
      </c>
      <c r="D89" s="723">
        <f>+C89*CoeficientePase!$C$42</f>
        <v>266214.04528000002</v>
      </c>
      <c r="I89" s="279"/>
      <c r="J89" s="167">
        <v>15</v>
      </c>
      <c r="K89" s="279">
        <f t="shared" si="1"/>
        <v>148934.70000000001</v>
      </c>
      <c r="L89" s="557"/>
      <c r="M89" s="325"/>
      <c r="N89" s="325"/>
      <c r="O89" s="325"/>
      <c r="P89" s="325"/>
      <c r="Q89" s="325"/>
      <c r="R89" s="325"/>
      <c r="S89" s="325"/>
      <c r="T89" s="560"/>
    </row>
    <row r="90" spans="2:20" ht="15.75" thickBot="1" x14ac:dyDescent="0.3">
      <c r="B90" s="167">
        <v>17</v>
      </c>
      <c r="C90" s="723">
        <f t="shared" si="2"/>
        <v>152553.46</v>
      </c>
      <c r="D90" s="723">
        <f>+C90*CoeficientePase!$C$42</f>
        <v>269409.41035999998</v>
      </c>
      <c r="I90" s="279"/>
      <c r="J90" s="167">
        <v>16</v>
      </c>
      <c r="K90" s="279">
        <f t="shared" si="1"/>
        <v>150744.08000000002</v>
      </c>
      <c r="L90" s="570"/>
      <c r="M90" s="571"/>
      <c r="N90" s="571"/>
      <c r="O90" s="571"/>
      <c r="P90" s="571"/>
      <c r="Q90" s="571"/>
      <c r="R90" s="571"/>
      <c r="S90" s="571"/>
      <c r="T90" s="572"/>
    </row>
    <row r="91" spans="2:20" ht="15.75" thickTop="1" x14ac:dyDescent="0.25">
      <c r="B91" s="167">
        <v>18</v>
      </c>
      <c r="C91" s="723">
        <f t="shared" si="2"/>
        <v>154362.84</v>
      </c>
      <c r="D91" s="723">
        <f>+C91*CoeficientePase!$C$42</f>
        <v>272604.77544</v>
      </c>
      <c r="I91" s="279"/>
      <c r="J91" s="167">
        <v>17</v>
      </c>
      <c r="K91" s="279">
        <f t="shared" si="1"/>
        <v>152553.46</v>
      </c>
    </row>
    <row r="92" spans="2:20" x14ac:dyDescent="0.25">
      <c r="B92" s="167">
        <v>19</v>
      </c>
      <c r="C92" s="723">
        <f t="shared" si="2"/>
        <v>156172.22</v>
      </c>
      <c r="D92" s="723">
        <f>+C92*CoeficientePase!$C$42</f>
        <v>275800.14052000002</v>
      </c>
      <c r="I92" s="279"/>
      <c r="J92" s="167">
        <v>18</v>
      </c>
      <c r="K92" s="279">
        <f t="shared" si="1"/>
        <v>154362.84</v>
      </c>
    </row>
    <row r="93" spans="2:20" x14ac:dyDescent="0.25">
      <c r="B93" s="167">
        <v>21</v>
      </c>
      <c r="C93" s="723">
        <f t="shared" si="2"/>
        <v>159790.98000000001</v>
      </c>
      <c r="D93" s="723">
        <f>+C93*CoeficientePase!$C$42</f>
        <v>282190.87067999999</v>
      </c>
      <c r="I93" s="279"/>
      <c r="J93" s="167">
        <v>19</v>
      </c>
      <c r="K93" s="279">
        <f t="shared" si="1"/>
        <v>156172.22</v>
      </c>
    </row>
    <row r="94" spans="2:20" x14ac:dyDescent="0.25">
      <c r="B94" s="167">
        <v>24</v>
      </c>
      <c r="C94" s="723">
        <f t="shared" si="2"/>
        <v>165219.12</v>
      </c>
      <c r="D94" s="723">
        <f>+C94*CoeficientePase!$C$42</f>
        <v>291776.96591999999</v>
      </c>
      <c r="I94" s="279"/>
      <c r="J94" s="167">
        <v>21</v>
      </c>
      <c r="K94" s="279">
        <f t="shared" si="1"/>
        <v>159790.98000000001</v>
      </c>
    </row>
    <row r="95" spans="2:20" x14ac:dyDescent="0.25">
      <c r="B95" s="167"/>
      <c r="C95" s="509"/>
      <c r="D95" s="510"/>
      <c r="I95" s="279"/>
      <c r="J95" s="167">
        <v>24</v>
      </c>
      <c r="K95" s="279">
        <f t="shared" si="1"/>
        <v>165219.12</v>
      </c>
    </row>
    <row r="96" spans="2:20" x14ac:dyDescent="0.25">
      <c r="B96" s="167" t="s">
        <v>709</v>
      </c>
      <c r="C96" s="724">
        <v>43100</v>
      </c>
      <c r="D96" s="726">
        <f>+C96*CoeficientePase!$C$43</f>
        <v>83355.399999999994</v>
      </c>
    </row>
    <row r="97" spans="2:5" x14ac:dyDescent="0.25">
      <c r="B97" s="167"/>
      <c r="C97" s="510"/>
      <c r="D97" s="527"/>
    </row>
    <row r="98" spans="2:5" x14ac:dyDescent="0.25">
      <c r="B98" s="526" t="s">
        <v>717</v>
      </c>
      <c r="D98" s="758">
        <v>1</v>
      </c>
    </row>
    <row r="99" spans="2:5" x14ac:dyDescent="0.25">
      <c r="C99" s="285"/>
      <c r="D99" s="285"/>
    </row>
    <row r="100" spans="2:5" x14ac:dyDescent="0.25">
      <c r="B100" s="2" t="s">
        <v>220</v>
      </c>
      <c r="C100" s="285"/>
      <c r="D100" s="285"/>
    </row>
    <row r="101" spans="2:5" x14ac:dyDescent="0.25">
      <c r="C101" s="285"/>
      <c r="D101" s="285"/>
    </row>
    <row r="102" spans="2:5" x14ac:dyDescent="0.25">
      <c r="C102" s="285" t="s">
        <v>138</v>
      </c>
      <c r="D102" s="726">
        <f>+Datos!D93</f>
        <v>1578.11</v>
      </c>
      <c r="E102" t="s">
        <v>819</v>
      </c>
    </row>
    <row r="103" spans="2:5" x14ac:dyDescent="0.25">
      <c r="C103" s="285" t="s">
        <v>313</v>
      </c>
      <c r="D103" s="726">
        <f>+Datos!D94</f>
        <v>1578.11</v>
      </c>
      <c r="E103" t="s">
        <v>819</v>
      </c>
    </row>
    <row r="104" spans="2:5" x14ac:dyDescent="0.25">
      <c r="C104" s="285" t="s">
        <v>314</v>
      </c>
      <c r="D104" s="726">
        <f>+Datos!D95</f>
        <v>1346.43</v>
      </c>
      <c r="E104" t="s">
        <v>819</v>
      </c>
    </row>
    <row r="105" spans="2:5" x14ac:dyDescent="0.25">
      <c r="C105" s="285" t="s">
        <v>221</v>
      </c>
      <c r="D105" s="726">
        <f>+Datos!D96</f>
        <v>1346.43</v>
      </c>
      <c r="E105" t="s">
        <v>819</v>
      </c>
    </row>
    <row r="106" spans="2:5" x14ac:dyDescent="0.25">
      <c r="C106" s="285" t="s">
        <v>170</v>
      </c>
      <c r="D106" s="726">
        <f>+Datos!D97</f>
        <v>1346.43</v>
      </c>
      <c r="E106" t="s">
        <v>819</v>
      </c>
    </row>
    <row r="107" spans="2:5" x14ac:dyDescent="0.25">
      <c r="C107" s="285" t="s">
        <v>315</v>
      </c>
      <c r="D107" s="726">
        <f>+Datos!D98</f>
        <v>2019.67</v>
      </c>
      <c r="E107" t="s">
        <v>819</v>
      </c>
    </row>
    <row r="108" spans="2:5" x14ac:dyDescent="0.25">
      <c r="C108" s="285" t="s">
        <v>316</v>
      </c>
      <c r="D108" s="726">
        <f>+Datos!D99</f>
        <v>1842</v>
      </c>
      <c r="E108" t="s">
        <v>819</v>
      </c>
    </row>
    <row r="109" spans="2:5" x14ac:dyDescent="0.25">
      <c r="C109" s="285" t="s">
        <v>663</v>
      </c>
      <c r="D109" s="726">
        <f>+Datos!D100</f>
        <v>531.54999999999995</v>
      </c>
      <c r="E109" t="s">
        <v>819</v>
      </c>
    </row>
    <row r="110" spans="2:5" x14ac:dyDescent="0.25">
      <c r="C110" s="285" t="s">
        <v>672</v>
      </c>
      <c r="D110" s="726">
        <f>+Datos!D101</f>
        <v>2197.34</v>
      </c>
      <c r="E110" t="s">
        <v>819</v>
      </c>
    </row>
    <row r="112" spans="2:5" x14ac:dyDescent="0.25">
      <c r="B112" s="2" t="s">
        <v>319</v>
      </c>
      <c r="D112" s="323">
        <f>+Datos!D110</f>
        <v>0.12</v>
      </c>
      <c r="E112" t="s">
        <v>46</v>
      </c>
    </row>
    <row r="114" spans="2:4" x14ac:dyDescent="0.25">
      <c r="B114" s="196" t="s">
        <v>804</v>
      </c>
      <c r="C114" s="285"/>
      <c r="D114" s="759">
        <v>0</v>
      </c>
    </row>
  </sheetData>
  <mergeCells count="5">
    <mergeCell ref="B62:C62"/>
    <mergeCell ref="B63:C63"/>
    <mergeCell ref="B64:C64"/>
    <mergeCell ref="B65:C65"/>
    <mergeCell ref="B67:C67"/>
  </mergeCells>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&amp;F&amp;R&amp;"Arial,Negrita Cursiva"&amp;10&amp;P</oddFooter>
  </headerFooter>
  <colBreaks count="1" manualBreakCount="1">
    <brk id="5" max="1048575" man="1"/>
  </colBreaks>
  <ignoredErrors>
    <ignoredError sqref="D78:D80 D102:D110 D9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Macro_PTodojunto">
                <anchor moveWithCells="1" sizeWithCells="1">
                  <from>
                    <xdr:col>5</xdr:col>
                    <xdr:colOff>114300</xdr:colOff>
                    <xdr:row>68</xdr:row>
                    <xdr:rowOff>85725</xdr:rowOff>
                  </from>
                  <to>
                    <xdr:col>7</xdr:col>
                    <xdr:colOff>495300</xdr:colOff>
                    <xdr:row>71</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8">
    <tabColor rgb="FFFFFF00"/>
  </sheetPr>
  <dimension ref="B1:J71"/>
  <sheetViews>
    <sheetView tabSelected="1" view="pageBreakPreview" topLeftCell="A22" zoomScale="120" zoomScaleSheetLayoutView="120" workbookViewId="0">
      <selection activeCell="E30" sqref="E30"/>
    </sheetView>
  </sheetViews>
  <sheetFormatPr baseColWidth="10" defaultRowHeight="15" x14ac:dyDescent="0.25"/>
  <cols>
    <col min="2" max="2" width="12.28515625" customWidth="1"/>
    <col min="3" max="3" width="56.42578125" bestFit="1" customWidth="1"/>
    <col min="4" max="4" width="16.7109375" bestFit="1" customWidth="1"/>
    <col min="5" max="5" width="12.5703125" customWidth="1"/>
    <col min="8" max="8" width="17.140625" customWidth="1"/>
    <col min="10" max="10" width="11.85546875" bestFit="1" customWidth="1"/>
  </cols>
  <sheetData>
    <row r="1" spans="2:8" ht="15.75" thickBot="1" x14ac:dyDescent="0.3">
      <c r="B1" s="157" t="s">
        <v>350</v>
      </c>
      <c r="C1" s="158"/>
      <c r="D1" s="158"/>
      <c r="E1" s="159"/>
    </row>
    <row r="2" spans="2:8" x14ac:dyDescent="0.25">
      <c r="B2" s="2" t="s">
        <v>113</v>
      </c>
      <c r="C2" s="2" t="str">
        <f>+Datos!C2</f>
        <v>Pehuajó</v>
      </c>
      <c r="G2" s="1" t="s">
        <v>862</v>
      </c>
      <c r="H2" s="765">
        <f>Datos!H2</f>
        <v>101</v>
      </c>
    </row>
    <row r="3" spans="2:8" x14ac:dyDescent="0.25">
      <c r="B3" s="2" t="s">
        <v>733</v>
      </c>
      <c r="D3" s="547" t="s">
        <v>731</v>
      </c>
      <c r="E3" s="14" t="s">
        <v>732</v>
      </c>
    </row>
    <row r="4" spans="2:8" x14ac:dyDescent="0.25">
      <c r="B4" s="2" t="s">
        <v>0</v>
      </c>
    </row>
    <row r="5" spans="2:8" x14ac:dyDescent="0.25">
      <c r="B5" t="s">
        <v>6</v>
      </c>
      <c r="C5" t="s">
        <v>8</v>
      </c>
      <c r="D5" s="1">
        <f>VLOOKUP($H$2,INPUTS[],INPUTS!$AA$1,FALSE)</f>
        <v>56.2</v>
      </c>
      <c r="E5" t="s">
        <v>3</v>
      </c>
    </row>
    <row r="6" spans="2:8" x14ac:dyDescent="0.25">
      <c r="B6" t="s">
        <v>7</v>
      </c>
      <c r="C6" t="s">
        <v>9</v>
      </c>
      <c r="D6">
        <v>0</v>
      </c>
      <c r="E6" t="s">
        <v>3</v>
      </c>
    </row>
    <row r="8" spans="2:8" x14ac:dyDescent="0.25">
      <c r="B8" s="2" t="s">
        <v>12</v>
      </c>
    </row>
    <row r="9" spans="2:8" x14ac:dyDescent="0.25">
      <c r="B9" t="s">
        <v>15</v>
      </c>
      <c r="C9" t="s">
        <v>20</v>
      </c>
      <c r="D9" s="125">
        <f>VLOOKUP($H$2,INPUTS[],INPUTS!$AC$1,FALSE)</f>
        <v>82.243902439024396</v>
      </c>
      <c r="E9" t="s">
        <v>23</v>
      </c>
    </row>
    <row r="10" spans="2:8" x14ac:dyDescent="0.25">
      <c r="B10" t="s">
        <v>16</v>
      </c>
      <c r="C10" t="s">
        <v>21</v>
      </c>
      <c r="D10">
        <v>40</v>
      </c>
      <c r="E10" t="s">
        <v>23</v>
      </c>
    </row>
    <row r="12" spans="2:8" x14ac:dyDescent="0.25">
      <c r="B12" s="2" t="s">
        <v>24</v>
      </c>
    </row>
    <row r="13" spans="2:8" x14ac:dyDescent="0.25">
      <c r="B13" s="3" t="s">
        <v>39</v>
      </c>
    </row>
    <row r="14" spans="2:8" x14ac:dyDescent="0.25">
      <c r="B14" t="s">
        <v>27</v>
      </c>
      <c r="C14" t="s">
        <v>33</v>
      </c>
      <c r="D14" s="4">
        <f>+D5/D9</f>
        <v>0.68333333333333335</v>
      </c>
      <c r="E14" t="s">
        <v>30</v>
      </c>
    </row>
    <row r="15" spans="2:8" x14ac:dyDescent="0.25">
      <c r="B15" t="s">
        <v>28</v>
      </c>
      <c r="C15" t="s">
        <v>34</v>
      </c>
      <c r="D15" s="4">
        <f>+D6/D10</f>
        <v>0</v>
      </c>
      <c r="E15" t="s">
        <v>30</v>
      </c>
    </row>
    <row r="16" spans="2:8" x14ac:dyDescent="0.25">
      <c r="B16" s="3" t="s">
        <v>40</v>
      </c>
    </row>
    <row r="17" spans="2:7" x14ac:dyDescent="0.25">
      <c r="B17" t="s">
        <v>36</v>
      </c>
      <c r="C17" t="s">
        <v>320</v>
      </c>
      <c r="D17" s="673">
        <v>0.33333333333333331</v>
      </c>
      <c r="E17" t="s">
        <v>30</v>
      </c>
    </row>
    <row r="18" spans="2:7" x14ac:dyDescent="0.25">
      <c r="B18" t="s">
        <v>38</v>
      </c>
      <c r="C18" t="s">
        <v>37</v>
      </c>
      <c r="D18" s="672">
        <f>15/60</f>
        <v>0.25</v>
      </c>
      <c r="E18" t="s">
        <v>30</v>
      </c>
    </row>
    <row r="19" spans="2:7" x14ac:dyDescent="0.25">
      <c r="B19" s="3" t="s">
        <v>44</v>
      </c>
    </row>
    <row r="20" spans="2:7" x14ac:dyDescent="0.25">
      <c r="B20" t="s">
        <v>41</v>
      </c>
      <c r="C20" t="s">
        <v>45</v>
      </c>
      <c r="D20" s="4">
        <f>+SUM(D14:D15)+D17+D18</f>
        <v>1.2666666666666666</v>
      </c>
      <c r="E20" t="s">
        <v>30</v>
      </c>
    </row>
    <row r="21" spans="2:7" x14ac:dyDescent="0.25">
      <c r="C21" t="s">
        <v>43</v>
      </c>
      <c r="D21">
        <f>+Datos!D32</f>
        <v>5</v>
      </c>
      <c r="E21" t="s">
        <v>46</v>
      </c>
    </row>
    <row r="22" spans="2:7" x14ac:dyDescent="0.25">
      <c r="B22" t="s">
        <v>47</v>
      </c>
      <c r="C22" t="s">
        <v>42</v>
      </c>
      <c r="D22" s="4">
        <f>+D20*D21/100</f>
        <v>6.3333333333333325E-2</v>
      </c>
      <c r="E22" t="s">
        <v>30</v>
      </c>
    </row>
    <row r="23" spans="2:7" x14ac:dyDescent="0.25">
      <c r="B23" s="5" t="s">
        <v>53</v>
      </c>
    </row>
    <row r="24" spans="2:7" x14ac:dyDescent="0.25">
      <c r="B24" s="23" t="s">
        <v>54</v>
      </c>
      <c r="C24" s="23" t="s">
        <v>55</v>
      </c>
      <c r="D24" s="24">
        <f>+D20+D22</f>
        <v>1.3299999999999998</v>
      </c>
      <c r="E24" s="23" t="s">
        <v>30</v>
      </c>
      <c r="F24" s="23"/>
    </row>
    <row r="25" spans="2:7" x14ac:dyDescent="0.25">
      <c r="B25" s="23"/>
      <c r="C25" t="s">
        <v>93</v>
      </c>
      <c r="D25" s="4">
        <f>+Datos!D36</f>
        <v>8</v>
      </c>
      <c r="E25" t="s">
        <v>30</v>
      </c>
    </row>
    <row r="27" spans="2:7" x14ac:dyDescent="0.25">
      <c r="B27" s="2" t="s">
        <v>56</v>
      </c>
    </row>
    <row r="28" spans="2:7" x14ac:dyDescent="0.25">
      <c r="B28" t="s">
        <v>81</v>
      </c>
      <c r="C28" t="s">
        <v>321</v>
      </c>
      <c r="D28" s="788">
        <f>Datos!D46</f>
        <v>50.390704000000007</v>
      </c>
      <c r="E28" t="s">
        <v>65</v>
      </c>
    </row>
    <row r="29" spans="2:7" x14ac:dyDescent="0.25">
      <c r="C29" t="s">
        <v>322</v>
      </c>
      <c r="D29" s="672">
        <v>0.27</v>
      </c>
      <c r="E29" t="s">
        <v>84</v>
      </c>
      <c r="F29">
        <v>0.27</v>
      </c>
      <c r="G29" t="s">
        <v>1125</v>
      </c>
    </row>
    <row r="30" spans="2:7" x14ac:dyDescent="0.25">
      <c r="C30" s="131" t="s">
        <v>323</v>
      </c>
      <c r="D30" s="163">
        <f>+D28/D29</f>
        <v>186.63223703703704</v>
      </c>
      <c r="E30" s="131" t="s">
        <v>87</v>
      </c>
      <c r="F30">
        <v>0.5</v>
      </c>
      <c r="G30" t="s">
        <v>1124</v>
      </c>
    </row>
    <row r="34" spans="2:10" x14ac:dyDescent="0.25">
      <c r="B34" s="2" t="s">
        <v>178</v>
      </c>
    </row>
    <row r="35" spans="2:10" x14ac:dyDescent="0.25">
      <c r="C35" t="s">
        <v>176</v>
      </c>
      <c r="D35">
        <f>+Datos!D68</f>
        <v>0.54</v>
      </c>
      <c r="E35" t="s">
        <v>814</v>
      </c>
    </row>
    <row r="36" spans="2:10" x14ac:dyDescent="0.25">
      <c r="C36" t="s">
        <v>177</v>
      </c>
      <c r="D36" s="25">
        <f>+(D5*D9+D6*D10)/SUM(D5:D6)</f>
        <v>82.243902439024396</v>
      </c>
      <c r="E36" t="s">
        <v>23</v>
      </c>
    </row>
    <row r="38" spans="2:10" x14ac:dyDescent="0.25">
      <c r="B38" s="2" t="s">
        <v>324</v>
      </c>
    </row>
    <row r="40" spans="2:10" x14ac:dyDescent="0.25">
      <c r="C40" t="s">
        <v>219</v>
      </c>
      <c r="D40">
        <f>+Datos!D73</f>
        <v>10</v>
      </c>
      <c r="E40" t="s">
        <v>211</v>
      </c>
    </row>
    <row r="41" spans="2:10" x14ac:dyDescent="0.25">
      <c r="C41" s="285" t="s">
        <v>187</v>
      </c>
      <c r="D41" s="761">
        <f>+Datos!D74</f>
        <v>945.63</v>
      </c>
      <c r="E41" t="s">
        <v>815</v>
      </c>
    </row>
    <row r="42" spans="2:10" x14ac:dyDescent="0.25">
      <c r="C42" s="285" t="s">
        <v>188</v>
      </c>
      <c r="D42" s="761">
        <f>+Datos!D75</f>
        <v>50000</v>
      </c>
      <c r="E42" t="s">
        <v>3</v>
      </c>
    </row>
    <row r="43" spans="2:10" x14ac:dyDescent="0.25">
      <c r="C43" s="285" t="s">
        <v>215</v>
      </c>
      <c r="D43" s="762">
        <v>6</v>
      </c>
      <c r="E43" t="s">
        <v>126</v>
      </c>
    </row>
    <row r="44" spans="2:10" x14ac:dyDescent="0.25">
      <c r="C44" s="325" t="s">
        <v>1116</v>
      </c>
      <c r="D44" s="756">
        <v>10</v>
      </c>
      <c r="E44" t="s">
        <v>46</v>
      </c>
    </row>
    <row r="45" spans="2:10" x14ac:dyDescent="0.25">
      <c r="C45" s="285"/>
      <c r="D45" s="285"/>
    </row>
    <row r="46" spans="2:10" x14ac:dyDescent="0.25">
      <c r="B46" s="2" t="s">
        <v>197</v>
      </c>
      <c r="C46" s="285"/>
      <c r="D46" s="285"/>
    </row>
    <row r="47" spans="2:10" ht="30" x14ac:dyDescent="0.25">
      <c r="B47" s="168" t="s">
        <v>114</v>
      </c>
      <c r="C47" s="507" t="s">
        <v>325</v>
      </c>
      <c r="D47" s="285"/>
    </row>
    <row r="48" spans="2:10" x14ac:dyDescent="0.25">
      <c r="B48" s="167">
        <v>25</v>
      </c>
      <c r="C48" s="723">
        <f t="shared" ref="C48:C53" si="0">+I53</f>
        <v>131850.27050636659</v>
      </c>
      <c r="D48" s="723">
        <f>+C48*CoeficientePase!$C$42</f>
        <v>232847.57771424341</v>
      </c>
      <c r="E48" s="285"/>
      <c r="G48" s="574"/>
      <c r="H48" s="574">
        <f>8125000/CoeficientePase!$C$44</f>
        <v>30074.770506366596</v>
      </c>
      <c r="I48" s="573" t="s">
        <v>741</v>
      </c>
      <c r="J48" s="573"/>
    </row>
    <row r="49" spans="2:10" x14ac:dyDescent="0.25">
      <c r="B49" s="167">
        <v>30</v>
      </c>
      <c r="C49" s="723">
        <f t="shared" si="0"/>
        <v>158220.32460763992</v>
      </c>
      <c r="D49" s="723">
        <f>+C49*CoeficientePase!$C$42</f>
        <v>279417.09325709211</v>
      </c>
      <c r="E49" s="285"/>
      <c r="G49" s="574"/>
      <c r="H49" s="575">
        <f>83275.5+18500</f>
        <v>101775.5</v>
      </c>
      <c r="I49" s="573" t="s">
        <v>1111</v>
      </c>
      <c r="J49" s="573"/>
    </row>
    <row r="50" spans="2:10" x14ac:dyDescent="0.25">
      <c r="B50" s="167">
        <v>35</v>
      </c>
      <c r="C50" s="723">
        <f t="shared" si="0"/>
        <v>184590.37870891322</v>
      </c>
      <c r="D50" s="723">
        <f>+C50*CoeficientePase!$C$42</f>
        <v>325986.60879994073</v>
      </c>
      <c r="E50" s="285"/>
      <c r="H50" s="140">
        <f>+H48+H49</f>
        <v>131850.27050636659</v>
      </c>
    </row>
    <row r="51" spans="2:10" x14ac:dyDescent="0.25">
      <c r="B51" s="167">
        <v>40</v>
      </c>
      <c r="C51" s="723">
        <f t="shared" si="0"/>
        <v>210960.43281018655</v>
      </c>
      <c r="D51" s="723">
        <f>+C51*CoeficientePase!$C$42</f>
        <v>372556.12434278947</v>
      </c>
      <c r="E51" s="285"/>
    </row>
    <row r="52" spans="2:10" x14ac:dyDescent="0.25">
      <c r="B52" s="167">
        <v>45</v>
      </c>
      <c r="C52" s="723">
        <f t="shared" si="0"/>
        <v>237330.48691145986</v>
      </c>
      <c r="D52" s="723">
        <f>+C52*CoeficientePase!$C$42</f>
        <v>419125.63988563808</v>
      </c>
      <c r="E52" s="285"/>
      <c r="H52" s="7" t="s">
        <v>735</v>
      </c>
      <c r="I52" s="7" t="s">
        <v>736</v>
      </c>
    </row>
    <row r="53" spans="2:10" x14ac:dyDescent="0.25">
      <c r="B53" s="167">
        <v>50</v>
      </c>
      <c r="C53" s="723">
        <f t="shared" si="0"/>
        <v>263700.54101273319</v>
      </c>
      <c r="D53" s="723">
        <f>+C53*CoeficientePase!$C$42</f>
        <v>465695.15542848682</v>
      </c>
      <c r="E53" s="285"/>
      <c r="H53" s="14">
        <v>25</v>
      </c>
      <c r="I53" s="279">
        <f>H50</f>
        <v>131850.27050636659</v>
      </c>
    </row>
    <row r="54" spans="2:10" x14ac:dyDescent="0.25">
      <c r="C54" s="285"/>
      <c r="D54" s="285"/>
      <c r="H54" s="14">
        <v>30</v>
      </c>
      <c r="I54" s="279">
        <f>+H54*$I$53/$H$53</f>
        <v>158220.32460763992</v>
      </c>
    </row>
    <row r="55" spans="2:10" x14ac:dyDescent="0.25">
      <c r="B55" s="2" t="s">
        <v>326</v>
      </c>
      <c r="C55" s="285"/>
      <c r="D55" s="285"/>
      <c r="H55" s="14">
        <v>35</v>
      </c>
      <c r="I55" s="279">
        <f>+H55*$I$53/$H$53</f>
        <v>184590.37870891322</v>
      </c>
    </row>
    <row r="56" spans="2:10" x14ac:dyDescent="0.25">
      <c r="C56" s="285"/>
      <c r="D56" s="285"/>
      <c r="H56" s="14">
        <v>40</v>
      </c>
      <c r="I56" s="279">
        <f>+H56*$I$53/$H$53</f>
        <v>210960.43281018655</v>
      </c>
    </row>
    <row r="57" spans="2:10" x14ac:dyDescent="0.25">
      <c r="C57" s="285" t="s">
        <v>138</v>
      </c>
      <c r="D57" s="723">
        <f>+Datos!D93</f>
        <v>1578.11</v>
      </c>
      <c r="E57" t="s">
        <v>819</v>
      </c>
      <c r="H57" s="14">
        <v>45</v>
      </c>
      <c r="I57" s="279">
        <f>+H57*$I$53/$H$53</f>
        <v>237330.48691145986</v>
      </c>
    </row>
    <row r="58" spans="2:10" x14ac:dyDescent="0.25">
      <c r="C58" s="285" t="s">
        <v>313</v>
      </c>
      <c r="D58" s="723">
        <f>+Datos!D94</f>
        <v>1578.11</v>
      </c>
      <c r="E58" t="s">
        <v>819</v>
      </c>
      <c r="H58" s="14">
        <v>50</v>
      </c>
      <c r="I58" s="279">
        <f>+H58*$I$53/$H$53</f>
        <v>263700.54101273319</v>
      </c>
    </row>
    <row r="59" spans="2:10" x14ac:dyDescent="0.25">
      <c r="C59" s="285" t="s">
        <v>314</v>
      </c>
      <c r="D59" s="723">
        <f>+Datos!D95</f>
        <v>1346.43</v>
      </c>
      <c r="E59" t="s">
        <v>819</v>
      </c>
    </row>
    <row r="60" spans="2:10" x14ac:dyDescent="0.25">
      <c r="C60" s="285" t="s">
        <v>221</v>
      </c>
      <c r="D60" s="723">
        <f>+Datos!D96</f>
        <v>1346.43</v>
      </c>
      <c r="E60" t="s">
        <v>819</v>
      </c>
    </row>
    <row r="61" spans="2:10" x14ac:dyDescent="0.25">
      <c r="C61" s="285" t="s">
        <v>170</v>
      </c>
      <c r="D61" s="723">
        <f>+Datos!D97</f>
        <v>1346.43</v>
      </c>
      <c r="E61" t="s">
        <v>819</v>
      </c>
    </row>
    <row r="62" spans="2:10" x14ac:dyDescent="0.25">
      <c r="C62" s="285" t="s">
        <v>315</v>
      </c>
      <c r="D62" s="723">
        <f>+Datos!D98</f>
        <v>2019.67</v>
      </c>
      <c r="E62" t="s">
        <v>819</v>
      </c>
    </row>
    <row r="63" spans="2:10" x14ac:dyDescent="0.25">
      <c r="C63" s="285" t="s">
        <v>316</v>
      </c>
      <c r="D63" s="723">
        <f>+Datos!D99</f>
        <v>1842</v>
      </c>
      <c r="E63" t="s">
        <v>819</v>
      </c>
    </row>
    <row r="64" spans="2:10" x14ac:dyDescent="0.25">
      <c r="C64" s="285" t="s">
        <v>663</v>
      </c>
      <c r="D64" s="723">
        <f>+Datos!D100</f>
        <v>531.54999999999995</v>
      </c>
      <c r="E64" t="s">
        <v>819</v>
      </c>
    </row>
    <row r="65" spans="2:5" x14ac:dyDescent="0.25">
      <c r="C65" s="285" t="s">
        <v>672</v>
      </c>
      <c r="D65" s="723">
        <f>+Datos!D101</f>
        <v>2197.34</v>
      </c>
      <c r="E65" t="s">
        <v>819</v>
      </c>
    </row>
    <row r="66" spans="2:5" x14ac:dyDescent="0.25">
      <c r="C66" s="285"/>
      <c r="D66" s="285"/>
    </row>
    <row r="67" spans="2:5" x14ac:dyDescent="0.25">
      <c r="B67" s="2" t="s">
        <v>349</v>
      </c>
      <c r="C67" s="285"/>
      <c r="D67" s="723">
        <f>+Datos!D108</f>
        <v>80</v>
      </c>
      <c r="E67" t="s">
        <v>816</v>
      </c>
    </row>
    <row r="68" spans="2:5" x14ac:dyDescent="0.25">
      <c r="B68" s="2"/>
      <c r="D68" s="319"/>
    </row>
    <row r="69" spans="2:5" x14ac:dyDescent="0.25">
      <c r="B69" s="2" t="s">
        <v>319</v>
      </c>
      <c r="D69" s="323">
        <f>+Datos!D110</f>
        <v>0.12</v>
      </c>
      <c r="E69" t="s">
        <v>46</v>
      </c>
    </row>
    <row r="70" spans="2:5" x14ac:dyDescent="0.25">
      <c r="B70" s="2"/>
      <c r="D70" s="528"/>
    </row>
    <row r="71" spans="2:5" x14ac:dyDescent="0.25">
      <c r="B71" s="2" t="s">
        <v>721</v>
      </c>
      <c r="D71" s="723">
        <f>8000/CoeficientePase!C44</f>
        <v>29.612081729345569</v>
      </c>
    </row>
  </sheetData>
  <pageMargins left="0.70866141732283472" right="0.70866141732283472" top="0.74803149606299213" bottom="0.74803149606299213" header="0.31496062992125984" footer="0.31496062992125984"/>
  <pageSetup paperSize="9" scale="68" orientation="portrait" r:id="rId1"/>
  <headerFooter>
    <oddHeader>&amp;L&amp;"Arial,Negrita Cursiva"&amp;10HYTSA Estudios y Proyectos S.A.</oddHeader>
    <oddFooter>&amp;L&amp;"Arial,Negrita Cursiva"&amp;10&amp;F - &amp;A&amp;R&amp;"Arial,Negrita Cursiva"&amp;10&amp;P</oddFooter>
  </headerFooter>
  <colBreaks count="1" manualBreakCount="1">
    <brk id="5" max="1048575" man="1"/>
  </colBreaks>
  <ignoredErrors>
    <ignoredError sqref="D57:D65 D67 D41:D42 C48:C5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Macro_TA_Todojunto">
                <anchor moveWithCells="1" sizeWithCells="1">
                  <from>
                    <xdr:col>5</xdr:col>
                    <xdr:colOff>161925</xdr:colOff>
                    <xdr:row>33</xdr:row>
                    <xdr:rowOff>0</xdr:rowOff>
                  </from>
                  <to>
                    <xdr:col>7</xdr:col>
                    <xdr:colOff>676275</xdr:colOff>
                    <xdr:row>36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46">
    <tabColor rgb="FFFFFF00"/>
    <pageSetUpPr fitToPage="1"/>
  </sheetPr>
  <dimension ref="B1:J28"/>
  <sheetViews>
    <sheetView view="pageBreakPreview" zoomScale="90" zoomScaleNormal="100" zoomScaleSheetLayoutView="90" workbookViewId="0">
      <selection activeCell="H3" sqref="H3"/>
    </sheetView>
  </sheetViews>
  <sheetFormatPr baseColWidth="10" defaultRowHeight="15" x14ac:dyDescent="0.25"/>
  <cols>
    <col min="2" max="2" width="52.85546875" bestFit="1" customWidth="1"/>
    <col min="3" max="3" width="16.7109375" bestFit="1" customWidth="1"/>
    <col min="6" max="6" width="52.85546875" bestFit="1" customWidth="1"/>
    <col min="7" max="7" width="14.85546875" bestFit="1" customWidth="1"/>
    <col min="9" max="9" width="6.5703125" customWidth="1"/>
    <col min="10" max="10" width="4.7109375" customWidth="1"/>
  </cols>
  <sheetData>
    <row r="1" spans="2:10" x14ac:dyDescent="0.25">
      <c r="B1" s="2" t="s">
        <v>228</v>
      </c>
      <c r="C1" s="2" t="str">
        <f>+P_Datos!C2</f>
        <v>Pehuajó</v>
      </c>
    </row>
    <row r="2" spans="2:10" x14ac:dyDescent="0.25">
      <c r="B2" s="5" t="s">
        <v>233</v>
      </c>
    </row>
    <row r="3" spans="2:10" x14ac:dyDescent="0.25">
      <c r="F3" s="2" t="s">
        <v>806</v>
      </c>
      <c r="H3" s="764" t="s">
        <v>731</v>
      </c>
      <c r="I3" s="14" t="s">
        <v>732</v>
      </c>
    </row>
    <row r="4" spans="2:10" x14ac:dyDescent="0.25">
      <c r="B4" s="2" t="s">
        <v>234</v>
      </c>
      <c r="F4" s="2" t="s">
        <v>235</v>
      </c>
    </row>
    <row r="5" spans="2:10" x14ac:dyDescent="0.25">
      <c r="B5" t="s">
        <v>236</v>
      </c>
      <c r="C5">
        <v>0.4</v>
      </c>
      <c r="F5" t="s">
        <v>236</v>
      </c>
      <c r="G5">
        <f>+C5</f>
        <v>0.4</v>
      </c>
    </row>
    <row r="6" spans="2:10" x14ac:dyDescent="0.25">
      <c r="B6" t="s">
        <v>237</v>
      </c>
      <c r="C6" s="140">
        <f>+P_Datos!D39</f>
        <v>36568</v>
      </c>
      <c r="F6" t="s">
        <v>237</v>
      </c>
      <c r="G6" s="140">
        <f>+C6</f>
        <v>36568</v>
      </c>
    </row>
    <row r="7" spans="2:10" x14ac:dyDescent="0.25">
      <c r="B7" t="s">
        <v>170</v>
      </c>
      <c r="C7">
        <f>ROUNDUP(C6*C5/1000,0)</f>
        <v>15</v>
      </c>
      <c r="F7" t="s">
        <v>170</v>
      </c>
      <c r="G7" s="140">
        <f>+C7</f>
        <v>15</v>
      </c>
    </row>
    <row r="9" spans="2:10" x14ac:dyDescent="0.25">
      <c r="B9" t="s">
        <v>238</v>
      </c>
      <c r="C9" s="150">
        <f>+P_Datos!D67/1000</f>
        <v>191</v>
      </c>
      <c r="D9" t="s">
        <v>3</v>
      </c>
      <c r="F9" t="s">
        <v>238</v>
      </c>
      <c r="G9" s="150">
        <f>+C9</f>
        <v>191</v>
      </c>
      <c r="H9" t="s">
        <v>3</v>
      </c>
    </row>
    <row r="10" spans="2:10" x14ac:dyDescent="0.25">
      <c r="B10" t="s">
        <v>239</v>
      </c>
      <c r="C10" s="672">
        <v>3</v>
      </c>
      <c r="D10" t="s">
        <v>240</v>
      </c>
      <c r="F10" t="s">
        <v>239</v>
      </c>
      <c r="G10" s="672">
        <v>3</v>
      </c>
      <c r="H10" t="s">
        <v>240</v>
      </c>
      <c r="I10">
        <f>+G10*6*52</f>
        <v>936</v>
      </c>
      <c r="J10" t="s">
        <v>241</v>
      </c>
    </row>
    <row r="11" spans="2:10" x14ac:dyDescent="0.25">
      <c r="B11" t="s">
        <v>242</v>
      </c>
      <c r="C11">
        <v>5</v>
      </c>
      <c r="F11" t="s">
        <v>242</v>
      </c>
      <c r="G11">
        <v>5</v>
      </c>
    </row>
    <row r="12" spans="2:10" x14ac:dyDescent="0.25">
      <c r="B12" t="s">
        <v>243</v>
      </c>
      <c r="D12" t="s">
        <v>244</v>
      </c>
      <c r="F12" t="s">
        <v>243</v>
      </c>
      <c r="G12">
        <v>30</v>
      </c>
      <c r="H12" t="s">
        <v>244</v>
      </c>
    </row>
    <row r="13" spans="2:10" x14ac:dyDescent="0.25">
      <c r="B13" t="s">
        <v>245</v>
      </c>
      <c r="C13">
        <v>2.5</v>
      </c>
      <c r="D13" t="s">
        <v>244</v>
      </c>
      <c r="F13" t="s">
        <v>245</v>
      </c>
      <c r="G13">
        <v>2.5</v>
      </c>
      <c r="H13" t="s">
        <v>244</v>
      </c>
    </row>
    <row r="14" spans="2:10" x14ac:dyDescent="0.25">
      <c r="B14" t="s">
        <v>246</v>
      </c>
      <c r="C14" s="25">
        <f>+C9*C10</f>
        <v>573</v>
      </c>
      <c r="D14" t="s">
        <v>3</v>
      </c>
      <c r="F14" t="s">
        <v>246</v>
      </c>
      <c r="G14" s="25">
        <f>+G9*G10</f>
        <v>573</v>
      </c>
      <c r="H14" t="s">
        <v>3</v>
      </c>
    </row>
    <row r="15" spans="2:10" x14ac:dyDescent="0.25">
      <c r="B15" t="s">
        <v>247</v>
      </c>
      <c r="C15">
        <f>+C12*5</f>
        <v>0</v>
      </c>
      <c r="D15" t="s">
        <v>3</v>
      </c>
      <c r="F15" t="s">
        <v>247</v>
      </c>
      <c r="G15">
        <f>+G12*5</f>
        <v>150</v>
      </c>
      <c r="H15" t="s">
        <v>3</v>
      </c>
    </row>
    <row r="16" spans="2:10" x14ac:dyDescent="0.25">
      <c r="B16" t="s">
        <v>248</v>
      </c>
      <c r="C16" s="25">
        <f>+IF((C14-C15)&lt;=0,0,C14-C15)</f>
        <v>573</v>
      </c>
      <c r="D16" t="s">
        <v>3</v>
      </c>
      <c r="F16" t="s">
        <v>248</v>
      </c>
      <c r="G16" s="25">
        <f>+IF((G14-G15)&lt;=0,0,G14-G15)</f>
        <v>423</v>
      </c>
      <c r="H16" t="s">
        <v>3</v>
      </c>
    </row>
    <row r="17" spans="2:10" x14ac:dyDescent="0.25">
      <c r="B17" t="s">
        <v>249</v>
      </c>
      <c r="C17">
        <f>+C13*5</f>
        <v>12.5</v>
      </c>
      <c r="D17" t="s">
        <v>3</v>
      </c>
      <c r="F17" t="s">
        <v>249</v>
      </c>
      <c r="G17">
        <f>+G13*5</f>
        <v>12.5</v>
      </c>
      <c r="H17" t="s">
        <v>3</v>
      </c>
    </row>
    <row r="18" spans="2:10" x14ac:dyDescent="0.25">
      <c r="B18" t="s">
        <v>250</v>
      </c>
      <c r="C18">
        <f>+IF(C16&gt;0,ROUNDUP(C16/C17,0),0)</f>
        <v>46</v>
      </c>
      <c r="F18" t="s">
        <v>250</v>
      </c>
      <c r="G18">
        <f>+IF(G16&gt;0,ROUNDUP(G16/G17,0),0)</f>
        <v>34</v>
      </c>
    </row>
    <row r="19" spans="2:10" x14ac:dyDescent="0.25">
      <c r="B19" t="s">
        <v>251</v>
      </c>
      <c r="C19">
        <f>+ROUNDUP(+Datos!$C$55/10000*0.01,0)</f>
        <v>10</v>
      </c>
      <c r="F19" t="s">
        <v>251</v>
      </c>
      <c r="G19">
        <f>+ROUNDUP(+Datos!$C$55/10000*0.01,0)</f>
        <v>10</v>
      </c>
    </row>
    <row r="20" spans="2:10" x14ac:dyDescent="0.25">
      <c r="B20" s="2" t="s">
        <v>252</v>
      </c>
      <c r="C20" s="2">
        <f>+C18+C19</f>
        <v>56</v>
      </c>
      <c r="F20" s="2" t="s">
        <v>252</v>
      </c>
      <c r="G20" s="2">
        <f>+G18+G19</f>
        <v>44</v>
      </c>
    </row>
    <row r="22" spans="2:10" x14ac:dyDescent="0.25">
      <c r="B22" t="s">
        <v>253</v>
      </c>
      <c r="C22" s="140"/>
      <c r="D22" t="s">
        <v>816</v>
      </c>
      <c r="F22" t="s">
        <v>255</v>
      </c>
      <c r="G22" s="763">
        <v>190000</v>
      </c>
      <c r="H22" t="s">
        <v>816</v>
      </c>
    </row>
    <row r="23" spans="2:10" x14ac:dyDescent="0.25">
      <c r="B23" t="s">
        <v>256</v>
      </c>
      <c r="C23" s="140"/>
      <c r="D23" t="s">
        <v>820</v>
      </c>
      <c r="F23" t="s">
        <v>257</v>
      </c>
      <c r="G23" s="140">
        <f>+P_Datos!D102*13*1.5+(G10*G9*4*12)*'P_Costos 6m3-1T'!D44</f>
        <v>128416.91042571032</v>
      </c>
      <c r="H23" t="s">
        <v>820</v>
      </c>
      <c r="I23" s="25">
        <f>+G23/(2*6*52)</f>
        <v>205.7963308104332</v>
      </c>
      <c r="J23" t="s">
        <v>821</v>
      </c>
    </row>
    <row r="24" spans="2:10" x14ac:dyDescent="0.25">
      <c r="B24" t="s">
        <v>258</v>
      </c>
      <c r="C24" s="140">
        <f>+P_Datos!D103*13*1.5</f>
        <v>30773.145</v>
      </c>
      <c r="D24" t="s">
        <v>820</v>
      </c>
      <c r="F24" t="s">
        <v>258</v>
      </c>
      <c r="G24" s="140">
        <f>+C24</f>
        <v>30773.145</v>
      </c>
      <c r="H24" t="s">
        <v>820</v>
      </c>
    </row>
    <row r="25" spans="2:10" x14ac:dyDescent="0.25">
      <c r="B25" t="s">
        <v>259</v>
      </c>
      <c r="C25" s="140">
        <f>+C20*C24</f>
        <v>1723296.12</v>
      </c>
      <c r="D25" t="s">
        <v>820</v>
      </c>
      <c r="F25" t="s">
        <v>259</v>
      </c>
      <c r="G25" s="140">
        <f>+G20*G24</f>
        <v>1354018.3800000001</v>
      </c>
      <c r="H25" t="s">
        <v>820</v>
      </c>
    </row>
    <row r="26" spans="2:10" x14ac:dyDescent="0.25">
      <c r="B26" t="s">
        <v>260</v>
      </c>
      <c r="C26">
        <v>10</v>
      </c>
      <c r="F26" t="s">
        <v>260</v>
      </c>
      <c r="G26" s="672">
        <v>10</v>
      </c>
    </row>
    <row r="27" spans="2:10" x14ac:dyDescent="0.25">
      <c r="B27" t="s">
        <v>261</v>
      </c>
      <c r="C27" s="195">
        <v>0.12</v>
      </c>
      <c r="F27" t="s">
        <v>261</v>
      </c>
      <c r="G27" s="195">
        <v>0.12</v>
      </c>
    </row>
    <row r="28" spans="2:10" x14ac:dyDescent="0.25">
      <c r="B28" t="s">
        <v>262</v>
      </c>
      <c r="C28" s="722">
        <f>+PV(C27,C26,C23+C25)</f>
        <v>-9737007.4219950978</v>
      </c>
      <c r="F28" t="s">
        <v>262</v>
      </c>
      <c r="G28" s="722">
        <f>IF(H3="SI",PV(G27,G26,G23+G25)-G22,-100000000000)</f>
        <v>-8566090.0160923004</v>
      </c>
    </row>
  </sheetData>
  <pageMargins left="0.70866141732283472" right="0.70866141732283472" top="0.74803149606299213" bottom="0.74803149606299213" header="0.31496062992125984" footer="0.31496062992125984"/>
  <pageSetup paperSize="9" scale="72"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8">
    <tabColor rgb="FFFFFF00"/>
  </sheetPr>
  <dimension ref="A1:O183"/>
  <sheetViews>
    <sheetView view="pageBreakPreview" zoomScaleNormal="100" zoomScaleSheetLayoutView="100" workbookViewId="0">
      <selection activeCell="H13" sqref="H13"/>
    </sheetView>
  </sheetViews>
  <sheetFormatPr baseColWidth="10" defaultRowHeight="15" x14ac:dyDescent="0.25"/>
  <cols>
    <col min="1" max="1" width="20.85546875" customWidth="1"/>
    <col min="2" max="2" width="15.7109375" customWidth="1"/>
    <col min="3" max="5" width="18.7109375" customWidth="1"/>
    <col min="6" max="6" width="15.7109375" customWidth="1"/>
    <col min="7" max="7" width="29.28515625" customWidth="1"/>
    <col min="8" max="8" width="18.42578125" customWidth="1"/>
    <col min="10" max="10" width="11.42578125" customWidth="1"/>
    <col min="15" max="15" width="29.28515625" customWidth="1"/>
  </cols>
  <sheetData>
    <row r="1" spans="1:15" ht="21" x14ac:dyDescent="0.25">
      <c r="A1" s="324" t="s">
        <v>351</v>
      </c>
      <c r="B1" s="325"/>
      <c r="C1" s="325"/>
      <c r="D1" s="325"/>
      <c r="E1" s="325"/>
      <c r="F1" s="325"/>
      <c r="G1" s="325"/>
      <c r="I1" s="326" t="s">
        <v>352</v>
      </c>
      <c r="J1" s="327">
        <v>0.30480000000000002</v>
      </c>
      <c r="K1" s="327" t="s">
        <v>159</v>
      </c>
      <c r="L1" s="327" t="s">
        <v>712</v>
      </c>
      <c r="M1" s="327">
        <v>10.76</v>
      </c>
      <c r="N1" s="535" t="s">
        <v>713</v>
      </c>
    </row>
    <row r="2" spans="1:15" ht="36" x14ac:dyDescent="0.25">
      <c r="A2" s="328" t="s">
        <v>353</v>
      </c>
      <c r="B2" s="503" t="s">
        <v>354</v>
      </c>
      <c r="C2" s="330" t="s">
        <v>355</v>
      </c>
      <c r="D2" s="330"/>
      <c r="E2" s="330"/>
      <c r="F2" s="503">
        <f>+Datos!D44*52</f>
        <v>208</v>
      </c>
      <c r="I2" s="332" t="s">
        <v>356</v>
      </c>
      <c r="J2" s="333">
        <v>0.45359237000000002</v>
      </c>
      <c r="K2" s="333" t="s">
        <v>357</v>
      </c>
      <c r="L2" s="333">
        <f>+J2/1000</f>
        <v>4.5359237000000004E-4</v>
      </c>
      <c r="M2" s="334" t="s">
        <v>358</v>
      </c>
      <c r="O2" s="331" t="s">
        <v>644</v>
      </c>
    </row>
    <row r="3" spans="1:15" x14ac:dyDescent="0.25">
      <c r="A3" s="328" t="s">
        <v>359</v>
      </c>
      <c r="B3" s="503" t="s">
        <v>360</v>
      </c>
      <c r="C3" s="330" t="s">
        <v>361</v>
      </c>
      <c r="D3" s="330"/>
      <c r="E3" s="330"/>
      <c r="F3" s="329">
        <v>0.25</v>
      </c>
      <c r="I3" s="332" t="s">
        <v>363</v>
      </c>
      <c r="J3" s="333">
        <v>0.91439999999999999</v>
      </c>
      <c r="K3" s="333" t="s">
        <v>159</v>
      </c>
      <c r="L3" s="333"/>
      <c r="M3" s="334"/>
      <c r="O3" s="335" t="s">
        <v>362</v>
      </c>
    </row>
    <row r="4" spans="1:15" x14ac:dyDescent="0.25">
      <c r="A4" s="336" t="s">
        <v>364</v>
      </c>
      <c r="B4" s="536" t="s">
        <v>159</v>
      </c>
      <c r="C4" s="337" t="s">
        <v>365</v>
      </c>
      <c r="D4" s="337"/>
      <c r="E4" s="337"/>
      <c r="F4" s="338">
        <v>1</v>
      </c>
      <c r="I4" s="332" t="s">
        <v>366</v>
      </c>
      <c r="J4" s="333">
        <f>1/J3</f>
        <v>1.0936132983377078</v>
      </c>
      <c r="K4" s="333" t="s">
        <v>367</v>
      </c>
      <c r="L4" s="333"/>
      <c r="M4" s="334"/>
      <c r="O4" s="335" t="s">
        <v>362</v>
      </c>
    </row>
    <row r="5" spans="1:15" x14ac:dyDescent="0.25">
      <c r="A5" s="339"/>
      <c r="B5" s="340" t="s">
        <v>368</v>
      </c>
      <c r="C5" s="341"/>
      <c r="D5" s="342">
        <f>+F4/$J$1</f>
        <v>3.280839895013123</v>
      </c>
      <c r="E5" s="341"/>
      <c r="F5" s="339"/>
      <c r="I5" s="332" t="s">
        <v>369</v>
      </c>
      <c r="J5" s="333">
        <v>0.40468564200000001</v>
      </c>
      <c r="K5" s="333" t="s">
        <v>370</v>
      </c>
      <c r="L5" s="333"/>
      <c r="M5" s="334"/>
      <c r="O5" s="343"/>
    </row>
    <row r="6" spans="1:15" ht="30" x14ac:dyDescent="0.25">
      <c r="A6" s="336" t="s">
        <v>371</v>
      </c>
      <c r="B6" s="536" t="s">
        <v>372</v>
      </c>
      <c r="C6" s="337" t="s">
        <v>373</v>
      </c>
      <c r="D6" s="337"/>
      <c r="E6" s="337"/>
      <c r="F6" s="338">
        <v>0.15</v>
      </c>
      <c r="I6" s="332" t="s">
        <v>375</v>
      </c>
      <c r="J6" s="333">
        <f>1/J5</f>
        <v>2.4710538161371192</v>
      </c>
      <c r="K6" s="333" t="s">
        <v>376</v>
      </c>
      <c r="L6" s="333"/>
      <c r="M6" s="334"/>
      <c r="O6" s="344" t="s">
        <v>374</v>
      </c>
    </row>
    <row r="7" spans="1:15" x14ac:dyDescent="0.25">
      <c r="A7" s="339"/>
      <c r="B7" s="340" t="s">
        <v>377</v>
      </c>
      <c r="C7" s="341"/>
      <c r="D7" s="342">
        <f>+(F6/$L$2)/$J$4^3</f>
        <v>252.83324033338562</v>
      </c>
      <c r="E7" s="341"/>
      <c r="F7" s="339"/>
      <c r="I7" s="332" t="s">
        <v>378</v>
      </c>
      <c r="J7" s="333">
        <v>3.7854117999999999</v>
      </c>
      <c r="K7" s="333" t="s">
        <v>379</v>
      </c>
      <c r="L7" s="333"/>
      <c r="M7" s="334"/>
      <c r="O7" s="343"/>
    </row>
    <row r="8" spans="1:15" ht="35.25" customHeight="1" x14ac:dyDescent="0.25">
      <c r="A8" s="336" t="s">
        <v>380</v>
      </c>
      <c r="B8" s="536" t="s">
        <v>156</v>
      </c>
      <c r="C8" s="821" t="s">
        <v>381</v>
      </c>
      <c r="D8" s="821"/>
      <c r="E8" s="821"/>
      <c r="F8" s="338">
        <f>5*4</f>
        <v>20</v>
      </c>
      <c r="I8" s="332" t="s">
        <v>382</v>
      </c>
      <c r="J8" s="333">
        <f>1/J7</f>
        <v>0.26417205124155846</v>
      </c>
      <c r="K8" s="333" t="s">
        <v>383</v>
      </c>
      <c r="L8" s="333"/>
      <c r="M8" s="334"/>
      <c r="O8" s="335" t="s">
        <v>362</v>
      </c>
    </row>
    <row r="9" spans="1:15" x14ac:dyDescent="0.25">
      <c r="A9" s="339"/>
      <c r="B9" s="340" t="s">
        <v>384</v>
      </c>
      <c r="C9" s="341"/>
      <c r="D9" s="342">
        <f>+F8/($J$1^2)</f>
        <v>215.27820833419443</v>
      </c>
      <c r="E9" s="341"/>
      <c r="F9" s="339"/>
      <c r="I9" s="345" t="s">
        <v>385</v>
      </c>
      <c r="J9" s="346">
        <v>5.9329999999999995E-4</v>
      </c>
      <c r="K9" s="347" t="s">
        <v>386</v>
      </c>
      <c r="L9" s="347"/>
      <c r="M9" s="348"/>
      <c r="O9" s="343"/>
    </row>
    <row r="10" spans="1:15" x14ac:dyDescent="0.25">
      <c r="A10" s="328" t="s">
        <v>387</v>
      </c>
      <c r="B10" s="503" t="s">
        <v>388</v>
      </c>
      <c r="C10" s="330" t="s">
        <v>389</v>
      </c>
      <c r="D10" s="330"/>
      <c r="E10" s="330"/>
      <c r="F10" s="349">
        <v>0.25</v>
      </c>
      <c r="O10" s="335" t="s">
        <v>362</v>
      </c>
    </row>
    <row r="11" spans="1:15" ht="15.75" thickBot="1" x14ac:dyDescent="0.3">
      <c r="A11" s="328" t="s">
        <v>390</v>
      </c>
      <c r="B11" s="503" t="s">
        <v>391</v>
      </c>
      <c r="C11" s="330" t="s">
        <v>392</v>
      </c>
      <c r="D11" s="330"/>
      <c r="E11" s="330"/>
      <c r="F11" s="349">
        <v>1.2</v>
      </c>
      <c r="O11" s="335" t="s">
        <v>362</v>
      </c>
    </row>
    <row r="12" spans="1:15" ht="76.5" customHeight="1" x14ac:dyDescent="0.25">
      <c r="A12" s="328" t="s">
        <v>393</v>
      </c>
      <c r="B12" s="503" t="s">
        <v>394</v>
      </c>
      <c r="C12" s="815" t="s">
        <v>395</v>
      </c>
      <c r="D12" s="815"/>
      <c r="E12" s="815"/>
      <c r="F12" s="504">
        <f>+IF('Evaluacion Economica'!Q25=1,7,14)</f>
        <v>7</v>
      </c>
      <c r="J12" s="350" t="s">
        <v>396</v>
      </c>
      <c r="K12" s="351"/>
      <c r="L12" s="352"/>
      <c r="M12" s="352"/>
      <c r="N12" s="353"/>
      <c r="O12" s="331" t="s">
        <v>645</v>
      </c>
    </row>
    <row r="13" spans="1:15" ht="36" x14ac:dyDescent="0.25">
      <c r="A13" s="336" t="s">
        <v>397</v>
      </c>
      <c r="B13" s="536" t="s">
        <v>398</v>
      </c>
      <c r="C13" s="815" t="s">
        <v>399</v>
      </c>
      <c r="D13" s="815"/>
      <c r="E13" s="815"/>
      <c r="F13" s="505">
        <f>+'Evaluacion Economica'!R25</f>
        <v>12</v>
      </c>
      <c r="J13" s="354" t="s">
        <v>400</v>
      </c>
      <c r="K13" s="169"/>
      <c r="L13" s="325"/>
      <c r="M13" s="325"/>
      <c r="N13" s="355"/>
      <c r="O13" s="331" t="s">
        <v>646</v>
      </c>
    </row>
    <row r="14" spans="1:15" x14ac:dyDescent="0.25">
      <c r="A14" s="356"/>
      <c r="B14" s="357" t="s">
        <v>401</v>
      </c>
      <c r="C14" s="343"/>
      <c r="D14" s="358">
        <f>+F13/$L$2</f>
        <v>26455.471462185305</v>
      </c>
      <c r="E14" s="343"/>
      <c r="F14" s="356"/>
      <c r="J14" s="359"/>
      <c r="K14" s="325" t="s">
        <v>402</v>
      </c>
      <c r="L14" s="325"/>
      <c r="M14" s="325"/>
      <c r="N14" s="355"/>
      <c r="O14" s="343"/>
    </row>
    <row r="15" spans="1:15" x14ac:dyDescent="0.25">
      <c r="A15" s="336" t="s">
        <v>403</v>
      </c>
      <c r="B15" s="536" t="s">
        <v>156</v>
      </c>
      <c r="C15" s="337" t="s">
        <v>404</v>
      </c>
      <c r="D15" s="337"/>
      <c r="E15" s="337"/>
      <c r="F15" s="338">
        <f>10*3</f>
        <v>30</v>
      </c>
      <c r="J15" s="359"/>
      <c r="K15" s="325" t="s">
        <v>405</v>
      </c>
      <c r="L15" s="325"/>
      <c r="M15" s="325"/>
      <c r="N15" s="355"/>
      <c r="O15" s="335" t="s">
        <v>362</v>
      </c>
    </row>
    <row r="16" spans="1:15" x14ac:dyDescent="0.25">
      <c r="A16" s="339"/>
      <c r="B16" s="340" t="s">
        <v>384</v>
      </c>
      <c r="C16" s="341"/>
      <c r="D16" s="342">
        <f>+F15/($J$1^2)</f>
        <v>322.91731250129163</v>
      </c>
      <c r="E16" s="341"/>
      <c r="F16" s="339"/>
      <c r="J16" s="354" t="s">
        <v>203</v>
      </c>
      <c r="K16" s="325"/>
      <c r="L16" s="325"/>
      <c r="M16" s="325"/>
      <c r="N16" s="355"/>
      <c r="O16" s="343"/>
    </row>
    <row r="17" spans="1:15" x14ac:dyDescent="0.25">
      <c r="A17" s="328" t="s">
        <v>406</v>
      </c>
      <c r="B17" s="503" t="s">
        <v>30</v>
      </c>
      <c r="C17" s="330" t="s">
        <v>407</v>
      </c>
      <c r="D17" s="330"/>
      <c r="E17" s="330"/>
      <c r="F17" s="349">
        <v>0.5</v>
      </c>
      <c r="J17" s="359"/>
      <c r="K17" s="325" t="s">
        <v>408</v>
      </c>
      <c r="L17" s="325"/>
      <c r="M17" s="325"/>
      <c r="N17" s="355"/>
      <c r="O17" s="335" t="s">
        <v>362</v>
      </c>
    </row>
    <row r="18" spans="1:15" x14ac:dyDescent="0.25">
      <c r="A18" s="328" t="s">
        <v>409</v>
      </c>
      <c r="B18" s="503" t="s">
        <v>30</v>
      </c>
      <c r="C18" s="330" t="s">
        <v>410</v>
      </c>
      <c r="D18" s="330"/>
      <c r="E18" s="330"/>
      <c r="F18" s="349">
        <v>0.16666666666666666</v>
      </c>
      <c r="J18" s="359"/>
      <c r="K18" s="325" t="s">
        <v>411</v>
      </c>
      <c r="L18" s="325"/>
      <c r="M18" s="325"/>
      <c r="N18" s="355"/>
      <c r="O18" s="335" t="s">
        <v>362</v>
      </c>
    </row>
    <row r="19" spans="1:15" ht="36" x14ac:dyDescent="0.25">
      <c r="A19" s="336" t="s">
        <v>412</v>
      </c>
      <c r="B19" s="536" t="s">
        <v>86</v>
      </c>
      <c r="C19" s="337" t="s">
        <v>413</v>
      </c>
      <c r="D19" s="337"/>
      <c r="E19" s="337"/>
      <c r="F19" s="505">
        <f>+'TA_Evaluacion Economica'!R19</f>
        <v>40</v>
      </c>
      <c r="J19" s="359"/>
      <c r="K19" s="325" t="s">
        <v>405</v>
      </c>
      <c r="L19" s="325"/>
      <c r="M19" s="325"/>
      <c r="N19" s="355"/>
      <c r="O19" s="331" t="s">
        <v>647</v>
      </c>
    </row>
    <row r="20" spans="1:15" ht="15.75" thickBot="1" x14ac:dyDescent="0.3">
      <c r="A20" s="339"/>
      <c r="B20" s="340" t="s">
        <v>414</v>
      </c>
      <c r="C20" s="341"/>
      <c r="D20" s="360">
        <f>+F19/$J$3^3</f>
        <v>52.31802477257569</v>
      </c>
      <c r="E20" s="341"/>
      <c r="F20" s="339"/>
      <c r="J20" s="361"/>
      <c r="K20" s="362"/>
      <c r="L20" s="362"/>
      <c r="M20" s="362"/>
      <c r="N20" s="363"/>
      <c r="O20" s="343"/>
    </row>
    <row r="21" spans="1:15" ht="36" x14ac:dyDescent="0.25">
      <c r="A21" s="336" t="s">
        <v>415</v>
      </c>
      <c r="B21" s="536" t="s">
        <v>416</v>
      </c>
      <c r="C21" s="337" t="s">
        <v>417</v>
      </c>
      <c r="D21" s="337"/>
      <c r="E21" s="337"/>
      <c r="F21" s="505">
        <f>+TA_Datos!D29</f>
        <v>0.27</v>
      </c>
      <c r="O21" s="331" t="s">
        <v>647</v>
      </c>
    </row>
    <row r="22" spans="1:15" x14ac:dyDescent="0.25">
      <c r="A22" s="339"/>
      <c r="B22" s="340" t="s">
        <v>377</v>
      </c>
      <c r="C22" s="341"/>
      <c r="D22" s="342">
        <f>+(F21/$L$2)/$J$4^3</f>
        <v>455.09983260009415</v>
      </c>
      <c r="E22" s="341"/>
      <c r="F22" s="339"/>
      <c r="O22" s="343"/>
    </row>
    <row r="23" spans="1:15" ht="30" x14ac:dyDescent="0.25">
      <c r="A23" s="328" t="s">
        <v>418</v>
      </c>
      <c r="B23" s="503" t="s">
        <v>391</v>
      </c>
      <c r="C23" s="330" t="s">
        <v>419</v>
      </c>
      <c r="D23" s="330"/>
      <c r="E23" s="330"/>
      <c r="F23" s="349">
        <v>0.1</v>
      </c>
      <c r="O23" s="364" t="s">
        <v>420</v>
      </c>
    </row>
    <row r="24" spans="1:15" ht="30.75" customHeight="1" x14ac:dyDescent="0.25">
      <c r="A24" s="336" t="s">
        <v>421</v>
      </c>
      <c r="B24" s="536" t="s">
        <v>840</v>
      </c>
      <c r="C24" s="821" t="s">
        <v>643</v>
      </c>
      <c r="D24" s="821"/>
      <c r="E24" s="821"/>
      <c r="F24" s="505">
        <f>+'Costos unitarios ET'!J58*CoeficientePase!$C$43</f>
        <v>558.72296879595854</v>
      </c>
      <c r="O24" s="335" t="s">
        <v>648</v>
      </c>
    </row>
    <row r="25" spans="1:15" x14ac:dyDescent="0.25">
      <c r="A25" s="339"/>
      <c r="B25" s="340" t="s">
        <v>841</v>
      </c>
      <c r="C25" s="341"/>
      <c r="D25" s="360">
        <f>+F24/M1</f>
        <v>51.925926468025885</v>
      </c>
      <c r="E25" s="341"/>
      <c r="F25" s="339"/>
      <c r="O25" s="343"/>
    </row>
    <row r="26" spans="1:15" ht="31.5" customHeight="1" x14ac:dyDescent="0.25">
      <c r="A26" s="328" t="s">
        <v>422</v>
      </c>
      <c r="B26" s="503" t="s">
        <v>423</v>
      </c>
      <c r="C26" s="330" t="s">
        <v>424</v>
      </c>
      <c r="D26" s="330"/>
      <c r="E26" s="330"/>
      <c r="F26" s="349">
        <f>1/0.7</f>
        <v>1.4285714285714286</v>
      </c>
      <c r="O26" s="364" t="s">
        <v>420</v>
      </c>
    </row>
    <row r="27" spans="1:15" ht="30" customHeight="1" x14ac:dyDescent="0.25">
      <c r="A27" s="336" t="s">
        <v>425</v>
      </c>
      <c r="B27" s="536" t="s">
        <v>840</v>
      </c>
      <c r="C27" s="821" t="s">
        <v>501</v>
      </c>
      <c r="D27" s="821"/>
      <c r="E27" s="821"/>
      <c r="F27" s="505">
        <f>+'Costos unitarios ET'!K58*CoeficientePase!$C$43</f>
        <v>376.46673630256669</v>
      </c>
      <c r="O27" s="335" t="s">
        <v>648</v>
      </c>
    </row>
    <row r="28" spans="1:15" ht="15" customHeight="1" x14ac:dyDescent="0.25">
      <c r="A28" s="356"/>
      <c r="B28" s="357" t="s">
        <v>841</v>
      </c>
      <c r="C28" s="343"/>
      <c r="D28" s="358">
        <f>+F27/M1</f>
        <v>34.987614898008054</v>
      </c>
      <c r="E28" s="343"/>
      <c r="F28" s="356"/>
      <c r="O28" s="343"/>
    </row>
    <row r="29" spans="1:15" ht="52.5" customHeight="1" x14ac:dyDescent="0.25">
      <c r="A29" s="328" t="s">
        <v>426</v>
      </c>
      <c r="B29" s="503" t="s">
        <v>391</v>
      </c>
      <c r="C29" s="815" t="s">
        <v>427</v>
      </c>
      <c r="D29" s="815"/>
      <c r="E29" s="815"/>
      <c r="F29" s="349">
        <v>0.05</v>
      </c>
      <c r="O29" s="344" t="s">
        <v>374</v>
      </c>
    </row>
    <row r="30" spans="1:15" x14ac:dyDescent="0.25">
      <c r="A30" s="336" t="s">
        <v>428</v>
      </c>
      <c r="B30" s="536" t="s">
        <v>842</v>
      </c>
      <c r="C30" s="337" t="s">
        <v>429</v>
      </c>
      <c r="D30" s="337"/>
      <c r="E30" s="337"/>
      <c r="F30" s="338">
        <v>0</v>
      </c>
      <c r="H30" s="285"/>
      <c r="O30" s="335" t="s">
        <v>362</v>
      </c>
    </row>
    <row r="31" spans="1:15" x14ac:dyDescent="0.25">
      <c r="A31" s="339"/>
      <c r="B31" s="340" t="s">
        <v>843</v>
      </c>
      <c r="C31" s="341"/>
      <c r="D31" s="342">
        <f>+F30*$J$6</f>
        <v>0</v>
      </c>
      <c r="E31" s="341"/>
      <c r="F31" s="339"/>
      <c r="H31" s="364"/>
      <c r="O31" s="343"/>
    </row>
    <row r="32" spans="1:15" ht="18.75" x14ac:dyDescent="0.25">
      <c r="A32" s="365" t="s">
        <v>430</v>
      </c>
      <c r="B32" s="366"/>
      <c r="C32" s="367"/>
      <c r="D32" s="367"/>
      <c r="E32" s="367"/>
      <c r="F32" s="368">
        <v>1</v>
      </c>
      <c r="O32" s="169" t="s">
        <v>431</v>
      </c>
    </row>
    <row r="33" spans="1:15" x14ac:dyDescent="0.25">
      <c r="A33" s="328" t="s">
        <v>432</v>
      </c>
      <c r="B33" s="503" t="s">
        <v>433</v>
      </c>
      <c r="C33" s="330" t="s">
        <v>434</v>
      </c>
      <c r="D33" s="330"/>
      <c r="E33" s="330"/>
      <c r="F33" s="369">
        <v>4.7E-2</v>
      </c>
      <c r="O33" s="335" t="s">
        <v>362</v>
      </c>
    </row>
    <row r="34" spans="1:15" ht="40.5" customHeight="1" x14ac:dyDescent="0.25">
      <c r="A34" s="328" t="s">
        <v>435</v>
      </c>
      <c r="B34" s="503" t="s">
        <v>391</v>
      </c>
      <c r="C34" s="815" t="s">
        <v>436</v>
      </c>
      <c r="D34" s="815"/>
      <c r="E34" s="815"/>
      <c r="F34" s="349">
        <v>0.15</v>
      </c>
      <c r="O34" s="335" t="s">
        <v>362</v>
      </c>
    </row>
    <row r="35" spans="1:15" x14ac:dyDescent="0.25">
      <c r="A35" s="336" t="s">
        <v>437</v>
      </c>
      <c r="B35" s="536" t="s">
        <v>726</v>
      </c>
      <c r="C35" s="337" t="s">
        <v>438</v>
      </c>
      <c r="D35" s="337"/>
      <c r="E35" s="337"/>
      <c r="F35" s="338">
        <f>1500/60/50</f>
        <v>0.5</v>
      </c>
      <c r="O35" s="335" t="s">
        <v>362</v>
      </c>
    </row>
    <row r="36" spans="1:15" x14ac:dyDescent="0.25">
      <c r="A36" s="339"/>
      <c r="B36" s="340" t="s">
        <v>439</v>
      </c>
      <c r="C36" s="341"/>
      <c r="D36" s="360">
        <f>+F35*(1/M1)</f>
        <v>4.6468401486988851E-2</v>
      </c>
      <c r="E36" s="341"/>
      <c r="F36" s="339"/>
      <c r="O36" s="343"/>
    </row>
    <row r="37" spans="1:15" x14ac:dyDescent="0.25">
      <c r="A37" s="328" t="s">
        <v>440</v>
      </c>
      <c r="B37" s="503" t="s">
        <v>844</v>
      </c>
      <c r="C37" s="330" t="s">
        <v>711</v>
      </c>
      <c r="D37" s="330"/>
      <c r="E37" s="330"/>
      <c r="F37" s="370">
        <v>0.36499999999999999</v>
      </c>
      <c r="O37" s="335" t="s">
        <v>362</v>
      </c>
    </row>
    <row r="40" spans="1:15" ht="21" x14ac:dyDescent="0.35">
      <c r="A40" s="372" t="s">
        <v>444</v>
      </c>
    </row>
    <row r="41" spans="1:15" x14ac:dyDescent="0.25">
      <c r="A41" s="371" t="s">
        <v>445</v>
      </c>
    </row>
    <row r="42" spans="1:15" ht="18.75" x14ac:dyDescent="0.3">
      <c r="A42" s="169" t="s">
        <v>443</v>
      </c>
      <c r="B42" s="7" t="s">
        <v>859</v>
      </c>
      <c r="C42" s="2" t="s">
        <v>446</v>
      </c>
      <c r="D42" s="2"/>
      <c r="E42" s="325"/>
      <c r="F42" s="2"/>
      <c r="G42" s="2"/>
      <c r="H42" s="373">
        <f>((F134+F142+F155+F164))*$F$32</f>
        <v>65742.276236066493</v>
      </c>
    </row>
    <row r="43" spans="1:15" x14ac:dyDescent="0.25">
      <c r="A43" s="169"/>
      <c r="B43" s="169"/>
      <c r="C43" s="285"/>
      <c r="D43" s="36"/>
      <c r="E43" s="374"/>
      <c r="F43" s="36"/>
      <c r="G43" s="36"/>
    </row>
    <row r="44" spans="1:15" x14ac:dyDescent="0.25">
      <c r="A44" t="s">
        <v>447</v>
      </c>
    </row>
    <row r="45" spans="1:15" x14ac:dyDescent="0.25">
      <c r="A45" t="s">
        <v>448</v>
      </c>
    </row>
    <row r="47" spans="1:15" x14ac:dyDescent="0.25">
      <c r="A47" s="371" t="s">
        <v>449</v>
      </c>
    </row>
    <row r="48" spans="1:15" x14ac:dyDescent="0.25">
      <c r="A48" s="169" t="s">
        <v>450</v>
      </c>
      <c r="B48" s="7"/>
      <c r="C48" s="2" t="s">
        <v>451</v>
      </c>
      <c r="D48" s="2"/>
      <c r="E48" s="325"/>
      <c r="F48" s="2"/>
      <c r="G48" s="2"/>
    </row>
    <row r="50" spans="1:7" ht="21" x14ac:dyDescent="0.35">
      <c r="A50" t="s">
        <v>452</v>
      </c>
    </row>
    <row r="52" spans="1:7" x14ac:dyDescent="0.25">
      <c r="A52" s="371" t="s">
        <v>453</v>
      </c>
    </row>
    <row r="53" spans="1:7" x14ac:dyDescent="0.25">
      <c r="A53" s="816" t="s">
        <v>454</v>
      </c>
      <c r="B53" s="816" t="s">
        <v>455</v>
      </c>
      <c r="C53" s="820" t="s">
        <v>456</v>
      </c>
      <c r="D53" s="820"/>
      <c r="E53" s="812" t="s">
        <v>441</v>
      </c>
      <c r="F53" s="813">
        <f>+(1.25*$F$3*2000*27)/($D$5*$D$7)</f>
        <v>20.343448484929382</v>
      </c>
      <c r="G53" s="2"/>
    </row>
    <row r="54" spans="1:7" x14ac:dyDescent="0.25">
      <c r="A54" s="816"/>
      <c r="B54" s="816"/>
      <c r="C54" s="814" t="s">
        <v>457</v>
      </c>
      <c r="D54" s="814"/>
      <c r="E54" s="812"/>
      <c r="F54" s="813"/>
      <c r="G54" s="2"/>
    </row>
    <row r="55" spans="1:7" x14ac:dyDescent="0.25">
      <c r="A55" s="375"/>
      <c r="B55" s="375"/>
      <c r="C55" s="7"/>
      <c r="D55" s="7"/>
      <c r="E55" s="167"/>
      <c r="F55" s="167"/>
      <c r="G55" s="2"/>
    </row>
    <row r="56" spans="1:7" x14ac:dyDescent="0.25">
      <c r="A56" s="816" t="s">
        <v>454</v>
      </c>
      <c r="B56" s="816" t="s">
        <v>458</v>
      </c>
      <c r="C56" s="817">
        <f>F53*$J$1^2</f>
        <v>1.889968208333334</v>
      </c>
    </row>
    <row r="57" spans="1:7" x14ac:dyDescent="0.25">
      <c r="A57" s="816"/>
      <c r="B57" s="816"/>
      <c r="C57" s="817"/>
    </row>
    <row r="59" spans="1:7" x14ac:dyDescent="0.25">
      <c r="A59" s="14" t="s">
        <v>442</v>
      </c>
    </row>
    <row r="60" spans="1:7" x14ac:dyDescent="0.25">
      <c r="A60" s="2" t="s">
        <v>454</v>
      </c>
      <c r="B60" s="375" t="s">
        <v>455</v>
      </c>
      <c r="C60" s="2" t="s">
        <v>459</v>
      </c>
    </row>
    <row r="61" spans="1:7" x14ac:dyDescent="0.25">
      <c r="A61" t="s">
        <v>359</v>
      </c>
      <c r="B61" s="167" t="s">
        <v>360</v>
      </c>
      <c r="C61" t="s">
        <v>361</v>
      </c>
    </row>
    <row r="62" spans="1:7" x14ac:dyDescent="0.25">
      <c r="A62" t="s">
        <v>364</v>
      </c>
      <c r="B62" s="14" t="s">
        <v>368</v>
      </c>
      <c r="C62" t="s">
        <v>365</v>
      </c>
    </row>
    <row r="63" spans="1:7" x14ac:dyDescent="0.25">
      <c r="A63" t="s">
        <v>371</v>
      </c>
      <c r="B63" s="14" t="s">
        <v>377</v>
      </c>
      <c r="C63" t="s">
        <v>373</v>
      </c>
    </row>
    <row r="64" spans="1:7" x14ac:dyDescent="0.25">
      <c r="B64" t="s">
        <v>460</v>
      </c>
    </row>
    <row r="65" spans="1:7" x14ac:dyDescent="0.25">
      <c r="B65" t="s">
        <v>461</v>
      </c>
    </row>
    <row r="67" spans="1:7" x14ac:dyDescent="0.25">
      <c r="A67" t="s">
        <v>462</v>
      </c>
    </row>
    <row r="68" spans="1:7" x14ac:dyDescent="0.25">
      <c r="A68" t="s">
        <v>463</v>
      </c>
    </row>
    <row r="69" spans="1:7" x14ac:dyDescent="0.25">
      <c r="A69" t="s">
        <v>464</v>
      </c>
    </row>
    <row r="71" spans="1:7" x14ac:dyDescent="0.25">
      <c r="A71" t="s">
        <v>465</v>
      </c>
    </row>
    <row r="73" spans="1:7" x14ac:dyDescent="0.25">
      <c r="A73" s="371" t="s">
        <v>466</v>
      </c>
    </row>
    <row r="74" spans="1:7" x14ac:dyDescent="0.25">
      <c r="A74" s="816" t="s">
        <v>467</v>
      </c>
      <c r="B74" s="816" t="s">
        <v>455</v>
      </c>
      <c r="C74" s="818" t="s">
        <v>468</v>
      </c>
      <c r="D74" s="818"/>
      <c r="E74" s="812" t="s">
        <v>441</v>
      </c>
      <c r="F74" s="813">
        <f>IF(($D$9*$F$10*2000*$F$11)/($F$12*$D$14)&gt;D9,($D$9*$F$10*2000*$F$11)/($F$12*$D$14),D9)</f>
        <v>215.27820833419443</v>
      </c>
    </row>
    <row r="75" spans="1:7" x14ac:dyDescent="0.25">
      <c r="A75" s="816"/>
      <c r="B75" s="816"/>
      <c r="C75" s="814" t="s">
        <v>469</v>
      </c>
      <c r="D75" s="814"/>
      <c r="E75" s="812"/>
      <c r="F75" s="813"/>
      <c r="G75" s="376"/>
    </row>
    <row r="76" spans="1:7" x14ac:dyDescent="0.25">
      <c r="A76" s="375"/>
      <c r="B76" s="375"/>
      <c r="C76" s="7"/>
      <c r="D76" s="7"/>
      <c r="E76" s="167"/>
      <c r="F76" s="167"/>
    </row>
    <row r="77" spans="1:7" x14ac:dyDescent="0.25">
      <c r="A77" s="816" t="s">
        <v>467</v>
      </c>
      <c r="B77" s="816" t="s">
        <v>458</v>
      </c>
      <c r="C77" s="817">
        <f>F74*$J$1^2</f>
        <v>20</v>
      </c>
    </row>
    <row r="78" spans="1:7" x14ac:dyDescent="0.25">
      <c r="A78" s="816"/>
      <c r="B78" s="816"/>
      <c r="C78" s="817"/>
    </row>
    <row r="80" spans="1:7" x14ac:dyDescent="0.25">
      <c r="A80" s="14" t="s">
        <v>442</v>
      </c>
    </row>
    <row r="81" spans="1:7" x14ac:dyDescent="0.25">
      <c r="A81" s="2" t="s">
        <v>467</v>
      </c>
      <c r="B81" s="375" t="s">
        <v>455</v>
      </c>
      <c r="C81" s="2" t="s">
        <v>470</v>
      </c>
    </row>
    <row r="82" spans="1:7" x14ac:dyDescent="0.25">
      <c r="A82" t="s">
        <v>380</v>
      </c>
      <c r="B82" s="167" t="s">
        <v>384</v>
      </c>
      <c r="C82" t="s">
        <v>381</v>
      </c>
    </row>
    <row r="83" spans="1:7" x14ac:dyDescent="0.25">
      <c r="A83" t="s">
        <v>387</v>
      </c>
      <c r="B83" s="14" t="s">
        <v>388</v>
      </c>
      <c r="C83" t="s">
        <v>389</v>
      </c>
    </row>
    <row r="84" spans="1:7" x14ac:dyDescent="0.25">
      <c r="A84" t="s">
        <v>390</v>
      </c>
      <c r="B84" s="14" t="s">
        <v>391</v>
      </c>
      <c r="C84" t="s">
        <v>392</v>
      </c>
    </row>
    <row r="85" spans="1:7" x14ac:dyDescent="0.25">
      <c r="A85" t="s">
        <v>393</v>
      </c>
      <c r="B85" s="14" t="s">
        <v>394</v>
      </c>
      <c r="C85" t="s">
        <v>395</v>
      </c>
    </row>
    <row r="86" spans="1:7" x14ac:dyDescent="0.25">
      <c r="A86" t="s">
        <v>397</v>
      </c>
      <c r="B86" s="14" t="s">
        <v>401</v>
      </c>
      <c r="C86" t="s">
        <v>399</v>
      </c>
    </row>
    <row r="87" spans="1:7" x14ac:dyDescent="0.25">
      <c r="C87" t="s">
        <v>471</v>
      </c>
    </row>
    <row r="89" spans="1:7" x14ac:dyDescent="0.25">
      <c r="A89" t="s">
        <v>472</v>
      </c>
    </row>
    <row r="90" spans="1:7" x14ac:dyDescent="0.25">
      <c r="A90" t="s">
        <v>473</v>
      </c>
    </row>
    <row r="92" spans="1:7" x14ac:dyDescent="0.25">
      <c r="A92" t="s">
        <v>474</v>
      </c>
    </row>
    <row r="94" spans="1:7" x14ac:dyDescent="0.25">
      <c r="A94" s="371" t="s">
        <v>475</v>
      </c>
    </row>
    <row r="95" spans="1:7" x14ac:dyDescent="0.25">
      <c r="A95" s="816" t="s">
        <v>476</v>
      </c>
      <c r="B95" s="816" t="s">
        <v>455</v>
      </c>
      <c r="C95" s="818" t="s">
        <v>477</v>
      </c>
      <c r="D95" s="818"/>
      <c r="E95" s="812" t="s">
        <v>441</v>
      </c>
      <c r="F95" s="813">
        <f>+IF(($D$16*($F$17+$F$18)*2000)/($F$12*$D$20*$D$22)&gt;D16,($D$16*($F$17+$F$18)*2000)/($F$12*$D$20*$D$22),D16)</f>
        <v>322.91731250129163</v>
      </c>
      <c r="G95" s="135"/>
    </row>
    <row r="96" spans="1:7" x14ac:dyDescent="0.25">
      <c r="A96" s="816"/>
      <c r="B96" s="816"/>
      <c r="C96" s="814" t="s">
        <v>478</v>
      </c>
      <c r="D96" s="814"/>
      <c r="E96" s="812"/>
      <c r="F96" s="813"/>
      <c r="G96" s="135"/>
    </row>
    <row r="97" spans="1:9" x14ac:dyDescent="0.25">
      <c r="A97" s="375"/>
      <c r="B97" s="375"/>
      <c r="C97" s="7"/>
      <c r="D97" s="7"/>
      <c r="E97" s="167"/>
      <c r="F97" s="167"/>
      <c r="G97" s="150"/>
      <c r="I97" s="150"/>
    </row>
    <row r="98" spans="1:9" x14ac:dyDescent="0.25">
      <c r="A98" s="816" t="s">
        <v>476</v>
      </c>
      <c r="B98" s="816" t="s">
        <v>458</v>
      </c>
      <c r="C98" s="817">
        <f>F95*$J$1^2</f>
        <v>30</v>
      </c>
    </row>
    <row r="99" spans="1:9" x14ac:dyDescent="0.25">
      <c r="A99" s="816"/>
      <c r="B99" s="816"/>
      <c r="C99" s="817"/>
    </row>
    <row r="100" spans="1:9" x14ac:dyDescent="0.25">
      <c r="G100" s="150"/>
      <c r="I100" s="150"/>
    </row>
    <row r="101" spans="1:9" x14ac:dyDescent="0.25">
      <c r="A101" s="14" t="s">
        <v>442</v>
      </c>
      <c r="G101" s="376"/>
    </row>
    <row r="102" spans="1:9" x14ac:dyDescent="0.25">
      <c r="A102" s="2" t="s">
        <v>479</v>
      </c>
      <c r="B102" s="375" t="s">
        <v>455</v>
      </c>
      <c r="C102" s="2" t="s">
        <v>480</v>
      </c>
    </row>
    <row r="103" spans="1:9" x14ac:dyDescent="0.25">
      <c r="A103" t="s">
        <v>403</v>
      </c>
      <c r="B103" s="167" t="s">
        <v>384</v>
      </c>
      <c r="C103" t="s">
        <v>404</v>
      </c>
    </row>
    <row r="104" spans="1:9" x14ac:dyDescent="0.25">
      <c r="A104" t="s">
        <v>406</v>
      </c>
      <c r="B104" s="14" t="s">
        <v>30</v>
      </c>
      <c r="C104" t="s">
        <v>407</v>
      </c>
    </row>
    <row r="105" spans="1:9" x14ac:dyDescent="0.25">
      <c r="A105" t="s">
        <v>409</v>
      </c>
      <c r="B105" s="14" t="s">
        <v>30</v>
      </c>
      <c r="C105" t="s">
        <v>410</v>
      </c>
    </row>
    <row r="106" spans="1:9" x14ac:dyDescent="0.25">
      <c r="A106" t="s">
        <v>393</v>
      </c>
      <c r="B106" s="14" t="s">
        <v>394</v>
      </c>
      <c r="C106" t="s">
        <v>395</v>
      </c>
    </row>
    <row r="107" spans="1:9" x14ac:dyDescent="0.25">
      <c r="A107" t="s">
        <v>412</v>
      </c>
      <c r="B107" s="14" t="s">
        <v>414</v>
      </c>
      <c r="C107" t="s">
        <v>413</v>
      </c>
    </row>
    <row r="108" spans="1:9" x14ac:dyDescent="0.25">
      <c r="A108" t="s">
        <v>415</v>
      </c>
      <c r="B108" s="14" t="s">
        <v>377</v>
      </c>
      <c r="C108" t="s">
        <v>417</v>
      </c>
    </row>
    <row r="109" spans="1:9" x14ac:dyDescent="0.25">
      <c r="C109" t="s">
        <v>471</v>
      </c>
    </row>
    <row r="111" spans="1:9" x14ac:dyDescent="0.25">
      <c r="A111" t="s">
        <v>706</v>
      </c>
    </row>
    <row r="112" spans="1:9" x14ac:dyDescent="0.25">
      <c r="A112" t="s">
        <v>707</v>
      </c>
    </row>
    <row r="113" spans="1:14" x14ac:dyDescent="0.25">
      <c r="A113" t="s">
        <v>708</v>
      </c>
    </row>
    <row r="114" spans="1:14" x14ac:dyDescent="0.25">
      <c r="A114" t="s">
        <v>481</v>
      </c>
    </row>
    <row r="117" spans="1:14" x14ac:dyDescent="0.25">
      <c r="A117" s="371" t="s">
        <v>482</v>
      </c>
    </row>
    <row r="118" spans="1:14" x14ac:dyDescent="0.25">
      <c r="A118" s="169" t="s">
        <v>483</v>
      </c>
      <c r="B118" s="375" t="s">
        <v>455</v>
      </c>
      <c r="C118" s="2" t="s">
        <v>484</v>
      </c>
      <c r="D118" s="377"/>
      <c r="E118" s="325"/>
      <c r="F118" s="378">
        <f>+(F53+F95+F74)*(1+$F$23)</f>
        <v>614.39286625245711</v>
      </c>
      <c r="J118">
        <v>600</v>
      </c>
      <c r="K118" s="150">
        <f>+J118*C119</f>
        <v>34247.379017500003</v>
      </c>
      <c r="L118" t="s">
        <v>156</v>
      </c>
      <c r="M118">
        <f>+K118/10000</f>
        <v>3.4247379017500004</v>
      </c>
      <c r="N118" t="s">
        <v>370</v>
      </c>
    </row>
    <row r="119" spans="1:14" x14ac:dyDescent="0.25">
      <c r="A119" s="169"/>
      <c r="B119" s="375" t="s">
        <v>458</v>
      </c>
      <c r="C119" s="379">
        <f>F118*$J$1^2</f>
        <v>57.078965029166675</v>
      </c>
      <c r="D119" s="2"/>
      <c r="E119" s="325"/>
      <c r="F119" s="380"/>
      <c r="M119">
        <f>+M118/J5</f>
        <v>8.4627116613887683</v>
      </c>
      <c r="N119" t="s">
        <v>485</v>
      </c>
    </row>
    <row r="120" spans="1:14" x14ac:dyDescent="0.25">
      <c r="A120" s="375"/>
      <c r="B120" s="375"/>
      <c r="C120" s="7"/>
      <c r="D120" s="7"/>
      <c r="E120" s="167"/>
      <c r="F120" s="167"/>
      <c r="K120" t="s">
        <v>486</v>
      </c>
    </row>
    <row r="121" spans="1:14" x14ac:dyDescent="0.25">
      <c r="A121" s="14" t="s">
        <v>442</v>
      </c>
      <c r="K121" t="s">
        <v>488</v>
      </c>
    </row>
    <row r="122" spans="1:14" x14ac:dyDescent="0.25">
      <c r="A122" s="2" t="s">
        <v>483</v>
      </c>
      <c r="B122" s="375" t="s">
        <v>455</v>
      </c>
      <c r="C122" s="2" t="s">
        <v>487</v>
      </c>
    </row>
    <row r="123" spans="1:14" x14ac:dyDescent="0.25">
      <c r="A123" t="s">
        <v>454</v>
      </c>
      <c r="B123" s="167" t="s">
        <v>455</v>
      </c>
      <c r="C123" t="s">
        <v>459</v>
      </c>
      <c r="K123" s="150">
        <f>(SQRT(K118)+2*25)^2</f>
        <v>55253.426412203175</v>
      </c>
      <c r="L123" t="s">
        <v>156</v>
      </c>
      <c r="M123">
        <f>+K123/10000</f>
        <v>5.525342641220317</v>
      </c>
      <c r="N123" t="s">
        <v>370</v>
      </c>
    </row>
    <row r="124" spans="1:14" x14ac:dyDescent="0.25">
      <c r="A124" t="s">
        <v>479</v>
      </c>
      <c r="B124" s="167" t="s">
        <v>455</v>
      </c>
      <c r="C124" t="s">
        <v>480</v>
      </c>
      <c r="M124">
        <f>+M123/J8</f>
        <v>20.915697233118554</v>
      </c>
      <c r="N124" t="s">
        <v>485</v>
      </c>
    </row>
    <row r="125" spans="1:14" x14ac:dyDescent="0.25">
      <c r="A125" t="s">
        <v>467</v>
      </c>
      <c r="B125" s="167" t="s">
        <v>455</v>
      </c>
      <c r="C125" t="s">
        <v>470</v>
      </c>
    </row>
    <row r="126" spans="1:14" x14ac:dyDescent="0.25">
      <c r="A126" t="s">
        <v>418</v>
      </c>
      <c r="B126" s="167" t="s">
        <v>391</v>
      </c>
      <c r="C126" t="s">
        <v>419</v>
      </c>
    </row>
    <row r="128" spans="1:14" x14ac:dyDescent="0.25">
      <c r="A128" s="285"/>
      <c r="B128" s="285"/>
    </row>
    <row r="130" spans="1:6" x14ac:dyDescent="0.25">
      <c r="A130" t="s">
        <v>489</v>
      </c>
    </row>
    <row r="131" spans="1:6" x14ac:dyDescent="0.25">
      <c r="A131" t="s">
        <v>490</v>
      </c>
    </row>
    <row r="133" spans="1:6" x14ac:dyDescent="0.25">
      <c r="A133" s="371" t="s">
        <v>491</v>
      </c>
    </row>
    <row r="134" spans="1:6" x14ac:dyDescent="0.25">
      <c r="A134" s="169" t="s">
        <v>492</v>
      </c>
      <c r="B134" s="375" t="s">
        <v>859</v>
      </c>
      <c r="C134" s="2" t="s">
        <v>493</v>
      </c>
      <c r="D134" s="377"/>
      <c r="E134" s="325"/>
      <c r="F134" s="378">
        <f>+F118*$D$25</f>
        <v>31902.918795504749</v>
      </c>
    </row>
    <row r="135" spans="1:6" x14ac:dyDescent="0.25">
      <c r="A135" s="169"/>
      <c r="B135" s="169"/>
      <c r="C135" s="381"/>
      <c r="D135" s="2"/>
      <c r="E135" s="325"/>
      <c r="F135" s="380"/>
    </row>
    <row r="136" spans="1:6" x14ac:dyDescent="0.25">
      <c r="A136" s="14" t="s">
        <v>442</v>
      </c>
    </row>
    <row r="137" spans="1:6" x14ac:dyDescent="0.25">
      <c r="A137" s="169" t="s">
        <v>492</v>
      </c>
      <c r="B137" s="375" t="s">
        <v>859</v>
      </c>
      <c r="C137" s="2" t="s">
        <v>494</v>
      </c>
    </row>
    <row r="138" spans="1:6" x14ac:dyDescent="0.25">
      <c r="A138" t="s">
        <v>483</v>
      </c>
      <c r="B138" s="167" t="s">
        <v>455</v>
      </c>
      <c r="C138" t="s">
        <v>495</v>
      </c>
    </row>
    <row r="139" spans="1:6" x14ac:dyDescent="0.25">
      <c r="A139" t="s">
        <v>421</v>
      </c>
      <c r="B139" s="167" t="s">
        <v>841</v>
      </c>
      <c r="C139" t="s">
        <v>496</v>
      </c>
    </row>
    <row r="140" spans="1:6" x14ac:dyDescent="0.25">
      <c r="B140" s="167"/>
    </row>
    <row r="141" spans="1:6" x14ac:dyDescent="0.25">
      <c r="A141" s="371" t="s">
        <v>497</v>
      </c>
    </row>
    <row r="142" spans="1:6" x14ac:dyDescent="0.25">
      <c r="A142" s="169" t="s">
        <v>498</v>
      </c>
      <c r="B142" s="375" t="s">
        <v>859</v>
      </c>
      <c r="C142" s="2" t="s">
        <v>499</v>
      </c>
      <c r="D142" s="377"/>
      <c r="E142" s="325"/>
      <c r="F142" s="378">
        <f>+F118*$F$26*$D$28</f>
        <v>30708.772857891916</v>
      </c>
    </row>
    <row r="143" spans="1:6" x14ac:dyDescent="0.25">
      <c r="A143" s="169"/>
      <c r="B143" s="375"/>
      <c r="C143" s="381"/>
      <c r="D143" s="2"/>
      <c r="E143" s="325"/>
      <c r="F143" s="380"/>
    </row>
    <row r="144" spans="1:6" x14ac:dyDescent="0.25">
      <c r="A144" s="14" t="s">
        <v>442</v>
      </c>
      <c r="B144" s="14"/>
    </row>
    <row r="145" spans="1:7" x14ac:dyDescent="0.25">
      <c r="A145" s="169" t="s">
        <v>498</v>
      </c>
      <c r="B145" s="375" t="s">
        <v>859</v>
      </c>
      <c r="C145" s="2" t="s">
        <v>500</v>
      </c>
    </row>
    <row r="146" spans="1:7" x14ac:dyDescent="0.25">
      <c r="A146" t="s">
        <v>483</v>
      </c>
      <c r="B146" s="167" t="s">
        <v>455</v>
      </c>
      <c r="C146" t="s">
        <v>495</v>
      </c>
      <c r="F146" s="285"/>
    </row>
    <row r="147" spans="1:7" x14ac:dyDescent="0.25">
      <c r="A147" s="325" t="s">
        <v>422</v>
      </c>
      <c r="B147" s="167" t="s">
        <v>423</v>
      </c>
      <c r="C147" t="s">
        <v>424</v>
      </c>
    </row>
    <row r="148" spans="1:7" x14ac:dyDescent="0.25">
      <c r="A148" t="s">
        <v>425</v>
      </c>
      <c r="B148" s="167" t="s">
        <v>841</v>
      </c>
      <c r="C148" t="s">
        <v>501</v>
      </c>
    </row>
    <row r="150" spans="1:7" ht="79.5" customHeight="1" x14ac:dyDescent="0.25">
      <c r="A150" s="819" t="s">
        <v>502</v>
      </c>
      <c r="B150" s="819"/>
      <c r="C150" s="819"/>
      <c r="D150" s="819"/>
      <c r="E150" s="819"/>
      <c r="F150" s="819"/>
      <c r="G150" s="819"/>
    </row>
    <row r="152" spans="1:7" x14ac:dyDescent="0.25">
      <c r="A152" t="s">
        <v>503</v>
      </c>
    </row>
    <row r="154" spans="1:7" x14ac:dyDescent="0.25">
      <c r="A154" s="371" t="s">
        <v>504</v>
      </c>
    </row>
    <row r="155" spans="1:7" x14ac:dyDescent="0.25">
      <c r="A155" s="169" t="s">
        <v>505</v>
      </c>
      <c r="B155" s="375" t="s">
        <v>859</v>
      </c>
      <c r="C155" s="2" t="s">
        <v>506</v>
      </c>
      <c r="D155" s="377"/>
      <c r="E155" s="325"/>
      <c r="F155" s="378">
        <f>+(F134+F142)*$F$29</f>
        <v>3130.5845826698333</v>
      </c>
    </row>
    <row r="156" spans="1:7" x14ac:dyDescent="0.25">
      <c r="A156" s="169"/>
      <c r="B156" s="375"/>
      <c r="C156" s="381"/>
      <c r="D156" s="2"/>
      <c r="E156" s="325"/>
      <c r="F156" s="380"/>
    </row>
    <row r="157" spans="1:7" x14ac:dyDescent="0.25">
      <c r="A157" s="14" t="s">
        <v>442</v>
      </c>
      <c r="B157" s="14"/>
    </row>
    <row r="158" spans="1:7" x14ac:dyDescent="0.25">
      <c r="A158" s="169" t="s">
        <v>505</v>
      </c>
      <c r="B158" s="375" t="s">
        <v>859</v>
      </c>
      <c r="C158" s="2" t="s">
        <v>507</v>
      </c>
    </row>
    <row r="159" spans="1:7" x14ac:dyDescent="0.25">
      <c r="A159" t="s">
        <v>492</v>
      </c>
      <c r="B159" s="167" t="s">
        <v>859</v>
      </c>
      <c r="C159" t="s">
        <v>494</v>
      </c>
    </row>
    <row r="160" spans="1:7" x14ac:dyDescent="0.25">
      <c r="A160" s="325" t="s">
        <v>498</v>
      </c>
      <c r="B160" s="167" t="s">
        <v>859</v>
      </c>
      <c r="C160" t="s">
        <v>500</v>
      </c>
    </row>
    <row r="161" spans="1:7" ht="39.75" customHeight="1" x14ac:dyDescent="0.25">
      <c r="A161" s="325" t="s">
        <v>426</v>
      </c>
      <c r="B161" s="167"/>
      <c r="C161" s="819" t="s">
        <v>427</v>
      </c>
      <c r="D161" s="819"/>
      <c r="E161" s="819"/>
      <c r="F161" s="819"/>
      <c r="G161" s="819"/>
    </row>
    <row r="163" spans="1:7" x14ac:dyDescent="0.25">
      <c r="A163" s="371" t="s">
        <v>508</v>
      </c>
    </row>
    <row r="164" spans="1:7" x14ac:dyDescent="0.25">
      <c r="A164" s="816" t="s">
        <v>428</v>
      </c>
      <c r="B164" s="816" t="s">
        <v>859</v>
      </c>
      <c r="C164" s="820" t="s">
        <v>509</v>
      </c>
      <c r="D164" s="820"/>
      <c r="E164" s="812" t="s">
        <v>441</v>
      </c>
      <c r="F164" s="813">
        <f>(F118*$F$26*$D$31)/43561</f>
        <v>0</v>
      </c>
    </row>
    <row r="165" spans="1:7" x14ac:dyDescent="0.25">
      <c r="A165" s="816"/>
      <c r="B165" s="816"/>
      <c r="C165" s="814">
        <v>43561</v>
      </c>
      <c r="D165" s="814"/>
      <c r="E165" s="812"/>
      <c r="F165" s="813"/>
    </row>
    <row r="166" spans="1:7" x14ac:dyDescent="0.25">
      <c r="A166" s="375"/>
      <c r="B166" s="375"/>
      <c r="C166" s="7"/>
      <c r="D166" s="7"/>
      <c r="E166" s="167"/>
      <c r="F166" s="167"/>
    </row>
    <row r="167" spans="1:7" x14ac:dyDescent="0.25">
      <c r="A167" s="14" t="s">
        <v>442</v>
      </c>
    </row>
    <row r="168" spans="1:7" x14ac:dyDescent="0.25">
      <c r="A168" s="2" t="s">
        <v>428</v>
      </c>
      <c r="B168" s="375" t="s">
        <v>859</v>
      </c>
      <c r="C168" s="2" t="s">
        <v>510</v>
      </c>
    </row>
    <row r="169" spans="1:7" x14ac:dyDescent="0.25">
      <c r="A169" t="s">
        <v>483</v>
      </c>
      <c r="B169" s="167" t="s">
        <v>455</v>
      </c>
      <c r="C169" t="s">
        <v>511</v>
      </c>
    </row>
    <row r="170" spans="1:7" x14ac:dyDescent="0.25">
      <c r="A170" t="s">
        <v>422</v>
      </c>
      <c r="B170" s="167" t="s">
        <v>423</v>
      </c>
      <c r="C170" t="s">
        <v>512</v>
      </c>
      <c r="F170" s="285"/>
    </row>
    <row r="171" spans="1:7" x14ac:dyDescent="0.25">
      <c r="A171" t="s">
        <v>428</v>
      </c>
      <c r="B171" s="14" t="s">
        <v>843</v>
      </c>
      <c r="C171" t="s">
        <v>429</v>
      </c>
    </row>
    <row r="172" spans="1:7" x14ac:dyDescent="0.25">
      <c r="B172" s="14"/>
      <c r="C172" t="s">
        <v>513</v>
      </c>
    </row>
    <row r="173" spans="1:7" x14ac:dyDescent="0.25">
      <c r="B173" s="14"/>
    </row>
    <row r="175" spans="1:7" x14ac:dyDescent="0.25">
      <c r="A175" s="371" t="s">
        <v>514</v>
      </c>
    </row>
    <row r="176" spans="1:7" x14ac:dyDescent="0.25">
      <c r="A176" s="2" t="s">
        <v>515</v>
      </c>
      <c r="B176" s="375" t="s">
        <v>860</v>
      </c>
      <c r="C176" s="2" t="s">
        <v>516</v>
      </c>
      <c r="D176" s="377"/>
      <c r="E176" s="325"/>
      <c r="F176" s="378">
        <f>+$D$36*F118*$F$37*$F$2</f>
        <v>2167.5049445114569</v>
      </c>
    </row>
    <row r="177" spans="1:6" x14ac:dyDescent="0.25">
      <c r="A177" s="169"/>
      <c r="B177" s="375"/>
      <c r="C177" s="381"/>
      <c r="D177" s="2"/>
      <c r="E177" s="325"/>
      <c r="F177" s="380"/>
    </row>
    <row r="178" spans="1:6" x14ac:dyDescent="0.25">
      <c r="A178" s="14" t="s">
        <v>442</v>
      </c>
      <c r="B178" s="14"/>
    </row>
    <row r="179" spans="1:6" x14ac:dyDescent="0.25">
      <c r="A179" s="2" t="s">
        <v>515</v>
      </c>
      <c r="B179" s="375" t="s">
        <v>860</v>
      </c>
      <c r="C179" s="2" t="s">
        <v>517</v>
      </c>
    </row>
    <row r="180" spans="1:6" x14ac:dyDescent="0.25">
      <c r="A180" t="s">
        <v>437</v>
      </c>
      <c r="B180" s="167" t="s">
        <v>439</v>
      </c>
      <c r="C180" t="s">
        <v>438</v>
      </c>
    </row>
    <row r="181" spans="1:6" x14ac:dyDescent="0.25">
      <c r="A181" t="s">
        <v>483</v>
      </c>
      <c r="B181" s="167" t="s">
        <v>455</v>
      </c>
      <c r="C181" t="s">
        <v>518</v>
      </c>
      <c r="E181" s="325"/>
      <c r="F181" s="325"/>
    </row>
    <row r="182" spans="1:6" x14ac:dyDescent="0.25">
      <c r="A182" t="s">
        <v>440</v>
      </c>
      <c r="B182" s="167" t="s">
        <v>844</v>
      </c>
      <c r="C182" t="s">
        <v>711</v>
      </c>
    </row>
    <row r="183" spans="1:6" x14ac:dyDescent="0.25">
      <c r="A183" t="s">
        <v>353</v>
      </c>
      <c r="B183" s="167" t="s">
        <v>354</v>
      </c>
      <c r="C183" t="s">
        <v>355</v>
      </c>
    </row>
  </sheetData>
  <mergeCells count="42">
    <mergeCell ref="C8:E8"/>
    <mergeCell ref="C12:E12"/>
    <mergeCell ref="C24:E24"/>
    <mergeCell ref="C27:E27"/>
    <mergeCell ref="C29:E29"/>
    <mergeCell ref="C13:E13"/>
    <mergeCell ref="A53:A54"/>
    <mergeCell ref="B53:B54"/>
    <mergeCell ref="C53:D53"/>
    <mergeCell ref="E53:E54"/>
    <mergeCell ref="F53:F54"/>
    <mergeCell ref="C54:D54"/>
    <mergeCell ref="A56:A57"/>
    <mergeCell ref="B56:B57"/>
    <mergeCell ref="C56:C57"/>
    <mergeCell ref="A74:A75"/>
    <mergeCell ref="B74:B75"/>
    <mergeCell ref="C74:D74"/>
    <mergeCell ref="A150:G150"/>
    <mergeCell ref="C161:G161"/>
    <mergeCell ref="A164:A165"/>
    <mergeCell ref="B164:B165"/>
    <mergeCell ref="C164:D164"/>
    <mergeCell ref="E164:E165"/>
    <mergeCell ref="F164:F165"/>
    <mergeCell ref="C165:D165"/>
    <mergeCell ref="E74:E75"/>
    <mergeCell ref="F74:F75"/>
    <mergeCell ref="C75:D75"/>
    <mergeCell ref="C34:E34"/>
    <mergeCell ref="A98:A99"/>
    <mergeCell ref="B98:B99"/>
    <mergeCell ref="C98:C99"/>
    <mergeCell ref="A95:A96"/>
    <mergeCell ref="B95:B96"/>
    <mergeCell ref="C95:D95"/>
    <mergeCell ref="E95:E96"/>
    <mergeCell ref="F95:F96"/>
    <mergeCell ref="C96:D96"/>
    <mergeCell ref="A77:A78"/>
    <mergeCell ref="B77:B78"/>
    <mergeCell ref="C77:C78"/>
  </mergeCells>
  <pageMargins left="0.51181102362204722" right="0.11811023622047245" top="0.74803149606299213" bottom="0.74803149606299213" header="0.31496062992125984" footer="0.31496062992125984"/>
  <pageSetup paperSize="9" scale="60" orientation="portrait" r:id="rId1"/>
  <headerFooter>
    <oddHeader>&amp;L&amp;"Arial,Negrita Cursiva"&amp;10HYTSA Estudios y Proyectos S.A.</oddHeader>
    <oddFooter>&amp;L&amp;"Arial,Negrita Cursiva"&amp;10&amp;F - &amp;A&amp;R&amp;"Arial,Negrita Cursiva"&amp;10&amp;P</oddFooter>
  </headerFooter>
  <rowBreaks count="2" manualBreakCount="2">
    <brk id="39" max="7" man="1"/>
    <brk id="115" max="7" man="1"/>
  </rowBreak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7">
    <tabColor rgb="FFFFFF00"/>
  </sheetPr>
  <dimension ref="A3:P77"/>
  <sheetViews>
    <sheetView showGridLines="0" view="pageBreakPreview" topLeftCell="A55" zoomScale="98" zoomScaleNormal="100" zoomScaleSheetLayoutView="98" workbookViewId="0">
      <selection activeCell="D70" sqref="D70"/>
    </sheetView>
  </sheetViews>
  <sheetFormatPr baseColWidth="10" defaultRowHeight="15" x14ac:dyDescent="0.25"/>
  <cols>
    <col min="1" max="1" width="11.42578125" style="576"/>
    <col min="2" max="2" width="47.28515625" style="576" bestFit="1" customWidth="1"/>
    <col min="3" max="3" width="11.42578125" style="576"/>
    <col min="4" max="5" width="13.85546875" style="576" bestFit="1" customWidth="1"/>
    <col min="6" max="7" width="13.85546875" style="576" customWidth="1"/>
    <col min="8" max="8" width="15" style="576" bestFit="1" customWidth="1"/>
    <col min="9" max="9" width="14.42578125" style="576" customWidth="1"/>
    <col min="10" max="11" width="21.140625" style="576" customWidth="1"/>
    <col min="12" max="12" width="11.42578125" style="576"/>
    <col min="13" max="13" width="13.85546875" style="576" bestFit="1" customWidth="1"/>
    <col min="14" max="259" width="11.42578125" style="576"/>
    <col min="260" max="260" width="47.28515625" style="576" bestFit="1" customWidth="1"/>
    <col min="261" max="263" width="11.42578125" style="576"/>
    <col min="264" max="264" width="13" style="576" customWidth="1"/>
    <col min="265" max="265" width="14.42578125" style="576" customWidth="1"/>
    <col min="266" max="267" width="21.140625" style="576" customWidth="1"/>
    <col min="268" max="268" width="11.42578125" style="576"/>
    <col min="269" max="269" width="13.85546875" style="576" bestFit="1" customWidth="1"/>
    <col min="270" max="515" width="11.42578125" style="576"/>
    <col min="516" max="516" width="47.28515625" style="576" bestFit="1" customWidth="1"/>
    <col min="517" max="519" width="11.42578125" style="576"/>
    <col min="520" max="520" width="13" style="576" customWidth="1"/>
    <col min="521" max="521" width="14.42578125" style="576" customWidth="1"/>
    <col min="522" max="523" width="21.140625" style="576" customWidth="1"/>
    <col min="524" max="524" width="11.42578125" style="576"/>
    <col min="525" max="525" width="13.85546875" style="576" bestFit="1" customWidth="1"/>
    <col min="526" max="771" width="11.42578125" style="576"/>
    <col min="772" max="772" width="47.28515625" style="576" bestFit="1" customWidth="1"/>
    <col min="773" max="775" width="11.42578125" style="576"/>
    <col min="776" max="776" width="13" style="576" customWidth="1"/>
    <col min="777" max="777" width="14.42578125" style="576" customWidth="1"/>
    <col min="778" max="779" width="21.140625" style="576" customWidth="1"/>
    <col min="780" max="780" width="11.42578125" style="576"/>
    <col min="781" max="781" width="13.85546875" style="576" bestFit="1" customWidth="1"/>
    <col min="782" max="1027" width="11.42578125" style="576"/>
    <col min="1028" max="1028" width="47.28515625" style="576" bestFit="1" customWidth="1"/>
    <col min="1029" max="1031" width="11.42578125" style="576"/>
    <col min="1032" max="1032" width="13" style="576" customWidth="1"/>
    <col min="1033" max="1033" width="14.42578125" style="576" customWidth="1"/>
    <col min="1034" max="1035" width="21.140625" style="576" customWidth="1"/>
    <col min="1036" max="1036" width="11.42578125" style="576"/>
    <col min="1037" max="1037" width="13.85546875" style="576" bestFit="1" customWidth="1"/>
    <col min="1038" max="1283" width="11.42578125" style="576"/>
    <col min="1284" max="1284" width="47.28515625" style="576" bestFit="1" customWidth="1"/>
    <col min="1285" max="1287" width="11.42578125" style="576"/>
    <col min="1288" max="1288" width="13" style="576" customWidth="1"/>
    <col min="1289" max="1289" width="14.42578125" style="576" customWidth="1"/>
    <col min="1290" max="1291" width="21.140625" style="576" customWidth="1"/>
    <col min="1292" max="1292" width="11.42578125" style="576"/>
    <col min="1293" max="1293" width="13.85546875" style="576" bestFit="1" customWidth="1"/>
    <col min="1294" max="1539" width="11.42578125" style="576"/>
    <col min="1540" max="1540" width="47.28515625" style="576" bestFit="1" customWidth="1"/>
    <col min="1541" max="1543" width="11.42578125" style="576"/>
    <col min="1544" max="1544" width="13" style="576" customWidth="1"/>
    <col min="1545" max="1545" width="14.42578125" style="576" customWidth="1"/>
    <col min="1546" max="1547" width="21.140625" style="576" customWidth="1"/>
    <col min="1548" max="1548" width="11.42578125" style="576"/>
    <col min="1549" max="1549" width="13.85546875" style="576" bestFit="1" customWidth="1"/>
    <col min="1550" max="1795" width="11.42578125" style="576"/>
    <col min="1796" max="1796" width="47.28515625" style="576" bestFit="1" customWidth="1"/>
    <col min="1797" max="1799" width="11.42578125" style="576"/>
    <col min="1800" max="1800" width="13" style="576" customWidth="1"/>
    <col min="1801" max="1801" width="14.42578125" style="576" customWidth="1"/>
    <col min="1802" max="1803" width="21.140625" style="576" customWidth="1"/>
    <col min="1804" max="1804" width="11.42578125" style="576"/>
    <col min="1805" max="1805" width="13.85546875" style="576" bestFit="1" customWidth="1"/>
    <col min="1806" max="2051" width="11.42578125" style="576"/>
    <col min="2052" max="2052" width="47.28515625" style="576" bestFit="1" customWidth="1"/>
    <col min="2053" max="2055" width="11.42578125" style="576"/>
    <col min="2056" max="2056" width="13" style="576" customWidth="1"/>
    <col min="2057" max="2057" width="14.42578125" style="576" customWidth="1"/>
    <col min="2058" max="2059" width="21.140625" style="576" customWidth="1"/>
    <col min="2060" max="2060" width="11.42578125" style="576"/>
    <col min="2061" max="2061" width="13.85546875" style="576" bestFit="1" customWidth="1"/>
    <col min="2062" max="2307" width="11.42578125" style="576"/>
    <col min="2308" max="2308" width="47.28515625" style="576" bestFit="1" customWidth="1"/>
    <col min="2309" max="2311" width="11.42578125" style="576"/>
    <col min="2312" max="2312" width="13" style="576" customWidth="1"/>
    <col min="2313" max="2313" width="14.42578125" style="576" customWidth="1"/>
    <col min="2314" max="2315" width="21.140625" style="576" customWidth="1"/>
    <col min="2316" max="2316" width="11.42578125" style="576"/>
    <col min="2317" max="2317" width="13.85546875" style="576" bestFit="1" customWidth="1"/>
    <col min="2318" max="2563" width="11.42578125" style="576"/>
    <col min="2564" max="2564" width="47.28515625" style="576" bestFit="1" customWidth="1"/>
    <col min="2565" max="2567" width="11.42578125" style="576"/>
    <col min="2568" max="2568" width="13" style="576" customWidth="1"/>
    <col min="2569" max="2569" width="14.42578125" style="576" customWidth="1"/>
    <col min="2570" max="2571" width="21.140625" style="576" customWidth="1"/>
    <col min="2572" max="2572" width="11.42578125" style="576"/>
    <col min="2573" max="2573" width="13.85546875" style="576" bestFit="1" customWidth="1"/>
    <col min="2574" max="2819" width="11.42578125" style="576"/>
    <col min="2820" max="2820" width="47.28515625" style="576" bestFit="1" customWidth="1"/>
    <col min="2821" max="2823" width="11.42578125" style="576"/>
    <col min="2824" max="2824" width="13" style="576" customWidth="1"/>
    <col min="2825" max="2825" width="14.42578125" style="576" customWidth="1"/>
    <col min="2826" max="2827" width="21.140625" style="576" customWidth="1"/>
    <col min="2828" max="2828" width="11.42578125" style="576"/>
    <col min="2829" max="2829" width="13.85546875" style="576" bestFit="1" customWidth="1"/>
    <col min="2830" max="3075" width="11.42578125" style="576"/>
    <col min="3076" max="3076" width="47.28515625" style="576" bestFit="1" customWidth="1"/>
    <col min="3077" max="3079" width="11.42578125" style="576"/>
    <col min="3080" max="3080" width="13" style="576" customWidth="1"/>
    <col min="3081" max="3081" width="14.42578125" style="576" customWidth="1"/>
    <col min="3082" max="3083" width="21.140625" style="576" customWidth="1"/>
    <col min="3084" max="3084" width="11.42578125" style="576"/>
    <col min="3085" max="3085" width="13.85546875" style="576" bestFit="1" customWidth="1"/>
    <col min="3086" max="3331" width="11.42578125" style="576"/>
    <col min="3332" max="3332" width="47.28515625" style="576" bestFit="1" customWidth="1"/>
    <col min="3333" max="3335" width="11.42578125" style="576"/>
    <col min="3336" max="3336" width="13" style="576" customWidth="1"/>
    <col min="3337" max="3337" width="14.42578125" style="576" customWidth="1"/>
    <col min="3338" max="3339" width="21.140625" style="576" customWidth="1"/>
    <col min="3340" max="3340" width="11.42578125" style="576"/>
    <col min="3341" max="3341" width="13.85546875" style="576" bestFit="1" customWidth="1"/>
    <col min="3342" max="3587" width="11.42578125" style="576"/>
    <col min="3588" max="3588" width="47.28515625" style="576" bestFit="1" customWidth="1"/>
    <col min="3589" max="3591" width="11.42578125" style="576"/>
    <col min="3592" max="3592" width="13" style="576" customWidth="1"/>
    <col min="3593" max="3593" width="14.42578125" style="576" customWidth="1"/>
    <col min="3594" max="3595" width="21.140625" style="576" customWidth="1"/>
    <col min="3596" max="3596" width="11.42578125" style="576"/>
    <col min="3597" max="3597" width="13.85546875" style="576" bestFit="1" customWidth="1"/>
    <col min="3598" max="3843" width="11.42578125" style="576"/>
    <col min="3844" max="3844" width="47.28515625" style="576" bestFit="1" customWidth="1"/>
    <col min="3845" max="3847" width="11.42578125" style="576"/>
    <col min="3848" max="3848" width="13" style="576" customWidth="1"/>
    <col min="3849" max="3849" width="14.42578125" style="576" customWidth="1"/>
    <col min="3850" max="3851" width="21.140625" style="576" customWidth="1"/>
    <col min="3852" max="3852" width="11.42578125" style="576"/>
    <col min="3853" max="3853" width="13.85546875" style="576" bestFit="1" customWidth="1"/>
    <col min="3854" max="4099" width="11.42578125" style="576"/>
    <col min="4100" max="4100" width="47.28515625" style="576" bestFit="1" customWidth="1"/>
    <col min="4101" max="4103" width="11.42578125" style="576"/>
    <col min="4104" max="4104" width="13" style="576" customWidth="1"/>
    <col min="4105" max="4105" width="14.42578125" style="576" customWidth="1"/>
    <col min="4106" max="4107" width="21.140625" style="576" customWidth="1"/>
    <col min="4108" max="4108" width="11.42578125" style="576"/>
    <col min="4109" max="4109" width="13.85546875" style="576" bestFit="1" customWidth="1"/>
    <col min="4110" max="4355" width="11.42578125" style="576"/>
    <col min="4356" max="4356" width="47.28515625" style="576" bestFit="1" customWidth="1"/>
    <col min="4357" max="4359" width="11.42578125" style="576"/>
    <col min="4360" max="4360" width="13" style="576" customWidth="1"/>
    <col min="4361" max="4361" width="14.42578125" style="576" customWidth="1"/>
    <col min="4362" max="4363" width="21.140625" style="576" customWidth="1"/>
    <col min="4364" max="4364" width="11.42578125" style="576"/>
    <col min="4365" max="4365" width="13.85546875" style="576" bestFit="1" customWidth="1"/>
    <col min="4366" max="4611" width="11.42578125" style="576"/>
    <col min="4612" max="4612" width="47.28515625" style="576" bestFit="1" customWidth="1"/>
    <col min="4613" max="4615" width="11.42578125" style="576"/>
    <col min="4616" max="4616" width="13" style="576" customWidth="1"/>
    <col min="4617" max="4617" width="14.42578125" style="576" customWidth="1"/>
    <col min="4618" max="4619" width="21.140625" style="576" customWidth="1"/>
    <col min="4620" max="4620" width="11.42578125" style="576"/>
    <col min="4621" max="4621" width="13.85546875" style="576" bestFit="1" customWidth="1"/>
    <col min="4622" max="4867" width="11.42578125" style="576"/>
    <col min="4868" max="4868" width="47.28515625" style="576" bestFit="1" customWidth="1"/>
    <col min="4869" max="4871" width="11.42578125" style="576"/>
    <col min="4872" max="4872" width="13" style="576" customWidth="1"/>
    <col min="4873" max="4873" width="14.42578125" style="576" customWidth="1"/>
    <col min="4874" max="4875" width="21.140625" style="576" customWidth="1"/>
    <col min="4876" max="4876" width="11.42578125" style="576"/>
    <col min="4877" max="4877" width="13.85546875" style="576" bestFit="1" customWidth="1"/>
    <col min="4878" max="5123" width="11.42578125" style="576"/>
    <col min="5124" max="5124" width="47.28515625" style="576" bestFit="1" customWidth="1"/>
    <col min="5125" max="5127" width="11.42578125" style="576"/>
    <col min="5128" max="5128" width="13" style="576" customWidth="1"/>
    <col min="5129" max="5129" width="14.42578125" style="576" customWidth="1"/>
    <col min="5130" max="5131" width="21.140625" style="576" customWidth="1"/>
    <col min="5132" max="5132" width="11.42578125" style="576"/>
    <col min="5133" max="5133" width="13.85546875" style="576" bestFit="1" customWidth="1"/>
    <col min="5134" max="5379" width="11.42578125" style="576"/>
    <col min="5380" max="5380" width="47.28515625" style="576" bestFit="1" customWidth="1"/>
    <col min="5381" max="5383" width="11.42578125" style="576"/>
    <col min="5384" max="5384" width="13" style="576" customWidth="1"/>
    <col min="5385" max="5385" width="14.42578125" style="576" customWidth="1"/>
    <col min="5386" max="5387" width="21.140625" style="576" customWidth="1"/>
    <col min="5388" max="5388" width="11.42578125" style="576"/>
    <col min="5389" max="5389" width="13.85546875" style="576" bestFit="1" customWidth="1"/>
    <col min="5390" max="5635" width="11.42578125" style="576"/>
    <col min="5636" max="5636" width="47.28515625" style="576" bestFit="1" customWidth="1"/>
    <col min="5637" max="5639" width="11.42578125" style="576"/>
    <col min="5640" max="5640" width="13" style="576" customWidth="1"/>
    <col min="5641" max="5641" width="14.42578125" style="576" customWidth="1"/>
    <col min="5642" max="5643" width="21.140625" style="576" customWidth="1"/>
    <col min="5644" max="5644" width="11.42578125" style="576"/>
    <col min="5645" max="5645" width="13.85546875" style="576" bestFit="1" customWidth="1"/>
    <col min="5646" max="5891" width="11.42578125" style="576"/>
    <col min="5892" max="5892" width="47.28515625" style="576" bestFit="1" customWidth="1"/>
    <col min="5893" max="5895" width="11.42578125" style="576"/>
    <col min="5896" max="5896" width="13" style="576" customWidth="1"/>
    <col min="5897" max="5897" width="14.42578125" style="576" customWidth="1"/>
    <col min="5898" max="5899" width="21.140625" style="576" customWidth="1"/>
    <col min="5900" max="5900" width="11.42578125" style="576"/>
    <col min="5901" max="5901" width="13.85546875" style="576" bestFit="1" customWidth="1"/>
    <col min="5902" max="6147" width="11.42578125" style="576"/>
    <col min="6148" max="6148" width="47.28515625" style="576" bestFit="1" customWidth="1"/>
    <col min="6149" max="6151" width="11.42578125" style="576"/>
    <col min="6152" max="6152" width="13" style="576" customWidth="1"/>
    <col min="6153" max="6153" width="14.42578125" style="576" customWidth="1"/>
    <col min="6154" max="6155" width="21.140625" style="576" customWidth="1"/>
    <col min="6156" max="6156" width="11.42578125" style="576"/>
    <col min="6157" max="6157" width="13.85546875" style="576" bestFit="1" customWidth="1"/>
    <col min="6158" max="6403" width="11.42578125" style="576"/>
    <col min="6404" max="6404" width="47.28515625" style="576" bestFit="1" customWidth="1"/>
    <col min="6405" max="6407" width="11.42578125" style="576"/>
    <col min="6408" max="6408" width="13" style="576" customWidth="1"/>
    <col min="6409" max="6409" width="14.42578125" style="576" customWidth="1"/>
    <col min="6410" max="6411" width="21.140625" style="576" customWidth="1"/>
    <col min="6412" max="6412" width="11.42578125" style="576"/>
    <col min="6413" max="6413" width="13.85546875" style="576" bestFit="1" customWidth="1"/>
    <col min="6414" max="6659" width="11.42578125" style="576"/>
    <col min="6660" max="6660" width="47.28515625" style="576" bestFit="1" customWidth="1"/>
    <col min="6661" max="6663" width="11.42578125" style="576"/>
    <col min="6664" max="6664" width="13" style="576" customWidth="1"/>
    <col min="6665" max="6665" width="14.42578125" style="576" customWidth="1"/>
    <col min="6666" max="6667" width="21.140625" style="576" customWidth="1"/>
    <col min="6668" max="6668" width="11.42578125" style="576"/>
    <col min="6669" max="6669" width="13.85546875" style="576" bestFit="1" customWidth="1"/>
    <col min="6670" max="6915" width="11.42578125" style="576"/>
    <col min="6916" max="6916" width="47.28515625" style="576" bestFit="1" customWidth="1"/>
    <col min="6917" max="6919" width="11.42578125" style="576"/>
    <col min="6920" max="6920" width="13" style="576" customWidth="1"/>
    <col min="6921" max="6921" width="14.42578125" style="576" customWidth="1"/>
    <col min="6922" max="6923" width="21.140625" style="576" customWidth="1"/>
    <col min="6924" max="6924" width="11.42578125" style="576"/>
    <col min="6925" max="6925" width="13.85546875" style="576" bestFit="1" customWidth="1"/>
    <col min="6926" max="7171" width="11.42578125" style="576"/>
    <col min="7172" max="7172" width="47.28515625" style="576" bestFit="1" customWidth="1"/>
    <col min="7173" max="7175" width="11.42578125" style="576"/>
    <col min="7176" max="7176" width="13" style="576" customWidth="1"/>
    <col min="7177" max="7177" width="14.42578125" style="576" customWidth="1"/>
    <col min="7178" max="7179" width="21.140625" style="576" customWidth="1"/>
    <col min="7180" max="7180" width="11.42578125" style="576"/>
    <col min="7181" max="7181" width="13.85546875" style="576" bestFit="1" customWidth="1"/>
    <col min="7182" max="7427" width="11.42578125" style="576"/>
    <col min="7428" max="7428" width="47.28515625" style="576" bestFit="1" customWidth="1"/>
    <col min="7429" max="7431" width="11.42578125" style="576"/>
    <col min="7432" max="7432" width="13" style="576" customWidth="1"/>
    <col min="7433" max="7433" width="14.42578125" style="576" customWidth="1"/>
    <col min="7434" max="7435" width="21.140625" style="576" customWidth="1"/>
    <col min="7436" max="7436" width="11.42578125" style="576"/>
    <col min="7437" max="7437" width="13.85546875" style="576" bestFit="1" customWidth="1"/>
    <col min="7438" max="7683" width="11.42578125" style="576"/>
    <col min="7684" max="7684" width="47.28515625" style="576" bestFit="1" customWidth="1"/>
    <col min="7685" max="7687" width="11.42578125" style="576"/>
    <col min="7688" max="7688" width="13" style="576" customWidth="1"/>
    <col min="7689" max="7689" width="14.42578125" style="576" customWidth="1"/>
    <col min="7690" max="7691" width="21.140625" style="576" customWidth="1"/>
    <col min="7692" max="7692" width="11.42578125" style="576"/>
    <col min="7693" max="7693" width="13.85546875" style="576" bestFit="1" customWidth="1"/>
    <col min="7694" max="7939" width="11.42578125" style="576"/>
    <col min="7940" max="7940" width="47.28515625" style="576" bestFit="1" customWidth="1"/>
    <col min="7941" max="7943" width="11.42578125" style="576"/>
    <col min="7944" max="7944" width="13" style="576" customWidth="1"/>
    <col min="7945" max="7945" width="14.42578125" style="576" customWidth="1"/>
    <col min="7946" max="7947" width="21.140625" style="576" customWidth="1"/>
    <col min="7948" max="7948" width="11.42578125" style="576"/>
    <col min="7949" max="7949" width="13.85546875" style="576" bestFit="1" customWidth="1"/>
    <col min="7950" max="8195" width="11.42578125" style="576"/>
    <col min="8196" max="8196" width="47.28515625" style="576" bestFit="1" customWidth="1"/>
    <col min="8197" max="8199" width="11.42578125" style="576"/>
    <col min="8200" max="8200" width="13" style="576" customWidth="1"/>
    <col min="8201" max="8201" width="14.42578125" style="576" customWidth="1"/>
    <col min="8202" max="8203" width="21.140625" style="576" customWidth="1"/>
    <col min="8204" max="8204" width="11.42578125" style="576"/>
    <col min="8205" max="8205" width="13.85546875" style="576" bestFit="1" customWidth="1"/>
    <col min="8206" max="8451" width="11.42578125" style="576"/>
    <col min="8452" max="8452" width="47.28515625" style="576" bestFit="1" customWidth="1"/>
    <col min="8453" max="8455" width="11.42578125" style="576"/>
    <col min="8456" max="8456" width="13" style="576" customWidth="1"/>
    <col min="8457" max="8457" width="14.42578125" style="576" customWidth="1"/>
    <col min="8458" max="8459" width="21.140625" style="576" customWidth="1"/>
    <col min="8460" max="8460" width="11.42578125" style="576"/>
    <col min="8461" max="8461" width="13.85546875" style="576" bestFit="1" customWidth="1"/>
    <col min="8462" max="8707" width="11.42578125" style="576"/>
    <col min="8708" max="8708" width="47.28515625" style="576" bestFit="1" customWidth="1"/>
    <col min="8709" max="8711" width="11.42578125" style="576"/>
    <col min="8712" max="8712" width="13" style="576" customWidth="1"/>
    <col min="8713" max="8713" width="14.42578125" style="576" customWidth="1"/>
    <col min="8714" max="8715" width="21.140625" style="576" customWidth="1"/>
    <col min="8716" max="8716" width="11.42578125" style="576"/>
    <col min="8717" max="8717" width="13.85546875" style="576" bestFit="1" customWidth="1"/>
    <col min="8718" max="8963" width="11.42578125" style="576"/>
    <col min="8964" max="8964" width="47.28515625" style="576" bestFit="1" customWidth="1"/>
    <col min="8965" max="8967" width="11.42578125" style="576"/>
    <col min="8968" max="8968" width="13" style="576" customWidth="1"/>
    <col min="8969" max="8969" width="14.42578125" style="576" customWidth="1"/>
    <col min="8970" max="8971" width="21.140625" style="576" customWidth="1"/>
    <col min="8972" max="8972" width="11.42578125" style="576"/>
    <col min="8973" max="8973" width="13.85546875" style="576" bestFit="1" customWidth="1"/>
    <col min="8974" max="9219" width="11.42578125" style="576"/>
    <col min="9220" max="9220" width="47.28515625" style="576" bestFit="1" customWidth="1"/>
    <col min="9221" max="9223" width="11.42578125" style="576"/>
    <col min="9224" max="9224" width="13" style="576" customWidth="1"/>
    <col min="9225" max="9225" width="14.42578125" style="576" customWidth="1"/>
    <col min="9226" max="9227" width="21.140625" style="576" customWidth="1"/>
    <col min="9228" max="9228" width="11.42578125" style="576"/>
    <col min="9229" max="9229" width="13.85546875" style="576" bestFit="1" customWidth="1"/>
    <col min="9230" max="9475" width="11.42578125" style="576"/>
    <col min="9476" max="9476" width="47.28515625" style="576" bestFit="1" customWidth="1"/>
    <col min="9477" max="9479" width="11.42578125" style="576"/>
    <col min="9480" max="9480" width="13" style="576" customWidth="1"/>
    <col min="9481" max="9481" width="14.42578125" style="576" customWidth="1"/>
    <col min="9482" max="9483" width="21.140625" style="576" customWidth="1"/>
    <col min="9484" max="9484" width="11.42578125" style="576"/>
    <col min="9485" max="9485" width="13.85546875" style="576" bestFit="1" customWidth="1"/>
    <col min="9486" max="9731" width="11.42578125" style="576"/>
    <col min="9732" max="9732" width="47.28515625" style="576" bestFit="1" customWidth="1"/>
    <col min="9733" max="9735" width="11.42578125" style="576"/>
    <col min="9736" max="9736" width="13" style="576" customWidth="1"/>
    <col min="9737" max="9737" width="14.42578125" style="576" customWidth="1"/>
    <col min="9738" max="9739" width="21.140625" style="576" customWidth="1"/>
    <col min="9740" max="9740" width="11.42578125" style="576"/>
    <col min="9741" max="9741" width="13.85546875" style="576" bestFit="1" customWidth="1"/>
    <col min="9742" max="9987" width="11.42578125" style="576"/>
    <col min="9988" max="9988" width="47.28515625" style="576" bestFit="1" customWidth="1"/>
    <col min="9989" max="9991" width="11.42578125" style="576"/>
    <col min="9992" max="9992" width="13" style="576" customWidth="1"/>
    <col min="9993" max="9993" width="14.42578125" style="576" customWidth="1"/>
    <col min="9994" max="9995" width="21.140625" style="576" customWidth="1"/>
    <col min="9996" max="9996" width="11.42578125" style="576"/>
    <col min="9997" max="9997" width="13.85546875" style="576" bestFit="1" customWidth="1"/>
    <col min="9998" max="10243" width="11.42578125" style="576"/>
    <col min="10244" max="10244" width="47.28515625" style="576" bestFit="1" customWidth="1"/>
    <col min="10245" max="10247" width="11.42578125" style="576"/>
    <col min="10248" max="10248" width="13" style="576" customWidth="1"/>
    <col min="10249" max="10249" width="14.42578125" style="576" customWidth="1"/>
    <col min="10250" max="10251" width="21.140625" style="576" customWidth="1"/>
    <col min="10252" max="10252" width="11.42578125" style="576"/>
    <col min="10253" max="10253" width="13.85546875" style="576" bestFit="1" customWidth="1"/>
    <col min="10254" max="10499" width="11.42578125" style="576"/>
    <col min="10500" max="10500" width="47.28515625" style="576" bestFit="1" customWidth="1"/>
    <col min="10501" max="10503" width="11.42578125" style="576"/>
    <col min="10504" max="10504" width="13" style="576" customWidth="1"/>
    <col min="10505" max="10505" width="14.42578125" style="576" customWidth="1"/>
    <col min="10506" max="10507" width="21.140625" style="576" customWidth="1"/>
    <col min="10508" max="10508" width="11.42578125" style="576"/>
    <col min="10509" max="10509" width="13.85546875" style="576" bestFit="1" customWidth="1"/>
    <col min="10510" max="10755" width="11.42578125" style="576"/>
    <col min="10756" max="10756" width="47.28515625" style="576" bestFit="1" customWidth="1"/>
    <col min="10757" max="10759" width="11.42578125" style="576"/>
    <col min="10760" max="10760" width="13" style="576" customWidth="1"/>
    <col min="10761" max="10761" width="14.42578125" style="576" customWidth="1"/>
    <col min="10762" max="10763" width="21.140625" style="576" customWidth="1"/>
    <col min="10764" max="10764" width="11.42578125" style="576"/>
    <col min="10765" max="10765" width="13.85546875" style="576" bestFit="1" customWidth="1"/>
    <col min="10766" max="11011" width="11.42578125" style="576"/>
    <col min="11012" max="11012" width="47.28515625" style="576" bestFit="1" customWidth="1"/>
    <col min="11013" max="11015" width="11.42578125" style="576"/>
    <col min="11016" max="11016" width="13" style="576" customWidth="1"/>
    <col min="11017" max="11017" width="14.42578125" style="576" customWidth="1"/>
    <col min="11018" max="11019" width="21.140625" style="576" customWidth="1"/>
    <col min="11020" max="11020" width="11.42578125" style="576"/>
    <col min="11021" max="11021" width="13.85546875" style="576" bestFit="1" customWidth="1"/>
    <col min="11022" max="11267" width="11.42578125" style="576"/>
    <col min="11268" max="11268" width="47.28515625" style="576" bestFit="1" customWidth="1"/>
    <col min="11269" max="11271" width="11.42578125" style="576"/>
    <col min="11272" max="11272" width="13" style="576" customWidth="1"/>
    <col min="11273" max="11273" width="14.42578125" style="576" customWidth="1"/>
    <col min="11274" max="11275" width="21.140625" style="576" customWidth="1"/>
    <col min="11276" max="11276" width="11.42578125" style="576"/>
    <col min="11277" max="11277" width="13.85546875" style="576" bestFit="1" customWidth="1"/>
    <col min="11278" max="11523" width="11.42578125" style="576"/>
    <col min="11524" max="11524" width="47.28515625" style="576" bestFit="1" customWidth="1"/>
    <col min="11525" max="11527" width="11.42578125" style="576"/>
    <col min="11528" max="11528" width="13" style="576" customWidth="1"/>
    <col min="11529" max="11529" width="14.42578125" style="576" customWidth="1"/>
    <col min="11530" max="11531" width="21.140625" style="576" customWidth="1"/>
    <col min="11532" max="11532" width="11.42578125" style="576"/>
    <col min="11533" max="11533" width="13.85546875" style="576" bestFit="1" customWidth="1"/>
    <col min="11534" max="11779" width="11.42578125" style="576"/>
    <col min="11780" max="11780" width="47.28515625" style="576" bestFit="1" customWidth="1"/>
    <col min="11781" max="11783" width="11.42578125" style="576"/>
    <col min="11784" max="11784" width="13" style="576" customWidth="1"/>
    <col min="11785" max="11785" width="14.42578125" style="576" customWidth="1"/>
    <col min="11786" max="11787" width="21.140625" style="576" customWidth="1"/>
    <col min="11788" max="11788" width="11.42578125" style="576"/>
    <col min="11789" max="11789" width="13.85546875" style="576" bestFit="1" customWidth="1"/>
    <col min="11790" max="12035" width="11.42578125" style="576"/>
    <col min="12036" max="12036" width="47.28515625" style="576" bestFit="1" customWidth="1"/>
    <col min="12037" max="12039" width="11.42578125" style="576"/>
    <col min="12040" max="12040" width="13" style="576" customWidth="1"/>
    <col min="12041" max="12041" width="14.42578125" style="576" customWidth="1"/>
    <col min="12042" max="12043" width="21.140625" style="576" customWidth="1"/>
    <col min="12044" max="12044" width="11.42578125" style="576"/>
    <col min="12045" max="12045" width="13.85546875" style="576" bestFit="1" customWidth="1"/>
    <col min="12046" max="12291" width="11.42578125" style="576"/>
    <col min="12292" max="12292" width="47.28515625" style="576" bestFit="1" customWidth="1"/>
    <col min="12293" max="12295" width="11.42578125" style="576"/>
    <col min="12296" max="12296" width="13" style="576" customWidth="1"/>
    <col min="12297" max="12297" width="14.42578125" style="576" customWidth="1"/>
    <col min="12298" max="12299" width="21.140625" style="576" customWidth="1"/>
    <col min="12300" max="12300" width="11.42578125" style="576"/>
    <col min="12301" max="12301" width="13.85546875" style="576" bestFit="1" customWidth="1"/>
    <col min="12302" max="12547" width="11.42578125" style="576"/>
    <col min="12548" max="12548" width="47.28515625" style="576" bestFit="1" customWidth="1"/>
    <col min="12549" max="12551" width="11.42578125" style="576"/>
    <col min="12552" max="12552" width="13" style="576" customWidth="1"/>
    <col min="12553" max="12553" width="14.42578125" style="576" customWidth="1"/>
    <col min="12554" max="12555" width="21.140625" style="576" customWidth="1"/>
    <col min="12556" max="12556" width="11.42578125" style="576"/>
    <col min="12557" max="12557" width="13.85546875" style="576" bestFit="1" customWidth="1"/>
    <col min="12558" max="12803" width="11.42578125" style="576"/>
    <col min="12804" max="12804" width="47.28515625" style="576" bestFit="1" customWidth="1"/>
    <col min="12805" max="12807" width="11.42578125" style="576"/>
    <col min="12808" max="12808" width="13" style="576" customWidth="1"/>
    <col min="12809" max="12809" width="14.42578125" style="576" customWidth="1"/>
    <col min="12810" max="12811" width="21.140625" style="576" customWidth="1"/>
    <col min="12812" max="12812" width="11.42578125" style="576"/>
    <col min="12813" max="12813" width="13.85546875" style="576" bestFit="1" customWidth="1"/>
    <col min="12814" max="13059" width="11.42578125" style="576"/>
    <col min="13060" max="13060" width="47.28515625" style="576" bestFit="1" customWidth="1"/>
    <col min="13061" max="13063" width="11.42578125" style="576"/>
    <col min="13064" max="13064" width="13" style="576" customWidth="1"/>
    <col min="13065" max="13065" width="14.42578125" style="576" customWidth="1"/>
    <col min="13066" max="13067" width="21.140625" style="576" customWidth="1"/>
    <col min="13068" max="13068" width="11.42578125" style="576"/>
    <col min="13069" max="13069" width="13.85546875" style="576" bestFit="1" customWidth="1"/>
    <col min="13070" max="13315" width="11.42578125" style="576"/>
    <col min="13316" max="13316" width="47.28515625" style="576" bestFit="1" customWidth="1"/>
    <col min="13317" max="13319" width="11.42578125" style="576"/>
    <col min="13320" max="13320" width="13" style="576" customWidth="1"/>
    <col min="13321" max="13321" width="14.42578125" style="576" customWidth="1"/>
    <col min="13322" max="13323" width="21.140625" style="576" customWidth="1"/>
    <col min="13324" max="13324" width="11.42578125" style="576"/>
    <col min="13325" max="13325" width="13.85546875" style="576" bestFit="1" customWidth="1"/>
    <col min="13326" max="13571" width="11.42578125" style="576"/>
    <col min="13572" max="13572" width="47.28515625" style="576" bestFit="1" customWidth="1"/>
    <col min="13573" max="13575" width="11.42578125" style="576"/>
    <col min="13576" max="13576" width="13" style="576" customWidth="1"/>
    <col min="13577" max="13577" width="14.42578125" style="576" customWidth="1"/>
    <col min="13578" max="13579" width="21.140625" style="576" customWidth="1"/>
    <col min="13580" max="13580" width="11.42578125" style="576"/>
    <col min="13581" max="13581" width="13.85546875" style="576" bestFit="1" customWidth="1"/>
    <col min="13582" max="13827" width="11.42578125" style="576"/>
    <col min="13828" max="13828" width="47.28515625" style="576" bestFit="1" customWidth="1"/>
    <col min="13829" max="13831" width="11.42578125" style="576"/>
    <col min="13832" max="13832" width="13" style="576" customWidth="1"/>
    <col min="13833" max="13833" width="14.42578125" style="576" customWidth="1"/>
    <col min="13834" max="13835" width="21.140625" style="576" customWidth="1"/>
    <col min="13836" max="13836" width="11.42578125" style="576"/>
    <col min="13837" max="13837" width="13.85546875" style="576" bestFit="1" customWidth="1"/>
    <col min="13838" max="14083" width="11.42578125" style="576"/>
    <col min="14084" max="14084" width="47.28515625" style="576" bestFit="1" customWidth="1"/>
    <col min="14085" max="14087" width="11.42578125" style="576"/>
    <col min="14088" max="14088" width="13" style="576" customWidth="1"/>
    <col min="14089" max="14089" width="14.42578125" style="576" customWidth="1"/>
    <col min="14090" max="14091" width="21.140625" style="576" customWidth="1"/>
    <col min="14092" max="14092" width="11.42578125" style="576"/>
    <col min="14093" max="14093" width="13.85546875" style="576" bestFit="1" customWidth="1"/>
    <col min="14094" max="14339" width="11.42578125" style="576"/>
    <col min="14340" max="14340" width="47.28515625" style="576" bestFit="1" customWidth="1"/>
    <col min="14341" max="14343" width="11.42578125" style="576"/>
    <col min="14344" max="14344" width="13" style="576" customWidth="1"/>
    <col min="14345" max="14345" width="14.42578125" style="576" customWidth="1"/>
    <col min="14346" max="14347" width="21.140625" style="576" customWidth="1"/>
    <col min="14348" max="14348" width="11.42578125" style="576"/>
    <col min="14349" max="14349" width="13.85546875" style="576" bestFit="1" customWidth="1"/>
    <col min="14350" max="14595" width="11.42578125" style="576"/>
    <col min="14596" max="14596" width="47.28515625" style="576" bestFit="1" customWidth="1"/>
    <col min="14597" max="14599" width="11.42578125" style="576"/>
    <col min="14600" max="14600" width="13" style="576" customWidth="1"/>
    <col min="14601" max="14601" width="14.42578125" style="576" customWidth="1"/>
    <col min="14602" max="14603" width="21.140625" style="576" customWidth="1"/>
    <col min="14604" max="14604" width="11.42578125" style="576"/>
    <col min="14605" max="14605" width="13.85546875" style="576" bestFit="1" customWidth="1"/>
    <col min="14606" max="14851" width="11.42578125" style="576"/>
    <col min="14852" max="14852" width="47.28515625" style="576" bestFit="1" customWidth="1"/>
    <col min="14853" max="14855" width="11.42578125" style="576"/>
    <col min="14856" max="14856" width="13" style="576" customWidth="1"/>
    <col min="14857" max="14857" width="14.42578125" style="576" customWidth="1"/>
    <col min="14858" max="14859" width="21.140625" style="576" customWidth="1"/>
    <col min="14860" max="14860" width="11.42578125" style="576"/>
    <col min="14861" max="14861" width="13.85546875" style="576" bestFit="1" customWidth="1"/>
    <col min="14862" max="15107" width="11.42578125" style="576"/>
    <col min="15108" max="15108" width="47.28515625" style="576" bestFit="1" customWidth="1"/>
    <col min="15109" max="15111" width="11.42578125" style="576"/>
    <col min="15112" max="15112" width="13" style="576" customWidth="1"/>
    <col min="15113" max="15113" width="14.42578125" style="576" customWidth="1"/>
    <col min="15114" max="15115" width="21.140625" style="576" customWidth="1"/>
    <col min="15116" max="15116" width="11.42578125" style="576"/>
    <col min="15117" max="15117" width="13.85546875" style="576" bestFit="1" customWidth="1"/>
    <col min="15118" max="15363" width="11.42578125" style="576"/>
    <col min="15364" max="15364" width="47.28515625" style="576" bestFit="1" customWidth="1"/>
    <col min="15365" max="15367" width="11.42578125" style="576"/>
    <col min="15368" max="15368" width="13" style="576" customWidth="1"/>
    <col min="15369" max="15369" width="14.42578125" style="576" customWidth="1"/>
    <col min="15370" max="15371" width="21.140625" style="576" customWidth="1"/>
    <col min="15372" max="15372" width="11.42578125" style="576"/>
    <col min="15373" max="15373" width="13.85546875" style="576" bestFit="1" customWidth="1"/>
    <col min="15374" max="15619" width="11.42578125" style="576"/>
    <col min="15620" max="15620" width="47.28515625" style="576" bestFit="1" customWidth="1"/>
    <col min="15621" max="15623" width="11.42578125" style="576"/>
    <col min="15624" max="15624" width="13" style="576" customWidth="1"/>
    <col min="15625" max="15625" width="14.42578125" style="576" customWidth="1"/>
    <col min="15626" max="15627" width="21.140625" style="576" customWidth="1"/>
    <col min="15628" max="15628" width="11.42578125" style="576"/>
    <col min="15629" max="15629" width="13.85546875" style="576" bestFit="1" customWidth="1"/>
    <col min="15630" max="15875" width="11.42578125" style="576"/>
    <col min="15876" max="15876" width="47.28515625" style="576" bestFit="1" customWidth="1"/>
    <col min="15877" max="15879" width="11.42578125" style="576"/>
    <col min="15880" max="15880" width="13" style="576" customWidth="1"/>
    <col min="15881" max="15881" width="14.42578125" style="576" customWidth="1"/>
    <col min="15882" max="15883" width="21.140625" style="576" customWidth="1"/>
    <col min="15884" max="15884" width="11.42578125" style="576"/>
    <col min="15885" max="15885" width="13.85546875" style="576" bestFit="1" customWidth="1"/>
    <col min="15886" max="16131" width="11.42578125" style="576"/>
    <col min="16132" max="16132" width="47.28515625" style="576" bestFit="1" customWidth="1"/>
    <col min="16133" max="16135" width="11.42578125" style="576"/>
    <col min="16136" max="16136" width="13" style="576" customWidth="1"/>
    <col min="16137" max="16137" width="14.42578125" style="576" customWidth="1"/>
    <col min="16138" max="16139" width="21.140625" style="576" customWidth="1"/>
    <col min="16140" max="16140" width="11.42578125" style="576"/>
    <col min="16141" max="16141" width="13.85546875" style="576" bestFit="1" customWidth="1"/>
    <col min="16142" max="16384" width="11.42578125" style="576"/>
  </cols>
  <sheetData>
    <row r="3" spans="2:16" ht="15.75" thickBot="1" x14ac:dyDescent="0.3"/>
    <row r="4" spans="2:16" ht="15.75" thickBot="1" x14ac:dyDescent="0.3">
      <c r="B4" s="623" t="s">
        <v>134</v>
      </c>
      <c r="C4" s="624"/>
      <c r="D4" s="625"/>
      <c r="E4" s="625"/>
      <c r="F4" s="625"/>
      <c r="G4" s="626"/>
      <c r="H4" s="627"/>
      <c r="J4" s="628"/>
      <c r="K4" s="629"/>
    </row>
    <row r="5" spans="2:16" ht="45.75" thickBot="1" x14ac:dyDescent="0.3">
      <c r="B5" s="630" t="s">
        <v>127</v>
      </c>
      <c r="C5" s="631" t="s">
        <v>128</v>
      </c>
      <c r="D5" s="632" t="s">
        <v>129</v>
      </c>
      <c r="E5" s="682" t="s">
        <v>801</v>
      </c>
      <c r="F5" s="682" t="s">
        <v>796</v>
      </c>
      <c r="G5" s="682" t="s">
        <v>800</v>
      </c>
      <c r="H5" s="633" t="s">
        <v>132</v>
      </c>
      <c r="J5" s="634" t="s">
        <v>678</v>
      </c>
      <c r="K5" s="635" t="s">
        <v>782</v>
      </c>
      <c r="N5" s="780" t="s">
        <v>1104</v>
      </c>
      <c r="O5" s="780"/>
      <c r="P5" s="780"/>
    </row>
    <row r="6" spans="2:16" x14ac:dyDescent="0.25">
      <c r="B6" s="636" t="s">
        <v>312</v>
      </c>
      <c r="C6" s="637" t="s">
        <v>135</v>
      </c>
      <c r="D6" s="638">
        <v>1</v>
      </c>
      <c r="E6" s="723">
        <f>N6</f>
        <v>1578.11</v>
      </c>
      <c r="F6" s="724">
        <f>903.505928228705*C36</f>
        <v>1937.7491642721034</v>
      </c>
      <c r="G6" s="723">
        <f>+IF($C$33=1,E6,F6)</f>
        <v>1578.11</v>
      </c>
      <c r="H6" s="723">
        <f>IF($C$33=1,D6*E6*12,D6*F6*13)</f>
        <v>18937.32</v>
      </c>
      <c r="I6" s="727"/>
      <c r="J6" s="723">
        <f>+E6</f>
        <v>1578.11</v>
      </c>
      <c r="K6" s="723">
        <f t="shared" ref="K6:K11" si="0">+J6</f>
        <v>1578.11</v>
      </c>
      <c r="L6" s="576" t="s">
        <v>679</v>
      </c>
      <c r="N6" s="780">
        <v>1578.11</v>
      </c>
      <c r="O6" s="780" t="s">
        <v>779</v>
      </c>
      <c r="P6" s="781" t="s">
        <v>312</v>
      </c>
    </row>
    <row r="7" spans="2:16" x14ac:dyDescent="0.25">
      <c r="B7" s="643" t="s">
        <v>313</v>
      </c>
      <c r="C7" s="644" t="s">
        <v>135</v>
      </c>
      <c r="D7" s="645">
        <v>1</v>
      </c>
      <c r="E7" s="723">
        <f t="shared" ref="E7:E19" si="1">N7</f>
        <v>1578.11</v>
      </c>
      <c r="F7" s="724">
        <f>392.792268517615*C36</f>
        <v>842.42157828972881</v>
      </c>
      <c r="G7" s="723">
        <f t="shared" ref="G7:G19" si="2">+IF($C$33=1,E7,F7)</f>
        <v>1578.11</v>
      </c>
      <c r="H7" s="723">
        <f t="shared" ref="H7:H19" si="3">IF($C$33=1,D7*E7*12,D7*F7*13)</f>
        <v>18937.32</v>
      </c>
      <c r="I7" s="727"/>
      <c r="J7" s="723">
        <f t="shared" ref="J7:J19" si="4">+E7</f>
        <v>1578.11</v>
      </c>
      <c r="K7" s="723">
        <f t="shared" si="0"/>
        <v>1578.11</v>
      </c>
      <c r="L7" s="576" t="s">
        <v>680</v>
      </c>
      <c r="N7" s="780">
        <f>+N6</f>
        <v>1578.11</v>
      </c>
      <c r="O7" s="780" t="s">
        <v>779</v>
      </c>
      <c r="P7" s="782" t="s">
        <v>313</v>
      </c>
    </row>
    <row r="8" spans="2:16" x14ac:dyDescent="0.25">
      <c r="B8" s="643" t="s">
        <v>314</v>
      </c>
      <c r="C8" s="644" t="s">
        <v>135</v>
      </c>
      <c r="D8" s="645">
        <v>1</v>
      </c>
      <c r="E8" s="723">
        <f t="shared" si="1"/>
        <v>1346.43</v>
      </c>
      <c r="F8" s="724">
        <f>392.792268517615*C36</f>
        <v>842.42157828972881</v>
      </c>
      <c r="G8" s="723">
        <f t="shared" si="2"/>
        <v>1346.43</v>
      </c>
      <c r="H8" s="723">
        <f t="shared" si="3"/>
        <v>16157.16</v>
      </c>
      <c r="I8" s="727"/>
      <c r="J8" s="723">
        <f t="shared" si="4"/>
        <v>1346.43</v>
      </c>
      <c r="K8" s="723">
        <f t="shared" si="0"/>
        <v>1346.43</v>
      </c>
      <c r="L8" s="576" t="s">
        <v>680</v>
      </c>
      <c r="N8" s="780">
        <v>1346.43</v>
      </c>
      <c r="O8" s="780" t="s">
        <v>781</v>
      </c>
      <c r="P8" s="782" t="s">
        <v>314</v>
      </c>
    </row>
    <row r="9" spans="2:16" x14ac:dyDescent="0.25">
      <c r="B9" s="647" t="s">
        <v>136</v>
      </c>
      <c r="C9" s="644" t="s">
        <v>135</v>
      </c>
      <c r="D9" s="645">
        <v>1</v>
      </c>
      <c r="E9" s="723">
        <f t="shared" si="1"/>
        <v>1346.43</v>
      </c>
      <c r="F9" s="724">
        <f>1000.06197055135*C36</f>
        <v>2144.8329082414803</v>
      </c>
      <c r="G9" s="723">
        <f t="shared" si="2"/>
        <v>1346.43</v>
      </c>
      <c r="H9" s="723">
        <f t="shared" si="3"/>
        <v>16157.16</v>
      </c>
      <c r="I9" s="727"/>
      <c r="J9" s="723">
        <f t="shared" si="4"/>
        <v>1346.43</v>
      </c>
      <c r="K9" s="723">
        <f t="shared" si="0"/>
        <v>1346.43</v>
      </c>
      <c r="L9" s="576" t="s">
        <v>221</v>
      </c>
      <c r="N9" s="780">
        <v>1346.43</v>
      </c>
      <c r="O9" s="780" t="s">
        <v>781</v>
      </c>
      <c r="P9" s="783" t="s">
        <v>136</v>
      </c>
    </row>
    <row r="10" spans="2:16" x14ac:dyDescent="0.25">
      <c r="B10" s="643" t="s">
        <v>170</v>
      </c>
      <c r="C10" s="644" t="s">
        <v>135</v>
      </c>
      <c r="D10" s="645">
        <v>1</v>
      </c>
      <c r="E10" s="723">
        <f t="shared" si="1"/>
        <v>1346.43</v>
      </c>
      <c r="F10" s="724">
        <f>573.71056551723*C36</f>
        <v>1230.4370498648029</v>
      </c>
      <c r="G10" s="723">
        <f t="shared" si="2"/>
        <v>1346.43</v>
      </c>
      <c r="H10" s="723">
        <f t="shared" si="3"/>
        <v>16157.16</v>
      </c>
      <c r="I10" s="727"/>
      <c r="J10" s="723">
        <f t="shared" si="4"/>
        <v>1346.43</v>
      </c>
      <c r="K10" s="723">
        <f t="shared" si="0"/>
        <v>1346.43</v>
      </c>
      <c r="L10" s="576" t="s">
        <v>221</v>
      </c>
      <c r="N10" s="780">
        <v>1346.43</v>
      </c>
      <c r="O10" s="780" t="s">
        <v>781</v>
      </c>
      <c r="P10" s="782" t="s">
        <v>170</v>
      </c>
    </row>
    <row r="11" spans="2:16" x14ac:dyDescent="0.25">
      <c r="B11" s="643" t="s">
        <v>315</v>
      </c>
      <c r="C11" s="644" t="s">
        <v>135</v>
      </c>
      <c r="D11" s="645">
        <v>1</v>
      </c>
      <c r="E11" s="723">
        <f t="shared" si="1"/>
        <v>2019.67</v>
      </c>
      <c r="F11" s="724">
        <f>903.505928228705*C36</f>
        <v>1937.7491642721034</v>
      </c>
      <c r="G11" s="723">
        <f t="shared" si="2"/>
        <v>2019.67</v>
      </c>
      <c r="H11" s="723">
        <f t="shared" si="3"/>
        <v>24236.04</v>
      </c>
      <c r="I11" s="727"/>
      <c r="J11" s="723">
        <f t="shared" si="4"/>
        <v>2019.67</v>
      </c>
      <c r="K11" s="723">
        <f t="shared" si="0"/>
        <v>2019.67</v>
      </c>
      <c r="L11" s="576" t="s">
        <v>679</v>
      </c>
      <c r="N11" s="780">
        <v>2019.67</v>
      </c>
      <c r="O11" s="780" t="s">
        <v>1105</v>
      </c>
      <c r="P11" s="782" t="s">
        <v>315</v>
      </c>
    </row>
    <row r="12" spans="2:16" x14ac:dyDescent="0.25">
      <c r="B12" s="647" t="s">
        <v>316</v>
      </c>
      <c r="C12" s="644" t="s">
        <v>135</v>
      </c>
      <c r="D12" s="645">
        <v>1</v>
      </c>
      <c r="E12" s="723">
        <f t="shared" si="1"/>
        <v>1842</v>
      </c>
      <c r="F12" s="724">
        <f>1518.31579393166*C36</f>
        <v>3256.331883245231</v>
      </c>
      <c r="G12" s="723">
        <f t="shared" si="2"/>
        <v>1842</v>
      </c>
      <c r="H12" s="723">
        <f t="shared" si="3"/>
        <v>22104</v>
      </c>
      <c r="I12" s="727"/>
      <c r="J12" s="641"/>
      <c r="K12" s="642"/>
      <c r="N12" s="780">
        <v>1842</v>
      </c>
      <c r="O12" s="780" t="s">
        <v>1106</v>
      </c>
      <c r="P12" s="783" t="s">
        <v>316</v>
      </c>
    </row>
    <row r="13" spans="2:16" x14ac:dyDescent="0.25">
      <c r="B13" s="647" t="s">
        <v>663</v>
      </c>
      <c r="C13" s="644" t="s">
        <v>135</v>
      </c>
      <c r="D13" s="645">
        <v>1</v>
      </c>
      <c r="E13" s="723">
        <f t="shared" si="1"/>
        <v>531.54999999999995</v>
      </c>
      <c r="F13" s="724">
        <f>279.278852722051*C36</f>
        <v>598.96935543298275</v>
      </c>
      <c r="G13" s="723">
        <f t="shared" si="2"/>
        <v>531.54999999999995</v>
      </c>
      <c r="H13" s="723">
        <f t="shared" si="3"/>
        <v>6378.5999999999995</v>
      </c>
      <c r="I13" s="727"/>
      <c r="J13" s="723">
        <f t="shared" si="4"/>
        <v>531.54999999999995</v>
      </c>
      <c r="K13" s="723">
        <f t="shared" ref="K13:K19" si="5">+J13</f>
        <v>531.54999999999995</v>
      </c>
      <c r="L13" s="576" t="s">
        <v>681</v>
      </c>
      <c r="N13" s="780">
        <v>531.54999999999995</v>
      </c>
      <c r="O13" s="780" t="s">
        <v>1107</v>
      </c>
      <c r="P13" s="783" t="s">
        <v>663</v>
      </c>
    </row>
    <row r="14" spans="2:16" x14ac:dyDescent="0.25">
      <c r="B14" s="647" t="s">
        <v>672</v>
      </c>
      <c r="C14" s="644" t="s">
        <v>135</v>
      </c>
      <c r="D14" s="645">
        <v>1</v>
      </c>
      <c r="E14" s="723">
        <f t="shared" si="1"/>
        <v>2197.34</v>
      </c>
      <c r="F14" s="724">
        <f>1000.06197055135*C36</f>
        <v>2144.8329082414803</v>
      </c>
      <c r="G14" s="723">
        <f t="shared" si="2"/>
        <v>2197.34</v>
      </c>
      <c r="H14" s="723">
        <f t="shared" si="3"/>
        <v>26368.080000000002</v>
      </c>
      <c r="I14" s="727"/>
      <c r="J14" s="723">
        <f t="shared" si="4"/>
        <v>2197.34</v>
      </c>
      <c r="K14" s="723">
        <f t="shared" si="5"/>
        <v>2197.34</v>
      </c>
      <c r="L14" s="576" t="s">
        <v>682</v>
      </c>
      <c r="N14" s="780">
        <v>2197.34</v>
      </c>
      <c r="O14" s="780" t="s">
        <v>1109</v>
      </c>
      <c r="P14" s="783" t="s">
        <v>672</v>
      </c>
    </row>
    <row r="15" spans="2:16" x14ac:dyDescent="0.25">
      <c r="B15" s="648" t="s">
        <v>673</v>
      </c>
      <c r="C15" s="644" t="s">
        <v>135</v>
      </c>
      <c r="D15" s="645">
        <v>1</v>
      </c>
      <c r="E15" s="723">
        <f t="shared" si="1"/>
        <v>1842</v>
      </c>
      <c r="F15" s="724">
        <f>903.505928228705*C36</f>
        <v>1937.7491642721034</v>
      </c>
      <c r="G15" s="723">
        <f t="shared" si="2"/>
        <v>1842</v>
      </c>
      <c r="H15" s="723">
        <f t="shared" si="3"/>
        <v>22104</v>
      </c>
      <c r="I15" s="727"/>
      <c r="J15" s="723">
        <f t="shared" si="4"/>
        <v>1842</v>
      </c>
      <c r="K15" s="723">
        <f t="shared" si="5"/>
        <v>1842</v>
      </c>
      <c r="L15" s="576" t="s">
        <v>679</v>
      </c>
      <c r="N15" s="780">
        <f>+N12</f>
        <v>1842</v>
      </c>
      <c r="O15" s="780" t="s">
        <v>1106</v>
      </c>
      <c r="P15" s="784" t="s">
        <v>673</v>
      </c>
    </row>
    <row r="16" spans="2:16" x14ac:dyDescent="0.25">
      <c r="B16" s="648" t="s">
        <v>674</v>
      </c>
      <c r="C16" s="644" t="s">
        <v>135</v>
      </c>
      <c r="D16" s="645">
        <v>1</v>
      </c>
      <c r="E16" s="723">
        <f t="shared" si="1"/>
        <v>1842</v>
      </c>
      <c r="F16" s="724">
        <f>903.505928228705*C36</f>
        <v>1937.7491642721034</v>
      </c>
      <c r="G16" s="723">
        <f t="shared" si="2"/>
        <v>1842</v>
      </c>
      <c r="H16" s="723">
        <f t="shared" si="3"/>
        <v>22104</v>
      </c>
      <c r="I16" s="727"/>
      <c r="J16" s="723">
        <f t="shared" si="4"/>
        <v>1842</v>
      </c>
      <c r="K16" s="723">
        <f t="shared" si="5"/>
        <v>1842</v>
      </c>
      <c r="L16" s="576" t="s">
        <v>679</v>
      </c>
      <c r="N16" s="780">
        <f>+N15</f>
        <v>1842</v>
      </c>
      <c r="O16" s="780" t="s">
        <v>1106</v>
      </c>
      <c r="P16" s="784" t="s">
        <v>674</v>
      </c>
    </row>
    <row r="17" spans="2:16" x14ac:dyDescent="0.25">
      <c r="B17" s="648" t="s">
        <v>675</v>
      </c>
      <c r="C17" s="644" t="s">
        <v>135</v>
      </c>
      <c r="D17" s="645">
        <v>1</v>
      </c>
      <c r="E17" s="723">
        <f t="shared" si="1"/>
        <v>1842</v>
      </c>
      <c r="F17" s="724">
        <f>903.505928228705*C36</f>
        <v>1937.7491642721034</v>
      </c>
      <c r="G17" s="723">
        <f t="shared" si="2"/>
        <v>1842</v>
      </c>
      <c r="H17" s="723">
        <f t="shared" si="3"/>
        <v>22104</v>
      </c>
      <c r="I17" s="727"/>
      <c r="J17" s="723">
        <f t="shared" si="4"/>
        <v>1842</v>
      </c>
      <c r="K17" s="723">
        <f t="shared" si="5"/>
        <v>1842</v>
      </c>
      <c r="L17" s="576" t="s">
        <v>679</v>
      </c>
      <c r="N17" s="780">
        <f>+N16</f>
        <v>1842</v>
      </c>
      <c r="O17" s="780" t="s">
        <v>1106</v>
      </c>
      <c r="P17" s="784" t="s">
        <v>675</v>
      </c>
    </row>
    <row r="18" spans="2:16" x14ac:dyDescent="0.25">
      <c r="B18" s="648" t="s">
        <v>676</v>
      </c>
      <c r="C18" s="644" t="s">
        <v>135</v>
      </c>
      <c r="D18" s="645">
        <v>1</v>
      </c>
      <c r="E18" s="723">
        <f t="shared" si="1"/>
        <v>1346.43</v>
      </c>
      <c r="F18" s="724">
        <f>1000.06197055135*C36</f>
        <v>2144.8329082414803</v>
      </c>
      <c r="G18" s="723">
        <f t="shared" si="2"/>
        <v>1346.43</v>
      </c>
      <c r="H18" s="723">
        <f t="shared" si="3"/>
        <v>16157.16</v>
      </c>
      <c r="I18" s="727"/>
      <c r="J18" s="723">
        <f t="shared" si="4"/>
        <v>1346.43</v>
      </c>
      <c r="K18" s="723">
        <f t="shared" si="5"/>
        <v>1346.43</v>
      </c>
      <c r="L18" s="576" t="s">
        <v>136</v>
      </c>
      <c r="N18" s="780">
        <f>+N9</f>
        <v>1346.43</v>
      </c>
      <c r="O18" s="780" t="s">
        <v>781</v>
      </c>
      <c r="P18" s="784" t="s">
        <v>676</v>
      </c>
    </row>
    <row r="19" spans="2:16" x14ac:dyDescent="0.25">
      <c r="B19" s="648" t="s">
        <v>677</v>
      </c>
      <c r="C19" s="644" t="s">
        <v>135</v>
      </c>
      <c r="D19" s="645">
        <v>1</v>
      </c>
      <c r="E19" s="723">
        <f t="shared" si="1"/>
        <v>1459.97</v>
      </c>
      <c r="F19" s="724">
        <f>1000.06197055135*C36</f>
        <v>2144.8329082414803</v>
      </c>
      <c r="G19" s="723">
        <f t="shared" si="2"/>
        <v>1459.97</v>
      </c>
      <c r="H19" s="723">
        <f t="shared" si="3"/>
        <v>17519.64</v>
      </c>
      <c r="I19" s="727"/>
      <c r="J19" s="723">
        <f t="shared" si="4"/>
        <v>1459.97</v>
      </c>
      <c r="K19" s="723">
        <f t="shared" si="5"/>
        <v>1459.97</v>
      </c>
      <c r="L19" s="576" t="s">
        <v>221</v>
      </c>
      <c r="N19" s="780">
        <v>1459.97</v>
      </c>
      <c r="O19" s="780" t="s">
        <v>1108</v>
      </c>
      <c r="P19" s="784" t="s">
        <v>677</v>
      </c>
    </row>
    <row r="20" spans="2:16" x14ac:dyDescent="0.25">
      <c r="B20" s="648"/>
      <c r="C20" s="644"/>
      <c r="D20" s="649"/>
      <c r="E20" s="639"/>
      <c r="F20" s="639"/>
      <c r="G20" s="640"/>
      <c r="H20" s="646"/>
      <c r="J20" s="650"/>
      <c r="K20" s="651"/>
    </row>
    <row r="21" spans="2:16" ht="15.75" thickBot="1" x14ac:dyDescent="0.3">
      <c r="B21" s="652"/>
      <c r="C21" s="653"/>
      <c r="D21" s="654"/>
      <c r="E21" s="654"/>
      <c r="F21" s="654"/>
      <c r="G21" s="654"/>
      <c r="H21" s="655"/>
      <c r="J21" s="656"/>
      <c r="K21" s="657"/>
    </row>
    <row r="22" spans="2:16" ht="15.75" thickBot="1" x14ac:dyDescent="0.3">
      <c r="B22" s="658" t="s">
        <v>683</v>
      </c>
      <c r="C22" s="659"/>
      <c r="D22" s="659"/>
      <c r="E22" s="659"/>
      <c r="F22" s="659"/>
      <c r="G22" s="660"/>
      <c r="H22" s="739">
        <f>SUM(H6:H21)</f>
        <v>265421.64</v>
      </c>
    </row>
    <row r="23" spans="2:16" ht="15.75" thickBot="1" x14ac:dyDescent="0.3"/>
    <row r="24" spans="2:16" ht="15.75" thickBot="1" x14ac:dyDescent="0.3">
      <c r="B24" s="661" t="s">
        <v>684</v>
      </c>
      <c r="C24" s="662">
        <f>(8*5+1*4)*4</f>
        <v>176</v>
      </c>
    </row>
    <row r="25" spans="2:16" ht="15.75" thickBot="1" x14ac:dyDescent="0.3">
      <c r="B25" s="663" t="s">
        <v>783</v>
      </c>
      <c r="C25" s="731" t="s">
        <v>784</v>
      </c>
      <c r="D25" s="664" t="s">
        <v>685</v>
      </c>
    </row>
    <row r="26" spans="2:16" x14ac:dyDescent="0.25">
      <c r="B26" s="665" t="s">
        <v>686</v>
      </c>
      <c r="C26" s="732">
        <f>'OF. ESPECIALIZADO'!G6</f>
        <v>3.8939887474089425</v>
      </c>
      <c r="D26" s="666"/>
    </row>
    <row r="27" spans="2:16" x14ac:dyDescent="0.25">
      <c r="B27" s="665" t="s">
        <v>687</v>
      </c>
      <c r="C27" s="732">
        <f>OFICIAL!G6</f>
        <v>3.320254663902872</v>
      </c>
      <c r="D27" s="666"/>
    </row>
    <row r="28" spans="2:16" x14ac:dyDescent="0.25">
      <c r="B28" s="665" t="s">
        <v>688</v>
      </c>
      <c r="C28" s="732">
        <f>'MEDIO OFICIAL'!G6</f>
        <v>3.0611489487710983</v>
      </c>
      <c r="D28" s="666"/>
    </row>
    <row r="29" spans="2:16" x14ac:dyDescent="0.25">
      <c r="B29" s="665" t="s">
        <v>221</v>
      </c>
      <c r="C29" s="732">
        <f>AYUDANTE!G6</f>
        <v>2.8094462540716609</v>
      </c>
      <c r="D29" s="666"/>
    </row>
    <row r="30" spans="2:16" ht="15.75" thickBot="1" x14ac:dyDescent="0.3">
      <c r="B30" s="667" t="s">
        <v>785</v>
      </c>
      <c r="C30" s="733">
        <f>137720/CoeficientePase!$C$44</f>
        <v>509.771986970684</v>
      </c>
      <c r="D30" s="734">
        <f>C30*AYUDANTE!J46</f>
        <v>750.11627393410538</v>
      </c>
    </row>
    <row r="32" spans="2:16" x14ac:dyDescent="0.25">
      <c r="B32" s="683" t="s">
        <v>799</v>
      </c>
      <c r="C32" s="684"/>
    </row>
    <row r="33" spans="1:8" x14ac:dyDescent="0.25">
      <c r="B33" s="685" t="s">
        <v>797</v>
      </c>
      <c r="C33" s="686">
        <v>1</v>
      </c>
    </row>
    <row r="34" spans="1:8" x14ac:dyDescent="0.25">
      <c r="B34" s="685" t="s">
        <v>798</v>
      </c>
      <c r="C34" s="686">
        <v>0</v>
      </c>
    </row>
    <row r="35" spans="1:8" x14ac:dyDescent="0.25">
      <c r="B35" s="685"/>
      <c r="C35" s="684"/>
    </row>
    <row r="36" spans="1:8" x14ac:dyDescent="0.25">
      <c r="B36" s="684" t="s">
        <v>802</v>
      </c>
      <c r="C36" s="686">
        <v>2.1446999999999998</v>
      </c>
    </row>
    <row r="37" spans="1:8" ht="18.75" x14ac:dyDescent="0.3">
      <c r="A37" s="668" t="s">
        <v>786</v>
      </c>
    </row>
    <row r="38" spans="1:8" ht="15.75" thickBot="1" x14ac:dyDescent="0.3">
      <c r="A38" s="80"/>
      <c r="B38" s="80"/>
      <c r="C38" s="80"/>
      <c r="D38" s="80"/>
      <c r="E38" s="80"/>
      <c r="F38" s="80"/>
      <c r="G38" s="80"/>
      <c r="H38" s="80"/>
    </row>
    <row r="39" spans="1:8" ht="16.5" thickBot="1" x14ac:dyDescent="0.3">
      <c r="A39" s="824" t="s">
        <v>140</v>
      </c>
      <c r="B39" s="825"/>
      <c r="C39" s="825"/>
      <c r="D39" s="825"/>
      <c r="E39" s="825"/>
      <c r="F39" s="825"/>
      <c r="G39" s="825"/>
      <c r="H39" s="826"/>
    </row>
    <row r="40" spans="1:8" ht="15.75" thickBot="1" x14ac:dyDescent="0.3">
      <c r="A40" s="822" t="s">
        <v>127</v>
      </c>
      <c r="B40" s="823"/>
      <c r="C40" s="81" t="s">
        <v>128</v>
      </c>
      <c r="D40" s="82" t="s">
        <v>129</v>
      </c>
      <c r="E40" s="83" t="s">
        <v>130</v>
      </c>
      <c r="F40" s="83"/>
      <c r="G40" s="84" t="s">
        <v>131</v>
      </c>
      <c r="H40" s="85" t="s">
        <v>132</v>
      </c>
    </row>
    <row r="41" spans="1:8" ht="15.75" thickBot="1" x14ac:dyDescent="0.3">
      <c r="A41" s="86" t="s">
        <v>134</v>
      </c>
      <c r="B41" s="87"/>
      <c r="C41" s="87"/>
      <c r="D41" s="104"/>
      <c r="E41" s="104"/>
      <c r="F41" s="104"/>
      <c r="G41" s="88"/>
      <c r="H41" s="105"/>
    </row>
    <row r="42" spans="1:8" x14ac:dyDescent="0.25">
      <c r="A42" s="89" t="s">
        <v>138</v>
      </c>
      <c r="B42" s="90"/>
      <c r="C42" s="106" t="s">
        <v>135</v>
      </c>
      <c r="D42" s="687">
        <v>1</v>
      </c>
      <c r="E42" s="723">
        <f>IF($C$33=1,$E$6,$F$6)</f>
        <v>1578.11</v>
      </c>
      <c r="F42" s="272"/>
      <c r="G42" s="723">
        <f>+D42*E42*13</f>
        <v>20515.43</v>
      </c>
      <c r="H42" s="92"/>
    </row>
    <row r="43" spans="1:8" x14ac:dyDescent="0.25">
      <c r="A43" s="93" t="s">
        <v>136</v>
      </c>
      <c r="B43" s="94"/>
      <c r="C43" s="95" t="s">
        <v>135</v>
      </c>
      <c r="D43" s="688">
        <v>2</v>
      </c>
      <c r="E43" s="723">
        <f>IF($C$33=1,$E$9,$F$9)</f>
        <v>1346.43</v>
      </c>
      <c r="F43" s="272"/>
      <c r="G43" s="723">
        <f>+D43*E43*13</f>
        <v>35007.18</v>
      </c>
      <c r="H43" s="97"/>
    </row>
    <row r="44" spans="1:8" ht="15.75" thickBot="1" x14ac:dyDescent="0.3">
      <c r="A44" s="108" t="s">
        <v>137</v>
      </c>
      <c r="B44" s="109"/>
      <c r="C44" s="98" t="s">
        <v>133</v>
      </c>
      <c r="D44" s="110">
        <v>0</v>
      </c>
      <c r="E44" s="99"/>
      <c r="F44" s="681"/>
      <c r="G44" s="723">
        <f>SUM(G42:G43)*D44</f>
        <v>0</v>
      </c>
      <c r="H44" s="100"/>
    </row>
    <row r="45" spans="1:8" ht="15.75" thickBot="1" x14ac:dyDescent="0.3">
      <c r="A45" s="111" t="s">
        <v>139</v>
      </c>
      <c r="B45" s="101"/>
      <c r="C45" s="102"/>
      <c r="D45" s="102"/>
      <c r="E45" s="102"/>
      <c r="F45" s="102"/>
      <c r="G45" s="103"/>
      <c r="H45" s="728">
        <f>SUM(G42:G44)</f>
        <v>55522.61</v>
      </c>
    </row>
    <row r="46" spans="1:8" x14ac:dyDescent="0.25">
      <c r="A46" s="112"/>
      <c r="B46" s="113"/>
      <c r="C46" s="113"/>
      <c r="D46" s="113"/>
      <c r="E46" s="113"/>
      <c r="F46" s="113"/>
      <c r="G46" s="113"/>
      <c r="H46" s="113"/>
    </row>
    <row r="47" spans="1:8" x14ac:dyDescent="0.25">
      <c r="A47" s="38" t="s">
        <v>141</v>
      </c>
      <c r="B47" s="38"/>
      <c r="C47" s="38"/>
      <c r="D47" s="38"/>
      <c r="E47" s="38"/>
      <c r="F47" s="38"/>
      <c r="G47" s="38"/>
      <c r="H47" s="38"/>
    </row>
    <row r="48" spans="1:8" x14ac:dyDescent="0.25">
      <c r="A48" s="38"/>
      <c r="B48" s="730">
        <f>+H45</f>
        <v>55522.61</v>
      </c>
      <c r="C48" s="38" t="s">
        <v>822</v>
      </c>
      <c r="D48" s="38"/>
      <c r="E48" s="38"/>
      <c r="F48" s="38"/>
      <c r="G48" s="38"/>
      <c r="H48" s="38"/>
    </row>
    <row r="49" spans="1:8" x14ac:dyDescent="0.25">
      <c r="A49" s="38"/>
      <c r="B49" s="730">
        <f>+B48/12/22/8</f>
        <v>26.289114583333333</v>
      </c>
      <c r="C49" s="38" t="s">
        <v>821</v>
      </c>
      <c r="D49" s="114"/>
      <c r="E49" s="38"/>
      <c r="F49" s="38"/>
      <c r="G49" s="38"/>
      <c r="H49" s="38"/>
    </row>
    <row r="51" spans="1:8" ht="15.75" thickBot="1" x14ac:dyDescent="0.3">
      <c r="A51" s="80"/>
      <c r="B51" s="80"/>
      <c r="C51" s="80"/>
      <c r="D51" s="80"/>
      <c r="E51" s="80"/>
      <c r="F51" s="80"/>
      <c r="G51" s="80"/>
      <c r="H51" s="80"/>
    </row>
    <row r="52" spans="1:8" ht="16.5" thickBot="1" x14ac:dyDescent="0.3">
      <c r="A52" s="824" t="s">
        <v>787</v>
      </c>
      <c r="B52" s="825"/>
      <c r="C52" s="825"/>
      <c r="D52" s="825"/>
      <c r="E52" s="825"/>
      <c r="F52" s="825"/>
      <c r="G52" s="825"/>
      <c r="H52" s="826"/>
    </row>
    <row r="53" spans="1:8" ht="15.75" thickBot="1" x14ac:dyDescent="0.3">
      <c r="A53" s="822" t="s">
        <v>127</v>
      </c>
      <c r="B53" s="823"/>
      <c r="C53" s="81" t="s">
        <v>128</v>
      </c>
      <c r="D53" s="82" t="s">
        <v>129</v>
      </c>
      <c r="E53" s="83" t="s">
        <v>130</v>
      </c>
      <c r="F53" s="83"/>
      <c r="G53" s="84" t="s">
        <v>131</v>
      </c>
      <c r="H53" s="85" t="s">
        <v>132</v>
      </c>
    </row>
    <row r="54" spans="1:8" ht="15.75" thickBot="1" x14ac:dyDescent="0.3">
      <c r="A54" s="86" t="s">
        <v>134</v>
      </c>
      <c r="B54" s="87"/>
      <c r="C54" s="87"/>
      <c r="D54" s="104"/>
      <c r="E54" s="104"/>
      <c r="F54" s="104"/>
      <c r="G54" s="88"/>
      <c r="H54" s="105"/>
    </row>
    <row r="55" spans="1:8" x14ac:dyDescent="0.25">
      <c r="A55" s="89" t="s">
        <v>138</v>
      </c>
      <c r="B55" s="90"/>
      <c r="C55" s="106" t="s">
        <v>135</v>
      </c>
      <c r="D55" s="687">
        <v>1</v>
      </c>
      <c r="E55" s="723">
        <f>IF($C$33=1,$E$6,$F$6)</f>
        <v>1578.11</v>
      </c>
      <c r="F55" s="272"/>
      <c r="G55" s="723">
        <f>+D55*E55*13</f>
        <v>20515.43</v>
      </c>
      <c r="H55" s="92"/>
    </row>
    <row r="56" spans="1:8" x14ac:dyDescent="0.25">
      <c r="A56" s="93" t="s">
        <v>136</v>
      </c>
      <c r="B56" s="94"/>
      <c r="C56" s="95" t="s">
        <v>135</v>
      </c>
      <c r="D56" s="688">
        <v>2</v>
      </c>
      <c r="E56" s="723">
        <f>IF($C$33=1,$E$9,$F$9)</f>
        <v>1346.43</v>
      </c>
      <c r="F56" s="272"/>
      <c r="G56" s="723">
        <f>+D56*E56*13</f>
        <v>35007.18</v>
      </c>
      <c r="H56" s="97"/>
    </row>
    <row r="57" spans="1:8" ht="15.75" thickBot="1" x14ac:dyDescent="0.3">
      <c r="A57" s="108" t="s">
        <v>137</v>
      </c>
      <c r="B57" s="109"/>
      <c r="C57" s="98" t="s">
        <v>133</v>
      </c>
      <c r="D57" s="110">
        <v>0</v>
      </c>
      <c r="E57" s="99"/>
      <c r="F57" s="681"/>
      <c r="G57" s="723">
        <f>SUM(G55:G56)*D57</f>
        <v>0</v>
      </c>
      <c r="H57" s="100"/>
    </row>
    <row r="58" spans="1:8" ht="15.75" thickBot="1" x14ac:dyDescent="0.3">
      <c r="A58" s="111" t="s">
        <v>139</v>
      </c>
      <c r="B58" s="101"/>
      <c r="C58" s="102"/>
      <c r="D58" s="102"/>
      <c r="E58" s="102"/>
      <c r="F58" s="102"/>
      <c r="G58" s="103"/>
      <c r="H58" s="729">
        <f>SUM(G55:G57)</f>
        <v>55522.61</v>
      </c>
    </row>
    <row r="59" spans="1:8" x14ac:dyDescent="0.25">
      <c r="A59" s="112"/>
      <c r="B59" s="113"/>
      <c r="C59" s="113"/>
      <c r="D59" s="113"/>
      <c r="E59" s="113"/>
      <c r="F59" s="113"/>
      <c r="G59" s="113"/>
      <c r="H59" s="113"/>
    </row>
    <row r="60" spans="1:8" x14ac:dyDescent="0.25">
      <c r="A60" s="38" t="s">
        <v>141</v>
      </c>
      <c r="B60" s="38"/>
      <c r="C60" s="38"/>
      <c r="D60" s="38"/>
      <c r="E60" s="38"/>
      <c r="F60" s="38"/>
      <c r="G60" s="38"/>
      <c r="H60" s="38"/>
    </row>
    <row r="61" spans="1:8" x14ac:dyDescent="0.25">
      <c r="A61" s="38"/>
      <c r="B61" s="730">
        <f>+H58</f>
        <v>55522.61</v>
      </c>
      <c r="C61" s="38" t="s">
        <v>822</v>
      </c>
      <c r="D61" s="38"/>
      <c r="E61" s="38"/>
      <c r="F61" s="38"/>
      <c r="G61" s="38"/>
      <c r="H61" s="38"/>
    </row>
    <row r="62" spans="1:8" x14ac:dyDescent="0.25">
      <c r="A62" s="38"/>
      <c r="B62" s="730">
        <f>+B61/12/22/8</f>
        <v>26.289114583333333</v>
      </c>
      <c r="C62" s="38" t="s">
        <v>821</v>
      </c>
      <c r="D62" s="114"/>
      <c r="E62" s="38"/>
      <c r="F62" s="38"/>
      <c r="G62" s="38"/>
      <c r="H62" s="38"/>
    </row>
    <row r="65" spans="1:8" ht="15.75" thickBot="1" x14ac:dyDescent="0.3"/>
    <row r="66" spans="1:8" ht="16.5" thickBot="1" x14ac:dyDescent="0.3">
      <c r="A66" s="824" t="s">
        <v>788</v>
      </c>
      <c r="B66" s="825"/>
      <c r="C66" s="825"/>
      <c r="D66" s="825"/>
      <c r="E66" s="825"/>
      <c r="F66" s="825"/>
      <c r="G66" s="825"/>
      <c r="H66" s="826"/>
    </row>
    <row r="67" spans="1:8" ht="15.75" thickBot="1" x14ac:dyDescent="0.3">
      <c r="A67" s="822" t="s">
        <v>127</v>
      </c>
      <c r="B67" s="823"/>
      <c r="C67" s="81" t="s">
        <v>128</v>
      </c>
      <c r="D67" s="82" t="s">
        <v>129</v>
      </c>
      <c r="E67" s="83" t="s">
        <v>130</v>
      </c>
      <c r="F67" s="83"/>
      <c r="G67" s="84" t="s">
        <v>131</v>
      </c>
      <c r="H67" s="85" t="s">
        <v>132</v>
      </c>
    </row>
    <row r="68" spans="1:8" ht="15.75" thickBot="1" x14ac:dyDescent="0.3">
      <c r="A68" s="86" t="s">
        <v>134</v>
      </c>
      <c r="B68" s="87"/>
      <c r="C68" s="87"/>
      <c r="D68" s="104"/>
      <c r="E68" s="104"/>
      <c r="F68" s="104"/>
      <c r="G68" s="88"/>
      <c r="H68" s="105"/>
    </row>
    <row r="69" spans="1:8" x14ac:dyDescent="0.25">
      <c r="A69" s="89" t="s">
        <v>138</v>
      </c>
      <c r="B69" s="90"/>
      <c r="C69" s="106" t="s">
        <v>135</v>
      </c>
      <c r="D69" s="687">
        <v>1</v>
      </c>
      <c r="E69" s="723">
        <f>IF($C$33=1,$E$6,$F$6)</f>
        <v>1578.11</v>
      </c>
      <c r="F69" s="272"/>
      <c r="G69" s="723">
        <f>+D69*E69*13</f>
        <v>20515.43</v>
      </c>
      <c r="H69" s="92"/>
    </row>
    <row r="70" spans="1:8" x14ac:dyDescent="0.25">
      <c r="A70" s="93" t="s">
        <v>136</v>
      </c>
      <c r="B70" s="94"/>
      <c r="C70" s="95" t="s">
        <v>135</v>
      </c>
      <c r="D70" s="688">
        <v>0</v>
      </c>
      <c r="E70" s="723">
        <f>IF($C$33=1,$E$9,$F$9)</f>
        <v>1346.43</v>
      </c>
      <c r="F70" s="272"/>
      <c r="G70" s="723">
        <f>+D70*E70*13</f>
        <v>0</v>
      </c>
      <c r="H70" s="97"/>
    </row>
    <row r="71" spans="1:8" ht="15.75" thickBot="1" x14ac:dyDescent="0.3">
      <c r="A71" s="108" t="s">
        <v>137</v>
      </c>
      <c r="B71" s="109"/>
      <c r="C71" s="98" t="s">
        <v>133</v>
      </c>
      <c r="D71" s="110">
        <v>0</v>
      </c>
      <c r="E71" s="99"/>
      <c r="F71" s="681"/>
      <c r="G71" s="723">
        <f>SUM(G69:G70)*D71</f>
        <v>0</v>
      </c>
      <c r="H71" s="100"/>
    </row>
    <row r="72" spans="1:8" ht="15.75" thickBot="1" x14ac:dyDescent="0.3">
      <c r="A72" s="111" t="s">
        <v>139</v>
      </c>
      <c r="B72" s="101"/>
      <c r="C72" s="102"/>
      <c r="D72" s="102"/>
      <c r="E72" s="102"/>
      <c r="F72" s="102"/>
      <c r="G72" s="103"/>
      <c r="H72" s="729">
        <f>SUM(G69:G71)</f>
        <v>20515.43</v>
      </c>
    </row>
    <row r="73" spans="1:8" x14ac:dyDescent="0.25">
      <c r="A73" s="112"/>
      <c r="B73" s="113"/>
      <c r="C73" s="113"/>
      <c r="D73" s="113"/>
      <c r="E73" s="113"/>
      <c r="F73" s="113"/>
      <c r="G73" s="113"/>
      <c r="H73" s="113"/>
    </row>
    <row r="74" spans="1:8" x14ac:dyDescent="0.25">
      <c r="A74" s="38" t="s">
        <v>141</v>
      </c>
      <c r="B74" s="38"/>
      <c r="C74" s="38"/>
      <c r="D74" s="38"/>
      <c r="E74" s="38"/>
      <c r="F74" s="38"/>
      <c r="G74" s="38"/>
      <c r="H74" s="38"/>
    </row>
    <row r="75" spans="1:8" x14ac:dyDescent="0.25">
      <c r="A75" s="38"/>
      <c r="B75" s="730">
        <f>+H72</f>
        <v>20515.43</v>
      </c>
      <c r="C75" s="38" t="s">
        <v>822</v>
      </c>
      <c r="D75" s="38"/>
      <c r="E75" s="38"/>
      <c r="F75" s="38"/>
      <c r="G75" s="38"/>
      <c r="H75" s="38"/>
    </row>
    <row r="76" spans="1:8" x14ac:dyDescent="0.25">
      <c r="A76" s="38"/>
      <c r="B76" s="730">
        <f>+B75/12/22/8</f>
        <v>9.7137452651515144</v>
      </c>
      <c r="C76" s="38" t="s">
        <v>821</v>
      </c>
      <c r="D76" s="114"/>
      <c r="E76" s="38"/>
      <c r="F76" s="38"/>
      <c r="G76" s="38"/>
      <c r="H76" s="38"/>
    </row>
    <row r="77" spans="1:8" x14ac:dyDescent="0.25">
      <c r="A77" s="38"/>
      <c r="B77" s="38"/>
      <c r="C77" s="38"/>
      <c r="D77" s="38"/>
      <c r="E77" s="38"/>
      <c r="F77" s="38"/>
      <c r="G77" s="38"/>
      <c r="H77" s="38"/>
    </row>
  </sheetData>
  <mergeCells count="6">
    <mergeCell ref="A67:B67"/>
    <mergeCell ref="A39:H39"/>
    <mergeCell ref="A40:B40"/>
    <mergeCell ref="A52:H52"/>
    <mergeCell ref="A53:B53"/>
    <mergeCell ref="A66:H66"/>
  </mergeCells>
  <pageMargins left="0.7" right="0.7" top="0.75" bottom="0.75" header="0.3" footer="0.3"/>
  <pageSetup paperSize="9" scale="63"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22">
    <tabColor theme="9" tint="0.59999389629810485"/>
  </sheetPr>
  <dimension ref="A1"/>
  <sheetViews>
    <sheetView showGridLines="0" workbookViewId="0">
      <selection activeCell="D5" sqref="D5"/>
    </sheetView>
  </sheetViews>
  <sheetFormatPr baseColWidth="10" defaultColWidth="11.42578125" defaultRowHeight="15" x14ac:dyDescent="0.25"/>
  <cols>
    <col min="1" max="16384" width="11.42578125" style="576"/>
  </cols>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23">
    <tabColor theme="9" tint="0.59999389629810485"/>
  </sheetPr>
  <dimension ref="A1:J49"/>
  <sheetViews>
    <sheetView view="pageBreakPreview" topLeftCell="E1" zoomScaleNormal="100" zoomScaleSheetLayoutView="100" workbookViewId="0">
      <selection activeCell="I47" sqref="I47:I49"/>
    </sheetView>
  </sheetViews>
  <sheetFormatPr baseColWidth="10" defaultRowHeight="15" outlineLevelRow="1" outlineLevelCol="1" x14ac:dyDescent="0.3"/>
  <cols>
    <col min="1" max="1" width="24.85546875" style="580" hidden="1" customWidth="1" outlineLevel="1"/>
    <col min="2" max="3" width="9.28515625" style="605" hidden="1" customWidth="1" outlineLevel="1"/>
    <col min="4" max="4" width="12" style="622" hidden="1" customWidth="1" outlineLevel="1"/>
    <col min="5" max="5" width="2.85546875" style="580" customWidth="1" collapsed="1"/>
    <col min="6" max="6" width="24.85546875" style="580" customWidth="1"/>
    <col min="7" max="8" width="9.28515625" style="605" customWidth="1"/>
    <col min="9" max="9" width="15" style="622" customWidth="1"/>
    <col min="10" max="256" width="11.42578125" style="580"/>
    <col min="257" max="260" width="0" style="580" hidden="1" customWidth="1"/>
    <col min="261" max="261" width="2.85546875" style="580" customWidth="1"/>
    <col min="262" max="262" width="24.85546875" style="580" customWidth="1"/>
    <col min="263" max="264" width="9.28515625" style="580" customWidth="1"/>
    <col min="265" max="512" width="11.42578125" style="580"/>
    <col min="513" max="516" width="0" style="580" hidden="1" customWidth="1"/>
    <col min="517" max="517" width="2.85546875" style="580" customWidth="1"/>
    <col min="518" max="518" width="24.85546875" style="580" customWidth="1"/>
    <col min="519" max="520" width="9.28515625" style="580" customWidth="1"/>
    <col min="521" max="768" width="11.42578125" style="580"/>
    <col min="769" max="772" width="0" style="580" hidden="1" customWidth="1"/>
    <col min="773" max="773" width="2.85546875" style="580" customWidth="1"/>
    <col min="774" max="774" width="24.85546875" style="580" customWidth="1"/>
    <col min="775" max="776" width="9.28515625" style="580" customWidth="1"/>
    <col min="777" max="1024" width="11.42578125" style="580"/>
    <col min="1025" max="1028" width="0" style="580" hidden="1" customWidth="1"/>
    <col min="1029" max="1029" width="2.85546875" style="580" customWidth="1"/>
    <col min="1030" max="1030" width="24.85546875" style="580" customWidth="1"/>
    <col min="1031" max="1032" width="9.28515625" style="580" customWidth="1"/>
    <col min="1033" max="1280" width="11.42578125" style="580"/>
    <col min="1281" max="1284" width="0" style="580" hidden="1" customWidth="1"/>
    <col min="1285" max="1285" width="2.85546875" style="580" customWidth="1"/>
    <col min="1286" max="1286" width="24.85546875" style="580" customWidth="1"/>
    <col min="1287" max="1288" width="9.28515625" style="580" customWidth="1"/>
    <col min="1289" max="1536" width="11.42578125" style="580"/>
    <col min="1537" max="1540" width="0" style="580" hidden="1" customWidth="1"/>
    <col min="1541" max="1541" width="2.85546875" style="580" customWidth="1"/>
    <col min="1542" max="1542" width="24.85546875" style="580" customWidth="1"/>
    <col min="1543" max="1544" width="9.28515625" style="580" customWidth="1"/>
    <col min="1545" max="1792" width="11.42578125" style="580"/>
    <col min="1793" max="1796" width="0" style="580" hidden="1" customWidth="1"/>
    <col min="1797" max="1797" width="2.85546875" style="580" customWidth="1"/>
    <col min="1798" max="1798" width="24.85546875" style="580" customWidth="1"/>
    <col min="1799" max="1800" width="9.28515625" style="580" customWidth="1"/>
    <col min="1801" max="2048" width="11.42578125" style="580"/>
    <col min="2049" max="2052" width="0" style="580" hidden="1" customWidth="1"/>
    <col min="2053" max="2053" width="2.85546875" style="580" customWidth="1"/>
    <col min="2054" max="2054" width="24.85546875" style="580" customWidth="1"/>
    <col min="2055" max="2056" width="9.28515625" style="580" customWidth="1"/>
    <col min="2057" max="2304" width="11.42578125" style="580"/>
    <col min="2305" max="2308" width="0" style="580" hidden="1" customWidth="1"/>
    <col min="2309" max="2309" width="2.85546875" style="580" customWidth="1"/>
    <col min="2310" max="2310" width="24.85546875" style="580" customWidth="1"/>
    <col min="2311" max="2312" width="9.28515625" style="580" customWidth="1"/>
    <col min="2313" max="2560" width="11.42578125" style="580"/>
    <col min="2561" max="2564" width="0" style="580" hidden="1" customWidth="1"/>
    <col min="2565" max="2565" width="2.85546875" style="580" customWidth="1"/>
    <col min="2566" max="2566" width="24.85546875" style="580" customWidth="1"/>
    <col min="2567" max="2568" width="9.28515625" style="580" customWidth="1"/>
    <col min="2569" max="2816" width="11.42578125" style="580"/>
    <col min="2817" max="2820" width="0" style="580" hidden="1" customWidth="1"/>
    <col min="2821" max="2821" width="2.85546875" style="580" customWidth="1"/>
    <col min="2822" max="2822" width="24.85546875" style="580" customWidth="1"/>
    <col min="2823" max="2824" width="9.28515625" style="580" customWidth="1"/>
    <col min="2825" max="3072" width="11.42578125" style="580"/>
    <col min="3073" max="3076" width="0" style="580" hidden="1" customWidth="1"/>
    <col min="3077" max="3077" width="2.85546875" style="580" customWidth="1"/>
    <col min="3078" max="3078" width="24.85546875" style="580" customWidth="1"/>
    <col min="3079" max="3080" width="9.28515625" style="580" customWidth="1"/>
    <col min="3081" max="3328" width="11.42578125" style="580"/>
    <col min="3329" max="3332" width="0" style="580" hidden="1" customWidth="1"/>
    <col min="3333" max="3333" width="2.85546875" style="580" customWidth="1"/>
    <col min="3334" max="3334" width="24.85546875" style="580" customWidth="1"/>
    <col min="3335" max="3336" width="9.28515625" style="580" customWidth="1"/>
    <col min="3337" max="3584" width="11.42578125" style="580"/>
    <col min="3585" max="3588" width="0" style="580" hidden="1" customWidth="1"/>
    <col min="3589" max="3589" width="2.85546875" style="580" customWidth="1"/>
    <col min="3590" max="3590" width="24.85546875" style="580" customWidth="1"/>
    <col min="3591" max="3592" width="9.28515625" style="580" customWidth="1"/>
    <col min="3593" max="3840" width="11.42578125" style="580"/>
    <col min="3841" max="3844" width="0" style="580" hidden="1" customWidth="1"/>
    <col min="3845" max="3845" width="2.85546875" style="580" customWidth="1"/>
    <col min="3846" max="3846" width="24.85546875" style="580" customWidth="1"/>
    <col min="3847" max="3848" width="9.28515625" style="580" customWidth="1"/>
    <col min="3849" max="4096" width="11.42578125" style="580"/>
    <col min="4097" max="4100" width="0" style="580" hidden="1" customWidth="1"/>
    <col min="4101" max="4101" width="2.85546875" style="580" customWidth="1"/>
    <col min="4102" max="4102" width="24.85546875" style="580" customWidth="1"/>
    <col min="4103" max="4104" width="9.28515625" style="580" customWidth="1"/>
    <col min="4105" max="4352" width="11.42578125" style="580"/>
    <col min="4353" max="4356" width="0" style="580" hidden="1" customWidth="1"/>
    <col min="4357" max="4357" width="2.85546875" style="580" customWidth="1"/>
    <col min="4358" max="4358" width="24.85546875" style="580" customWidth="1"/>
    <col min="4359" max="4360" width="9.28515625" style="580" customWidth="1"/>
    <col min="4361" max="4608" width="11.42578125" style="580"/>
    <col min="4609" max="4612" width="0" style="580" hidden="1" customWidth="1"/>
    <col min="4613" max="4613" width="2.85546875" style="580" customWidth="1"/>
    <col min="4614" max="4614" width="24.85546875" style="580" customWidth="1"/>
    <col min="4615" max="4616" width="9.28515625" style="580" customWidth="1"/>
    <col min="4617" max="4864" width="11.42578125" style="580"/>
    <col min="4865" max="4868" width="0" style="580" hidden="1" customWidth="1"/>
    <col min="4869" max="4869" width="2.85546875" style="580" customWidth="1"/>
    <col min="4870" max="4870" width="24.85546875" style="580" customWidth="1"/>
    <col min="4871" max="4872" width="9.28515625" style="580" customWidth="1"/>
    <col min="4873" max="5120" width="11.42578125" style="580"/>
    <col min="5121" max="5124" width="0" style="580" hidden="1" customWidth="1"/>
    <col min="5125" max="5125" width="2.85546875" style="580" customWidth="1"/>
    <col min="5126" max="5126" width="24.85546875" style="580" customWidth="1"/>
    <col min="5127" max="5128" width="9.28515625" style="580" customWidth="1"/>
    <col min="5129" max="5376" width="11.42578125" style="580"/>
    <col min="5377" max="5380" width="0" style="580" hidden="1" customWidth="1"/>
    <col min="5381" max="5381" width="2.85546875" style="580" customWidth="1"/>
    <col min="5382" max="5382" width="24.85546875" style="580" customWidth="1"/>
    <col min="5383" max="5384" width="9.28515625" style="580" customWidth="1"/>
    <col min="5385" max="5632" width="11.42578125" style="580"/>
    <col min="5633" max="5636" width="0" style="580" hidden="1" customWidth="1"/>
    <col min="5637" max="5637" width="2.85546875" style="580" customWidth="1"/>
    <col min="5638" max="5638" width="24.85546875" style="580" customWidth="1"/>
    <col min="5639" max="5640" width="9.28515625" style="580" customWidth="1"/>
    <col min="5641" max="5888" width="11.42578125" style="580"/>
    <col min="5889" max="5892" width="0" style="580" hidden="1" customWidth="1"/>
    <col min="5893" max="5893" width="2.85546875" style="580" customWidth="1"/>
    <col min="5894" max="5894" width="24.85546875" style="580" customWidth="1"/>
    <col min="5895" max="5896" width="9.28515625" style="580" customWidth="1"/>
    <col min="5897" max="6144" width="11.42578125" style="580"/>
    <col min="6145" max="6148" width="0" style="580" hidden="1" customWidth="1"/>
    <col min="6149" max="6149" width="2.85546875" style="580" customWidth="1"/>
    <col min="6150" max="6150" width="24.85546875" style="580" customWidth="1"/>
    <col min="6151" max="6152" width="9.28515625" style="580" customWidth="1"/>
    <col min="6153" max="6400" width="11.42578125" style="580"/>
    <col min="6401" max="6404" width="0" style="580" hidden="1" customWidth="1"/>
    <col min="6405" max="6405" width="2.85546875" style="580" customWidth="1"/>
    <col min="6406" max="6406" width="24.85546875" style="580" customWidth="1"/>
    <col min="6407" max="6408" width="9.28515625" style="580" customWidth="1"/>
    <col min="6409" max="6656" width="11.42578125" style="580"/>
    <col min="6657" max="6660" width="0" style="580" hidden="1" customWidth="1"/>
    <col min="6661" max="6661" width="2.85546875" style="580" customWidth="1"/>
    <col min="6662" max="6662" width="24.85546875" style="580" customWidth="1"/>
    <col min="6663" max="6664" width="9.28515625" style="580" customWidth="1"/>
    <col min="6665" max="6912" width="11.42578125" style="580"/>
    <col min="6913" max="6916" width="0" style="580" hidden="1" customWidth="1"/>
    <col min="6917" max="6917" width="2.85546875" style="580" customWidth="1"/>
    <col min="6918" max="6918" width="24.85546875" style="580" customWidth="1"/>
    <col min="6919" max="6920" width="9.28515625" style="580" customWidth="1"/>
    <col min="6921" max="7168" width="11.42578125" style="580"/>
    <col min="7169" max="7172" width="0" style="580" hidden="1" customWidth="1"/>
    <col min="7173" max="7173" width="2.85546875" style="580" customWidth="1"/>
    <col min="7174" max="7174" width="24.85546875" style="580" customWidth="1"/>
    <col min="7175" max="7176" width="9.28515625" style="580" customWidth="1"/>
    <col min="7177" max="7424" width="11.42578125" style="580"/>
    <col min="7425" max="7428" width="0" style="580" hidden="1" customWidth="1"/>
    <col min="7429" max="7429" width="2.85546875" style="580" customWidth="1"/>
    <col min="7430" max="7430" width="24.85546875" style="580" customWidth="1"/>
    <col min="7431" max="7432" width="9.28515625" style="580" customWidth="1"/>
    <col min="7433" max="7680" width="11.42578125" style="580"/>
    <col min="7681" max="7684" width="0" style="580" hidden="1" customWidth="1"/>
    <col min="7685" max="7685" width="2.85546875" style="580" customWidth="1"/>
    <col min="7686" max="7686" width="24.85546875" style="580" customWidth="1"/>
    <col min="7687" max="7688" width="9.28515625" style="580" customWidth="1"/>
    <col min="7689" max="7936" width="11.42578125" style="580"/>
    <col min="7937" max="7940" width="0" style="580" hidden="1" customWidth="1"/>
    <col min="7941" max="7941" width="2.85546875" style="580" customWidth="1"/>
    <col min="7942" max="7942" width="24.85546875" style="580" customWidth="1"/>
    <col min="7943" max="7944" width="9.28515625" style="580" customWidth="1"/>
    <col min="7945" max="8192" width="11.42578125" style="580"/>
    <col min="8193" max="8196" width="0" style="580" hidden="1" customWidth="1"/>
    <col min="8197" max="8197" width="2.85546875" style="580" customWidth="1"/>
    <col min="8198" max="8198" width="24.85546875" style="580" customWidth="1"/>
    <col min="8199" max="8200" width="9.28515625" style="580" customWidth="1"/>
    <col min="8201" max="8448" width="11.42578125" style="580"/>
    <col min="8449" max="8452" width="0" style="580" hidden="1" customWidth="1"/>
    <col min="8453" max="8453" width="2.85546875" style="580" customWidth="1"/>
    <col min="8454" max="8454" width="24.85546875" style="580" customWidth="1"/>
    <col min="8455" max="8456" width="9.28515625" style="580" customWidth="1"/>
    <col min="8457" max="8704" width="11.42578125" style="580"/>
    <col min="8705" max="8708" width="0" style="580" hidden="1" customWidth="1"/>
    <col min="8709" max="8709" width="2.85546875" style="580" customWidth="1"/>
    <col min="8710" max="8710" width="24.85546875" style="580" customWidth="1"/>
    <col min="8711" max="8712" width="9.28515625" style="580" customWidth="1"/>
    <col min="8713" max="8960" width="11.42578125" style="580"/>
    <col min="8961" max="8964" width="0" style="580" hidden="1" customWidth="1"/>
    <col min="8965" max="8965" width="2.85546875" style="580" customWidth="1"/>
    <col min="8966" max="8966" width="24.85546875" style="580" customWidth="1"/>
    <col min="8967" max="8968" width="9.28515625" style="580" customWidth="1"/>
    <col min="8969" max="9216" width="11.42578125" style="580"/>
    <col min="9217" max="9220" width="0" style="580" hidden="1" customWidth="1"/>
    <col min="9221" max="9221" width="2.85546875" style="580" customWidth="1"/>
    <col min="9222" max="9222" width="24.85546875" style="580" customWidth="1"/>
    <col min="9223" max="9224" width="9.28515625" style="580" customWidth="1"/>
    <col min="9225" max="9472" width="11.42578125" style="580"/>
    <col min="9473" max="9476" width="0" style="580" hidden="1" customWidth="1"/>
    <col min="9477" max="9477" width="2.85546875" style="580" customWidth="1"/>
    <col min="9478" max="9478" width="24.85546875" style="580" customWidth="1"/>
    <col min="9479" max="9480" width="9.28515625" style="580" customWidth="1"/>
    <col min="9481" max="9728" width="11.42578125" style="580"/>
    <col min="9729" max="9732" width="0" style="580" hidden="1" customWidth="1"/>
    <col min="9733" max="9733" width="2.85546875" style="580" customWidth="1"/>
    <col min="9734" max="9734" width="24.85546875" style="580" customWidth="1"/>
    <col min="9735" max="9736" width="9.28515625" style="580" customWidth="1"/>
    <col min="9737" max="9984" width="11.42578125" style="580"/>
    <col min="9985" max="9988" width="0" style="580" hidden="1" customWidth="1"/>
    <col min="9989" max="9989" width="2.85546875" style="580" customWidth="1"/>
    <col min="9990" max="9990" width="24.85546875" style="580" customWidth="1"/>
    <col min="9991" max="9992" width="9.28515625" style="580" customWidth="1"/>
    <col min="9993" max="10240" width="11.42578125" style="580"/>
    <col min="10241" max="10244" width="0" style="580" hidden="1" customWidth="1"/>
    <col min="10245" max="10245" width="2.85546875" style="580" customWidth="1"/>
    <col min="10246" max="10246" width="24.85546875" style="580" customWidth="1"/>
    <col min="10247" max="10248" width="9.28515625" style="580" customWidth="1"/>
    <col min="10249" max="10496" width="11.42578125" style="580"/>
    <col min="10497" max="10500" width="0" style="580" hidden="1" customWidth="1"/>
    <col min="10501" max="10501" width="2.85546875" style="580" customWidth="1"/>
    <col min="10502" max="10502" width="24.85546875" style="580" customWidth="1"/>
    <col min="10503" max="10504" width="9.28515625" style="580" customWidth="1"/>
    <col min="10505" max="10752" width="11.42578125" style="580"/>
    <col min="10753" max="10756" width="0" style="580" hidden="1" customWidth="1"/>
    <col min="10757" max="10757" width="2.85546875" style="580" customWidth="1"/>
    <col min="10758" max="10758" width="24.85546875" style="580" customWidth="1"/>
    <col min="10759" max="10760" width="9.28515625" style="580" customWidth="1"/>
    <col min="10761" max="11008" width="11.42578125" style="580"/>
    <col min="11009" max="11012" width="0" style="580" hidden="1" customWidth="1"/>
    <col min="11013" max="11013" width="2.85546875" style="580" customWidth="1"/>
    <col min="11014" max="11014" width="24.85546875" style="580" customWidth="1"/>
    <col min="11015" max="11016" width="9.28515625" style="580" customWidth="1"/>
    <col min="11017" max="11264" width="11.42578125" style="580"/>
    <col min="11265" max="11268" width="0" style="580" hidden="1" customWidth="1"/>
    <col min="11269" max="11269" width="2.85546875" style="580" customWidth="1"/>
    <col min="11270" max="11270" width="24.85546875" style="580" customWidth="1"/>
    <col min="11271" max="11272" width="9.28515625" style="580" customWidth="1"/>
    <col min="11273" max="11520" width="11.42578125" style="580"/>
    <col min="11521" max="11524" width="0" style="580" hidden="1" customWidth="1"/>
    <col min="11525" max="11525" width="2.85546875" style="580" customWidth="1"/>
    <col min="11526" max="11526" width="24.85546875" style="580" customWidth="1"/>
    <col min="11527" max="11528" width="9.28515625" style="580" customWidth="1"/>
    <col min="11529" max="11776" width="11.42578125" style="580"/>
    <col min="11777" max="11780" width="0" style="580" hidden="1" customWidth="1"/>
    <col min="11781" max="11781" width="2.85546875" style="580" customWidth="1"/>
    <col min="11782" max="11782" width="24.85546875" style="580" customWidth="1"/>
    <col min="11783" max="11784" width="9.28515625" style="580" customWidth="1"/>
    <col min="11785" max="12032" width="11.42578125" style="580"/>
    <col min="12033" max="12036" width="0" style="580" hidden="1" customWidth="1"/>
    <col min="12037" max="12037" width="2.85546875" style="580" customWidth="1"/>
    <col min="12038" max="12038" width="24.85546875" style="580" customWidth="1"/>
    <col min="12039" max="12040" width="9.28515625" style="580" customWidth="1"/>
    <col min="12041" max="12288" width="11.42578125" style="580"/>
    <col min="12289" max="12292" width="0" style="580" hidden="1" customWidth="1"/>
    <col min="12293" max="12293" width="2.85546875" style="580" customWidth="1"/>
    <col min="12294" max="12294" width="24.85546875" style="580" customWidth="1"/>
    <col min="12295" max="12296" width="9.28515625" style="580" customWidth="1"/>
    <col min="12297" max="12544" width="11.42578125" style="580"/>
    <col min="12545" max="12548" width="0" style="580" hidden="1" customWidth="1"/>
    <col min="12549" max="12549" width="2.85546875" style="580" customWidth="1"/>
    <col min="12550" max="12550" width="24.85546875" style="580" customWidth="1"/>
    <col min="12551" max="12552" width="9.28515625" style="580" customWidth="1"/>
    <col min="12553" max="12800" width="11.42578125" style="580"/>
    <col min="12801" max="12804" width="0" style="580" hidden="1" customWidth="1"/>
    <col min="12805" max="12805" width="2.85546875" style="580" customWidth="1"/>
    <col min="12806" max="12806" width="24.85546875" style="580" customWidth="1"/>
    <col min="12807" max="12808" width="9.28515625" style="580" customWidth="1"/>
    <col min="12809" max="13056" width="11.42578125" style="580"/>
    <col min="13057" max="13060" width="0" style="580" hidden="1" customWidth="1"/>
    <col min="13061" max="13061" width="2.85546875" style="580" customWidth="1"/>
    <col min="13062" max="13062" width="24.85546875" style="580" customWidth="1"/>
    <col min="13063" max="13064" width="9.28515625" style="580" customWidth="1"/>
    <col min="13065" max="13312" width="11.42578125" style="580"/>
    <col min="13313" max="13316" width="0" style="580" hidden="1" customWidth="1"/>
    <col min="13317" max="13317" width="2.85546875" style="580" customWidth="1"/>
    <col min="13318" max="13318" width="24.85546875" style="580" customWidth="1"/>
    <col min="13319" max="13320" width="9.28515625" style="580" customWidth="1"/>
    <col min="13321" max="13568" width="11.42578125" style="580"/>
    <col min="13569" max="13572" width="0" style="580" hidden="1" customWidth="1"/>
    <col min="13573" max="13573" width="2.85546875" style="580" customWidth="1"/>
    <col min="13574" max="13574" width="24.85546875" style="580" customWidth="1"/>
    <col min="13575" max="13576" width="9.28515625" style="580" customWidth="1"/>
    <col min="13577" max="13824" width="11.42578125" style="580"/>
    <col min="13825" max="13828" width="0" style="580" hidden="1" customWidth="1"/>
    <col min="13829" max="13829" width="2.85546875" style="580" customWidth="1"/>
    <col min="13830" max="13830" width="24.85546875" style="580" customWidth="1"/>
    <col min="13831" max="13832" width="9.28515625" style="580" customWidth="1"/>
    <col min="13833" max="14080" width="11.42578125" style="580"/>
    <col min="14081" max="14084" width="0" style="580" hidden="1" customWidth="1"/>
    <col min="14085" max="14085" width="2.85546875" style="580" customWidth="1"/>
    <col min="14086" max="14086" width="24.85546875" style="580" customWidth="1"/>
    <col min="14087" max="14088" width="9.28515625" style="580" customWidth="1"/>
    <col min="14089" max="14336" width="11.42578125" style="580"/>
    <col min="14337" max="14340" width="0" style="580" hidden="1" customWidth="1"/>
    <col min="14341" max="14341" width="2.85546875" style="580" customWidth="1"/>
    <col min="14342" max="14342" width="24.85546875" style="580" customWidth="1"/>
    <col min="14343" max="14344" width="9.28515625" style="580" customWidth="1"/>
    <col min="14345" max="14592" width="11.42578125" style="580"/>
    <col min="14593" max="14596" width="0" style="580" hidden="1" customWidth="1"/>
    <col min="14597" max="14597" width="2.85546875" style="580" customWidth="1"/>
    <col min="14598" max="14598" width="24.85546875" style="580" customWidth="1"/>
    <col min="14599" max="14600" width="9.28515625" style="580" customWidth="1"/>
    <col min="14601" max="14848" width="11.42578125" style="580"/>
    <col min="14849" max="14852" width="0" style="580" hidden="1" customWidth="1"/>
    <col min="14853" max="14853" width="2.85546875" style="580" customWidth="1"/>
    <col min="14854" max="14854" width="24.85546875" style="580" customWidth="1"/>
    <col min="14855" max="14856" width="9.28515625" style="580" customWidth="1"/>
    <col min="14857" max="15104" width="11.42578125" style="580"/>
    <col min="15105" max="15108" width="0" style="580" hidden="1" customWidth="1"/>
    <col min="15109" max="15109" width="2.85546875" style="580" customWidth="1"/>
    <col min="15110" max="15110" width="24.85546875" style="580" customWidth="1"/>
    <col min="15111" max="15112" width="9.28515625" style="580" customWidth="1"/>
    <col min="15113" max="15360" width="11.42578125" style="580"/>
    <col min="15361" max="15364" width="0" style="580" hidden="1" customWidth="1"/>
    <col min="15365" max="15365" width="2.85546875" style="580" customWidth="1"/>
    <col min="15366" max="15366" width="24.85546875" style="580" customWidth="1"/>
    <col min="15367" max="15368" width="9.28515625" style="580" customWidth="1"/>
    <col min="15369" max="15616" width="11.42578125" style="580"/>
    <col min="15617" max="15620" width="0" style="580" hidden="1" customWidth="1"/>
    <col min="15621" max="15621" width="2.85546875" style="580" customWidth="1"/>
    <col min="15622" max="15622" width="24.85546875" style="580" customWidth="1"/>
    <col min="15623" max="15624" width="9.28515625" style="580" customWidth="1"/>
    <col min="15625" max="15872" width="11.42578125" style="580"/>
    <col min="15873" max="15876" width="0" style="580" hidden="1" customWidth="1"/>
    <col min="15877" max="15877" width="2.85546875" style="580" customWidth="1"/>
    <col min="15878" max="15878" width="24.85546875" style="580" customWidth="1"/>
    <col min="15879" max="15880" width="9.28515625" style="580" customWidth="1"/>
    <col min="15881" max="16128" width="11.42578125" style="580"/>
    <col min="16129" max="16132" width="0" style="580" hidden="1" customWidth="1"/>
    <col min="16133" max="16133" width="2.85546875" style="580" customWidth="1"/>
    <col min="16134" max="16134" width="24.85546875" style="580" customWidth="1"/>
    <col min="16135" max="16136" width="9.28515625" style="580" customWidth="1"/>
    <col min="16137" max="16384" width="11.42578125" style="580"/>
  </cols>
  <sheetData>
    <row r="1" spans="1:9" ht="16.5" customHeight="1" x14ac:dyDescent="0.35">
      <c r="A1" s="577" t="s">
        <v>743</v>
      </c>
      <c r="B1" s="578"/>
      <c r="C1" s="578"/>
      <c r="D1" s="579"/>
      <c r="F1" s="577" t="s">
        <v>743</v>
      </c>
      <c r="G1" s="578"/>
      <c r="H1" s="578"/>
      <c r="I1" s="579"/>
    </row>
    <row r="2" spans="1:9" ht="16.5" customHeight="1" x14ac:dyDescent="0.35">
      <c r="A2" s="577" t="s">
        <v>744</v>
      </c>
      <c r="B2" s="580"/>
      <c r="C2" s="580"/>
      <c r="D2" s="580"/>
      <c r="F2" s="577"/>
      <c r="G2" s="580"/>
      <c r="H2" s="580"/>
      <c r="I2" s="580"/>
    </row>
    <row r="3" spans="1:9" ht="32.25" customHeight="1" x14ac:dyDescent="0.35">
      <c r="A3" s="827" t="s">
        <v>745</v>
      </c>
      <c r="B3" s="828" t="s">
        <v>746</v>
      </c>
      <c r="C3" s="581"/>
      <c r="D3" s="582"/>
      <c r="F3" s="827" t="s">
        <v>745</v>
      </c>
      <c r="G3" s="828" t="s">
        <v>746</v>
      </c>
      <c r="H3" s="581"/>
      <c r="I3" s="582"/>
    </row>
    <row r="4" spans="1:9" ht="21" customHeight="1" x14ac:dyDescent="0.35">
      <c r="A4" s="827"/>
      <c r="B4" s="829"/>
      <c r="C4" s="583"/>
      <c r="D4" s="584" t="s">
        <v>747</v>
      </c>
      <c r="F4" s="827"/>
      <c r="G4" s="829"/>
      <c r="H4" s="583"/>
      <c r="I4" s="584" t="s">
        <v>747</v>
      </c>
    </row>
    <row r="5" spans="1:9" ht="21" hidden="1" customHeight="1" outlineLevel="1" x14ac:dyDescent="0.35">
      <c r="A5" s="585"/>
      <c r="B5" s="586"/>
      <c r="C5" s="586"/>
      <c r="D5" s="584"/>
      <c r="F5" s="585"/>
      <c r="G5" s="587"/>
      <c r="H5" s="586"/>
      <c r="I5" s="584"/>
    </row>
    <row r="6" spans="1:9" collapsed="1" x14ac:dyDescent="0.3">
      <c r="A6" s="588" t="s">
        <v>748</v>
      </c>
      <c r="B6" s="589"/>
      <c r="C6" s="589"/>
      <c r="D6" s="590">
        <v>40.729999999999997</v>
      </c>
      <c r="F6" s="588" t="s">
        <v>748</v>
      </c>
      <c r="G6" s="591">
        <f>1052/CoeficientePase!$C$44</f>
        <v>3.8939887474089425</v>
      </c>
      <c r="H6" s="589"/>
      <c r="I6" s="590">
        <f>+G6</f>
        <v>3.8939887474089425</v>
      </c>
    </row>
    <row r="7" spans="1:9" x14ac:dyDescent="0.3">
      <c r="A7" s="592" t="s">
        <v>749</v>
      </c>
      <c r="B7" s="593"/>
      <c r="C7" s="593"/>
      <c r="D7" s="594"/>
      <c r="F7" s="592" t="s">
        <v>749</v>
      </c>
      <c r="G7" s="593"/>
      <c r="H7" s="593"/>
      <c r="I7" s="594"/>
    </row>
    <row r="8" spans="1:9" x14ac:dyDescent="0.3">
      <c r="A8" s="595" t="s">
        <v>750</v>
      </c>
      <c r="B8" s="596">
        <f>96*2</f>
        <v>192</v>
      </c>
      <c r="C8" s="596"/>
      <c r="D8" s="594">
        <f>+D6*B8</f>
        <v>7820.16</v>
      </c>
      <c r="F8" s="595" t="s">
        <v>750</v>
      </c>
      <c r="G8" s="596">
        <f>+(8*5+1*4)*4</f>
        <v>176</v>
      </c>
      <c r="H8" s="596"/>
      <c r="I8" s="594">
        <f>+I6*G8</f>
        <v>685.34201954397383</v>
      </c>
    </row>
    <row r="9" spans="1:9" x14ac:dyDescent="0.3">
      <c r="A9" s="597" t="s">
        <v>751</v>
      </c>
      <c r="B9" s="598"/>
      <c r="C9" s="598"/>
      <c r="D9" s="599">
        <f>+B9*$D$6*1.5</f>
        <v>0</v>
      </c>
      <c r="E9" s="600"/>
      <c r="F9" s="597" t="s">
        <v>751</v>
      </c>
      <c r="G9" s="598"/>
      <c r="H9" s="598"/>
      <c r="I9" s="599">
        <f>+G9*$D$6*1.5</f>
        <v>0</v>
      </c>
    </row>
    <row r="10" spans="1:9" x14ac:dyDescent="0.3">
      <c r="A10" s="595" t="s">
        <v>752</v>
      </c>
      <c r="B10" s="596"/>
      <c r="C10" s="596"/>
      <c r="D10" s="594">
        <f>(+D6*2)*B10</f>
        <v>0</v>
      </c>
      <c r="F10" s="595" t="s">
        <v>752</v>
      </c>
      <c r="G10" s="596"/>
      <c r="H10" s="596"/>
      <c r="I10" s="594">
        <f>(+I6*2)*G10</f>
        <v>0</v>
      </c>
    </row>
    <row r="11" spans="1:9" x14ac:dyDescent="0.3">
      <c r="A11" s="595" t="s">
        <v>753</v>
      </c>
      <c r="B11" s="593">
        <v>0.1</v>
      </c>
      <c r="C11" s="596"/>
      <c r="D11" s="594">
        <f>(+D9+D8)*0.1</f>
        <v>782.01600000000008</v>
      </c>
      <c r="F11" s="595" t="s">
        <v>753</v>
      </c>
      <c r="G11" s="593">
        <v>0.1</v>
      </c>
      <c r="H11" s="596"/>
      <c r="I11" s="594">
        <f>(+I9+I8)*0.1</f>
        <v>68.534201954397389</v>
      </c>
    </row>
    <row r="12" spans="1:9" hidden="1" outlineLevel="1" x14ac:dyDescent="0.3">
      <c r="A12" s="595" t="s">
        <v>754</v>
      </c>
      <c r="B12" s="596"/>
      <c r="C12" s="596"/>
      <c r="D12" s="594">
        <f>+B12*$D$6</f>
        <v>0</v>
      </c>
      <c r="F12" s="595" t="s">
        <v>754</v>
      </c>
      <c r="G12" s="596"/>
      <c r="H12" s="596"/>
      <c r="I12" s="594">
        <f>+G12*$D$6</f>
        <v>0</v>
      </c>
    </row>
    <row r="13" spans="1:9" collapsed="1" x14ac:dyDescent="0.3">
      <c r="A13" s="595" t="s">
        <v>755</v>
      </c>
      <c r="B13" s="601">
        <f>+D6*0.125</f>
        <v>5.0912499999999996</v>
      </c>
      <c r="C13" s="601"/>
      <c r="D13" s="602">
        <f>2.28/18.23</f>
        <v>0.12506856829402083</v>
      </c>
      <c r="F13" s="595" t="s">
        <v>755</v>
      </c>
      <c r="G13" s="601">
        <f>+I6*0.125</f>
        <v>0.48674859342611781</v>
      </c>
      <c r="H13" s="601"/>
      <c r="I13" s="602">
        <f>2.28/18.23</f>
        <v>0.12506856829402083</v>
      </c>
    </row>
    <row r="14" spans="1:9" x14ac:dyDescent="0.3">
      <c r="A14" s="595" t="s">
        <v>756</v>
      </c>
      <c r="B14" s="596">
        <v>5.5</v>
      </c>
      <c r="C14" s="596">
        <v>26</v>
      </c>
      <c r="D14" s="594">
        <f>+B14*C14</f>
        <v>143</v>
      </c>
      <c r="F14" s="595" t="s">
        <v>756</v>
      </c>
      <c r="G14" s="596">
        <v>5.5</v>
      </c>
      <c r="H14" s="596">
        <v>26</v>
      </c>
      <c r="I14" s="594">
        <f>+G14*H14</f>
        <v>143</v>
      </c>
    </row>
    <row r="15" spans="1:9" x14ac:dyDescent="0.3">
      <c r="A15" s="595" t="s">
        <v>757</v>
      </c>
      <c r="B15" s="596">
        <v>75</v>
      </c>
      <c r="C15" s="596">
        <v>2</v>
      </c>
      <c r="D15" s="594">
        <v>150</v>
      </c>
      <c r="F15" s="595" t="s">
        <v>757</v>
      </c>
      <c r="G15" s="596">
        <v>75</v>
      </c>
      <c r="H15" s="596">
        <v>2</v>
      </c>
      <c r="I15" s="594">
        <v>150</v>
      </c>
    </row>
    <row r="16" spans="1:9" hidden="1" outlineLevel="1" x14ac:dyDescent="0.3">
      <c r="A16" s="595" t="s">
        <v>758</v>
      </c>
      <c r="B16" s="596"/>
      <c r="C16" s="596"/>
      <c r="D16" s="594"/>
      <c r="F16" s="595" t="s">
        <v>758</v>
      </c>
      <c r="G16" s="596"/>
      <c r="H16" s="596"/>
      <c r="I16" s="594"/>
    </row>
    <row r="17" spans="1:10" hidden="1" outlineLevel="1" x14ac:dyDescent="0.3">
      <c r="A17" s="595"/>
      <c r="B17" s="596"/>
      <c r="C17" s="596"/>
      <c r="D17" s="594"/>
      <c r="F17" s="595"/>
      <c r="G17" s="596"/>
      <c r="H17" s="596"/>
      <c r="I17" s="594"/>
    </row>
    <row r="18" spans="1:10" collapsed="1" x14ac:dyDescent="0.3">
      <c r="A18" s="595" t="s">
        <v>759</v>
      </c>
      <c r="B18" s="593">
        <v>0.2</v>
      </c>
      <c r="C18" s="603">
        <f>SUM(D8:D15)</f>
        <v>8895.301068568293</v>
      </c>
      <c r="D18" s="594">
        <f>+B18*C18</f>
        <v>1779.0602137136586</v>
      </c>
      <c r="F18" s="595" t="s">
        <v>759</v>
      </c>
      <c r="G18" s="593">
        <v>0.2</v>
      </c>
      <c r="H18" s="603">
        <f>SUM(I8:I15)</f>
        <v>1047.0012900666652</v>
      </c>
      <c r="I18" s="594">
        <f>+G18*H18</f>
        <v>209.40025801333306</v>
      </c>
    </row>
    <row r="19" spans="1:10" hidden="1" outlineLevel="1" x14ac:dyDescent="0.3">
      <c r="A19" s="595"/>
      <c r="B19" s="593"/>
      <c r="C19" s="593"/>
      <c r="D19" s="594"/>
      <c r="F19" s="595"/>
      <c r="G19" s="593"/>
      <c r="H19" s="593"/>
      <c r="I19" s="594"/>
    </row>
    <row r="20" spans="1:10" collapsed="1" x14ac:dyDescent="0.3">
      <c r="A20" s="595" t="s">
        <v>760</v>
      </c>
      <c r="B20" s="604">
        <v>1.75</v>
      </c>
      <c r="C20" s="604" t="s">
        <v>360</v>
      </c>
      <c r="D20" s="594"/>
      <c r="F20" s="595" t="s">
        <v>760</v>
      </c>
      <c r="G20" s="604">
        <v>1.75</v>
      </c>
      <c r="H20" s="604" t="s">
        <v>360</v>
      </c>
      <c r="I20" s="594"/>
    </row>
    <row r="21" spans="1:10" x14ac:dyDescent="0.3">
      <c r="A21" s="595" t="s">
        <v>760</v>
      </c>
      <c r="B21" s="603">
        <f>+B20*8</f>
        <v>14</v>
      </c>
      <c r="C21" s="603" t="s">
        <v>388</v>
      </c>
      <c r="D21" s="594">
        <f>+B21*D6</f>
        <v>570.21999999999991</v>
      </c>
      <c r="F21" s="595" t="s">
        <v>760</v>
      </c>
      <c r="G21" s="603">
        <f>+G20*8</f>
        <v>14</v>
      </c>
      <c r="H21" s="603" t="s">
        <v>388</v>
      </c>
      <c r="I21" s="594">
        <f>+G21*I6</f>
        <v>54.515842463725193</v>
      </c>
    </row>
    <row r="22" spans="1:10" x14ac:dyDescent="0.3">
      <c r="A22" s="595" t="s">
        <v>761</v>
      </c>
      <c r="D22" s="594">
        <f>SUM(D8:D21)/12</f>
        <v>937.04844019016264</v>
      </c>
      <c r="F22" s="595" t="s">
        <v>761</v>
      </c>
      <c r="I22" s="594">
        <f>SUM(I8:I21)/12</f>
        <v>109.24311587864362</v>
      </c>
    </row>
    <row r="23" spans="1:10" ht="16.5" x14ac:dyDescent="0.35">
      <c r="A23" s="606" t="s">
        <v>762</v>
      </c>
      <c r="B23" s="596"/>
      <c r="C23" s="596"/>
      <c r="D23" s="607">
        <f>SUM(D8:D22)</f>
        <v>12181.629722472115</v>
      </c>
      <c r="F23" s="606" t="s">
        <v>762</v>
      </c>
      <c r="G23" s="596"/>
      <c r="H23" s="596"/>
      <c r="I23" s="607">
        <f>SUM(I8:I22)</f>
        <v>1420.1605064223672</v>
      </c>
    </row>
    <row r="24" spans="1:10" hidden="1" outlineLevel="1" x14ac:dyDescent="0.3">
      <c r="A24" s="595" t="s">
        <v>763</v>
      </c>
      <c r="B24" s="608">
        <v>0.19500000000000001</v>
      </c>
      <c r="C24" s="593"/>
      <c r="D24" s="594">
        <f>+D23*B24</f>
        <v>2375.4177958820624</v>
      </c>
      <c r="F24" s="595" t="s">
        <v>763</v>
      </c>
      <c r="G24" s="608">
        <v>0.19500000000000001</v>
      </c>
      <c r="H24" s="593"/>
      <c r="I24" s="594"/>
    </row>
    <row r="25" spans="1:10" hidden="1" outlineLevel="1" x14ac:dyDescent="0.3">
      <c r="A25" s="595" t="s">
        <v>764</v>
      </c>
      <c r="B25" s="593"/>
      <c r="C25" s="593"/>
      <c r="D25" s="594">
        <v>84.68</v>
      </c>
      <c r="F25" s="595" t="s">
        <v>764</v>
      </c>
      <c r="G25" s="593"/>
      <c r="H25" s="593"/>
      <c r="I25" s="594"/>
    </row>
    <row r="26" spans="1:10" hidden="1" outlineLevel="1" x14ac:dyDescent="0.3">
      <c r="A26" s="595" t="s">
        <v>765</v>
      </c>
      <c r="B26" s="593">
        <f>+D26/D23</f>
        <v>0.20195145082630331</v>
      </c>
      <c r="C26" s="593"/>
      <c r="D26" s="594">
        <f>SUM(D24:D25)</f>
        <v>2460.0977958820622</v>
      </c>
      <c r="F26" s="595" t="s">
        <v>765</v>
      </c>
      <c r="G26" s="593">
        <f>+I26/I23</f>
        <v>0</v>
      </c>
      <c r="H26" s="593"/>
      <c r="I26" s="594"/>
    </row>
    <row r="27" spans="1:10" hidden="1" outlineLevel="1" x14ac:dyDescent="0.3">
      <c r="A27" s="595"/>
      <c r="B27" s="593"/>
      <c r="C27" s="593"/>
      <c r="D27" s="594"/>
      <c r="F27" s="595"/>
      <c r="G27" s="593"/>
      <c r="H27" s="593"/>
      <c r="I27" s="594"/>
    </row>
    <row r="28" spans="1:10" ht="16.5" hidden="1" outlineLevel="1" x14ac:dyDescent="0.35">
      <c r="A28" s="609" t="s">
        <v>766</v>
      </c>
      <c r="B28" s="598"/>
      <c r="C28" s="598"/>
      <c r="D28" s="610">
        <f>+D23-D26</f>
        <v>9721.5319265900525</v>
      </c>
      <c r="F28" s="609" t="s">
        <v>766</v>
      </c>
      <c r="G28" s="598"/>
      <c r="H28" s="598"/>
      <c r="I28" s="610">
        <f>+I23-I26</f>
        <v>1420.1605064223672</v>
      </c>
    </row>
    <row r="29" spans="1:10" ht="16.5" collapsed="1" x14ac:dyDescent="0.35">
      <c r="A29" s="609"/>
      <c r="B29" s="598"/>
      <c r="C29" s="598"/>
      <c r="D29" s="610"/>
      <c r="F29" s="609"/>
      <c r="G29" s="598"/>
      <c r="H29" s="598"/>
      <c r="I29" s="610"/>
    </row>
    <row r="30" spans="1:10" s="614" customFormat="1" ht="16.5" hidden="1" outlineLevel="1" x14ac:dyDescent="0.35">
      <c r="A30" s="611"/>
      <c r="B30" s="612"/>
      <c r="C30" s="612"/>
      <c r="D30" s="613"/>
      <c r="E30" s="580"/>
      <c r="F30" s="611"/>
      <c r="G30" s="612"/>
      <c r="H30" s="612"/>
      <c r="I30" s="613"/>
      <c r="J30" s="580"/>
    </row>
    <row r="31" spans="1:10" s="614" customFormat="1" ht="16.5" hidden="1" outlineLevel="1" x14ac:dyDescent="0.35">
      <c r="A31" s="611" t="s">
        <v>767</v>
      </c>
      <c r="B31" s="612"/>
      <c r="C31" s="612"/>
      <c r="D31" s="613">
        <f>+(D28-D29)/D6*1.2*0.8</f>
        <v>229.13505154742086</v>
      </c>
      <c r="E31" s="580"/>
      <c r="F31" s="611" t="s">
        <v>767</v>
      </c>
      <c r="G31" s="612"/>
      <c r="H31" s="612"/>
      <c r="I31" s="613">
        <f>+(I28-I29)/I6*1.2*0.8</f>
        <v>350.11762349663888</v>
      </c>
      <c r="J31" s="580"/>
    </row>
    <row r="32" spans="1:10" s="614" customFormat="1" ht="16.5" hidden="1" outlineLevel="1" x14ac:dyDescent="0.35">
      <c r="A32" s="611" t="s">
        <v>768</v>
      </c>
      <c r="B32" s="612"/>
      <c r="C32" s="612"/>
      <c r="D32" s="613">
        <f>+D31/8</f>
        <v>28.641881443427607</v>
      </c>
      <c r="E32" s="580"/>
      <c r="F32" s="611" t="s">
        <v>768</v>
      </c>
      <c r="G32" s="612"/>
      <c r="H32" s="612"/>
      <c r="I32" s="613">
        <f>+I31/8</f>
        <v>43.764702937079861</v>
      </c>
      <c r="J32" s="580"/>
    </row>
    <row r="33" spans="1:9" hidden="1" outlineLevel="1" x14ac:dyDescent="0.3">
      <c r="A33" s="595"/>
      <c r="B33" s="593"/>
      <c r="C33" s="593"/>
      <c r="D33" s="594"/>
      <c r="F33" s="595"/>
      <c r="G33" s="593"/>
      <c r="H33" s="593"/>
      <c r="I33" s="594"/>
    </row>
    <row r="34" spans="1:9" hidden="1" outlineLevel="1" x14ac:dyDescent="0.3">
      <c r="A34" s="595"/>
      <c r="B34" s="593"/>
      <c r="C34" s="593"/>
      <c r="D34" s="594"/>
      <c r="F34" s="595"/>
      <c r="G34" s="593"/>
      <c r="H34" s="593"/>
      <c r="I34" s="594"/>
    </row>
    <row r="35" spans="1:9" hidden="1" outlineLevel="1" x14ac:dyDescent="0.3">
      <c r="A35" s="595"/>
      <c r="B35" s="593"/>
      <c r="C35" s="593"/>
      <c r="D35" s="594"/>
      <c r="F35" s="595"/>
      <c r="G35" s="593"/>
      <c r="H35" s="593"/>
      <c r="I35" s="594"/>
    </row>
    <row r="36" spans="1:9" hidden="1" outlineLevel="1" x14ac:dyDescent="0.3">
      <c r="A36" s="595"/>
      <c r="B36" s="593"/>
      <c r="C36" s="593"/>
      <c r="D36" s="594"/>
      <c r="F36" s="595"/>
      <c r="G36" s="593"/>
      <c r="H36" s="593"/>
      <c r="I36" s="594"/>
    </row>
    <row r="37" spans="1:9" collapsed="1" x14ac:dyDescent="0.3">
      <c r="A37" s="595" t="s">
        <v>769</v>
      </c>
      <c r="B37" s="593">
        <v>0.155</v>
      </c>
      <c r="C37" s="593"/>
      <c r="D37" s="594">
        <f>+D23*B37</f>
        <v>1888.1526069831777</v>
      </c>
      <c r="F37" s="595" t="s">
        <v>769</v>
      </c>
      <c r="G37" s="593">
        <v>0.155</v>
      </c>
      <c r="H37" s="593"/>
      <c r="I37" s="594">
        <f>+I23*G37</f>
        <v>220.12487849546693</v>
      </c>
    </row>
    <row r="38" spans="1:9" x14ac:dyDescent="0.3">
      <c r="A38" s="595" t="s">
        <v>770</v>
      </c>
      <c r="B38" s="593">
        <v>0.02</v>
      </c>
      <c r="C38" s="593"/>
      <c r="D38" s="594">
        <f>+B38*D23</f>
        <v>243.63259444944231</v>
      </c>
      <c r="F38" s="595" t="s">
        <v>770</v>
      </c>
      <c r="G38" s="593">
        <v>0.02</v>
      </c>
      <c r="H38" s="593"/>
      <c r="I38" s="594">
        <f>+G38*I23</f>
        <v>28.403210128447345</v>
      </c>
    </row>
    <row r="39" spans="1:9" x14ac:dyDescent="0.3">
      <c r="A39" s="595" t="s">
        <v>771</v>
      </c>
      <c r="B39" s="593">
        <v>0.06</v>
      </c>
      <c r="C39" s="593"/>
      <c r="D39" s="594">
        <f>+D23*B39</f>
        <v>730.89778334832681</v>
      </c>
      <c r="F39" s="595" t="s">
        <v>771</v>
      </c>
      <c r="G39" s="593">
        <v>0.06</v>
      </c>
      <c r="H39" s="593"/>
      <c r="I39" s="594">
        <f>+I23*G39</f>
        <v>85.209630385342024</v>
      </c>
    </row>
    <row r="40" spans="1:9" x14ac:dyDescent="0.3">
      <c r="A40" s="595" t="s">
        <v>772</v>
      </c>
      <c r="B40" s="593">
        <v>1.4999999999999999E-2</v>
      </c>
      <c r="C40" s="593"/>
      <c r="D40" s="594">
        <f>+D23*B40</f>
        <v>182.7244458370817</v>
      </c>
      <c r="F40" s="595" t="s">
        <v>772</v>
      </c>
      <c r="G40" s="593">
        <v>1.4999999999999999E-2</v>
      </c>
      <c r="H40" s="593"/>
      <c r="I40" s="594">
        <f>+I23*G40</f>
        <v>21.302407596335506</v>
      </c>
    </row>
    <row r="41" spans="1:9" x14ac:dyDescent="0.3">
      <c r="A41" s="595" t="s">
        <v>773</v>
      </c>
      <c r="B41" s="603">
        <f>9/15</f>
        <v>0.6</v>
      </c>
      <c r="C41" s="596"/>
      <c r="D41" s="594">
        <f>+B41</f>
        <v>0.6</v>
      </c>
      <c r="F41" s="595" t="s">
        <v>773</v>
      </c>
      <c r="G41" s="603">
        <f>9/15</f>
        <v>0.6</v>
      </c>
      <c r="H41" s="596"/>
      <c r="I41" s="594">
        <f>+G41</f>
        <v>0.6</v>
      </c>
    </row>
    <row r="42" spans="1:9" x14ac:dyDescent="0.3">
      <c r="A42" s="595" t="s">
        <v>773</v>
      </c>
      <c r="B42" s="615">
        <v>0.13769999999999999</v>
      </c>
      <c r="C42" s="615"/>
      <c r="D42" s="594">
        <f>+D23*B42</f>
        <v>1677.41041278441</v>
      </c>
      <c r="F42" s="595" t="s">
        <v>773</v>
      </c>
      <c r="G42" s="615">
        <v>0.13769999999999999</v>
      </c>
      <c r="H42" s="615"/>
      <c r="I42" s="594">
        <f>+I23*G42</f>
        <v>195.55610173435994</v>
      </c>
    </row>
    <row r="43" spans="1:9" x14ac:dyDescent="0.3">
      <c r="A43" s="595" t="s">
        <v>774</v>
      </c>
      <c r="B43" s="615">
        <v>0.08</v>
      </c>
      <c r="C43" s="615"/>
      <c r="D43" s="594">
        <f>+B43*D23</f>
        <v>974.53037779776923</v>
      </c>
      <c r="F43" s="595" t="s">
        <v>774</v>
      </c>
      <c r="G43" s="615">
        <v>0.08</v>
      </c>
      <c r="H43" s="615"/>
      <c r="I43" s="594">
        <f>+G43*I23</f>
        <v>113.61284051378938</v>
      </c>
    </row>
    <row r="44" spans="1:9" x14ac:dyDescent="0.3">
      <c r="A44" s="595" t="s">
        <v>775</v>
      </c>
      <c r="B44" s="615">
        <v>0.04</v>
      </c>
      <c r="C44" s="615"/>
      <c r="D44" s="594">
        <f>+D43*B44</f>
        <v>38.981215111910771</v>
      </c>
      <c r="F44" s="595" t="s">
        <v>775</v>
      </c>
      <c r="G44" s="615">
        <v>0.04</v>
      </c>
      <c r="H44" s="615"/>
      <c r="I44" s="594">
        <f>+I43*G44</f>
        <v>4.5445136205515757</v>
      </c>
    </row>
    <row r="45" spans="1:9" ht="16.5" x14ac:dyDescent="0.35">
      <c r="A45" s="595" t="s">
        <v>776</v>
      </c>
      <c r="B45" s="601"/>
      <c r="C45" s="601"/>
      <c r="D45" s="607">
        <f>SUM(D37:D44)</f>
        <v>5736.929436312118</v>
      </c>
      <c r="F45" s="595" t="s">
        <v>776</v>
      </c>
      <c r="G45" s="601"/>
      <c r="H45" s="601"/>
      <c r="I45" s="607">
        <f>SUM(I37:I44)</f>
        <v>669.35358247429269</v>
      </c>
    </row>
    <row r="46" spans="1:9" ht="25.5" customHeight="1" x14ac:dyDescent="0.35">
      <c r="A46" s="616" t="s">
        <v>777</v>
      </c>
      <c r="B46" s="589"/>
      <c r="C46" s="589"/>
      <c r="D46" s="617">
        <f>+D23+D45</f>
        <v>17918.559158784232</v>
      </c>
      <c r="F46" s="616" t="s">
        <v>777</v>
      </c>
      <c r="G46" s="589"/>
      <c r="H46" s="589"/>
      <c r="I46" s="617">
        <f>+I23+I45</f>
        <v>2089.5140888966598</v>
      </c>
    </row>
    <row r="47" spans="1:9" ht="16.5" x14ac:dyDescent="0.35">
      <c r="A47" s="618"/>
      <c r="B47" s="619"/>
      <c r="C47" s="619"/>
      <c r="D47" s="620"/>
      <c r="F47" s="618"/>
      <c r="G47" s="619"/>
      <c r="H47" s="619"/>
      <c r="I47" s="620">
        <v>524969.81000000006</v>
      </c>
    </row>
    <row r="48" spans="1:9" x14ac:dyDescent="0.3">
      <c r="B48" s="621"/>
      <c r="G48" s="621"/>
      <c r="I48" s="622">
        <v>285</v>
      </c>
    </row>
    <row r="49" spans="9:9" x14ac:dyDescent="0.3">
      <c r="I49" s="622">
        <f>+I47/I48</f>
        <v>1841.9993333333334</v>
      </c>
    </row>
  </sheetData>
  <mergeCells count="4">
    <mergeCell ref="A3:A4"/>
    <mergeCell ref="B3:B4"/>
    <mergeCell ref="F3:F4"/>
    <mergeCell ref="G3:G4"/>
  </mergeCells>
  <printOptions horizontalCentered="1"/>
  <pageMargins left="0.14000000000000001" right="0.43" top="0.22" bottom="0.16" header="0" footer="0"/>
  <pageSetup paperSize="9" scale="65" orientation="landscape" horizontalDpi="300" verticalDpi="300" r:id="rId1"/>
  <headerFooter alignWithMargins="0">
    <oddFooter>&amp;L&amp;F  -- &amp;A&amp;C&amp;P&amp;R&amp;D</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24">
    <tabColor theme="9" tint="0.59999389629810485"/>
  </sheetPr>
  <dimension ref="A1:I49"/>
  <sheetViews>
    <sheetView view="pageBreakPreview" topLeftCell="E1" zoomScaleNormal="100" workbookViewId="0">
      <selection activeCell="I50" sqref="I50"/>
    </sheetView>
  </sheetViews>
  <sheetFormatPr baseColWidth="10" defaultRowHeight="15" outlineLevelRow="1" outlineLevelCol="1" x14ac:dyDescent="0.3"/>
  <cols>
    <col min="1" max="1" width="24.85546875" style="580" hidden="1" customWidth="1" outlineLevel="1"/>
    <col min="2" max="3" width="9.28515625" style="605" hidden="1" customWidth="1" outlineLevel="1"/>
    <col min="4" max="4" width="0" style="622" hidden="1" customWidth="1" outlineLevel="1"/>
    <col min="5" max="5" width="2.85546875" style="580" customWidth="1" collapsed="1"/>
    <col min="6" max="6" width="24.85546875" style="580" customWidth="1"/>
    <col min="7" max="8" width="9.28515625" style="605" customWidth="1"/>
    <col min="9" max="9" width="11.85546875" style="622" bestFit="1" customWidth="1"/>
    <col min="10" max="256" width="11.42578125" style="580"/>
    <col min="257" max="260" width="0" style="580" hidden="1" customWidth="1"/>
    <col min="261" max="261" width="2.85546875" style="580" customWidth="1"/>
    <col min="262" max="262" width="24.85546875" style="580" customWidth="1"/>
    <col min="263" max="264" width="9.28515625" style="580" customWidth="1"/>
    <col min="265" max="512" width="11.42578125" style="580"/>
    <col min="513" max="516" width="0" style="580" hidden="1" customWidth="1"/>
    <col min="517" max="517" width="2.85546875" style="580" customWidth="1"/>
    <col min="518" max="518" width="24.85546875" style="580" customWidth="1"/>
    <col min="519" max="520" width="9.28515625" style="580" customWidth="1"/>
    <col min="521" max="768" width="11.42578125" style="580"/>
    <col min="769" max="772" width="0" style="580" hidden="1" customWidth="1"/>
    <col min="773" max="773" width="2.85546875" style="580" customWidth="1"/>
    <col min="774" max="774" width="24.85546875" style="580" customWidth="1"/>
    <col min="775" max="776" width="9.28515625" style="580" customWidth="1"/>
    <col min="777" max="1024" width="11.42578125" style="580"/>
    <col min="1025" max="1028" width="0" style="580" hidden="1" customWidth="1"/>
    <col min="1029" max="1029" width="2.85546875" style="580" customWidth="1"/>
    <col min="1030" max="1030" width="24.85546875" style="580" customWidth="1"/>
    <col min="1031" max="1032" width="9.28515625" style="580" customWidth="1"/>
    <col min="1033" max="1280" width="11.42578125" style="580"/>
    <col min="1281" max="1284" width="0" style="580" hidden="1" customWidth="1"/>
    <col min="1285" max="1285" width="2.85546875" style="580" customWidth="1"/>
    <col min="1286" max="1286" width="24.85546875" style="580" customWidth="1"/>
    <col min="1287" max="1288" width="9.28515625" style="580" customWidth="1"/>
    <col min="1289" max="1536" width="11.42578125" style="580"/>
    <col min="1537" max="1540" width="0" style="580" hidden="1" customWidth="1"/>
    <col min="1541" max="1541" width="2.85546875" style="580" customWidth="1"/>
    <col min="1542" max="1542" width="24.85546875" style="580" customWidth="1"/>
    <col min="1543" max="1544" width="9.28515625" style="580" customWidth="1"/>
    <col min="1545" max="1792" width="11.42578125" style="580"/>
    <col min="1793" max="1796" width="0" style="580" hidden="1" customWidth="1"/>
    <col min="1797" max="1797" width="2.85546875" style="580" customWidth="1"/>
    <col min="1798" max="1798" width="24.85546875" style="580" customWidth="1"/>
    <col min="1799" max="1800" width="9.28515625" style="580" customWidth="1"/>
    <col min="1801" max="2048" width="11.42578125" style="580"/>
    <col min="2049" max="2052" width="0" style="580" hidden="1" customWidth="1"/>
    <col min="2053" max="2053" width="2.85546875" style="580" customWidth="1"/>
    <col min="2054" max="2054" width="24.85546875" style="580" customWidth="1"/>
    <col min="2055" max="2056" width="9.28515625" style="580" customWidth="1"/>
    <col min="2057" max="2304" width="11.42578125" style="580"/>
    <col min="2305" max="2308" width="0" style="580" hidden="1" customWidth="1"/>
    <col min="2309" max="2309" width="2.85546875" style="580" customWidth="1"/>
    <col min="2310" max="2310" width="24.85546875" style="580" customWidth="1"/>
    <col min="2311" max="2312" width="9.28515625" style="580" customWidth="1"/>
    <col min="2313" max="2560" width="11.42578125" style="580"/>
    <col min="2561" max="2564" width="0" style="580" hidden="1" customWidth="1"/>
    <col min="2565" max="2565" width="2.85546875" style="580" customWidth="1"/>
    <col min="2566" max="2566" width="24.85546875" style="580" customWidth="1"/>
    <col min="2567" max="2568" width="9.28515625" style="580" customWidth="1"/>
    <col min="2569" max="2816" width="11.42578125" style="580"/>
    <col min="2817" max="2820" width="0" style="580" hidden="1" customWidth="1"/>
    <col min="2821" max="2821" width="2.85546875" style="580" customWidth="1"/>
    <col min="2822" max="2822" width="24.85546875" style="580" customWidth="1"/>
    <col min="2823" max="2824" width="9.28515625" style="580" customWidth="1"/>
    <col min="2825" max="3072" width="11.42578125" style="580"/>
    <col min="3073" max="3076" width="0" style="580" hidden="1" customWidth="1"/>
    <col min="3077" max="3077" width="2.85546875" style="580" customWidth="1"/>
    <col min="3078" max="3078" width="24.85546875" style="580" customWidth="1"/>
    <col min="3079" max="3080" width="9.28515625" style="580" customWidth="1"/>
    <col min="3081" max="3328" width="11.42578125" style="580"/>
    <col min="3329" max="3332" width="0" style="580" hidden="1" customWidth="1"/>
    <col min="3333" max="3333" width="2.85546875" style="580" customWidth="1"/>
    <col min="3334" max="3334" width="24.85546875" style="580" customWidth="1"/>
    <col min="3335" max="3336" width="9.28515625" style="580" customWidth="1"/>
    <col min="3337" max="3584" width="11.42578125" style="580"/>
    <col min="3585" max="3588" width="0" style="580" hidden="1" customWidth="1"/>
    <col min="3589" max="3589" width="2.85546875" style="580" customWidth="1"/>
    <col min="3590" max="3590" width="24.85546875" style="580" customWidth="1"/>
    <col min="3591" max="3592" width="9.28515625" style="580" customWidth="1"/>
    <col min="3593" max="3840" width="11.42578125" style="580"/>
    <col min="3841" max="3844" width="0" style="580" hidden="1" customWidth="1"/>
    <col min="3845" max="3845" width="2.85546875" style="580" customWidth="1"/>
    <col min="3846" max="3846" width="24.85546875" style="580" customWidth="1"/>
    <col min="3847" max="3848" width="9.28515625" style="580" customWidth="1"/>
    <col min="3849" max="4096" width="11.42578125" style="580"/>
    <col min="4097" max="4100" width="0" style="580" hidden="1" customWidth="1"/>
    <col min="4101" max="4101" width="2.85546875" style="580" customWidth="1"/>
    <col min="4102" max="4102" width="24.85546875" style="580" customWidth="1"/>
    <col min="4103" max="4104" width="9.28515625" style="580" customWidth="1"/>
    <col min="4105" max="4352" width="11.42578125" style="580"/>
    <col min="4353" max="4356" width="0" style="580" hidden="1" customWidth="1"/>
    <col min="4357" max="4357" width="2.85546875" style="580" customWidth="1"/>
    <col min="4358" max="4358" width="24.85546875" style="580" customWidth="1"/>
    <col min="4359" max="4360" width="9.28515625" style="580" customWidth="1"/>
    <col min="4361" max="4608" width="11.42578125" style="580"/>
    <col min="4609" max="4612" width="0" style="580" hidden="1" customWidth="1"/>
    <col min="4613" max="4613" width="2.85546875" style="580" customWidth="1"/>
    <col min="4614" max="4614" width="24.85546875" style="580" customWidth="1"/>
    <col min="4615" max="4616" width="9.28515625" style="580" customWidth="1"/>
    <col min="4617" max="4864" width="11.42578125" style="580"/>
    <col min="4865" max="4868" width="0" style="580" hidden="1" customWidth="1"/>
    <col min="4869" max="4869" width="2.85546875" style="580" customWidth="1"/>
    <col min="4870" max="4870" width="24.85546875" style="580" customWidth="1"/>
    <col min="4871" max="4872" width="9.28515625" style="580" customWidth="1"/>
    <col min="4873" max="5120" width="11.42578125" style="580"/>
    <col min="5121" max="5124" width="0" style="580" hidden="1" customWidth="1"/>
    <col min="5125" max="5125" width="2.85546875" style="580" customWidth="1"/>
    <col min="5126" max="5126" width="24.85546875" style="580" customWidth="1"/>
    <col min="5127" max="5128" width="9.28515625" style="580" customWidth="1"/>
    <col min="5129" max="5376" width="11.42578125" style="580"/>
    <col min="5377" max="5380" width="0" style="580" hidden="1" customWidth="1"/>
    <col min="5381" max="5381" width="2.85546875" style="580" customWidth="1"/>
    <col min="5382" max="5382" width="24.85546875" style="580" customWidth="1"/>
    <col min="5383" max="5384" width="9.28515625" style="580" customWidth="1"/>
    <col min="5385" max="5632" width="11.42578125" style="580"/>
    <col min="5633" max="5636" width="0" style="580" hidden="1" customWidth="1"/>
    <col min="5637" max="5637" width="2.85546875" style="580" customWidth="1"/>
    <col min="5638" max="5638" width="24.85546875" style="580" customWidth="1"/>
    <col min="5639" max="5640" width="9.28515625" style="580" customWidth="1"/>
    <col min="5641" max="5888" width="11.42578125" style="580"/>
    <col min="5889" max="5892" width="0" style="580" hidden="1" customWidth="1"/>
    <col min="5893" max="5893" width="2.85546875" style="580" customWidth="1"/>
    <col min="5894" max="5894" width="24.85546875" style="580" customWidth="1"/>
    <col min="5895" max="5896" width="9.28515625" style="580" customWidth="1"/>
    <col min="5897" max="6144" width="11.42578125" style="580"/>
    <col min="6145" max="6148" width="0" style="580" hidden="1" customWidth="1"/>
    <col min="6149" max="6149" width="2.85546875" style="580" customWidth="1"/>
    <col min="6150" max="6150" width="24.85546875" style="580" customWidth="1"/>
    <col min="6151" max="6152" width="9.28515625" style="580" customWidth="1"/>
    <col min="6153" max="6400" width="11.42578125" style="580"/>
    <col min="6401" max="6404" width="0" style="580" hidden="1" customWidth="1"/>
    <col min="6405" max="6405" width="2.85546875" style="580" customWidth="1"/>
    <col min="6406" max="6406" width="24.85546875" style="580" customWidth="1"/>
    <col min="6407" max="6408" width="9.28515625" style="580" customWidth="1"/>
    <col min="6409" max="6656" width="11.42578125" style="580"/>
    <col min="6657" max="6660" width="0" style="580" hidden="1" customWidth="1"/>
    <col min="6661" max="6661" width="2.85546875" style="580" customWidth="1"/>
    <col min="6662" max="6662" width="24.85546875" style="580" customWidth="1"/>
    <col min="6663" max="6664" width="9.28515625" style="580" customWidth="1"/>
    <col min="6665" max="6912" width="11.42578125" style="580"/>
    <col min="6913" max="6916" width="0" style="580" hidden="1" customWidth="1"/>
    <col min="6917" max="6917" width="2.85546875" style="580" customWidth="1"/>
    <col min="6918" max="6918" width="24.85546875" style="580" customWidth="1"/>
    <col min="6919" max="6920" width="9.28515625" style="580" customWidth="1"/>
    <col min="6921" max="7168" width="11.42578125" style="580"/>
    <col min="7169" max="7172" width="0" style="580" hidden="1" customWidth="1"/>
    <col min="7173" max="7173" width="2.85546875" style="580" customWidth="1"/>
    <col min="7174" max="7174" width="24.85546875" style="580" customWidth="1"/>
    <col min="7175" max="7176" width="9.28515625" style="580" customWidth="1"/>
    <col min="7177" max="7424" width="11.42578125" style="580"/>
    <col min="7425" max="7428" width="0" style="580" hidden="1" customWidth="1"/>
    <col min="7429" max="7429" width="2.85546875" style="580" customWidth="1"/>
    <col min="7430" max="7430" width="24.85546875" style="580" customWidth="1"/>
    <col min="7431" max="7432" width="9.28515625" style="580" customWidth="1"/>
    <col min="7433" max="7680" width="11.42578125" style="580"/>
    <col min="7681" max="7684" width="0" style="580" hidden="1" customWidth="1"/>
    <col min="7685" max="7685" width="2.85546875" style="580" customWidth="1"/>
    <col min="7686" max="7686" width="24.85546875" style="580" customWidth="1"/>
    <col min="7687" max="7688" width="9.28515625" style="580" customWidth="1"/>
    <col min="7689" max="7936" width="11.42578125" style="580"/>
    <col min="7937" max="7940" width="0" style="580" hidden="1" customWidth="1"/>
    <col min="7941" max="7941" width="2.85546875" style="580" customWidth="1"/>
    <col min="7942" max="7942" width="24.85546875" style="580" customWidth="1"/>
    <col min="7943" max="7944" width="9.28515625" style="580" customWidth="1"/>
    <col min="7945" max="8192" width="11.42578125" style="580"/>
    <col min="8193" max="8196" width="0" style="580" hidden="1" customWidth="1"/>
    <col min="8197" max="8197" width="2.85546875" style="580" customWidth="1"/>
    <col min="8198" max="8198" width="24.85546875" style="580" customWidth="1"/>
    <col min="8199" max="8200" width="9.28515625" style="580" customWidth="1"/>
    <col min="8201" max="8448" width="11.42578125" style="580"/>
    <col min="8449" max="8452" width="0" style="580" hidden="1" customWidth="1"/>
    <col min="8453" max="8453" width="2.85546875" style="580" customWidth="1"/>
    <col min="8454" max="8454" width="24.85546875" style="580" customWidth="1"/>
    <col min="8455" max="8456" width="9.28515625" style="580" customWidth="1"/>
    <col min="8457" max="8704" width="11.42578125" style="580"/>
    <col min="8705" max="8708" width="0" style="580" hidden="1" customWidth="1"/>
    <col min="8709" max="8709" width="2.85546875" style="580" customWidth="1"/>
    <col min="8710" max="8710" width="24.85546875" style="580" customWidth="1"/>
    <col min="8711" max="8712" width="9.28515625" style="580" customWidth="1"/>
    <col min="8713" max="8960" width="11.42578125" style="580"/>
    <col min="8961" max="8964" width="0" style="580" hidden="1" customWidth="1"/>
    <col min="8965" max="8965" width="2.85546875" style="580" customWidth="1"/>
    <col min="8966" max="8966" width="24.85546875" style="580" customWidth="1"/>
    <col min="8967" max="8968" width="9.28515625" style="580" customWidth="1"/>
    <col min="8969" max="9216" width="11.42578125" style="580"/>
    <col min="9217" max="9220" width="0" style="580" hidden="1" customWidth="1"/>
    <col min="9221" max="9221" width="2.85546875" style="580" customWidth="1"/>
    <col min="9222" max="9222" width="24.85546875" style="580" customWidth="1"/>
    <col min="9223" max="9224" width="9.28515625" style="580" customWidth="1"/>
    <col min="9225" max="9472" width="11.42578125" style="580"/>
    <col min="9473" max="9476" width="0" style="580" hidden="1" customWidth="1"/>
    <col min="9477" max="9477" width="2.85546875" style="580" customWidth="1"/>
    <col min="9478" max="9478" width="24.85546875" style="580" customWidth="1"/>
    <col min="9479" max="9480" width="9.28515625" style="580" customWidth="1"/>
    <col min="9481" max="9728" width="11.42578125" style="580"/>
    <col min="9729" max="9732" width="0" style="580" hidden="1" customWidth="1"/>
    <col min="9733" max="9733" width="2.85546875" style="580" customWidth="1"/>
    <col min="9734" max="9734" width="24.85546875" style="580" customWidth="1"/>
    <col min="9735" max="9736" width="9.28515625" style="580" customWidth="1"/>
    <col min="9737" max="9984" width="11.42578125" style="580"/>
    <col min="9985" max="9988" width="0" style="580" hidden="1" customWidth="1"/>
    <col min="9989" max="9989" width="2.85546875" style="580" customWidth="1"/>
    <col min="9990" max="9990" width="24.85546875" style="580" customWidth="1"/>
    <col min="9991" max="9992" width="9.28515625" style="580" customWidth="1"/>
    <col min="9993" max="10240" width="11.42578125" style="580"/>
    <col min="10241" max="10244" width="0" style="580" hidden="1" customWidth="1"/>
    <col min="10245" max="10245" width="2.85546875" style="580" customWidth="1"/>
    <col min="10246" max="10246" width="24.85546875" style="580" customWidth="1"/>
    <col min="10247" max="10248" width="9.28515625" style="580" customWidth="1"/>
    <col min="10249" max="10496" width="11.42578125" style="580"/>
    <col min="10497" max="10500" width="0" style="580" hidden="1" customWidth="1"/>
    <col min="10501" max="10501" width="2.85546875" style="580" customWidth="1"/>
    <col min="10502" max="10502" width="24.85546875" style="580" customWidth="1"/>
    <col min="10503" max="10504" width="9.28515625" style="580" customWidth="1"/>
    <col min="10505" max="10752" width="11.42578125" style="580"/>
    <col min="10753" max="10756" width="0" style="580" hidden="1" customWidth="1"/>
    <col min="10757" max="10757" width="2.85546875" style="580" customWidth="1"/>
    <col min="10758" max="10758" width="24.85546875" style="580" customWidth="1"/>
    <col min="10759" max="10760" width="9.28515625" style="580" customWidth="1"/>
    <col min="10761" max="11008" width="11.42578125" style="580"/>
    <col min="11009" max="11012" width="0" style="580" hidden="1" customWidth="1"/>
    <col min="11013" max="11013" width="2.85546875" style="580" customWidth="1"/>
    <col min="11014" max="11014" width="24.85546875" style="580" customWidth="1"/>
    <col min="11015" max="11016" width="9.28515625" style="580" customWidth="1"/>
    <col min="11017" max="11264" width="11.42578125" style="580"/>
    <col min="11265" max="11268" width="0" style="580" hidden="1" customWidth="1"/>
    <col min="11269" max="11269" width="2.85546875" style="580" customWidth="1"/>
    <col min="11270" max="11270" width="24.85546875" style="580" customWidth="1"/>
    <col min="11271" max="11272" width="9.28515625" style="580" customWidth="1"/>
    <col min="11273" max="11520" width="11.42578125" style="580"/>
    <col min="11521" max="11524" width="0" style="580" hidden="1" customWidth="1"/>
    <col min="11525" max="11525" width="2.85546875" style="580" customWidth="1"/>
    <col min="11526" max="11526" width="24.85546875" style="580" customWidth="1"/>
    <col min="11527" max="11528" width="9.28515625" style="580" customWidth="1"/>
    <col min="11529" max="11776" width="11.42578125" style="580"/>
    <col min="11777" max="11780" width="0" style="580" hidden="1" customWidth="1"/>
    <col min="11781" max="11781" width="2.85546875" style="580" customWidth="1"/>
    <col min="11782" max="11782" width="24.85546875" style="580" customWidth="1"/>
    <col min="11783" max="11784" width="9.28515625" style="580" customWidth="1"/>
    <col min="11785" max="12032" width="11.42578125" style="580"/>
    <col min="12033" max="12036" width="0" style="580" hidden="1" customWidth="1"/>
    <col min="12037" max="12037" width="2.85546875" style="580" customWidth="1"/>
    <col min="12038" max="12038" width="24.85546875" style="580" customWidth="1"/>
    <col min="12039" max="12040" width="9.28515625" style="580" customWidth="1"/>
    <col min="12041" max="12288" width="11.42578125" style="580"/>
    <col min="12289" max="12292" width="0" style="580" hidden="1" customWidth="1"/>
    <col min="12293" max="12293" width="2.85546875" style="580" customWidth="1"/>
    <col min="12294" max="12294" width="24.85546875" style="580" customWidth="1"/>
    <col min="12295" max="12296" width="9.28515625" style="580" customWidth="1"/>
    <col min="12297" max="12544" width="11.42578125" style="580"/>
    <col min="12545" max="12548" width="0" style="580" hidden="1" customWidth="1"/>
    <col min="12549" max="12549" width="2.85546875" style="580" customWidth="1"/>
    <col min="12550" max="12550" width="24.85546875" style="580" customWidth="1"/>
    <col min="12551" max="12552" width="9.28515625" style="580" customWidth="1"/>
    <col min="12553" max="12800" width="11.42578125" style="580"/>
    <col min="12801" max="12804" width="0" style="580" hidden="1" customWidth="1"/>
    <col min="12805" max="12805" width="2.85546875" style="580" customWidth="1"/>
    <col min="12806" max="12806" width="24.85546875" style="580" customWidth="1"/>
    <col min="12807" max="12808" width="9.28515625" style="580" customWidth="1"/>
    <col min="12809" max="13056" width="11.42578125" style="580"/>
    <col min="13057" max="13060" width="0" style="580" hidden="1" customWidth="1"/>
    <col min="13061" max="13061" width="2.85546875" style="580" customWidth="1"/>
    <col min="13062" max="13062" width="24.85546875" style="580" customWidth="1"/>
    <col min="13063" max="13064" width="9.28515625" style="580" customWidth="1"/>
    <col min="13065" max="13312" width="11.42578125" style="580"/>
    <col min="13313" max="13316" width="0" style="580" hidden="1" customWidth="1"/>
    <col min="13317" max="13317" width="2.85546875" style="580" customWidth="1"/>
    <col min="13318" max="13318" width="24.85546875" style="580" customWidth="1"/>
    <col min="13319" max="13320" width="9.28515625" style="580" customWidth="1"/>
    <col min="13321" max="13568" width="11.42578125" style="580"/>
    <col min="13569" max="13572" width="0" style="580" hidden="1" customWidth="1"/>
    <col min="13573" max="13573" width="2.85546875" style="580" customWidth="1"/>
    <col min="13574" max="13574" width="24.85546875" style="580" customWidth="1"/>
    <col min="13575" max="13576" width="9.28515625" style="580" customWidth="1"/>
    <col min="13577" max="13824" width="11.42578125" style="580"/>
    <col min="13825" max="13828" width="0" style="580" hidden="1" customWidth="1"/>
    <col min="13829" max="13829" width="2.85546875" style="580" customWidth="1"/>
    <col min="13830" max="13830" width="24.85546875" style="580" customWidth="1"/>
    <col min="13831" max="13832" width="9.28515625" style="580" customWidth="1"/>
    <col min="13833" max="14080" width="11.42578125" style="580"/>
    <col min="14081" max="14084" width="0" style="580" hidden="1" customWidth="1"/>
    <col min="14085" max="14085" width="2.85546875" style="580" customWidth="1"/>
    <col min="14086" max="14086" width="24.85546875" style="580" customWidth="1"/>
    <col min="14087" max="14088" width="9.28515625" style="580" customWidth="1"/>
    <col min="14089" max="14336" width="11.42578125" style="580"/>
    <col min="14337" max="14340" width="0" style="580" hidden="1" customWidth="1"/>
    <col min="14341" max="14341" width="2.85546875" style="580" customWidth="1"/>
    <col min="14342" max="14342" width="24.85546875" style="580" customWidth="1"/>
    <col min="14343" max="14344" width="9.28515625" style="580" customWidth="1"/>
    <col min="14345" max="14592" width="11.42578125" style="580"/>
    <col min="14593" max="14596" width="0" style="580" hidden="1" customWidth="1"/>
    <col min="14597" max="14597" width="2.85546875" style="580" customWidth="1"/>
    <col min="14598" max="14598" width="24.85546875" style="580" customWidth="1"/>
    <col min="14599" max="14600" width="9.28515625" style="580" customWidth="1"/>
    <col min="14601" max="14848" width="11.42578125" style="580"/>
    <col min="14849" max="14852" width="0" style="580" hidden="1" customWidth="1"/>
    <col min="14853" max="14853" width="2.85546875" style="580" customWidth="1"/>
    <col min="14854" max="14854" width="24.85546875" style="580" customWidth="1"/>
    <col min="14855" max="14856" width="9.28515625" style="580" customWidth="1"/>
    <col min="14857" max="15104" width="11.42578125" style="580"/>
    <col min="15105" max="15108" width="0" style="580" hidden="1" customWidth="1"/>
    <col min="15109" max="15109" width="2.85546875" style="580" customWidth="1"/>
    <col min="15110" max="15110" width="24.85546875" style="580" customWidth="1"/>
    <col min="15111" max="15112" width="9.28515625" style="580" customWidth="1"/>
    <col min="15113" max="15360" width="11.42578125" style="580"/>
    <col min="15361" max="15364" width="0" style="580" hidden="1" customWidth="1"/>
    <col min="15365" max="15365" width="2.85546875" style="580" customWidth="1"/>
    <col min="15366" max="15366" width="24.85546875" style="580" customWidth="1"/>
    <col min="15367" max="15368" width="9.28515625" style="580" customWidth="1"/>
    <col min="15369" max="15616" width="11.42578125" style="580"/>
    <col min="15617" max="15620" width="0" style="580" hidden="1" customWidth="1"/>
    <col min="15621" max="15621" width="2.85546875" style="580" customWidth="1"/>
    <col min="15622" max="15622" width="24.85546875" style="580" customWidth="1"/>
    <col min="15623" max="15624" width="9.28515625" style="580" customWidth="1"/>
    <col min="15625" max="15872" width="11.42578125" style="580"/>
    <col min="15873" max="15876" width="0" style="580" hidden="1" customWidth="1"/>
    <col min="15877" max="15877" width="2.85546875" style="580" customWidth="1"/>
    <col min="15878" max="15878" width="24.85546875" style="580" customWidth="1"/>
    <col min="15879" max="15880" width="9.28515625" style="580" customWidth="1"/>
    <col min="15881" max="16128" width="11.42578125" style="580"/>
    <col min="16129" max="16132" width="0" style="580" hidden="1" customWidth="1"/>
    <col min="16133" max="16133" width="2.85546875" style="580" customWidth="1"/>
    <col min="16134" max="16134" width="24.85546875" style="580" customWidth="1"/>
    <col min="16135" max="16136" width="9.28515625" style="580" customWidth="1"/>
    <col min="16137" max="16384" width="11.42578125" style="580"/>
  </cols>
  <sheetData>
    <row r="1" spans="1:9" ht="16.5" customHeight="1" x14ac:dyDescent="0.35">
      <c r="A1" s="577" t="s">
        <v>743</v>
      </c>
      <c r="B1" s="578"/>
      <c r="C1" s="578"/>
      <c r="D1" s="579" t="s">
        <v>778</v>
      </c>
      <c r="F1" s="577" t="s">
        <v>743</v>
      </c>
      <c r="G1" s="578"/>
      <c r="H1" s="578"/>
      <c r="I1" s="579"/>
    </row>
    <row r="2" spans="1:9" ht="16.5" customHeight="1" x14ac:dyDescent="0.35">
      <c r="A2" s="577"/>
      <c r="B2" s="580"/>
      <c r="C2" s="580"/>
      <c r="D2" s="580"/>
      <c r="F2" s="577"/>
      <c r="G2" s="580"/>
      <c r="H2" s="580"/>
      <c r="I2" s="580"/>
    </row>
    <row r="3" spans="1:9" ht="32.25" customHeight="1" x14ac:dyDescent="0.35">
      <c r="A3" s="827" t="s">
        <v>745</v>
      </c>
      <c r="B3" s="828" t="s">
        <v>746</v>
      </c>
      <c r="C3" s="581"/>
      <c r="D3" s="582"/>
      <c r="F3" s="827" t="s">
        <v>745</v>
      </c>
      <c r="G3" s="828" t="s">
        <v>746</v>
      </c>
      <c r="H3" s="581"/>
      <c r="I3" s="582"/>
    </row>
    <row r="4" spans="1:9" ht="21" customHeight="1" x14ac:dyDescent="0.35">
      <c r="A4" s="827"/>
      <c r="B4" s="829"/>
      <c r="C4" s="583"/>
      <c r="D4" s="584" t="s">
        <v>779</v>
      </c>
      <c r="F4" s="827"/>
      <c r="G4" s="829"/>
      <c r="H4" s="583"/>
      <c r="I4" s="584" t="s">
        <v>779</v>
      </c>
    </row>
    <row r="5" spans="1:9" ht="21" hidden="1" customHeight="1" outlineLevel="1" x14ac:dyDescent="0.35">
      <c r="A5" s="585"/>
      <c r="B5" s="586"/>
      <c r="C5" s="586"/>
      <c r="D5" s="584"/>
      <c r="F5" s="585"/>
      <c r="G5" s="587"/>
      <c r="H5" s="586"/>
      <c r="I5" s="584"/>
    </row>
    <row r="6" spans="1:9" collapsed="1" x14ac:dyDescent="0.3">
      <c r="A6" s="588" t="s">
        <v>748</v>
      </c>
      <c r="B6" s="589"/>
      <c r="C6" s="589"/>
      <c r="D6" s="590">
        <v>34.700000000000003</v>
      </c>
      <c r="F6" s="588" t="s">
        <v>748</v>
      </c>
      <c r="G6" s="591">
        <f>897/CoeficientePase!$C$44</f>
        <v>3.320254663902872</v>
      </c>
      <c r="H6" s="589"/>
      <c r="I6" s="590">
        <f>+G6</f>
        <v>3.320254663902872</v>
      </c>
    </row>
    <row r="7" spans="1:9" x14ac:dyDescent="0.3">
      <c r="A7" s="592" t="s">
        <v>749</v>
      </c>
      <c r="B7" s="593"/>
      <c r="C7" s="593"/>
      <c r="D7" s="594"/>
      <c r="F7" s="592" t="s">
        <v>749</v>
      </c>
      <c r="G7" s="593"/>
      <c r="H7" s="593"/>
      <c r="I7" s="594"/>
    </row>
    <row r="8" spans="1:9" x14ac:dyDescent="0.3">
      <c r="A8" s="595" t="s">
        <v>750</v>
      </c>
      <c r="B8" s="596">
        <v>192</v>
      </c>
      <c r="C8" s="596"/>
      <c r="D8" s="594">
        <f>+B8*D6</f>
        <v>6662.4000000000005</v>
      </c>
      <c r="F8" s="595" t="s">
        <v>750</v>
      </c>
      <c r="G8" s="596">
        <f>+(8*5+1*4)*4</f>
        <v>176</v>
      </c>
      <c r="H8" s="596"/>
      <c r="I8" s="594">
        <f>+G8*I6</f>
        <v>584.36482084690545</v>
      </c>
    </row>
    <row r="9" spans="1:9" outlineLevel="1" x14ac:dyDescent="0.3">
      <c r="A9" s="597" t="s">
        <v>751</v>
      </c>
      <c r="B9" s="598"/>
      <c r="C9" s="598"/>
      <c r="D9" s="599">
        <f>+B9*$D$6*1.5</f>
        <v>0</v>
      </c>
      <c r="E9" s="600"/>
      <c r="F9" s="597" t="s">
        <v>751</v>
      </c>
      <c r="G9" s="598"/>
      <c r="H9" s="598"/>
      <c r="I9" s="599">
        <f>+G9*$I$6*1.5</f>
        <v>0</v>
      </c>
    </row>
    <row r="10" spans="1:9" outlineLevel="1" x14ac:dyDescent="0.3">
      <c r="A10" s="595" t="s">
        <v>752</v>
      </c>
      <c r="B10" s="596"/>
      <c r="C10" s="596"/>
      <c r="D10" s="594">
        <f>+B10*$D$6*2</f>
        <v>0</v>
      </c>
      <c r="F10" s="595" t="s">
        <v>752</v>
      </c>
      <c r="G10" s="596"/>
      <c r="H10" s="596"/>
      <c r="I10" s="594">
        <f>+G10*$D$6*2</f>
        <v>0</v>
      </c>
    </row>
    <row r="11" spans="1:9" outlineLevel="1" x14ac:dyDescent="0.3">
      <c r="A11" s="595" t="s">
        <v>753</v>
      </c>
      <c r="B11" s="596"/>
      <c r="C11" s="596"/>
      <c r="D11" s="594"/>
      <c r="F11" s="595" t="s">
        <v>753</v>
      </c>
      <c r="G11" s="596"/>
      <c r="H11" s="596"/>
      <c r="I11" s="594"/>
    </row>
    <row r="12" spans="1:9" outlineLevel="1" x14ac:dyDescent="0.3">
      <c r="A12" s="595" t="s">
        <v>754</v>
      </c>
      <c r="B12" s="596"/>
      <c r="C12" s="596"/>
      <c r="D12" s="594">
        <f>+B12*$D$6</f>
        <v>0</v>
      </c>
      <c r="F12" s="595" t="s">
        <v>754</v>
      </c>
      <c r="G12" s="596"/>
      <c r="H12" s="596"/>
      <c r="I12" s="594">
        <f>+G12*$D$6</f>
        <v>0</v>
      </c>
    </row>
    <row r="13" spans="1:9" x14ac:dyDescent="0.3">
      <c r="A13" s="595" t="s">
        <v>755</v>
      </c>
      <c r="B13" s="601">
        <f>+D6*0.125</f>
        <v>4.3375000000000004</v>
      </c>
      <c r="C13" s="601"/>
      <c r="D13" s="602">
        <f>2.28/18.23</f>
        <v>0.12506856829402083</v>
      </c>
      <c r="F13" s="595" t="s">
        <v>755</v>
      </c>
      <c r="G13" s="601">
        <f>+I6*0.125</f>
        <v>0.41503183298785901</v>
      </c>
      <c r="H13" s="601"/>
      <c r="I13" s="602">
        <f>2.28/18.23</f>
        <v>0.12506856829402083</v>
      </c>
    </row>
    <row r="14" spans="1:9" x14ac:dyDescent="0.3">
      <c r="A14" s="595" t="s">
        <v>756</v>
      </c>
      <c r="B14" s="596">
        <v>5.5</v>
      </c>
      <c r="C14" s="596">
        <f>13+12</f>
        <v>25</v>
      </c>
      <c r="D14" s="594">
        <f>+B14*C14</f>
        <v>137.5</v>
      </c>
      <c r="F14" s="595" t="s">
        <v>756</v>
      </c>
      <c r="G14" s="596">
        <v>5.5</v>
      </c>
      <c r="H14" s="596">
        <f>13+12</f>
        <v>25</v>
      </c>
      <c r="I14" s="594">
        <f>+G14*H14</f>
        <v>137.5</v>
      </c>
    </row>
    <row r="15" spans="1:9" x14ac:dyDescent="0.3">
      <c r="A15" s="595" t="s">
        <v>757</v>
      </c>
      <c r="B15" s="596">
        <v>75</v>
      </c>
      <c r="C15" s="596">
        <v>2</v>
      </c>
      <c r="D15" s="594">
        <v>150</v>
      </c>
      <c r="F15" s="595" t="s">
        <v>757</v>
      </c>
      <c r="G15" s="596">
        <v>75</v>
      </c>
      <c r="H15" s="596">
        <v>2</v>
      </c>
      <c r="I15" s="594">
        <v>150</v>
      </c>
    </row>
    <row r="16" spans="1:9" hidden="1" outlineLevel="1" x14ac:dyDescent="0.3">
      <c r="A16" s="595" t="s">
        <v>758</v>
      </c>
      <c r="B16" s="596"/>
      <c r="C16" s="596"/>
      <c r="D16" s="594"/>
      <c r="F16" s="595" t="s">
        <v>758</v>
      </c>
      <c r="G16" s="596"/>
      <c r="H16" s="596"/>
      <c r="I16" s="594"/>
    </row>
    <row r="17" spans="1:9" hidden="1" outlineLevel="1" x14ac:dyDescent="0.3">
      <c r="A17" s="595"/>
      <c r="B17" s="596"/>
      <c r="C17" s="596"/>
      <c r="D17" s="594"/>
      <c r="F17" s="595"/>
      <c r="G17" s="596"/>
      <c r="H17" s="596"/>
      <c r="I17" s="594"/>
    </row>
    <row r="18" spans="1:9" collapsed="1" x14ac:dyDescent="0.3">
      <c r="A18" s="595" t="s">
        <v>759</v>
      </c>
      <c r="B18" s="593">
        <v>0.2</v>
      </c>
      <c r="C18" s="603">
        <f>SUM(D8:D17)</f>
        <v>6950.025068568295</v>
      </c>
      <c r="D18" s="594">
        <f>+B18*C18</f>
        <v>1390.0050137136591</v>
      </c>
      <c r="F18" s="595" t="s">
        <v>759</v>
      </c>
      <c r="G18" s="593">
        <v>0.2</v>
      </c>
      <c r="H18" s="603">
        <f>SUM(I8:I17)</f>
        <v>871.98988941519951</v>
      </c>
      <c r="I18" s="594">
        <f>+G18*H18</f>
        <v>174.39797788303991</v>
      </c>
    </row>
    <row r="19" spans="1:9" hidden="1" outlineLevel="1" x14ac:dyDescent="0.3">
      <c r="A19" s="595"/>
      <c r="B19" s="593"/>
      <c r="C19" s="593"/>
      <c r="D19" s="594"/>
      <c r="F19" s="595"/>
      <c r="G19" s="593"/>
      <c r="H19" s="593"/>
      <c r="I19" s="594"/>
    </row>
    <row r="20" spans="1:9" collapsed="1" x14ac:dyDescent="0.3">
      <c r="A20" s="595" t="s">
        <v>760</v>
      </c>
      <c r="B20" s="604">
        <v>1.1666666666666667</v>
      </c>
      <c r="C20" s="604" t="s">
        <v>360</v>
      </c>
      <c r="D20" s="594"/>
      <c r="F20" s="595" t="s">
        <v>760</v>
      </c>
      <c r="G20" s="604">
        <v>1.1666666666666667</v>
      </c>
      <c r="H20" s="604" t="s">
        <v>360</v>
      </c>
      <c r="I20" s="594"/>
    </row>
    <row r="21" spans="1:9" x14ac:dyDescent="0.3">
      <c r="A21" s="595" t="s">
        <v>760</v>
      </c>
      <c r="B21" s="603">
        <f>+B20*8</f>
        <v>9.3333333333333339</v>
      </c>
      <c r="C21" s="603" t="s">
        <v>388</v>
      </c>
      <c r="D21" s="594">
        <f>+B21*D6</f>
        <v>323.86666666666673</v>
      </c>
      <c r="F21" s="595" t="s">
        <v>760</v>
      </c>
      <c r="G21" s="603">
        <f>+G20*8</f>
        <v>9.3333333333333339</v>
      </c>
      <c r="H21" s="603" t="s">
        <v>388</v>
      </c>
      <c r="I21" s="594">
        <f>+G21*I6</f>
        <v>30.989043529760142</v>
      </c>
    </row>
    <row r="22" spans="1:9" x14ac:dyDescent="0.3">
      <c r="A22" s="595" t="s">
        <v>761</v>
      </c>
      <c r="D22" s="594">
        <f>SUM(D8:D21)/12</f>
        <v>721.99139574571836</v>
      </c>
      <c r="F22" s="595" t="s">
        <v>761</v>
      </c>
      <c r="I22" s="594">
        <f>SUM(I8:I21)/12</f>
        <v>89.781409235666629</v>
      </c>
    </row>
    <row r="23" spans="1:9" ht="16.5" x14ac:dyDescent="0.35">
      <c r="A23" s="606" t="s">
        <v>762</v>
      </c>
      <c r="B23" s="596"/>
      <c r="C23" s="596"/>
      <c r="D23" s="607">
        <f>SUM(D8:D22)</f>
        <v>9385.8881446943378</v>
      </c>
      <c r="F23" s="606" t="s">
        <v>762</v>
      </c>
      <c r="G23" s="596"/>
      <c r="H23" s="596"/>
      <c r="I23" s="607">
        <f>SUM(I8:I22)</f>
        <v>1167.1583200636662</v>
      </c>
    </row>
    <row r="24" spans="1:9" hidden="1" outlineLevel="1" x14ac:dyDescent="0.3">
      <c r="A24" s="595" t="s">
        <v>763</v>
      </c>
      <c r="B24" s="608">
        <v>0.19500000000000001</v>
      </c>
      <c r="C24" s="593"/>
      <c r="D24" s="594">
        <f>+D23*B24</f>
        <v>1830.2481882153959</v>
      </c>
      <c r="F24" s="595" t="s">
        <v>763</v>
      </c>
      <c r="G24" s="608">
        <v>0.19500000000000001</v>
      </c>
      <c r="H24" s="593"/>
      <c r="I24" s="594"/>
    </row>
    <row r="25" spans="1:9" hidden="1" outlineLevel="1" x14ac:dyDescent="0.3">
      <c r="A25" s="595" t="s">
        <v>764</v>
      </c>
      <c r="B25" s="593"/>
      <c r="C25" s="593"/>
      <c r="D25" s="594">
        <v>84.68</v>
      </c>
      <c r="F25" s="595" t="s">
        <v>764</v>
      </c>
      <c r="G25" s="593"/>
      <c r="H25" s="593"/>
      <c r="I25" s="594"/>
    </row>
    <row r="26" spans="1:9" hidden="1" outlineLevel="1" x14ac:dyDescent="0.3">
      <c r="A26" s="595" t="s">
        <v>765</v>
      </c>
      <c r="B26" s="593">
        <f>+D26/D23</f>
        <v>0.20402205509958779</v>
      </c>
      <c r="C26" s="593"/>
      <c r="D26" s="594">
        <f>SUM(D24:D25)</f>
        <v>1914.9281882153959</v>
      </c>
      <c r="F26" s="595" t="s">
        <v>765</v>
      </c>
      <c r="G26" s="593">
        <f>+I26/I23</f>
        <v>0</v>
      </c>
      <c r="H26" s="593"/>
      <c r="I26" s="594"/>
    </row>
    <row r="27" spans="1:9" hidden="1" outlineLevel="1" x14ac:dyDescent="0.3">
      <c r="A27" s="595"/>
      <c r="B27" s="593"/>
      <c r="C27" s="593"/>
      <c r="D27" s="594"/>
      <c r="F27" s="595"/>
      <c r="G27" s="593"/>
      <c r="H27" s="593"/>
      <c r="I27" s="594"/>
    </row>
    <row r="28" spans="1:9" ht="16.5" hidden="1" outlineLevel="1" x14ac:dyDescent="0.35">
      <c r="A28" s="609" t="s">
        <v>766</v>
      </c>
      <c r="B28" s="598"/>
      <c r="C28" s="598"/>
      <c r="D28" s="610">
        <f>+D23-D26</f>
        <v>7470.9599564789423</v>
      </c>
      <c r="F28" s="609" t="s">
        <v>766</v>
      </c>
      <c r="G28" s="598"/>
      <c r="H28" s="598"/>
      <c r="I28" s="610">
        <f>+I23-I26</f>
        <v>1167.1583200636662</v>
      </c>
    </row>
    <row r="29" spans="1:9" ht="16.5" collapsed="1" x14ac:dyDescent="0.35">
      <c r="A29" s="609"/>
      <c r="B29" s="598"/>
      <c r="C29" s="598"/>
      <c r="D29" s="610"/>
      <c r="F29" s="609"/>
      <c r="G29" s="598"/>
      <c r="H29" s="598"/>
      <c r="I29" s="610"/>
    </row>
    <row r="30" spans="1:9" s="614" customFormat="1" ht="16.5" hidden="1" outlineLevel="1" x14ac:dyDescent="0.35">
      <c r="A30" s="611"/>
      <c r="B30" s="612"/>
      <c r="C30" s="612"/>
      <c r="D30" s="613"/>
      <c r="E30" s="580"/>
      <c r="F30" s="611"/>
      <c r="G30" s="612"/>
      <c r="H30" s="612"/>
      <c r="I30" s="613"/>
    </row>
    <row r="31" spans="1:9" s="614" customFormat="1" ht="16.5" hidden="1" outlineLevel="1" x14ac:dyDescent="0.35">
      <c r="A31" s="611" t="s">
        <v>767</v>
      </c>
      <c r="B31" s="612"/>
      <c r="C31" s="612"/>
      <c r="D31" s="613">
        <f>+(D28-D29)/D6*1.2*0.8</f>
        <v>206.68938208126178</v>
      </c>
      <c r="E31" s="580"/>
      <c r="F31" s="611" t="s">
        <v>767</v>
      </c>
      <c r="G31" s="612"/>
      <c r="H31" s="612"/>
      <c r="I31" s="613">
        <f>+(I28-I29)/I6*1.2*0.8</f>
        <v>337.46567678758538</v>
      </c>
    </row>
    <row r="32" spans="1:9" s="614" customFormat="1" ht="16.5" hidden="1" outlineLevel="1" x14ac:dyDescent="0.35">
      <c r="A32" s="611" t="s">
        <v>768</v>
      </c>
      <c r="B32" s="612"/>
      <c r="C32" s="612"/>
      <c r="D32" s="613">
        <f>+D31/8</f>
        <v>25.836172760157723</v>
      </c>
      <c r="E32" s="580"/>
      <c r="F32" s="611" t="s">
        <v>768</v>
      </c>
      <c r="G32" s="612"/>
      <c r="H32" s="612"/>
      <c r="I32" s="613">
        <f>+I31/8</f>
        <v>42.183209598448173</v>
      </c>
    </row>
    <row r="33" spans="1:9" hidden="1" outlineLevel="1" x14ac:dyDescent="0.3">
      <c r="A33" s="595"/>
      <c r="B33" s="593"/>
      <c r="C33" s="593"/>
      <c r="D33" s="594"/>
      <c r="F33" s="595"/>
      <c r="G33" s="593"/>
      <c r="H33" s="593"/>
      <c r="I33" s="594"/>
    </row>
    <row r="34" spans="1:9" hidden="1" outlineLevel="1" x14ac:dyDescent="0.3">
      <c r="A34" s="595"/>
      <c r="B34" s="593"/>
      <c r="C34" s="593"/>
      <c r="D34" s="594"/>
      <c r="F34" s="595"/>
      <c r="G34" s="593"/>
      <c r="H34" s="593"/>
      <c r="I34" s="594"/>
    </row>
    <row r="35" spans="1:9" hidden="1" outlineLevel="1" x14ac:dyDescent="0.3">
      <c r="A35" s="595"/>
      <c r="B35" s="593"/>
      <c r="C35" s="593"/>
      <c r="D35" s="594"/>
      <c r="F35" s="595"/>
      <c r="G35" s="593"/>
      <c r="H35" s="593"/>
      <c r="I35" s="594"/>
    </row>
    <row r="36" spans="1:9" hidden="1" outlineLevel="1" x14ac:dyDescent="0.3">
      <c r="A36" s="595"/>
      <c r="B36" s="593"/>
      <c r="C36" s="593"/>
      <c r="D36" s="594"/>
      <c r="F36" s="595"/>
      <c r="G36" s="593"/>
      <c r="H36" s="593"/>
      <c r="I36" s="594"/>
    </row>
    <row r="37" spans="1:9" collapsed="1" x14ac:dyDescent="0.3">
      <c r="A37" s="595" t="s">
        <v>769</v>
      </c>
      <c r="B37" s="593">
        <v>0.155</v>
      </c>
      <c r="C37" s="593"/>
      <c r="D37" s="594">
        <f>+D23*B37</f>
        <v>1454.8126624276224</v>
      </c>
      <c r="F37" s="595" t="s">
        <v>769</v>
      </c>
      <c r="G37" s="593">
        <v>0.155</v>
      </c>
      <c r="H37" s="593"/>
      <c r="I37" s="594">
        <f>+I23*G37</f>
        <v>180.90953960986826</v>
      </c>
    </row>
    <row r="38" spans="1:9" x14ac:dyDescent="0.3">
      <c r="A38" s="595" t="s">
        <v>770</v>
      </c>
      <c r="B38" s="593">
        <v>0.02</v>
      </c>
      <c r="C38" s="593"/>
      <c r="D38" s="594">
        <f>+B38*D23</f>
        <v>187.71776289388677</v>
      </c>
      <c r="F38" s="595" t="s">
        <v>770</v>
      </c>
      <c r="G38" s="593">
        <v>0.02</v>
      </c>
      <c r="H38" s="593"/>
      <c r="I38" s="594">
        <f>+G38*I23</f>
        <v>23.343166401273326</v>
      </c>
    </row>
    <row r="39" spans="1:9" x14ac:dyDescent="0.3">
      <c r="A39" s="595" t="s">
        <v>771</v>
      </c>
      <c r="B39" s="593">
        <v>0.06</v>
      </c>
      <c r="C39" s="593"/>
      <c r="D39" s="594">
        <f>+D23*B39</f>
        <v>563.15328868166023</v>
      </c>
      <c r="F39" s="595" t="s">
        <v>771</v>
      </c>
      <c r="G39" s="593">
        <v>0.06</v>
      </c>
      <c r="H39" s="593"/>
      <c r="I39" s="594">
        <f>+I23*G39</f>
        <v>70.029499203819967</v>
      </c>
    </row>
    <row r="40" spans="1:9" x14ac:dyDescent="0.3">
      <c r="A40" s="595" t="s">
        <v>772</v>
      </c>
      <c r="B40" s="593">
        <v>1.4999999999999999E-2</v>
      </c>
      <c r="C40" s="593"/>
      <c r="D40" s="594">
        <f>+D23*B40</f>
        <v>140.78832217041506</v>
      </c>
      <c r="F40" s="595" t="s">
        <v>772</v>
      </c>
      <c r="G40" s="593">
        <v>1.4999999999999999E-2</v>
      </c>
      <c r="H40" s="593"/>
      <c r="I40" s="594">
        <f>+I23*G40</f>
        <v>17.507374800954992</v>
      </c>
    </row>
    <row r="41" spans="1:9" x14ac:dyDescent="0.3">
      <c r="A41" s="595" t="s">
        <v>773</v>
      </c>
      <c r="B41" s="596">
        <f>11.4/19</f>
        <v>0.6</v>
      </c>
      <c r="C41" s="596"/>
      <c r="D41" s="594">
        <f>+B41</f>
        <v>0.6</v>
      </c>
      <c r="F41" s="595" t="s">
        <v>773</v>
      </c>
      <c r="G41" s="596">
        <f>11.4/19</f>
        <v>0.6</v>
      </c>
      <c r="H41" s="596"/>
      <c r="I41" s="594">
        <f>+G41</f>
        <v>0.6</v>
      </c>
    </row>
    <row r="42" spans="1:9" x14ac:dyDescent="0.3">
      <c r="A42" s="595" t="s">
        <v>773</v>
      </c>
      <c r="B42" s="615">
        <v>0.13769999999999999</v>
      </c>
      <c r="C42" s="615"/>
      <c r="D42" s="594">
        <f>+D23*B42</f>
        <v>1292.4367975244102</v>
      </c>
      <c r="F42" s="595" t="s">
        <v>773</v>
      </c>
      <c r="G42" s="615">
        <v>0.13769999999999999</v>
      </c>
      <c r="H42" s="615"/>
      <c r="I42" s="594">
        <f>+I23*G42</f>
        <v>160.71770067276682</v>
      </c>
    </row>
    <row r="43" spans="1:9" x14ac:dyDescent="0.3">
      <c r="A43" s="595" t="s">
        <v>774</v>
      </c>
      <c r="B43" s="615">
        <v>0.08</v>
      </c>
      <c r="C43" s="615"/>
      <c r="D43" s="594">
        <f>+B43*D23</f>
        <v>750.87105157554709</v>
      </c>
      <c r="F43" s="595" t="s">
        <v>774</v>
      </c>
      <c r="G43" s="615">
        <v>0.08</v>
      </c>
      <c r="H43" s="615"/>
      <c r="I43" s="594">
        <f>+G43*I23</f>
        <v>93.372665605093303</v>
      </c>
    </row>
    <row r="44" spans="1:9" x14ac:dyDescent="0.3">
      <c r="A44" s="595" t="s">
        <v>775</v>
      </c>
      <c r="B44" s="615">
        <v>0.04</v>
      </c>
      <c r="C44" s="615"/>
      <c r="D44" s="594">
        <f>+D43*B44</f>
        <v>30.034842063021884</v>
      </c>
      <c r="F44" s="595" t="s">
        <v>775</v>
      </c>
      <c r="G44" s="615">
        <v>0.04</v>
      </c>
      <c r="H44" s="615"/>
      <c r="I44" s="594">
        <f>+I43*G44</f>
        <v>3.7349066242037323</v>
      </c>
    </row>
    <row r="45" spans="1:9" ht="16.5" x14ac:dyDescent="0.35">
      <c r="A45" s="595" t="s">
        <v>776</v>
      </c>
      <c r="B45" s="601"/>
      <c r="C45" s="601"/>
      <c r="D45" s="607">
        <f>SUM(D37:D44)</f>
        <v>4420.4147273365634</v>
      </c>
      <c r="F45" s="595" t="s">
        <v>776</v>
      </c>
      <c r="G45" s="601"/>
      <c r="H45" s="601"/>
      <c r="I45" s="607">
        <f>SUM(I37:I44)</f>
        <v>550.21485291798047</v>
      </c>
    </row>
    <row r="46" spans="1:9" ht="25.5" customHeight="1" x14ac:dyDescent="0.35">
      <c r="A46" s="616" t="s">
        <v>777</v>
      </c>
      <c r="B46" s="589"/>
      <c r="C46" s="589"/>
      <c r="D46" s="617">
        <f>+D23+D45</f>
        <v>13806.302872030901</v>
      </c>
      <c r="F46" s="616" t="s">
        <v>777</v>
      </c>
      <c r="G46" s="589"/>
      <c r="H46" s="589"/>
      <c r="I46" s="617">
        <f>+I23+I45</f>
        <v>1717.3731729816468</v>
      </c>
    </row>
    <row r="47" spans="1:9" ht="16.5" x14ac:dyDescent="0.35">
      <c r="A47" s="618"/>
      <c r="B47" s="619"/>
      <c r="C47" s="619"/>
      <c r="D47" s="620"/>
      <c r="F47" s="618"/>
      <c r="G47" s="619"/>
      <c r="H47" s="619"/>
      <c r="I47" s="620">
        <v>449759.97</v>
      </c>
    </row>
    <row r="48" spans="1:9" x14ac:dyDescent="0.3">
      <c r="I48" s="622">
        <v>285</v>
      </c>
    </row>
    <row r="49" spans="9:9" x14ac:dyDescent="0.3">
      <c r="I49" s="622">
        <f>+I47/I48</f>
        <v>1578.1051578947367</v>
      </c>
    </row>
  </sheetData>
  <mergeCells count="4">
    <mergeCell ref="A3:A4"/>
    <mergeCell ref="B3:B4"/>
    <mergeCell ref="F3:F4"/>
    <mergeCell ref="G3:G4"/>
  </mergeCells>
  <printOptions horizontalCentered="1"/>
  <pageMargins left="0.14000000000000001" right="0.43" top="1" bottom="1" header="0" footer="0"/>
  <pageSetup paperSize="9" scale="65" orientation="landscape" horizontalDpi="300" verticalDpi="300" r:id="rId1"/>
  <headerFooter alignWithMargins="0">
    <oddFooter>&amp;L&amp;F  -- &amp;A&amp;C&amp;P&amp;R&amp;D</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25">
    <tabColor theme="9" tint="0.59999389629810485"/>
  </sheetPr>
  <dimension ref="A1:J49"/>
  <sheetViews>
    <sheetView view="pageBreakPreview" topLeftCell="E1" zoomScaleNormal="100" workbookViewId="0">
      <selection activeCell="I50" sqref="I50"/>
    </sheetView>
  </sheetViews>
  <sheetFormatPr baseColWidth="10" defaultRowHeight="15" outlineLevelRow="1" outlineLevelCol="1" x14ac:dyDescent="0.3"/>
  <cols>
    <col min="1" max="1" width="24.85546875" style="580" hidden="1" customWidth="1" outlineLevel="1"/>
    <col min="2" max="3" width="9.28515625" style="605" hidden="1" customWidth="1" outlineLevel="1"/>
    <col min="4" max="4" width="0" style="622" hidden="1" customWidth="1" outlineLevel="1"/>
    <col min="5" max="5" width="2.85546875" style="580" customWidth="1" collapsed="1"/>
    <col min="6" max="6" width="24.85546875" style="580" customWidth="1"/>
    <col min="7" max="8" width="9.28515625" style="605" customWidth="1"/>
    <col min="9" max="9" width="19" style="622" customWidth="1"/>
    <col min="10" max="256" width="11.42578125" style="580"/>
    <col min="257" max="260" width="0" style="580" hidden="1" customWidth="1"/>
    <col min="261" max="261" width="2.85546875" style="580" customWidth="1"/>
    <col min="262" max="262" width="24.85546875" style="580" customWidth="1"/>
    <col min="263" max="264" width="9.28515625" style="580" customWidth="1"/>
    <col min="265" max="512" width="11.42578125" style="580"/>
    <col min="513" max="516" width="0" style="580" hidden="1" customWidth="1"/>
    <col min="517" max="517" width="2.85546875" style="580" customWidth="1"/>
    <col min="518" max="518" width="24.85546875" style="580" customWidth="1"/>
    <col min="519" max="520" width="9.28515625" style="580" customWidth="1"/>
    <col min="521" max="768" width="11.42578125" style="580"/>
    <col min="769" max="772" width="0" style="580" hidden="1" customWidth="1"/>
    <col min="773" max="773" width="2.85546875" style="580" customWidth="1"/>
    <col min="774" max="774" width="24.85546875" style="580" customWidth="1"/>
    <col min="775" max="776" width="9.28515625" style="580" customWidth="1"/>
    <col min="777" max="1024" width="11.42578125" style="580"/>
    <col min="1025" max="1028" width="0" style="580" hidden="1" customWidth="1"/>
    <col min="1029" max="1029" width="2.85546875" style="580" customWidth="1"/>
    <col min="1030" max="1030" width="24.85546875" style="580" customWidth="1"/>
    <col min="1031" max="1032" width="9.28515625" style="580" customWidth="1"/>
    <col min="1033" max="1280" width="11.42578125" style="580"/>
    <col min="1281" max="1284" width="0" style="580" hidden="1" customWidth="1"/>
    <col min="1285" max="1285" width="2.85546875" style="580" customWidth="1"/>
    <col min="1286" max="1286" width="24.85546875" style="580" customWidth="1"/>
    <col min="1287" max="1288" width="9.28515625" style="580" customWidth="1"/>
    <col min="1289" max="1536" width="11.42578125" style="580"/>
    <col min="1537" max="1540" width="0" style="580" hidden="1" customWidth="1"/>
    <col min="1541" max="1541" width="2.85546875" style="580" customWidth="1"/>
    <col min="1542" max="1542" width="24.85546875" style="580" customWidth="1"/>
    <col min="1543" max="1544" width="9.28515625" style="580" customWidth="1"/>
    <col min="1545" max="1792" width="11.42578125" style="580"/>
    <col min="1793" max="1796" width="0" style="580" hidden="1" customWidth="1"/>
    <col min="1797" max="1797" width="2.85546875" style="580" customWidth="1"/>
    <col min="1798" max="1798" width="24.85546875" style="580" customWidth="1"/>
    <col min="1799" max="1800" width="9.28515625" style="580" customWidth="1"/>
    <col min="1801" max="2048" width="11.42578125" style="580"/>
    <col min="2049" max="2052" width="0" style="580" hidden="1" customWidth="1"/>
    <col min="2053" max="2053" width="2.85546875" style="580" customWidth="1"/>
    <col min="2054" max="2054" width="24.85546875" style="580" customWidth="1"/>
    <col min="2055" max="2056" width="9.28515625" style="580" customWidth="1"/>
    <col min="2057" max="2304" width="11.42578125" style="580"/>
    <col min="2305" max="2308" width="0" style="580" hidden="1" customWidth="1"/>
    <col min="2309" max="2309" width="2.85546875" style="580" customWidth="1"/>
    <col min="2310" max="2310" width="24.85546875" style="580" customWidth="1"/>
    <col min="2311" max="2312" width="9.28515625" style="580" customWidth="1"/>
    <col min="2313" max="2560" width="11.42578125" style="580"/>
    <col min="2561" max="2564" width="0" style="580" hidden="1" customWidth="1"/>
    <col min="2565" max="2565" width="2.85546875" style="580" customWidth="1"/>
    <col min="2566" max="2566" width="24.85546875" style="580" customWidth="1"/>
    <col min="2567" max="2568" width="9.28515625" style="580" customWidth="1"/>
    <col min="2569" max="2816" width="11.42578125" style="580"/>
    <col min="2817" max="2820" width="0" style="580" hidden="1" customWidth="1"/>
    <col min="2821" max="2821" width="2.85546875" style="580" customWidth="1"/>
    <col min="2822" max="2822" width="24.85546875" style="580" customWidth="1"/>
    <col min="2823" max="2824" width="9.28515625" style="580" customWidth="1"/>
    <col min="2825" max="3072" width="11.42578125" style="580"/>
    <col min="3073" max="3076" width="0" style="580" hidden="1" customWidth="1"/>
    <col min="3077" max="3077" width="2.85546875" style="580" customWidth="1"/>
    <col min="3078" max="3078" width="24.85546875" style="580" customWidth="1"/>
    <col min="3079" max="3080" width="9.28515625" style="580" customWidth="1"/>
    <col min="3081" max="3328" width="11.42578125" style="580"/>
    <col min="3329" max="3332" width="0" style="580" hidden="1" customWidth="1"/>
    <col min="3333" max="3333" width="2.85546875" style="580" customWidth="1"/>
    <col min="3334" max="3334" width="24.85546875" style="580" customWidth="1"/>
    <col min="3335" max="3336" width="9.28515625" style="580" customWidth="1"/>
    <col min="3337" max="3584" width="11.42578125" style="580"/>
    <col min="3585" max="3588" width="0" style="580" hidden="1" customWidth="1"/>
    <col min="3589" max="3589" width="2.85546875" style="580" customWidth="1"/>
    <col min="3590" max="3590" width="24.85546875" style="580" customWidth="1"/>
    <col min="3591" max="3592" width="9.28515625" style="580" customWidth="1"/>
    <col min="3593" max="3840" width="11.42578125" style="580"/>
    <col min="3841" max="3844" width="0" style="580" hidden="1" customWidth="1"/>
    <col min="3845" max="3845" width="2.85546875" style="580" customWidth="1"/>
    <col min="3846" max="3846" width="24.85546875" style="580" customWidth="1"/>
    <col min="3847" max="3848" width="9.28515625" style="580" customWidth="1"/>
    <col min="3849" max="4096" width="11.42578125" style="580"/>
    <col min="4097" max="4100" width="0" style="580" hidden="1" customWidth="1"/>
    <col min="4101" max="4101" width="2.85546875" style="580" customWidth="1"/>
    <col min="4102" max="4102" width="24.85546875" style="580" customWidth="1"/>
    <col min="4103" max="4104" width="9.28515625" style="580" customWidth="1"/>
    <col min="4105" max="4352" width="11.42578125" style="580"/>
    <col min="4353" max="4356" width="0" style="580" hidden="1" customWidth="1"/>
    <col min="4357" max="4357" width="2.85546875" style="580" customWidth="1"/>
    <col min="4358" max="4358" width="24.85546875" style="580" customWidth="1"/>
    <col min="4359" max="4360" width="9.28515625" style="580" customWidth="1"/>
    <col min="4361" max="4608" width="11.42578125" style="580"/>
    <col min="4609" max="4612" width="0" style="580" hidden="1" customWidth="1"/>
    <col min="4613" max="4613" width="2.85546875" style="580" customWidth="1"/>
    <col min="4614" max="4614" width="24.85546875" style="580" customWidth="1"/>
    <col min="4615" max="4616" width="9.28515625" style="580" customWidth="1"/>
    <col min="4617" max="4864" width="11.42578125" style="580"/>
    <col min="4865" max="4868" width="0" style="580" hidden="1" customWidth="1"/>
    <col min="4869" max="4869" width="2.85546875" style="580" customWidth="1"/>
    <col min="4870" max="4870" width="24.85546875" style="580" customWidth="1"/>
    <col min="4871" max="4872" width="9.28515625" style="580" customWidth="1"/>
    <col min="4873" max="5120" width="11.42578125" style="580"/>
    <col min="5121" max="5124" width="0" style="580" hidden="1" customWidth="1"/>
    <col min="5125" max="5125" width="2.85546875" style="580" customWidth="1"/>
    <col min="5126" max="5126" width="24.85546875" style="580" customWidth="1"/>
    <col min="5127" max="5128" width="9.28515625" style="580" customWidth="1"/>
    <col min="5129" max="5376" width="11.42578125" style="580"/>
    <col min="5377" max="5380" width="0" style="580" hidden="1" customWidth="1"/>
    <col min="5381" max="5381" width="2.85546875" style="580" customWidth="1"/>
    <col min="5382" max="5382" width="24.85546875" style="580" customWidth="1"/>
    <col min="5383" max="5384" width="9.28515625" style="580" customWidth="1"/>
    <col min="5385" max="5632" width="11.42578125" style="580"/>
    <col min="5633" max="5636" width="0" style="580" hidden="1" customWidth="1"/>
    <col min="5637" max="5637" width="2.85546875" style="580" customWidth="1"/>
    <col min="5638" max="5638" width="24.85546875" style="580" customWidth="1"/>
    <col min="5639" max="5640" width="9.28515625" style="580" customWidth="1"/>
    <col min="5641" max="5888" width="11.42578125" style="580"/>
    <col min="5889" max="5892" width="0" style="580" hidden="1" customWidth="1"/>
    <col min="5893" max="5893" width="2.85546875" style="580" customWidth="1"/>
    <col min="5894" max="5894" width="24.85546875" style="580" customWidth="1"/>
    <col min="5895" max="5896" width="9.28515625" style="580" customWidth="1"/>
    <col min="5897" max="6144" width="11.42578125" style="580"/>
    <col min="6145" max="6148" width="0" style="580" hidden="1" customWidth="1"/>
    <col min="6149" max="6149" width="2.85546875" style="580" customWidth="1"/>
    <col min="6150" max="6150" width="24.85546875" style="580" customWidth="1"/>
    <col min="6151" max="6152" width="9.28515625" style="580" customWidth="1"/>
    <col min="6153" max="6400" width="11.42578125" style="580"/>
    <col min="6401" max="6404" width="0" style="580" hidden="1" customWidth="1"/>
    <col min="6405" max="6405" width="2.85546875" style="580" customWidth="1"/>
    <col min="6406" max="6406" width="24.85546875" style="580" customWidth="1"/>
    <col min="6407" max="6408" width="9.28515625" style="580" customWidth="1"/>
    <col min="6409" max="6656" width="11.42578125" style="580"/>
    <col min="6657" max="6660" width="0" style="580" hidden="1" customWidth="1"/>
    <col min="6661" max="6661" width="2.85546875" style="580" customWidth="1"/>
    <col min="6662" max="6662" width="24.85546875" style="580" customWidth="1"/>
    <col min="6663" max="6664" width="9.28515625" style="580" customWidth="1"/>
    <col min="6665" max="6912" width="11.42578125" style="580"/>
    <col min="6913" max="6916" width="0" style="580" hidden="1" customWidth="1"/>
    <col min="6917" max="6917" width="2.85546875" style="580" customWidth="1"/>
    <col min="6918" max="6918" width="24.85546875" style="580" customWidth="1"/>
    <col min="6919" max="6920" width="9.28515625" style="580" customWidth="1"/>
    <col min="6921" max="7168" width="11.42578125" style="580"/>
    <col min="7169" max="7172" width="0" style="580" hidden="1" customWidth="1"/>
    <col min="7173" max="7173" width="2.85546875" style="580" customWidth="1"/>
    <col min="7174" max="7174" width="24.85546875" style="580" customWidth="1"/>
    <col min="7175" max="7176" width="9.28515625" style="580" customWidth="1"/>
    <col min="7177" max="7424" width="11.42578125" style="580"/>
    <col min="7425" max="7428" width="0" style="580" hidden="1" customWidth="1"/>
    <col min="7429" max="7429" width="2.85546875" style="580" customWidth="1"/>
    <col min="7430" max="7430" width="24.85546875" style="580" customWidth="1"/>
    <col min="7431" max="7432" width="9.28515625" style="580" customWidth="1"/>
    <col min="7433" max="7680" width="11.42578125" style="580"/>
    <col min="7681" max="7684" width="0" style="580" hidden="1" customWidth="1"/>
    <col min="7685" max="7685" width="2.85546875" style="580" customWidth="1"/>
    <col min="7686" max="7686" width="24.85546875" style="580" customWidth="1"/>
    <col min="7687" max="7688" width="9.28515625" style="580" customWidth="1"/>
    <col min="7689" max="7936" width="11.42578125" style="580"/>
    <col min="7937" max="7940" width="0" style="580" hidden="1" customWidth="1"/>
    <col min="7941" max="7941" width="2.85546875" style="580" customWidth="1"/>
    <col min="7942" max="7942" width="24.85546875" style="580" customWidth="1"/>
    <col min="7943" max="7944" width="9.28515625" style="580" customWidth="1"/>
    <col min="7945" max="8192" width="11.42578125" style="580"/>
    <col min="8193" max="8196" width="0" style="580" hidden="1" customWidth="1"/>
    <col min="8197" max="8197" width="2.85546875" style="580" customWidth="1"/>
    <col min="8198" max="8198" width="24.85546875" style="580" customWidth="1"/>
    <col min="8199" max="8200" width="9.28515625" style="580" customWidth="1"/>
    <col min="8201" max="8448" width="11.42578125" style="580"/>
    <col min="8449" max="8452" width="0" style="580" hidden="1" customWidth="1"/>
    <col min="8453" max="8453" width="2.85546875" style="580" customWidth="1"/>
    <col min="8454" max="8454" width="24.85546875" style="580" customWidth="1"/>
    <col min="8455" max="8456" width="9.28515625" style="580" customWidth="1"/>
    <col min="8457" max="8704" width="11.42578125" style="580"/>
    <col min="8705" max="8708" width="0" style="580" hidden="1" customWidth="1"/>
    <col min="8709" max="8709" width="2.85546875" style="580" customWidth="1"/>
    <col min="8710" max="8710" width="24.85546875" style="580" customWidth="1"/>
    <col min="8711" max="8712" width="9.28515625" style="580" customWidth="1"/>
    <col min="8713" max="8960" width="11.42578125" style="580"/>
    <col min="8961" max="8964" width="0" style="580" hidden="1" customWidth="1"/>
    <col min="8965" max="8965" width="2.85546875" style="580" customWidth="1"/>
    <col min="8966" max="8966" width="24.85546875" style="580" customWidth="1"/>
    <col min="8967" max="8968" width="9.28515625" style="580" customWidth="1"/>
    <col min="8969" max="9216" width="11.42578125" style="580"/>
    <col min="9217" max="9220" width="0" style="580" hidden="1" customWidth="1"/>
    <col min="9221" max="9221" width="2.85546875" style="580" customWidth="1"/>
    <col min="9222" max="9222" width="24.85546875" style="580" customWidth="1"/>
    <col min="9223" max="9224" width="9.28515625" style="580" customWidth="1"/>
    <col min="9225" max="9472" width="11.42578125" style="580"/>
    <col min="9473" max="9476" width="0" style="580" hidden="1" customWidth="1"/>
    <col min="9477" max="9477" width="2.85546875" style="580" customWidth="1"/>
    <col min="9478" max="9478" width="24.85546875" style="580" customWidth="1"/>
    <col min="9479" max="9480" width="9.28515625" style="580" customWidth="1"/>
    <col min="9481" max="9728" width="11.42578125" style="580"/>
    <col min="9729" max="9732" width="0" style="580" hidden="1" customWidth="1"/>
    <col min="9733" max="9733" width="2.85546875" style="580" customWidth="1"/>
    <col min="9734" max="9734" width="24.85546875" style="580" customWidth="1"/>
    <col min="9735" max="9736" width="9.28515625" style="580" customWidth="1"/>
    <col min="9737" max="9984" width="11.42578125" style="580"/>
    <col min="9985" max="9988" width="0" style="580" hidden="1" customWidth="1"/>
    <col min="9989" max="9989" width="2.85546875" style="580" customWidth="1"/>
    <col min="9990" max="9990" width="24.85546875" style="580" customWidth="1"/>
    <col min="9991" max="9992" width="9.28515625" style="580" customWidth="1"/>
    <col min="9993" max="10240" width="11.42578125" style="580"/>
    <col min="10241" max="10244" width="0" style="580" hidden="1" customWidth="1"/>
    <col min="10245" max="10245" width="2.85546875" style="580" customWidth="1"/>
    <col min="10246" max="10246" width="24.85546875" style="580" customWidth="1"/>
    <col min="10247" max="10248" width="9.28515625" style="580" customWidth="1"/>
    <col min="10249" max="10496" width="11.42578125" style="580"/>
    <col min="10497" max="10500" width="0" style="580" hidden="1" customWidth="1"/>
    <col min="10501" max="10501" width="2.85546875" style="580" customWidth="1"/>
    <col min="10502" max="10502" width="24.85546875" style="580" customWidth="1"/>
    <col min="10503" max="10504" width="9.28515625" style="580" customWidth="1"/>
    <col min="10505" max="10752" width="11.42578125" style="580"/>
    <col min="10753" max="10756" width="0" style="580" hidden="1" customWidth="1"/>
    <col min="10757" max="10757" width="2.85546875" style="580" customWidth="1"/>
    <col min="10758" max="10758" width="24.85546875" style="580" customWidth="1"/>
    <col min="10759" max="10760" width="9.28515625" style="580" customWidth="1"/>
    <col min="10761" max="11008" width="11.42578125" style="580"/>
    <col min="11009" max="11012" width="0" style="580" hidden="1" customWidth="1"/>
    <col min="11013" max="11013" width="2.85546875" style="580" customWidth="1"/>
    <col min="11014" max="11014" width="24.85546875" style="580" customWidth="1"/>
    <col min="11015" max="11016" width="9.28515625" style="580" customWidth="1"/>
    <col min="11017" max="11264" width="11.42578125" style="580"/>
    <col min="11265" max="11268" width="0" style="580" hidden="1" customWidth="1"/>
    <col min="11269" max="11269" width="2.85546875" style="580" customWidth="1"/>
    <col min="11270" max="11270" width="24.85546875" style="580" customWidth="1"/>
    <col min="11271" max="11272" width="9.28515625" style="580" customWidth="1"/>
    <col min="11273" max="11520" width="11.42578125" style="580"/>
    <col min="11521" max="11524" width="0" style="580" hidden="1" customWidth="1"/>
    <col min="11525" max="11525" width="2.85546875" style="580" customWidth="1"/>
    <col min="11526" max="11526" width="24.85546875" style="580" customWidth="1"/>
    <col min="11527" max="11528" width="9.28515625" style="580" customWidth="1"/>
    <col min="11529" max="11776" width="11.42578125" style="580"/>
    <col min="11777" max="11780" width="0" style="580" hidden="1" customWidth="1"/>
    <col min="11781" max="11781" width="2.85546875" style="580" customWidth="1"/>
    <col min="11782" max="11782" width="24.85546875" style="580" customWidth="1"/>
    <col min="11783" max="11784" width="9.28515625" style="580" customWidth="1"/>
    <col min="11785" max="12032" width="11.42578125" style="580"/>
    <col min="12033" max="12036" width="0" style="580" hidden="1" customWidth="1"/>
    <col min="12037" max="12037" width="2.85546875" style="580" customWidth="1"/>
    <col min="12038" max="12038" width="24.85546875" style="580" customWidth="1"/>
    <col min="12039" max="12040" width="9.28515625" style="580" customWidth="1"/>
    <col min="12041" max="12288" width="11.42578125" style="580"/>
    <col min="12289" max="12292" width="0" style="580" hidden="1" customWidth="1"/>
    <col min="12293" max="12293" width="2.85546875" style="580" customWidth="1"/>
    <col min="12294" max="12294" width="24.85546875" style="580" customWidth="1"/>
    <col min="12295" max="12296" width="9.28515625" style="580" customWidth="1"/>
    <col min="12297" max="12544" width="11.42578125" style="580"/>
    <col min="12545" max="12548" width="0" style="580" hidden="1" customWidth="1"/>
    <col min="12549" max="12549" width="2.85546875" style="580" customWidth="1"/>
    <col min="12550" max="12550" width="24.85546875" style="580" customWidth="1"/>
    <col min="12551" max="12552" width="9.28515625" style="580" customWidth="1"/>
    <col min="12553" max="12800" width="11.42578125" style="580"/>
    <col min="12801" max="12804" width="0" style="580" hidden="1" customWidth="1"/>
    <col min="12805" max="12805" width="2.85546875" style="580" customWidth="1"/>
    <col min="12806" max="12806" width="24.85546875" style="580" customWidth="1"/>
    <col min="12807" max="12808" width="9.28515625" style="580" customWidth="1"/>
    <col min="12809" max="13056" width="11.42578125" style="580"/>
    <col min="13057" max="13060" width="0" style="580" hidden="1" customWidth="1"/>
    <col min="13061" max="13061" width="2.85546875" style="580" customWidth="1"/>
    <col min="13062" max="13062" width="24.85546875" style="580" customWidth="1"/>
    <col min="13063" max="13064" width="9.28515625" style="580" customWidth="1"/>
    <col min="13065" max="13312" width="11.42578125" style="580"/>
    <col min="13313" max="13316" width="0" style="580" hidden="1" customWidth="1"/>
    <col min="13317" max="13317" width="2.85546875" style="580" customWidth="1"/>
    <col min="13318" max="13318" width="24.85546875" style="580" customWidth="1"/>
    <col min="13319" max="13320" width="9.28515625" style="580" customWidth="1"/>
    <col min="13321" max="13568" width="11.42578125" style="580"/>
    <col min="13569" max="13572" width="0" style="580" hidden="1" customWidth="1"/>
    <col min="13573" max="13573" width="2.85546875" style="580" customWidth="1"/>
    <col min="13574" max="13574" width="24.85546875" style="580" customWidth="1"/>
    <col min="13575" max="13576" width="9.28515625" style="580" customWidth="1"/>
    <col min="13577" max="13824" width="11.42578125" style="580"/>
    <col min="13825" max="13828" width="0" style="580" hidden="1" customWidth="1"/>
    <col min="13829" max="13829" width="2.85546875" style="580" customWidth="1"/>
    <col min="13830" max="13830" width="24.85546875" style="580" customWidth="1"/>
    <col min="13831" max="13832" width="9.28515625" style="580" customWidth="1"/>
    <col min="13833" max="14080" width="11.42578125" style="580"/>
    <col min="14081" max="14084" width="0" style="580" hidden="1" customWidth="1"/>
    <col min="14085" max="14085" width="2.85546875" style="580" customWidth="1"/>
    <col min="14086" max="14086" width="24.85546875" style="580" customWidth="1"/>
    <col min="14087" max="14088" width="9.28515625" style="580" customWidth="1"/>
    <col min="14089" max="14336" width="11.42578125" style="580"/>
    <col min="14337" max="14340" width="0" style="580" hidden="1" customWidth="1"/>
    <col min="14341" max="14341" width="2.85546875" style="580" customWidth="1"/>
    <col min="14342" max="14342" width="24.85546875" style="580" customWidth="1"/>
    <col min="14343" max="14344" width="9.28515625" style="580" customWidth="1"/>
    <col min="14345" max="14592" width="11.42578125" style="580"/>
    <col min="14593" max="14596" width="0" style="580" hidden="1" customWidth="1"/>
    <col min="14597" max="14597" width="2.85546875" style="580" customWidth="1"/>
    <col min="14598" max="14598" width="24.85546875" style="580" customWidth="1"/>
    <col min="14599" max="14600" width="9.28515625" style="580" customWidth="1"/>
    <col min="14601" max="14848" width="11.42578125" style="580"/>
    <col min="14849" max="14852" width="0" style="580" hidden="1" customWidth="1"/>
    <col min="14853" max="14853" width="2.85546875" style="580" customWidth="1"/>
    <col min="14854" max="14854" width="24.85546875" style="580" customWidth="1"/>
    <col min="14855" max="14856" width="9.28515625" style="580" customWidth="1"/>
    <col min="14857" max="15104" width="11.42578125" style="580"/>
    <col min="15105" max="15108" width="0" style="580" hidden="1" customWidth="1"/>
    <col min="15109" max="15109" width="2.85546875" style="580" customWidth="1"/>
    <col min="15110" max="15110" width="24.85546875" style="580" customWidth="1"/>
    <col min="15111" max="15112" width="9.28515625" style="580" customWidth="1"/>
    <col min="15113" max="15360" width="11.42578125" style="580"/>
    <col min="15361" max="15364" width="0" style="580" hidden="1" customWidth="1"/>
    <col min="15365" max="15365" width="2.85546875" style="580" customWidth="1"/>
    <col min="15366" max="15366" width="24.85546875" style="580" customWidth="1"/>
    <col min="15367" max="15368" width="9.28515625" style="580" customWidth="1"/>
    <col min="15369" max="15616" width="11.42578125" style="580"/>
    <col min="15617" max="15620" width="0" style="580" hidden="1" customWidth="1"/>
    <col min="15621" max="15621" width="2.85546875" style="580" customWidth="1"/>
    <col min="15622" max="15622" width="24.85546875" style="580" customWidth="1"/>
    <col min="15623" max="15624" width="9.28515625" style="580" customWidth="1"/>
    <col min="15625" max="15872" width="11.42578125" style="580"/>
    <col min="15873" max="15876" width="0" style="580" hidden="1" customWidth="1"/>
    <col min="15877" max="15877" width="2.85546875" style="580" customWidth="1"/>
    <col min="15878" max="15878" width="24.85546875" style="580" customWidth="1"/>
    <col min="15879" max="15880" width="9.28515625" style="580" customWidth="1"/>
    <col min="15881" max="16128" width="11.42578125" style="580"/>
    <col min="16129" max="16132" width="0" style="580" hidden="1" customWidth="1"/>
    <col min="16133" max="16133" width="2.85546875" style="580" customWidth="1"/>
    <col min="16134" max="16134" width="24.85546875" style="580" customWidth="1"/>
    <col min="16135" max="16136" width="9.28515625" style="580" customWidth="1"/>
    <col min="16137" max="16384" width="11.42578125" style="580"/>
  </cols>
  <sheetData>
    <row r="1" spans="1:9" ht="16.5" customHeight="1" x14ac:dyDescent="0.35">
      <c r="A1" s="577" t="s">
        <v>743</v>
      </c>
      <c r="B1" s="578"/>
      <c r="C1" s="578"/>
      <c r="D1" s="579"/>
      <c r="F1" s="577" t="s">
        <v>743</v>
      </c>
      <c r="G1" s="578"/>
      <c r="H1" s="578"/>
      <c r="I1" s="579"/>
    </row>
    <row r="2" spans="1:9" ht="16.5" customHeight="1" x14ac:dyDescent="0.35">
      <c r="A2" s="577"/>
      <c r="B2" s="580"/>
      <c r="C2" s="580"/>
      <c r="D2" s="580"/>
      <c r="F2" s="577"/>
      <c r="G2" s="580"/>
      <c r="H2" s="580"/>
      <c r="I2" s="580"/>
    </row>
    <row r="3" spans="1:9" ht="32.25" customHeight="1" x14ac:dyDescent="0.35">
      <c r="A3" s="827" t="s">
        <v>745</v>
      </c>
      <c r="B3" s="828" t="s">
        <v>746</v>
      </c>
      <c r="C3" s="581"/>
      <c r="D3" s="582"/>
      <c r="F3" s="827" t="s">
        <v>745</v>
      </c>
      <c r="G3" s="828" t="s">
        <v>746</v>
      </c>
      <c r="H3" s="581"/>
      <c r="I3" s="582"/>
    </row>
    <row r="4" spans="1:9" ht="21" customHeight="1" x14ac:dyDescent="0.35">
      <c r="A4" s="827"/>
      <c r="B4" s="829"/>
      <c r="C4" s="583"/>
      <c r="D4" s="584" t="s">
        <v>780</v>
      </c>
      <c r="F4" s="827"/>
      <c r="G4" s="829"/>
      <c r="H4" s="583"/>
      <c r="I4" s="584" t="s">
        <v>780</v>
      </c>
    </row>
    <row r="5" spans="1:9" ht="21" hidden="1" customHeight="1" outlineLevel="1" x14ac:dyDescent="0.35">
      <c r="A5" s="585"/>
      <c r="B5" s="586"/>
      <c r="C5" s="586"/>
      <c r="D5" s="584"/>
      <c r="F5" s="585"/>
      <c r="G5" s="587"/>
      <c r="H5" s="586"/>
      <c r="I5" s="584"/>
    </row>
    <row r="6" spans="1:9" collapsed="1" x14ac:dyDescent="0.3">
      <c r="A6" s="588" t="s">
        <v>748</v>
      </c>
      <c r="B6" s="589"/>
      <c r="C6" s="589"/>
      <c r="D6" s="590">
        <v>31.92</v>
      </c>
      <c r="F6" s="588" t="s">
        <v>748</v>
      </c>
      <c r="G6" s="591">
        <f>827/CoeficientePase!$C$44</f>
        <v>3.0611489487710983</v>
      </c>
      <c r="H6" s="589"/>
      <c r="I6" s="590">
        <f>+G6</f>
        <v>3.0611489487710983</v>
      </c>
    </row>
    <row r="7" spans="1:9" x14ac:dyDescent="0.3">
      <c r="A7" s="592" t="s">
        <v>749</v>
      </c>
      <c r="B7" s="593"/>
      <c r="C7" s="593"/>
      <c r="D7" s="594"/>
      <c r="F7" s="592" t="s">
        <v>749</v>
      </c>
      <c r="G7" s="593"/>
      <c r="H7" s="593"/>
      <c r="I7" s="594"/>
    </row>
    <row r="8" spans="1:9" x14ac:dyDescent="0.3">
      <c r="A8" s="595" t="s">
        <v>750</v>
      </c>
      <c r="B8" s="596">
        <f>96*2</f>
        <v>192</v>
      </c>
      <c r="C8" s="596"/>
      <c r="D8" s="594">
        <f>+D6*B8</f>
        <v>6128.64</v>
      </c>
      <c r="F8" s="595" t="s">
        <v>750</v>
      </c>
      <c r="G8" s="596">
        <f>+(8*5+1*4)*4</f>
        <v>176</v>
      </c>
      <c r="H8" s="596"/>
      <c r="I8" s="594">
        <f>+I6*G8</f>
        <v>538.76221498371331</v>
      </c>
    </row>
    <row r="9" spans="1:9" x14ac:dyDescent="0.3">
      <c r="A9" s="597" t="s">
        <v>751</v>
      </c>
      <c r="B9" s="598"/>
      <c r="C9" s="598"/>
      <c r="D9" s="599">
        <f>+B9*$D$6*1.5</f>
        <v>0</v>
      </c>
      <c r="E9" s="600"/>
      <c r="F9" s="597" t="s">
        <v>751</v>
      </c>
      <c r="G9" s="598"/>
      <c r="H9" s="598"/>
      <c r="I9" s="599">
        <f>+G9*$I$6*1.5</f>
        <v>0</v>
      </c>
    </row>
    <row r="10" spans="1:9" x14ac:dyDescent="0.3">
      <c r="A10" s="595" t="s">
        <v>752</v>
      </c>
      <c r="B10" s="596"/>
      <c r="C10" s="596"/>
      <c r="D10" s="594">
        <f>+B10*$D$6*2</f>
        <v>0</v>
      </c>
      <c r="F10" s="595" t="s">
        <v>752</v>
      </c>
      <c r="G10" s="596"/>
      <c r="H10" s="596"/>
      <c r="I10" s="594">
        <f>+G10*$D$6*2</f>
        <v>0</v>
      </c>
    </row>
    <row r="11" spans="1:9" x14ac:dyDescent="0.3">
      <c r="A11" s="595" t="s">
        <v>753</v>
      </c>
      <c r="B11" s="596"/>
      <c r="C11" s="596"/>
      <c r="D11" s="594"/>
      <c r="F11" s="595" t="s">
        <v>753</v>
      </c>
      <c r="G11" s="596"/>
      <c r="H11" s="596"/>
      <c r="I11" s="594"/>
    </row>
    <row r="12" spans="1:9" x14ac:dyDescent="0.3">
      <c r="A12" s="595" t="s">
        <v>754</v>
      </c>
      <c r="B12" s="596"/>
      <c r="C12" s="596"/>
      <c r="D12" s="594">
        <f>+B12*$D$6</f>
        <v>0</v>
      </c>
      <c r="F12" s="595" t="s">
        <v>754</v>
      </c>
      <c r="G12" s="596"/>
      <c r="H12" s="596"/>
      <c r="I12" s="594">
        <f>+G12*$D$6</f>
        <v>0</v>
      </c>
    </row>
    <row r="13" spans="1:9" x14ac:dyDescent="0.3">
      <c r="A13" s="595" t="s">
        <v>755</v>
      </c>
      <c r="B13" s="601">
        <f>+D6*0.125</f>
        <v>3.99</v>
      </c>
      <c r="C13" s="601"/>
      <c r="D13" s="602">
        <f>2.28/18.23</f>
        <v>0.12506856829402083</v>
      </c>
      <c r="F13" s="595" t="s">
        <v>755</v>
      </c>
      <c r="G13" s="601">
        <f>+I6*0.125</f>
        <v>0.38264361859638729</v>
      </c>
      <c r="H13" s="601"/>
      <c r="I13" s="602">
        <f>2.28/18.23</f>
        <v>0.12506856829402083</v>
      </c>
    </row>
    <row r="14" spans="1:9" x14ac:dyDescent="0.3">
      <c r="A14" s="595" t="s">
        <v>756</v>
      </c>
      <c r="B14" s="596">
        <v>5.5</v>
      </c>
      <c r="C14" s="596">
        <f>13+12</f>
        <v>25</v>
      </c>
      <c r="D14" s="594">
        <f>+B14*C14</f>
        <v>137.5</v>
      </c>
      <c r="F14" s="595" t="s">
        <v>756</v>
      </c>
      <c r="G14" s="596">
        <v>5.5</v>
      </c>
      <c r="H14" s="596">
        <f>13+12</f>
        <v>25</v>
      </c>
      <c r="I14" s="594">
        <f>+G14*H14</f>
        <v>137.5</v>
      </c>
    </row>
    <row r="15" spans="1:9" x14ac:dyDescent="0.3">
      <c r="A15" s="595" t="s">
        <v>757</v>
      </c>
      <c r="B15" s="596">
        <v>75</v>
      </c>
      <c r="C15" s="596">
        <v>2</v>
      </c>
      <c r="D15" s="594">
        <v>150</v>
      </c>
      <c r="F15" s="595" t="s">
        <v>757</v>
      </c>
      <c r="G15" s="596">
        <v>75</v>
      </c>
      <c r="H15" s="596">
        <v>2</v>
      </c>
      <c r="I15" s="594">
        <v>150</v>
      </c>
    </row>
    <row r="16" spans="1:9" hidden="1" outlineLevel="1" x14ac:dyDescent="0.3">
      <c r="A16" s="595" t="s">
        <v>758</v>
      </c>
      <c r="B16" s="596"/>
      <c r="C16" s="596"/>
      <c r="D16" s="594"/>
      <c r="F16" s="595" t="s">
        <v>758</v>
      </c>
      <c r="G16" s="596"/>
      <c r="H16" s="596"/>
      <c r="I16" s="594"/>
    </row>
    <row r="17" spans="1:9" hidden="1" outlineLevel="1" x14ac:dyDescent="0.3">
      <c r="A17" s="595"/>
      <c r="B17" s="596"/>
      <c r="C17" s="596"/>
      <c r="D17" s="594"/>
      <c r="F17" s="595"/>
      <c r="G17" s="596"/>
      <c r="H17" s="596"/>
      <c r="I17" s="594"/>
    </row>
    <row r="18" spans="1:9" collapsed="1" x14ac:dyDescent="0.3">
      <c r="A18" s="595" t="s">
        <v>759</v>
      </c>
      <c r="B18" s="593">
        <v>0.2</v>
      </c>
      <c r="C18" s="603">
        <f>SUM(D8:D17)</f>
        <v>6416.2650685682947</v>
      </c>
      <c r="D18" s="594">
        <f>+B18*C18</f>
        <v>1283.2530137136591</v>
      </c>
      <c r="F18" s="595" t="s">
        <v>759</v>
      </c>
      <c r="G18" s="593">
        <v>0.2</v>
      </c>
      <c r="H18" s="603">
        <f>SUM(I8:I17)</f>
        <v>826.38728355200737</v>
      </c>
      <c r="I18" s="594">
        <f>+G18*H18</f>
        <v>165.27745671040148</v>
      </c>
    </row>
    <row r="19" spans="1:9" hidden="1" outlineLevel="1" x14ac:dyDescent="0.3">
      <c r="A19" s="595"/>
      <c r="B19" s="593"/>
      <c r="C19" s="593"/>
      <c r="D19" s="594"/>
      <c r="F19" s="595"/>
      <c r="G19" s="593"/>
      <c r="H19" s="593"/>
      <c r="I19" s="594"/>
    </row>
    <row r="20" spans="1:9" collapsed="1" x14ac:dyDescent="0.3">
      <c r="A20" s="595" t="s">
        <v>760</v>
      </c>
      <c r="B20" s="604">
        <v>1.1666666666666667</v>
      </c>
      <c r="C20" s="604" t="s">
        <v>360</v>
      </c>
      <c r="D20" s="594"/>
      <c r="F20" s="595" t="s">
        <v>760</v>
      </c>
      <c r="G20" s="604">
        <v>1.1666666666666667</v>
      </c>
      <c r="H20" s="604" t="s">
        <v>360</v>
      </c>
      <c r="I20" s="594"/>
    </row>
    <row r="21" spans="1:9" x14ac:dyDescent="0.3">
      <c r="A21" s="595" t="s">
        <v>760</v>
      </c>
      <c r="B21" s="603">
        <f>+B20*8</f>
        <v>9.3333333333333339</v>
      </c>
      <c r="C21" s="603" t="s">
        <v>388</v>
      </c>
      <c r="D21" s="594">
        <f>+B21*D6</f>
        <v>297.92</v>
      </c>
      <c r="F21" s="595" t="s">
        <v>760</v>
      </c>
      <c r="G21" s="603">
        <f>+G20*8</f>
        <v>9.3333333333333339</v>
      </c>
      <c r="H21" s="603" t="s">
        <v>388</v>
      </c>
      <c r="I21" s="594">
        <f>+G21*I6</f>
        <v>28.570723521863588</v>
      </c>
    </row>
    <row r="22" spans="1:9" x14ac:dyDescent="0.3">
      <c r="A22" s="595" t="s">
        <v>761</v>
      </c>
      <c r="D22" s="594">
        <f>SUM(D8:D21)/12</f>
        <v>666.45317352349616</v>
      </c>
      <c r="F22" s="595" t="s">
        <v>761</v>
      </c>
      <c r="I22" s="594">
        <f>SUM(I8:I21)/12</f>
        <v>85.019621982022699</v>
      </c>
    </row>
    <row r="23" spans="1:9" ht="16.5" x14ac:dyDescent="0.35">
      <c r="A23" s="606" t="s">
        <v>762</v>
      </c>
      <c r="B23" s="596"/>
      <c r="C23" s="596"/>
      <c r="D23" s="607">
        <f>SUM(D8:D22)</f>
        <v>8663.8912558054508</v>
      </c>
      <c r="F23" s="606" t="s">
        <v>762</v>
      </c>
      <c r="G23" s="596"/>
      <c r="H23" s="596"/>
      <c r="I23" s="607">
        <f>SUM(I8:I22)</f>
        <v>1105.255085766295</v>
      </c>
    </row>
    <row r="24" spans="1:9" hidden="1" outlineLevel="1" x14ac:dyDescent="0.3">
      <c r="A24" s="595" t="s">
        <v>763</v>
      </c>
      <c r="B24" s="608">
        <v>0.19500000000000001</v>
      </c>
      <c r="C24" s="593"/>
      <c r="D24" s="594">
        <f>+D23*B24</f>
        <v>1689.4587948820629</v>
      </c>
      <c r="F24" s="595" t="s">
        <v>763</v>
      </c>
      <c r="G24" s="608">
        <v>0.19500000000000001</v>
      </c>
      <c r="H24" s="593"/>
      <c r="I24" s="594"/>
    </row>
    <row r="25" spans="1:9" hidden="1" outlineLevel="1" x14ac:dyDescent="0.3">
      <c r="A25" s="595" t="s">
        <v>764</v>
      </c>
      <c r="B25" s="593"/>
      <c r="C25" s="593"/>
      <c r="D25" s="594">
        <v>84.68</v>
      </c>
      <c r="F25" s="595" t="s">
        <v>764</v>
      </c>
      <c r="G25" s="593"/>
      <c r="H25" s="593"/>
      <c r="I25" s="594"/>
    </row>
    <row r="26" spans="1:9" hidden="1" outlineLevel="1" x14ac:dyDescent="0.3">
      <c r="A26" s="595" t="s">
        <v>765</v>
      </c>
      <c r="B26" s="593">
        <f>+D26/D23</f>
        <v>0.20477389922146796</v>
      </c>
      <c r="C26" s="593"/>
      <c r="D26" s="594">
        <f>SUM(D24:D25)</f>
        <v>1774.1387948820629</v>
      </c>
      <c r="F26" s="595" t="s">
        <v>765</v>
      </c>
      <c r="G26" s="593">
        <f>+I26/I23</f>
        <v>0</v>
      </c>
      <c r="H26" s="593"/>
      <c r="I26" s="594"/>
    </row>
    <row r="27" spans="1:9" hidden="1" outlineLevel="1" x14ac:dyDescent="0.3">
      <c r="A27" s="595"/>
      <c r="B27" s="593"/>
      <c r="C27" s="593"/>
      <c r="D27" s="594"/>
      <c r="F27" s="595"/>
      <c r="G27" s="593"/>
      <c r="H27" s="593"/>
      <c r="I27" s="594"/>
    </row>
    <row r="28" spans="1:9" ht="16.5" hidden="1" outlineLevel="1" x14ac:dyDescent="0.35">
      <c r="A28" s="609" t="s">
        <v>766</v>
      </c>
      <c r="B28" s="598"/>
      <c r="C28" s="598"/>
      <c r="D28" s="610">
        <f>+D23-D26</f>
        <v>6889.7524609233878</v>
      </c>
      <c r="F28" s="609" t="s">
        <v>766</v>
      </c>
      <c r="G28" s="598"/>
      <c r="H28" s="598"/>
      <c r="I28" s="610">
        <f>+I23-I26</f>
        <v>1105.255085766295</v>
      </c>
    </row>
    <row r="29" spans="1:9" ht="16.5" collapsed="1" x14ac:dyDescent="0.35">
      <c r="A29" s="609"/>
      <c r="B29" s="598"/>
      <c r="C29" s="598"/>
      <c r="D29" s="610"/>
      <c r="F29" s="609"/>
      <c r="G29" s="598"/>
      <c r="H29" s="598"/>
      <c r="I29" s="610"/>
    </row>
    <row r="30" spans="1:9" s="614" customFormat="1" ht="16.5" hidden="1" outlineLevel="1" x14ac:dyDescent="0.35">
      <c r="A30" s="611"/>
      <c r="B30" s="612"/>
      <c r="C30" s="612"/>
      <c r="D30" s="613"/>
      <c r="E30" s="580"/>
      <c r="F30" s="611"/>
      <c r="G30" s="612"/>
      <c r="H30" s="612"/>
      <c r="I30" s="613"/>
    </row>
    <row r="31" spans="1:9" s="614" customFormat="1" ht="16.5" hidden="1" outlineLevel="1" x14ac:dyDescent="0.35">
      <c r="A31" s="611" t="s">
        <v>767</v>
      </c>
      <c r="B31" s="612"/>
      <c r="C31" s="612"/>
      <c r="D31" s="613">
        <f>+(D28-D29)/D6*1.2*0.8</f>
        <v>207.21060032852293</v>
      </c>
      <c r="E31" s="580"/>
      <c r="F31" s="611" t="s">
        <v>767</v>
      </c>
      <c r="G31" s="612"/>
      <c r="H31" s="612"/>
      <c r="I31" s="613">
        <f>+(I28-I29)/I6*1.2*0.8</f>
        <v>346.61654826094008</v>
      </c>
    </row>
    <row r="32" spans="1:9" s="614" customFormat="1" ht="16.5" hidden="1" outlineLevel="1" x14ac:dyDescent="0.35">
      <c r="A32" s="611" t="s">
        <v>768</v>
      </c>
      <c r="B32" s="612"/>
      <c r="C32" s="612"/>
      <c r="D32" s="613">
        <f>+D31/8</f>
        <v>25.901325041065366</v>
      </c>
      <c r="E32" s="580"/>
      <c r="F32" s="611" t="s">
        <v>768</v>
      </c>
      <c r="G32" s="612"/>
      <c r="H32" s="612"/>
      <c r="I32" s="613">
        <f>+I31/8</f>
        <v>43.32706853261751</v>
      </c>
    </row>
    <row r="33" spans="1:10" hidden="1" outlineLevel="1" x14ac:dyDescent="0.3">
      <c r="A33" s="595"/>
      <c r="B33" s="593"/>
      <c r="C33" s="593"/>
      <c r="D33" s="594"/>
      <c r="F33" s="595"/>
      <c r="G33" s="593"/>
      <c r="H33" s="593"/>
      <c r="I33" s="594"/>
    </row>
    <row r="34" spans="1:10" hidden="1" outlineLevel="1" x14ac:dyDescent="0.3">
      <c r="A34" s="595"/>
      <c r="B34" s="593"/>
      <c r="C34" s="593"/>
      <c r="D34" s="594"/>
      <c r="F34" s="595"/>
      <c r="G34" s="593"/>
      <c r="H34" s="593"/>
      <c r="I34" s="594"/>
    </row>
    <row r="35" spans="1:10" hidden="1" outlineLevel="1" x14ac:dyDescent="0.3">
      <c r="A35" s="595"/>
      <c r="B35" s="593"/>
      <c r="C35" s="593"/>
      <c r="D35" s="594"/>
      <c r="F35" s="595"/>
      <c r="G35" s="593"/>
      <c r="H35" s="593"/>
      <c r="I35" s="594"/>
    </row>
    <row r="36" spans="1:10" hidden="1" outlineLevel="1" x14ac:dyDescent="0.3">
      <c r="A36" s="595"/>
      <c r="B36" s="593"/>
      <c r="C36" s="593"/>
      <c r="D36" s="594"/>
      <c r="F36" s="595"/>
      <c r="G36" s="593"/>
      <c r="H36" s="593"/>
      <c r="I36" s="594"/>
    </row>
    <row r="37" spans="1:10" collapsed="1" x14ac:dyDescent="0.3">
      <c r="A37" s="595" t="s">
        <v>769</v>
      </c>
      <c r="B37" s="593">
        <v>0.155</v>
      </c>
      <c r="C37" s="593"/>
      <c r="D37" s="594">
        <f>+D23*B37</f>
        <v>1342.9031446498448</v>
      </c>
      <c r="F37" s="595" t="s">
        <v>769</v>
      </c>
      <c r="G37" s="593">
        <v>0.155</v>
      </c>
      <c r="H37" s="593"/>
      <c r="I37" s="594">
        <f>+I23*G37</f>
        <v>171.31453829377571</v>
      </c>
      <c r="J37" s="580">
        <f>12127.84/67640.29</f>
        <v>0.17929905386271999</v>
      </c>
    </row>
    <row r="38" spans="1:10" x14ac:dyDescent="0.3">
      <c r="A38" s="595" t="s">
        <v>770</v>
      </c>
      <c r="B38" s="593">
        <v>0.02</v>
      </c>
      <c r="C38" s="593"/>
      <c r="D38" s="594">
        <f>+B38*D23</f>
        <v>173.27782511610903</v>
      </c>
      <c r="F38" s="595" t="s">
        <v>770</v>
      </c>
      <c r="G38" s="593">
        <v>0.02</v>
      </c>
      <c r="H38" s="593"/>
      <c r="I38" s="594">
        <f>+G38*I23</f>
        <v>22.105101715325901</v>
      </c>
    </row>
    <row r="39" spans="1:10" x14ac:dyDescent="0.3">
      <c r="A39" s="595" t="s">
        <v>771</v>
      </c>
      <c r="B39" s="593">
        <v>0.06</v>
      </c>
      <c r="C39" s="593"/>
      <c r="D39" s="594">
        <f>+D23*B39</f>
        <v>519.83347534832706</v>
      </c>
      <c r="F39" s="595" t="s">
        <v>771</v>
      </c>
      <c r="G39" s="593">
        <v>0.06</v>
      </c>
      <c r="H39" s="593"/>
      <c r="I39" s="594">
        <f>+I23*G39</f>
        <v>66.315305145977703</v>
      </c>
      <c r="J39" s="580">
        <f>67640*0.06</f>
        <v>4058.3999999999996</v>
      </c>
    </row>
    <row r="40" spans="1:10" x14ac:dyDescent="0.3">
      <c r="A40" s="595" t="s">
        <v>772</v>
      </c>
      <c r="B40" s="593">
        <v>1.4999999999999999E-2</v>
      </c>
      <c r="C40" s="593"/>
      <c r="D40" s="594">
        <f>+D23*B40</f>
        <v>129.95836883708176</v>
      </c>
      <c r="F40" s="595" t="s">
        <v>772</v>
      </c>
      <c r="G40" s="593">
        <v>1.4999999999999999E-2</v>
      </c>
      <c r="H40" s="593"/>
      <c r="I40" s="594">
        <f>+I23*G40</f>
        <v>16.578826286494426</v>
      </c>
    </row>
    <row r="41" spans="1:10" x14ac:dyDescent="0.3">
      <c r="A41" s="595" t="s">
        <v>773</v>
      </c>
      <c r="B41" s="596">
        <f>11.4/19</f>
        <v>0.6</v>
      </c>
      <c r="C41" s="596"/>
      <c r="D41" s="594">
        <f>+B41</f>
        <v>0.6</v>
      </c>
      <c r="F41" s="595" t="s">
        <v>773</v>
      </c>
      <c r="G41" s="596">
        <f>11.4/19</f>
        <v>0.6</v>
      </c>
      <c r="H41" s="596"/>
      <c r="I41" s="594">
        <f>+G41</f>
        <v>0.6</v>
      </c>
    </row>
    <row r="42" spans="1:10" x14ac:dyDescent="0.3">
      <c r="A42" s="595" t="s">
        <v>773</v>
      </c>
      <c r="B42" s="615">
        <v>0.13769999999999999</v>
      </c>
      <c r="C42" s="615"/>
      <c r="D42" s="594">
        <f>+D23*B42</f>
        <v>1193.0178259244105</v>
      </c>
      <c r="F42" s="595" t="s">
        <v>773</v>
      </c>
      <c r="G42" s="615">
        <v>0.13769999999999999</v>
      </c>
      <c r="H42" s="615"/>
      <c r="I42" s="594">
        <f>+I23*G42</f>
        <v>152.1936253100188</v>
      </c>
      <c r="J42" s="580">
        <f>67640.29*15.03%</f>
        <v>10166.335586999998</v>
      </c>
    </row>
    <row r="43" spans="1:10" x14ac:dyDescent="0.3">
      <c r="A43" s="595" t="s">
        <v>774</v>
      </c>
      <c r="B43" s="615">
        <v>0.08</v>
      </c>
      <c r="C43" s="615"/>
      <c r="D43" s="594">
        <f>+B43*D23</f>
        <v>693.11130046443611</v>
      </c>
      <c r="F43" s="595" t="s">
        <v>774</v>
      </c>
      <c r="G43" s="615">
        <v>0.08</v>
      </c>
      <c r="H43" s="615"/>
      <c r="I43" s="594">
        <f>+G43*I23</f>
        <v>88.420406861303604</v>
      </c>
    </row>
    <row r="44" spans="1:10" x14ac:dyDescent="0.3">
      <c r="A44" s="595" t="s">
        <v>775</v>
      </c>
      <c r="B44" s="615">
        <v>0.04</v>
      </c>
      <c r="C44" s="615"/>
      <c r="D44" s="594">
        <f>+D43*B44</f>
        <v>27.724452018577445</v>
      </c>
      <c r="F44" s="595" t="s">
        <v>775</v>
      </c>
      <c r="G44" s="615">
        <v>0.04</v>
      </c>
      <c r="H44" s="615"/>
      <c r="I44" s="594">
        <f>+I43*G44</f>
        <v>3.5368162744521441</v>
      </c>
    </row>
    <row r="45" spans="1:10" ht="16.5" x14ac:dyDescent="0.35">
      <c r="A45" s="595" t="s">
        <v>776</v>
      </c>
      <c r="B45" s="601"/>
      <c r="C45" s="601"/>
      <c r="D45" s="607">
        <f>SUM(D37:D44)</f>
        <v>4080.4263923587869</v>
      </c>
      <c r="F45" s="595" t="s">
        <v>776</v>
      </c>
      <c r="G45" s="601"/>
      <c r="H45" s="601"/>
      <c r="I45" s="607">
        <f>SUM(I37:I44)</f>
        <v>521.06461988734827</v>
      </c>
    </row>
    <row r="46" spans="1:10" ht="25.5" customHeight="1" x14ac:dyDescent="0.35">
      <c r="A46" s="616" t="s">
        <v>777</v>
      </c>
      <c r="B46" s="589"/>
      <c r="C46" s="589"/>
      <c r="D46" s="617">
        <f>+D23+D45</f>
        <v>12744.317648164237</v>
      </c>
      <c r="F46" s="616" t="s">
        <v>777</v>
      </c>
      <c r="G46" s="589"/>
      <c r="H46" s="589"/>
      <c r="I46" s="617">
        <f>+I23+I45</f>
        <v>1626.3197056536433</v>
      </c>
    </row>
    <row r="47" spans="1:10" ht="16.5" x14ac:dyDescent="0.35">
      <c r="A47" s="618"/>
      <c r="B47" s="619"/>
      <c r="C47" s="619"/>
      <c r="D47" s="620"/>
      <c r="F47" s="618"/>
      <c r="G47" s="619"/>
      <c r="H47" s="619"/>
      <c r="I47" s="620">
        <v>416090.44</v>
      </c>
    </row>
    <row r="48" spans="1:10" x14ac:dyDescent="0.3">
      <c r="I48" s="622">
        <v>285</v>
      </c>
    </row>
    <row r="49" spans="9:9" x14ac:dyDescent="0.3">
      <c r="I49" s="622">
        <f>+I47/I48</f>
        <v>1459.9664561403508</v>
      </c>
    </row>
  </sheetData>
  <mergeCells count="4">
    <mergeCell ref="A3:A4"/>
    <mergeCell ref="B3:B4"/>
    <mergeCell ref="F3:F4"/>
    <mergeCell ref="G3:G4"/>
  </mergeCells>
  <printOptions horizontalCentered="1"/>
  <pageMargins left="0.14000000000000001" right="0.43" top="1" bottom="1" header="0" footer="0"/>
  <pageSetup paperSize="9" scale="64" orientation="landscape" horizontalDpi="300" verticalDpi="300" r:id="rId1"/>
  <headerFooter alignWithMargins="0">
    <oddFooter>&amp;L&amp;F  -- &amp;A&amp;C&amp;P&amp;R&amp;D</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26">
    <tabColor theme="9" tint="0.59999389629810485"/>
  </sheetPr>
  <dimension ref="A1:J49"/>
  <sheetViews>
    <sheetView view="pageBreakPreview" topLeftCell="E15" zoomScaleNormal="100" workbookViewId="0">
      <selection activeCell="J49" sqref="J49"/>
    </sheetView>
  </sheetViews>
  <sheetFormatPr baseColWidth="10" defaultRowHeight="15" outlineLevelRow="1" outlineLevelCol="1" x14ac:dyDescent="0.3"/>
  <cols>
    <col min="1" max="1" width="24.85546875" style="580" hidden="1" customWidth="1" outlineLevel="1"/>
    <col min="2" max="3" width="9.28515625" style="605" hidden="1" customWidth="1" outlineLevel="1"/>
    <col min="4" max="4" width="0" style="622" hidden="1" customWidth="1" outlineLevel="1"/>
    <col min="5" max="5" width="2.85546875" style="580" customWidth="1" collapsed="1"/>
    <col min="6" max="6" width="24.85546875" style="580" customWidth="1"/>
    <col min="7" max="8" width="9.28515625" style="605" customWidth="1"/>
    <col min="9" max="9" width="11.85546875" style="622" bestFit="1" customWidth="1"/>
    <col min="10" max="256" width="11.42578125" style="580"/>
    <col min="257" max="260" width="0" style="580" hidden="1" customWidth="1"/>
    <col min="261" max="261" width="2.85546875" style="580" customWidth="1"/>
    <col min="262" max="262" width="24.85546875" style="580" customWidth="1"/>
    <col min="263" max="264" width="9.28515625" style="580" customWidth="1"/>
    <col min="265" max="512" width="11.42578125" style="580"/>
    <col min="513" max="516" width="0" style="580" hidden="1" customWidth="1"/>
    <col min="517" max="517" width="2.85546875" style="580" customWidth="1"/>
    <col min="518" max="518" width="24.85546875" style="580" customWidth="1"/>
    <col min="519" max="520" width="9.28515625" style="580" customWidth="1"/>
    <col min="521" max="768" width="11.42578125" style="580"/>
    <col min="769" max="772" width="0" style="580" hidden="1" customWidth="1"/>
    <col min="773" max="773" width="2.85546875" style="580" customWidth="1"/>
    <col min="774" max="774" width="24.85546875" style="580" customWidth="1"/>
    <col min="775" max="776" width="9.28515625" style="580" customWidth="1"/>
    <col min="777" max="1024" width="11.42578125" style="580"/>
    <col min="1025" max="1028" width="0" style="580" hidden="1" customWidth="1"/>
    <col min="1029" max="1029" width="2.85546875" style="580" customWidth="1"/>
    <col min="1030" max="1030" width="24.85546875" style="580" customWidth="1"/>
    <col min="1031" max="1032" width="9.28515625" style="580" customWidth="1"/>
    <col min="1033" max="1280" width="11.42578125" style="580"/>
    <col min="1281" max="1284" width="0" style="580" hidden="1" customWidth="1"/>
    <col min="1285" max="1285" width="2.85546875" style="580" customWidth="1"/>
    <col min="1286" max="1286" width="24.85546875" style="580" customWidth="1"/>
    <col min="1287" max="1288" width="9.28515625" style="580" customWidth="1"/>
    <col min="1289" max="1536" width="11.42578125" style="580"/>
    <col min="1537" max="1540" width="0" style="580" hidden="1" customWidth="1"/>
    <col min="1541" max="1541" width="2.85546875" style="580" customWidth="1"/>
    <col min="1542" max="1542" width="24.85546875" style="580" customWidth="1"/>
    <col min="1543" max="1544" width="9.28515625" style="580" customWidth="1"/>
    <col min="1545" max="1792" width="11.42578125" style="580"/>
    <col min="1793" max="1796" width="0" style="580" hidden="1" customWidth="1"/>
    <col min="1797" max="1797" width="2.85546875" style="580" customWidth="1"/>
    <col min="1798" max="1798" width="24.85546875" style="580" customWidth="1"/>
    <col min="1799" max="1800" width="9.28515625" style="580" customWidth="1"/>
    <col min="1801" max="2048" width="11.42578125" style="580"/>
    <col min="2049" max="2052" width="0" style="580" hidden="1" customWidth="1"/>
    <col min="2053" max="2053" width="2.85546875" style="580" customWidth="1"/>
    <col min="2054" max="2054" width="24.85546875" style="580" customWidth="1"/>
    <col min="2055" max="2056" width="9.28515625" style="580" customWidth="1"/>
    <col min="2057" max="2304" width="11.42578125" style="580"/>
    <col min="2305" max="2308" width="0" style="580" hidden="1" customWidth="1"/>
    <col min="2309" max="2309" width="2.85546875" style="580" customWidth="1"/>
    <col min="2310" max="2310" width="24.85546875" style="580" customWidth="1"/>
    <col min="2311" max="2312" width="9.28515625" style="580" customWidth="1"/>
    <col min="2313" max="2560" width="11.42578125" style="580"/>
    <col min="2561" max="2564" width="0" style="580" hidden="1" customWidth="1"/>
    <col min="2565" max="2565" width="2.85546875" style="580" customWidth="1"/>
    <col min="2566" max="2566" width="24.85546875" style="580" customWidth="1"/>
    <col min="2567" max="2568" width="9.28515625" style="580" customWidth="1"/>
    <col min="2569" max="2816" width="11.42578125" style="580"/>
    <col min="2817" max="2820" width="0" style="580" hidden="1" customWidth="1"/>
    <col min="2821" max="2821" width="2.85546875" style="580" customWidth="1"/>
    <col min="2822" max="2822" width="24.85546875" style="580" customWidth="1"/>
    <col min="2823" max="2824" width="9.28515625" style="580" customWidth="1"/>
    <col min="2825" max="3072" width="11.42578125" style="580"/>
    <col min="3073" max="3076" width="0" style="580" hidden="1" customWidth="1"/>
    <col min="3077" max="3077" width="2.85546875" style="580" customWidth="1"/>
    <col min="3078" max="3078" width="24.85546875" style="580" customWidth="1"/>
    <col min="3079" max="3080" width="9.28515625" style="580" customWidth="1"/>
    <col min="3081" max="3328" width="11.42578125" style="580"/>
    <col min="3329" max="3332" width="0" style="580" hidden="1" customWidth="1"/>
    <col min="3333" max="3333" width="2.85546875" style="580" customWidth="1"/>
    <col min="3334" max="3334" width="24.85546875" style="580" customWidth="1"/>
    <col min="3335" max="3336" width="9.28515625" style="580" customWidth="1"/>
    <col min="3337" max="3584" width="11.42578125" style="580"/>
    <col min="3585" max="3588" width="0" style="580" hidden="1" customWidth="1"/>
    <col min="3589" max="3589" width="2.85546875" style="580" customWidth="1"/>
    <col min="3590" max="3590" width="24.85546875" style="580" customWidth="1"/>
    <col min="3591" max="3592" width="9.28515625" style="580" customWidth="1"/>
    <col min="3593" max="3840" width="11.42578125" style="580"/>
    <col min="3841" max="3844" width="0" style="580" hidden="1" customWidth="1"/>
    <col min="3845" max="3845" width="2.85546875" style="580" customWidth="1"/>
    <col min="3846" max="3846" width="24.85546875" style="580" customWidth="1"/>
    <col min="3847" max="3848" width="9.28515625" style="580" customWidth="1"/>
    <col min="3849" max="4096" width="11.42578125" style="580"/>
    <col min="4097" max="4100" width="0" style="580" hidden="1" customWidth="1"/>
    <col min="4101" max="4101" width="2.85546875" style="580" customWidth="1"/>
    <col min="4102" max="4102" width="24.85546875" style="580" customWidth="1"/>
    <col min="4103" max="4104" width="9.28515625" style="580" customWidth="1"/>
    <col min="4105" max="4352" width="11.42578125" style="580"/>
    <col min="4353" max="4356" width="0" style="580" hidden="1" customWidth="1"/>
    <col min="4357" max="4357" width="2.85546875" style="580" customWidth="1"/>
    <col min="4358" max="4358" width="24.85546875" style="580" customWidth="1"/>
    <col min="4359" max="4360" width="9.28515625" style="580" customWidth="1"/>
    <col min="4361" max="4608" width="11.42578125" style="580"/>
    <col min="4609" max="4612" width="0" style="580" hidden="1" customWidth="1"/>
    <col min="4613" max="4613" width="2.85546875" style="580" customWidth="1"/>
    <col min="4614" max="4614" width="24.85546875" style="580" customWidth="1"/>
    <col min="4615" max="4616" width="9.28515625" style="580" customWidth="1"/>
    <col min="4617" max="4864" width="11.42578125" style="580"/>
    <col min="4865" max="4868" width="0" style="580" hidden="1" customWidth="1"/>
    <col min="4869" max="4869" width="2.85546875" style="580" customWidth="1"/>
    <col min="4870" max="4870" width="24.85546875" style="580" customWidth="1"/>
    <col min="4871" max="4872" width="9.28515625" style="580" customWidth="1"/>
    <col min="4873" max="5120" width="11.42578125" style="580"/>
    <col min="5121" max="5124" width="0" style="580" hidden="1" customWidth="1"/>
    <col min="5125" max="5125" width="2.85546875" style="580" customWidth="1"/>
    <col min="5126" max="5126" width="24.85546875" style="580" customWidth="1"/>
    <col min="5127" max="5128" width="9.28515625" style="580" customWidth="1"/>
    <col min="5129" max="5376" width="11.42578125" style="580"/>
    <col min="5377" max="5380" width="0" style="580" hidden="1" customWidth="1"/>
    <col min="5381" max="5381" width="2.85546875" style="580" customWidth="1"/>
    <col min="5382" max="5382" width="24.85546875" style="580" customWidth="1"/>
    <col min="5383" max="5384" width="9.28515625" style="580" customWidth="1"/>
    <col min="5385" max="5632" width="11.42578125" style="580"/>
    <col min="5633" max="5636" width="0" style="580" hidden="1" customWidth="1"/>
    <col min="5637" max="5637" width="2.85546875" style="580" customWidth="1"/>
    <col min="5638" max="5638" width="24.85546875" style="580" customWidth="1"/>
    <col min="5639" max="5640" width="9.28515625" style="580" customWidth="1"/>
    <col min="5641" max="5888" width="11.42578125" style="580"/>
    <col min="5889" max="5892" width="0" style="580" hidden="1" customWidth="1"/>
    <col min="5893" max="5893" width="2.85546875" style="580" customWidth="1"/>
    <col min="5894" max="5894" width="24.85546875" style="580" customWidth="1"/>
    <col min="5895" max="5896" width="9.28515625" style="580" customWidth="1"/>
    <col min="5897" max="6144" width="11.42578125" style="580"/>
    <col min="6145" max="6148" width="0" style="580" hidden="1" customWidth="1"/>
    <col min="6149" max="6149" width="2.85546875" style="580" customWidth="1"/>
    <col min="6150" max="6150" width="24.85546875" style="580" customWidth="1"/>
    <col min="6151" max="6152" width="9.28515625" style="580" customWidth="1"/>
    <col min="6153" max="6400" width="11.42578125" style="580"/>
    <col min="6401" max="6404" width="0" style="580" hidden="1" customWidth="1"/>
    <col min="6405" max="6405" width="2.85546875" style="580" customWidth="1"/>
    <col min="6406" max="6406" width="24.85546875" style="580" customWidth="1"/>
    <col min="6407" max="6408" width="9.28515625" style="580" customWidth="1"/>
    <col min="6409" max="6656" width="11.42578125" style="580"/>
    <col min="6657" max="6660" width="0" style="580" hidden="1" customWidth="1"/>
    <col min="6661" max="6661" width="2.85546875" style="580" customWidth="1"/>
    <col min="6662" max="6662" width="24.85546875" style="580" customWidth="1"/>
    <col min="6663" max="6664" width="9.28515625" style="580" customWidth="1"/>
    <col min="6665" max="6912" width="11.42578125" style="580"/>
    <col min="6913" max="6916" width="0" style="580" hidden="1" customWidth="1"/>
    <col min="6917" max="6917" width="2.85546875" style="580" customWidth="1"/>
    <col min="6918" max="6918" width="24.85546875" style="580" customWidth="1"/>
    <col min="6919" max="6920" width="9.28515625" style="580" customWidth="1"/>
    <col min="6921" max="7168" width="11.42578125" style="580"/>
    <col min="7169" max="7172" width="0" style="580" hidden="1" customWidth="1"/>
    <col min="7173" max="7173" width="2.85546875" style="580" customWidth="1"/>
    <col min="7174" max="7174" width="24.85546875" style="580" customWidth="1"/>
    <col min="7175" max="7176" width="9.28515625" style="580" customWidth="1"/>
    <col min="7177" max="7424" width="11.42578125" style="580"/>
    <col min="7425" max="7428" width="0" style="580" hidden="1" customWidth="1"/>
    <col min="7429" max="7429" width="2.85546875" style="580" customWidth="1"/>
    <col min="7430" max="7430" width="24.85546875" style="580" customWidth="1"/>
    <col min="7431" max="7432" width="9.28515625" style="580" customWidth="1"/>
    <col min="7433" max="7680" width="11.42578125" style="580"/>
    <col min="7681" max="7684" width="0" style="580" hidden="1" customWidth="1"/>
    <col min="7685" max="7685" width="2.85546875" style="580" customWidth="1"/>
    <col min="7686" max="7686" width="24.85546875" style="580" customWidth="1"/>
    <col min="7687" max="7688" width="9.28515625" style="580" customWidth="1"/>
    <col min="7689" max="7936" width="11.42578125" style="580"/>
    <col min="7937" max="7940" width="0" style="580" hidden="1" customWidth="1"/>
    <col min="7941" max="7941" width="2.85546875" style="580" customWidth="1"/>
    <col min="7942" max="7942" width="24.85546875" style="580" customWidth="1"/>
    <col min="7943" max="7944" width="9.28515625" style="580" customWidth="1"/>
    <col min="7945" max="8192" width="11.42578125" style="580"/>
    <col min="8193" max="8196" width="0" style="580" hidden="1" customWidth="1"/>
    <col min="8197" max="8197" width="2.85546875" style="580" customWidth="1"/>
    <col min="8198" max="8198" width="24.85546875" style="580" customWidth="1"/>
    <col min="8199" max="8200" width="9.28515625" style="580" customWidth="1"/>
    <col min="8201" max="8448" width="11.42578125" style="580"/>
    <col min="8449" max="8452" width="0" style="580" hidden="1" customWidth="1"/>
    <col min="8453" max="8453" width="2.85546875" style="580" customWidth="1"/>
    <col min="8454" max="8454" width="24.85546875" style="580" customWidth="1"/>
    <col min="8455" max="8456" width="9.28515625" style="580" customWidth="1"/>
    <col min="8457" max="8704" width="11.42578125" style="580"/>
    <col min="8705" max="8708" width="0" style="580" hidden="1" customWidth="1"/>
    <col min="8709" max="8709" width="2.85546875" style="580" customWidth="1"/>
    <col min="8710" max="8710" width="24.85546875" style="580" customWidth="1"/>
    <col min="8711" max="8712" width="9.28515625" style="580" customWidth="1"/>
    <col min="8713" max="8960" width="11.42578125" style="580"/>
    <col min="8961" max="8964" width="0" style="580" hidden="1" customWidth="1"/>
    <col min="8965" max="8965" width="2.85546875" style="580" customWidth="1"/>
    <col min="8966" max="8966" width="24.85546875" style="580" customWidth="1"/>
    <col min="8967" max="8968" width="9.28515625" style="580" customWidth="1"/>
    <col min="8969" max="9216" width="11.42578125" style="580"/>
    <col min="9217" max="9220" width="0" style="580" hidden="1" customWidth="1"/>
    <col min="9221" max="9221" width="2.85546875" style="580" customWidth="1"/>
    <col min="9222" max="9222" width="24.85546875" style="580" customWidth="1"/>
    <col min="9223" max="9224" width="9.28515625" style="580" customWidth="1"/>
    <col min="9225" max="9472" width="11.42578125" style="580"/>
    <col min="9473" max="9476" width="0" style="580" hidden="1" customWidth="1"/>
    <col min="9477" max="9477" width="2.85546875" style="580" customWidth="1"/>
    <col min="9478" max="9478" width="24.85546875" style="580" customWidth="1"/>
    <col min="9479" max="9480" width="9.28515625" style="580" customWidth="1"/>
    <col min="9481" max="9728" width="11.42578125" style="580"/>
    <col min="9729" max="9732" width="0" style="580" hidden="1" customWidth="1"/>
    <col min="9733" max="9733" width="2.85546875" style="580" customWidth="1"/>
    <col min="9734" max="9734" width="24.85546875" style="580" customWidth="1"/>
    <col min="9735" max="9736" width="9.28515625" style="580" customWidth="1"/>
    <col min="9737" max="9984" width="11.42578125" style="580"/>
    <col min="9985" max="9988" width="0" style="580" hidden="1" customWidth="1"/>
    <col min="9989" max="9989" width="2.85546875" style="580" customWidth="1"/>
    <col min="9990" max="9990" width="24.85546875" style="580" customWidth="1"/>
    <col min="9991" max="9992" width="9.28515625" style="580" customWidth="1"/>
    <col min="9993" max="10240" width="11.42578125" style="580"/>
    <col min="10241" max="10244" width="0" style="580" hidden="1" customWidth="1"/>
    <col min="10245" max="10245" width="2.85546875" style="580" customWidth="1"/>
    <col min="10246" max="10246" width="24.85546875" style="580" customWidth="1"/>
    <col min="10247" max="10248" width="9.28515625" style="580" customWidth="1"/>
    <col min="10249" max="10496" width="11.42578125" style="580"/>
    <col min="10497" max="10500" width="0" style="580" hidden="1" customWidth="1"/>
    <col min="10501" max="10501" width="2.85546875" style="580" customWidth="1"/>
    <col min="10502" max="10502" width="24.85546875" style="580" customWidth="1"/>
    <col min="10503" max="10504" width="9.28515625" style="580" customWidth="1"/>
    <col min="10505" max="10752" width="11.42578125" style="580"/>
    <col min="10753" max="10756" width="0" style="580" hidden="1" customWidth="1"/>
    <col min="10757" max="10757" width="2.85546875" style="580" customWidth="1"/>
    <col min="10758" max="10758" width="24.85546875" style="580" customWidth="1"/>
    <col min="10759" max="10760" width="9.28515625" style="580" customWidth="1"/>
    <col min="10761" max="11008" width="11.42578125" style="580"/>
    <col min="11009" max="11012" width="0" style="580" hidden="1" customWidth="1"/>
    <col min="11013" max="11013" width="2.85546875" style="580" customWidth="1"/>
    <col min="11014" max="11014" width="24.85546875" style="580" customWidth="1"/>
    <col min="11015" max="11016" width="9.28515625" style="580" customWidth="1"/>
    <col min="11017" max="11264" width="11.42578125" style="580"/>
    <col min="11265" max="11268" width="0" style="580" hidden="1" customWidth="1"/>
    <col min="11269" max="11269" width="2.85546875" style="580" customWidth="1"/>
    <col min="11270" max="11270" width="24.85546875" style="580" customWidth="1"/>
    <col min="11271" max="11272" width="9.28515625" style="580" customWidth="1"/>
    <col min="11273" max="11520" width="11.42578125" style="580"/>
    <col min="11521" max="11524" width="0" style="580" hidden="1" customWidth="1"/>
    <col min="11525" max="11525" width="2.85546875" style="580" customWidth="1"/>
    <col min="11526" max="11526" width="24.85546875" style="580" customWidth="1"/>
    <col min="11527" max="11528" width="9.28515625" style="580" customWidth="1"/>
    <col min="11529" max="11776" width="11.42578125" style="580"/>
    <col min="11777" max="11780" width="0" style="580" hidden="1" customWidth="1"/>
    <col min="11781" max="11781" width="2.85546875" style="580" customWidth="1"/>
    <col min="11782" max="11782" width="24.85546875" style="580" customWidth="1"/>
    <col min="11783" max="11784" width="9.28515625" style="580" customWidth="1"/>
    <col min="11785" max="12032" width="11.42578125" style="580"/>
    <col min="12033" max="12036" width="0" style="580" hidden="1" customWidth="1"/>
    <col min="12037" max="12037" width="2.85546875" style="580" customWidth="1"/>
    <col min="12038" max="12038" width="24.85546875" style="580" customWidth="1"/>
    <col min="12039" max="12040" width="9.28515625" style="580" customWidth="1"/>
    <col min="12041" max="12288" width="11.42578125" style="580"/>
    <col min="12289" max="12292" width="0" style="580" hidden="1" customWidth="1"/>
    <col min="12293" max="12293" width="2.85546875" style="580" customWidth="1"/>
    <col min="12294" max="12294" width="24.85546875" style="580" customWidth="1"/>
    <col min="12295" max="12296" width="9.28515625" style="580" customWidth="1"/>
    <col min="12297" max="12544" width="11.42578125" style="580"/>
    <col min="12545" max="12548" width="0" style="580" hidden="1" customWidth="1"/>
    <col min="12549" max="12549" width="2.85546875" style="580" customWidth="1"/>
    <col min="12550" max="12550" width="24.85546875" style="580" customWidth="1"/>
    <col min="12551" max="12552" width="9.28515625" style="580" customWidth="1"/>
    <col min="12553" max="12800" width="11.42578125" style="580"/>
    <col min="12801" max="12804" width="0" style="580" hidden="1" customWidth="1"/>
    <col min="12805" max="12805" width="2.85546875" style="580" customWidth="1"/>
    <col min="12806" max="12806" width="24.85546875" style="580" customWidth="1"/>
    <col min="12807" max="12808" width="9.28515625" style="580" customWidth="1"/>
    <col min="12809" max="13056" width="11.42578125" style="580"/>
    <col min="13057" max="13060" width="0" style="580" hidden="1" customWidth="1"/>
    <col min="13061" max="13061" width="2.85546875" style="580" customWidth="1"/>
    <col min="13062" max="13062" width="24.85546875" style="580" customWidth="1"/>
    <col min="13063" max="13064" width="9.28515625" style="580" customWidth="1"/>
    <col min="13065" max="13312" width="11.42578125" style="580"/>
    <col min="13313" max="13316" width="0" style="580" hidden="1" customWidth="1"/>
    <col min="13317" max="13317" width="2.85546875" style="580" customWidth="1"/>
    <col min="13318" max="13318" width="24.85546875" style="580" customWidth="1"/>
    <col min="13319" max="13320" width="9.28515625" style="580" customWidth="1"/>
    <col min="13321" max="13568" width="11.42578125" style="580"/>
    <col min="13569" max="13572" width="0" style="580" hidden="1" customWidth="1"/>
    <col min="13573" max="13573" width="2.85546875" style="580" customWidth="1"/>
    <col min="13574" max="13574" width="24.85546875" style="580" customWidth="1"/>
    <col min="13575" max="13576" width="9.28515625" style="580" customWidth="1"/>
    <col min="13577" max="13824" width="11.42578125" style="580"/>
    <col min="13825" max="13828" width="0" style="580" hidden="1" customWidth="1"/>
    <col min="13829" max="13829" width="2.85546875" style="580" customWidth="1"/>
    <col min="13830" max="13830" width="24.85546875" style="580" customWidth="1"/>
    <col min="13831" max="13832" width="9.28515625" style="580" customWidth="1"/>
    <col min="13833" max="14080" width="11.42578125" style="580"/>
    <col min="14081" max="14084" width="0" style="580" hidden="1" customWidth="1"/>
    <col min="14085" max="14085" width="2.85546875" style="580" customWidth="1"/>
    <col min="14086" max="14086" width="24.85546875" style="580" customWidth="1"/>
    <col min="14087" max="14088" width="9.28515625" style="580" customWidth="1"/>
    <col min="14089" max="14336" width="11.42578125" style="580"/>
    <col min="14337" max="14340" width="0" style="580" hidden="1" customWidth="1"/>
    <col min="14341" max="14341" width="2.85546875" style="580" customWidth="1"/>
    <col min="14342" max="14342" width="24.85546875" style="580" customWidth="1"/>
    <col min="14343" max="14344" width="9.28515625" style="580" customWidth="1"/>
    <col min="14345" max="14592" width="11.42578125" style="580"/>
    <col min="14593" max="14596" width="0" style="580" hidden="1" customWidth="1"/>
    <col min="14597" max="14597" width="2.85546875" style="580" customWidth="1"/>
    <col min="14598" max="14598" width="24.85546875" style="580" customWidth="1"/>
    <col min="14599" max="14600" width="9.28515625" style="580" customWidth="1"/>
    <col min="14601" max="14848" width="11.42578125" style="580"/>
    <col min="14849" max="14852" width="0" style="580" hidden="1" customWidth="1"/>
    <col min="14853" max="14853" width="2.85546875" style="580" customWidth="1"/>
    <col min="14854" max="14854" width="24.85546875" style="580" customWidth="1"/>
    <col min="14855" max="14856" width="9.28515625" style="580" customWidth="1"/>
    <col min="14857" max="15104" width="11.42578125" style="580"/>
    <col min="15105" max="15108" width="0" style="580" hidden="1" customWidth="1"/>
    <col min="15109" max="15109" width="2.85546875" style="580" customWidth="1"/>
    <col min="15110" max="15110" width="24.85546875" style="580" customWidth="1"/>
    <col min="15111" max="15112" width="9.28515625" style="580" customWidth="1"/>
    <col min="15113" max="15360" width="11.42578125" style="580"/>
    <col min="15361" max="15364" width="0" style="580" hidden="1" customWidth="1"/>
    <col min="15365" max="15365" width="2.85546875" style="580" customWidth="1"/>
    <col min="15366" max="15366" width="24.85546875" style="580" customWidth="1"/>
    <col min="15367" max="15368" width="9.28515625" style="580" customWidth="1"/>
    <col min="15369" max="15616" width="11.42578125" style="580"/>
    <col min="15617" max="15620" width="0" style="580" hidden="1" customWidth="1"/>
    <col min="15621" max="15621" width="2.85546875" style="580" customWidth="1"/>
    <col min="15622" max="15622" width="24.85546875" style="580" customWidth="1"/>
    <col min="15623" max="15624" width="9.28515625" style="580" customWidth="1"/>
    <col min="15625" max="15872" width="11.42578125" style="580"/>
    <col min="15873" max="15876" width="0" style="580" hidden="1" customWidth="1"/>
    <col min="15877" max="15877" width="2.85546875" style="580" customWidth="1"/>
    <col min="15878" max="15878" width="24.85546875" style="580" customWidth="1"/>
    <col min="15879" max="15880" width="9.28515625" style="580" customWidth="1"/>
    <col min="15881" max="16128" width="11.42578125" style="580"/>
    <col min="16129" max="16132" width="0" style="580" hidden="1" customWidth="1"/>
    <col min="16133" max="16133" width="2.85546875" style="580" customWidth="1"/>
    <col min="16134" max="16134" width="24.85546875" style="580" customWidth="1"/>
    <col min="16135" max="16136" width="9.28515625" style="580" customWidth="1"/>
    <col min="16137" max="16384" width="11.42578125" style="580"/>
  </cols>
  <sheetData>
    <row r="1" spans="1:9" ht="16.5" customHeight="1" x14ac:dyDescent="0.35">
      <c r="A1" s="577" t="s">
        <v>743</v>
      </c>
      <c r="B1" s="578"/>
      <c r="C1" s="578"/>
      <c r="D1" s="579"/>
      <c r="F1" s="577" t="s">
        <v>743</v>
      </c>
      <c r="G1" s="578"/>
      <c r="H1" s="578"/>
      <c r="I1" s="579"/>
    </row>
    <row r="2" spans="1:9" ht="16.5" customHeight="1" x14ac:dyDescent="0.35">
      <c r="A2" s="577"/>
      <c r="B2" s="580"/>
      <c r="C2" s="580"/>
      <c r="D2" s="580"/>
      <c r="F2" s="577"/>
      <c r="G2" s="580"/>
      <c r="H2" s="580"/>
      <c r="I2" s="580"/>
    </row>
    <row r="3" spans="1:9" ht="32.25" customHeight="1" x14ac:dyDescent="0.35">
      <c r="A3" s="827" t="s">
        <v>745</v>
      </c>
      <c r="B3" s="828" t="s">
        <v>746</v>
      </c>
      <c r="C3" s="581"/>
      <c r="D3" s="582"/>
      <c r="F3" s="827" t="s">
        <v>745</v>
      </c>
      <c r="G3" s="828" t="s">
        <v>746</v>
      </c>
      <c r="H3" s="581"/>
      <c r="I3" s="582"/>
    </row>
    <row r="4" spans="1:9" ht="21" customHeight="1" x14ac:dyDescent="0.35">
      <c r="A4" s="827"/>
      <c r="B4" s="829"/>
      <c r="C4" s="583"/>
      <c r="D4" s="584" t="s">
        <v>781</v>
      </c>
      <c r="F4" s="827"/>
      <c r="G4" s="829"/>
      <c r="H4" s="583"/>
      <c r="I4" s="584" t="s">
        <v>781</v>
      </c>
    </row>
    <row r="5" spans="1:9" ht="21" hidden="1" customHeight="1" outlineLevel="1" x14ac:dyDescent="0.35">
      <c r="A5" s="585"/>
      <c r="B5" s="586"/>
      <c r="C5" s="586"/>
      <c r="D5" s="584"/>
      <c r="F5" s="585"/>
      <c r="G5" s="587"/>
      <c r="H5" s="586"/>
      <c r="I5" s="584"/>
    </row>
    <row r="6" spans="1:9" collapsed="1" x14ac:dyDescent="0.3">
      <c r="A6" s="588" t="s">
        <v>748</v>
      </c>
      <c r="B6" s="589"/>
      <c r="C6" s="589"/>
      <c r="D6" s="590">
        <v>29.39</v>
      </c>
      <c r="F6" s="588" t="s">
        <v>748</v>
      </c>
      <c r="G6" s="591">
        <f>759/CoeficientePase!$C$44</f>
        <v>2.8094462540716609</v>
      </c>
      <c r="H6" s="589"/>
      <c r="I6" s="590">
        <f>+G6</f>
        <v>2.8094462540716609</v>
      </c>
    </row>
    <row r="7" spans="1:9" x14ac:dyDescent="0.3">
      <c r="A7" s="592" t="s">
        <v>749</v>
      </c>
      <c r="B7" s="593"/>
      <c r="C7" s="593"/>
      <c r="D7" s="594"/>
      <c r="F7" s="592" t="s">
        <v>749</v>
      </c>
      <c r="G7" s="593"/>
      <c r="H7" s="593"/>
      <c r="I7" s="594"/>
    </row>
    <row r="8" spans="1:9" x14ac:dyDescent="0.3">
      <c r="A8" s="595" t="s">
        <v>750</v>
      </c>
      <c r="B8" s="596">
        <f>96*2</f>
        <v>192</v>
      </c>
      <c r="C8" s="596"/>
      <c r="D8" s="594">
        <f>+D6*B8</f>
        <v>5642.88</v>
      </c>
      <c r="F8" s="595" t="s">
        <v>750</v>
      </c>
      <c r="G8" s="596">
        <f>+(8*5+1*4)*4</f>
        <v>176</v>
      </c>
      <c r="H8" s="596"/>
      <c r="I8" s="594">
        <f>+I6*G8</f>
        <v>494.46254071661235</v>
      </c>
    </row>
    <row r="9" spans="1:9" x14ac:dyDescent="0.3">
      <c r="A9" s="595" t="s">
        <v>751</v>
      </c>
      <c r="B9" s="596"/>
      <c r="C9" s="596"/>
      <c r="D9" s="594">
        <f>+B9*$D$6*1.5</f>
        <v>0</v>
      </c>
      <c r="E9" s="600"/>
      <c r="F9" s="595" t="s">
        <v>751</v>
      </c>
      <c r="G9" s="596"/>
      <c r="H9" s="596"/>
      <c r="I9" s="594">
        <f>+G9*$I$6*1.5</f>
        <v>0</v>
      </c>
    </row>
    <row r="10" spans="1:9" x14ac:dyDescent="0.3">
      <c r="A10" s="595" t="s">
        <v>752</v>
      </c>
      <c r="B10" s="596"/>
      <c r="C10" s="596"/>
      <c r="D10" s="594">
        <f>+B10*$D$6*2</f>
        <v>0</v>
      </c>
      <c r="F10" s="595" t="s">
        <v>752</v>
      </c>
      <c r="G10" s="596"/>
      <c r="H10" s="596"/>
      <c r="I10" s="594">
        <f>+G10*$D$6*2</f>
        <v>0</v>
      </c>
    </row>
    <row r="11" spans="1:9" x14ac:dyDescent="0.3">
      <c r="A11" s="595" t="s">
        <v>753</v>
      </c>
      <c r="B11" s="596">
        <v>1.82</v>
      </c>
      <c r="C11" s="596"/>
      <c r="D11" s="594"/>
      <c r="F11" s="595" t="s">
        <v>753</v>
      </c>
      <c r="G11" s="596">
        <v>1.82</v>
      </c>
      <c r="H11" s="596"/>
      <c r="I11" s="594"/>
    </row>
    <row r="12" spans="1:9" x14ac:dyDescent="0.3">
      <c r="A12" s="595" t="s">
        <v>754</v>
      </c>
      <c r="B12" s="596"/>
      <c r="C12" s="596"/>
      <c r="D12" s="594">
        <f>+B12*$D$6</f>
        <v>0</v>
      </c>
      <c r="F12" s="595" t="s">
        <v>754</v>
      </c>
      <c r="G12" s="596"/>
      <c r="H12" s="596"/>
      <c r="I12" s="594">
        <f>+G12*$D$6</f>
        <v>0</v>
      </c>
    </row>
    <row r="13" spans="1:9" x14ac:dyDescent="0.3">
      <c r="A13" s="595" t="s">
        <v>755</v>
      </c>
      <c r="B13" s="601">
        <f>+D6*0.125</f>
        <v>3.6737500000000001</v>
      </c>
      <c r="C13" s="601"/>
      <c r="D13" s="602">
        <f>2.28/18.23</f>
        <v>0.12506856829402083</v>
      </c>
      <c r="F13" s="595" t="s">
        <v>755</v>
      </c>
      <c r="G13" s="601">
        <f>+I6*0.125</f>
        <v>0.35118078175895762</v>
      </c>
      <c r="H13" s="601"/>
      <c r="I13" s="602">
        <f>2.28/18.23</f>
        <v>0.12506856829402083</v>
      </c>
    </row>
    <row r="14" spans="1:9" x14ac:dyDescent="0.3">
      <c r="A14" s="595" t="s">
        <v>756</v>
      </c>
      <c r="B14" s="596">
        <v>5.5</v>
      </c>
      <c r="C14" s="596">
        <f>13+12</f>
        <v>25</v>
      </c>
      <c r="D14" s="594">
        <f>+B14*C14</f>
        <v>137.5</v>
      </c>
      <c r="F14" s="595" t="s">
        <v>756</v>
      </c>
      <c r="G14" s="596">
        <v>5.5</v>
      </c>
      <c r="H14" s="596">
        <f>13+12</f>
        <v>25</v>
      </c>
      <c r="I14" s="594">
        <f>+G14*H14</f>
        <v>137.5</v>
      </c>
    </row>
    <row r="15" spans="1:9" x14ac:dyDescent="0.3">
      <c r="A15" s="595" t="s">
        <v>757</v>
      </c>
      <c r="B15" s="596">
        <v>75</v>
      </c>
      <c r="C15" s="596">
        <v>2</v>
      </c>
      <c r="D15" s="594">
        <v>150</v>
      </c>
      <c r="F15" s="595" t="s">
        <v>757</v>
      </c>
      <c r="G15" s="596">
        <v>75</v>
      </c>
      <c r="H15" s="596">
        <v>2</v>
      </c>
      <c r="I15" s="594">
        <v>150</v>
      </c>
    </row>
    <row r="16" spans="1:9" hidden="1" outlineLevel="1" x14ac:dyDescent="0.3">
      <c r="A16" s="595" t="s">
        <v>758</v>
      </c>
      <c r="B16" s="596"/>
      <c r="C16" s="596"/>
      <c r="D16" s="594"/>
      <c r="F16" s="595" t="s">
        <v>758</v>
      </c>
      <c r="G16" s="596"/>
      <c r="H16" s="596"/>
      <c r="I16" s="594"/>
    </row>
    <row r="17" spans="1:9" hidden="1" outlineLevel="1" x14ac:dyDescent="0.3">
      <c r="A17" s="595"/>
      <c r="B17" s="596"/>
      <c r="C17" s="596"/>
      <c r="D17" s="594"/>
      <c r="F17" s="595"/>
      <c r="G17" s="596"/>
      <c r="H17" s="596"/>
      <c r="I17" s="594"/>
    </row>
    <row r="18" spans="1:9" collapsed="1" x14ac:dyDescent="0.3">
      <c r="A18" s="595" t="s">
        <v>759</v>
      </c>
      <c r="B18" s="593">
        <v>0.2</v>
      </c>
      <c r="C18" s="603">
        <f>SUM(D8:D17)</f>
        <v>5930.5050685682945</v>
      </c>
      <c r="D18" s="594">
        <f>+B18*C18</f>
        <v>1186.1010137136589</v>
      </c>
      <c r="F18" s="595" t="s">
        <v>759</v>
      </c>
      <c r="G18" s="593">
        <v>0.2</v>
      </c>
      <c r="H18" s="603">
        <f>SUM(I8:I17)</f>
        <v>782.08760928490642</v>
      </c>
      <c r="I18" s="594">
        <f>+G18*H18</f>
        <v>156.4175218569813</v>
      </c>
    </row>
    <row r="19" spans="1:9" hidden="1" outlineLevel="1" x14ac:dyDescent="0.3">
      <c r="A19" s="595"/>
      <c r="B19" s="593"/>
      <c r="C19" s="593"/>
      <c r="D19" s="594"/>
      <c r="F19" s="595"/>
      <c r="G19" s="593"/>
      <c r="H19" s="593"/>
      <c r="I19" s="594"/>
    </row>
    <row r="20" spans="1:9" collapsed="1" x14ac:dyDescent="0.3">
      <c r="A20" s="595" t="s">
        <v>760</v>
      </c>
      <c r="B20" s="604">
        <v>1.1666666666666667</v>
      </c>
      <c r="C20" s="604" t="s">
        <v>360</v>
      </c>
      <c r="D20" s="594"/>
      <c r="F20" s="595" t="s">
        <v>760</v>
      </c>
      <c r="G20" s="604">
        <v>1.1666666666666667</v>
      </c>
      <c r="H20" s="604" t="s">
        <v>360</v>
      </c>
      <c r="I20" s="594"/>
    </row>
    <row r="21" spans="1:9" x14ac:dyDescent="0.3">
      <c r="A21" s="595" t="s">
        <v>760</v>
      </c>
      <c r="B21" s="603">
        <f>+B20*8</f>
        <v>9.3333333333333339</v>
      </c>
      <c r="C21" s="603" t="s">
        <v>388</v>
      </c>
      <c r="D21" s="594">
        <f>+B21*D6</f>
        <v>274.30666666666667</v>
      </c>
      <c r="F21" s="595" t="s">
        <v>760</v>
      </c>
      <c r="G21" s="603">
        <f>+G20*8</f>
        <v>9.3333333333333339</v>
      </c>
      <c r="H21" s="603" t="s">
        <v>388</v>
      </c>
      <c r="I21" s="594">
        <f>+G21*I6</f>
        <v>26.221498371335503</v>
      </c>
    </row>
    <row r="22" spans="1:9" x14ac:dyDescent="0.3">
      <c r="A22" s="595" t="s">
        <v>761</v>
      </c>
      <c r="D22" s="594">
        <f>SUM(D8:D21)/12</f>
        <v>615.90939574571837</v>
      </c>
      <c r="F22" s="595" t="s">
        <v>761</v>
      </c>
      <c r="I22" s="594">
        <f>SUM(I8:I21)/12</f>
        <v>80.3938857927686</v>
      </c>
    </row>
    <row r="23" spans="1:9" ht="16.5" x14ac:dyDescent="0.35">
      <c r="A23" s="606" t="s">
        <v>762</v>
      </c>
      <c r="B23" s="596"/>
      <c r="C23" s="596"/>
      <c r="D23" s="607">
        <f>SUM(D8:D22)</f>
        <v>8006.822144694338</v>
      </c>
      <c r="F23" s="606" t="s">
        <v>762</v>
      </c>
      <c r="G23" s="596"/>
      <c r="H23" s="596"/>
      <c r="I23" s="607">
        <f>SUM(I8:I22)</f>
        <v>1045.1205153059918</v>
      </c>
    </row>
    <row r="24" spans="1:9" hidden="1" outlineLevel="1" x14ac:dyDescent="0.3">
      <c r="A24" s="595" t="s">
        <v>763</v>
      </c>
      <c r="B24" s="608">
        <v>0.19500000000000001</v>
      </c>
      <c r="C24" s="593"/>
      <c r="D24" s="594">
        <f>+D23*B24</f>
        <v>1561.3303182153959</v>
      </c>
      <c r="F24" s="595" t="s">
        <v>763</v>
      </c>
      <c r="G24" s="608"/>
      <c r="H24" s="593"/>
      <c r="I24" s="594">
        <f>+I23*G24</f>
        <v>0</v>
      </c>
    </row>
    <row r="25" spans="1:9" hidden="1" outlineLevel="1" x14ac:dyDescent="0.3">
      <c r="A25" s="595" t="s">
        <v>764</v>
      </c>
      <c r="B25" s="593"/>
      <c r="C25" s="593"/>
      <c r="D25" s="594">
        <v>84.68</v>
      </c>
      <c r="F25" s="595" t="s">
        <v>764</v>
      </c>
      <c r="G25" s="593"/>
      <c r="H25" s="593"/>
      <c r="I25" s="594"/>
    </row>
    <row r="26" spans="1:9" hidden="1" outlineLevel="1" x14ac:dyDescent="0.3">
      <c r="A26" s="595" t="s">
        <v>765</v>
      </c>
      <c r="B26" s="593">
        <f>+D26/D23</f>
        <v>0.20557598114079662</v>
      </c>
      <c r="C26" s="593"/>
      <c r="D26" s="594">
        <f>SUM(D24:D25)</f>
        <v>1646.010318215396</v>
      </c>
      <c r="F26" s="595" t="s">
        <v>765</v>
      </c>
      <c r="G26" s="593"/>
      <c r="H26" s="593"/>
      <c r="I26" s="594"/>
    </row>
    <row r="27" spans="1:9" hidden="1" outlineLevel="1" x14ac:dyDescent="0.3">
      <c r="A27" s="595"/>
      <c r="B27" s="593"/>
      <c r="C27" s="593"/>
      <c r="D27" s="594"/>
      <c r="F27" s="595"/>
      <c r="G27" s="593"/>
      <c r="H27" s="593"/>
      <c r="I27" s="594"/>
    </row>
    <row r="28" spans="1:9" ht="16.5" hidden="1" outlineLevel="1" x14ac:dyDescent="0.35">
      <c r="A28" s="609" t="s">
        <v>766</v>
      </c>
      <c r="B28" s="598"/>
      <c r="C28" s="598"/>
      <c r="D28" s="610">
        <f>+D23-D26</f>
        <v>6360.8118264789418</v>
      </c>
      <c r="F28" s="609" t="s">
        <v>766</v>
      </c>
      <c r="G28" s="598"/>
      <c r="H28" s="598"/>
      <c r="I28" s="610">
        <f>+I23-I26</f>
        <v>1045.1205153059918</v>
      </c>
    </row>
    <row r="29" spans="1:9" ht="16.5" collapsed="1" x14ac:dyDescent="0.35">
      <c r="A29" s="609"/>
      <c r="B29" s="598"/>
      <c r="C29" s="598"/>
      <c r="D29" s="610"/>
      <c r="F29" s="609"/>
      <c r="G29" s="598"/>
      <c r="H29" s="598"/>
      <c r="I29" s="610"/>
    </row>
    <row r="30" spans="1:9" s="614" customFormat="1" ht="16.5" hidden="1" outlineLevel="1" x14ac:dyDescent="0.35">
      <c r="A30" s="611"/>
      <c r="B30" s="612"/>
      <c r="C30" s="612"/>
      <c r="D30" s="613"/>
      <c r="E30" s="580"/>
      <c r="F30" s="611"/>
      <c r="G30" s="612"/>
      <c r="H30" s="612"/>
      <c r="I30" s="613"/>
    </row>
    <row r="31" spans="1:9" s="614" customFormat="1" ht="16.5" hidden="1" outlineLevel="1" x14ac:dyDescent="0.35">
      <c r="A31" s="611" t="s">
        <v>767</v>
      </c>
      <c r="B31" s="612"/>
      <c r="C31" s="612"/>
      <c r="D31" s="613">
        <f>+(D28-D29)/D6*1.2*0.8</f>
        <v>207.7706482960117</v>
      </c>
      <c r="E31" s="580"/>
      <c r="F31" s="611" t="s">
        <v>767</v>
      </c>
      <c r="G31" s="612"/>
      <c r="H31" s="612"/>
      <c r="I31" s="613">
        <f>+(I28-I29)/I6*1.2*0.8</f>
        <v>357.12222408229792</v>
      </c>
    </row>
    <row r="32" spans="1:9" s="614" customFormat="1" ht="16.5" hidden="1" outlineLevel="1" x14ac:dyDescent="0.35">
      <c r="A32" s="611" t="s">
        <v>768</v>
      </c>
      <c r="B32" s="612"/>
      <c r="C32" s="612"/>
      <c r="D32" s="613">
        <f>+D31/8</f>
        <v>25.971331037001463</v>
      </c>
      <c r="E32" s="580"/>
      <c r="F32" s="611" t="s">
        <v>768</v>
      </c>
      <c r="G32" s="612"/>
      <c r="H32" s="612"/>
      <c r="I32" s="613">
        <f>+I31/8</f>
        <v>44.64027801028724</v>
      </c>
    </row>
    <row r="33" spans="1:10" hidden="1" outlineLevel="1" x14ac:dyDescent="0.3">
      <c r="A33" s="595"/>
      <c r="B33" s="593"/>
      <c r="C33" s="593"/>
      <c r="D33" s="594"/>
      <c r="F33" s="595"/>
      <c r="G33" s="593"/>
      <c r="H33" s="593"/>
      <c r="I33" s="594"/>
    </row>
    <row r="34" spans="1:10" hidden="1" outlineLevel="1" x14ac:dyDescent="0.3">
      <c r="A34" s="595"/>
      <c r="B34" s="593"/>
      <c r="C34" s="593"/>
      <c r="D34" s="594"/>
      <c r="F34" s="595"/>
      <c r="G34" s="593"/>
      <c r="H34" s="593"/>
      <c r="I34" s="594"/>
    </row>
    <row r="35" spans="1:10" hidden="1" outlineLevel="1" x14ac:dyDescent="0.3">
      <c r="A35" s="595"/>
      <c r="B35" s="593"/>
      <c r="C35" s="593"/>
      <c r="D35" s="594"/>
      <c r="F35" s="595"/>
      <c r="G35" s="593"/>
      <c r="H35" s="593"/>
      <c r="I35" s="594"/>
    </row>
    <row r="36" spans="1:10" hidden="1" outlineLevel="1" x14ac:dyDescent="0.3">
      <c r="A36" s="595"/>
      <c r="B36" s="593"/>
      <c r="C36" s="593"/>
      <c r="D36" s="594"/>
      <c r="F36" s="595"/>
      <c r="G36" s="593"/>
      <c r="H36" s="593"/>
      <c r="I36" s="594"/>
    </row>
    <row r="37" spans="1:10" collapsed="1" x14ac:dyDescent="0.3">
      <c r="A37" s="595" t="s">
        <v>769</v>
      </c>
      <c r="B37" s="593">
        <v>0.155</v>
      </c>
      <c r="C37" s="593"/>
      <c r="D37" s="594">
        <f>+D23*B37</f>
        <v>1241.0574324276224</v>
      </c>
      <c r="F37" s="595" t="s">
        <v>769</v>
      </c>
      <c r="G37" s="593">
        <v>0.155</v>
      </c>
      <c r="H37" s="593"/>
      <c r="I37" s="594">
        <f>+I23*G37</f>
        <v>161.99367987242874</v>
      </c>
    </row>
    <row r="38" spans="1:10" x14ac:dyDescent="0.3">
      <c r="A38" s="595" t="s">
        <v>770</v>
      </c>
      <c r="B38" s="593">
        <v>0.02</v>
      </c>
      <c r="C38" s="593"/>
      <c r="D38" s="594">
        <f>+B38*D23</f>
        <v>160.13644289388677</v>
      </c>
      <c r="F38" s="595" t="s">
        <v>770</v>
      </c>
      <c r="G38" s="593">
        <v>0.02</v>
      </c>
      <c r="H38" s="593"/>
      <c r="I38" s="594">
        <f>+G38*I23</f>
        <v>20.902410306119837</v>
      </c>
    </row>
    <row r="39" spans="1:10" x14ac:dyDescent="0.3">
      <c r="A39" s="595" t="s">
        <v>771</v>
      </c>
      <c r="B39" s="593">
        <v>0.06</v>
      </c>
      <c r="C39" s="593"/>
      <c r="D39" s="594">
        <f>+D23*B39</f>
        <v>480.40932868166027</v>
      </c>
      <c r="F39" s="595" t="s">
        <v>771</v>
      </c>
      <c r="G39" s="593">
        <v>0.06</v>
      </c>
      <c r="H39" s="593"/>
      <c r="I39" s="594">
        <f>+I23*G39</f>
        <v>62.707230918359507</v>
      </c>
    </row>
    <row r="40" spans="1:10" x14ac:dyDescent="0.3">
      <c r="A40" s="595" t="s">
        <v>772</v>
      </c>
      <c r="B40" s="593">
        <v>1.4999999999999999E-2</v>
      </c>
      <c r="C40" s="593"/>
      <c r="D40" s="594">
        <f>+D23*B40</f>
        <v>120.10233217041507</v>
      </c>
      <c r="F40" s="595" t="s">
        <v>772</v>
      </c>
      <c r="G40" s="593">
        <v>1.4999999999999999E-2</v>
      </c>
      <c r="H40" s="593"/>
      <c r="I40" s="594">
        <f>+I23*G40</f>
        <v>15.676807729589877</v>
      </c>
    </row>
    <row r="41" spans="1:10" x14ac:dyDescent="0.3">
      <c r="A41" s="595" t="s">
        <v>773</v>
      </c>
      <c r="B41" s="596">
        <f>11.4/19</f>
        <v>0.6</v>
      </c>
      <c r="C41" s="596"/>
      <c r="D41" s="594">
        <f>+B41</f>
        <v>0.6</v>
      </c>
      <c r="F41" s="595" t="s">
        <v>773</v>
      </c>
      <c r="G41" s="596">
        <f>11.4/19</f>
        <v>0.6</v>
      </c>
      <c r="H41" s="596"/>
      <c r="I41" s="594">
        <f>+G41</f>
        <v>0.6</v>
      </c>
    </row>
    <row r="42" spans="1:10" x14ac:dyDescent="0.3">
      <c r="A42" s="595" t="s">
        <v>773</v>
      </c>
      <c r="B42" s="615">
        <v>0.13769999999999999</v>
      </c>
      <c r="C42" s="615"/>
      <c r="D42" s="594">
        <f>+D23*B42</f>
        <v>1102.5394093244104</v>
      </c>
      <c r="F42" s="595" t="s">
        <v>773</v>
      </c>
      <c r="G42" s="615">
        <v>0.13769999999999999</v>
      </c>
      <c r="H42" s="615"/>
      <c r="I42" s="594">
        <f>+I23*G42</f>
        <v>143.91309495763505</v>
      </c>
    </row>
    <row r="43" spans="1:10" x14ac:dyDescent="0.3">
      <c r="A43" s="595" t="s">
        <v>774</v>
      </c>
      <c r="B43" s="615">
        <v>0.08</v>
      </c>
      <c r="C43" s="615"/>
      <c r="D43" s="594">
        <f>+B43*D23</f>
        <v>640.54577157554706</v>
      </c>
      <c r="F43" s="595" t="s">
        <v>774</v>
      </c>
      <c r="G43" s="615">
        <v>0.08</v>
      </c>
      <c r="H43" s="615"/>
      <c r="I43" s="594">
        <f>+G43*I23</f>
        <v>83.609641224479347</v>
      </c>
    </row>
    <row r="44" spans="1:10" x14ac:dyDescent="0.3">
      <c r="A44" s="595" t="s">
        <v>775</v>
      </c>
      <c r="B44" s="615">
        <v>0.04</v>
      </c>
      <c r="C44" s="615"/>
      <c r="D44" s="594">
        <f>+D43*B44</f>
        <v>25.621830863021884</v>
      </c>
      <c r="F44" s="595" t="s">
        <v>775</v>
      </c>
      <c r="G44" s="615">
        <v>0.04</v>
      </c>
      <c r="H44" s="615"/>
      <c r="I44" s="594">
        <f>+I43*G44</f>
        <v>3.3443856489791739</v>
      </c>
    </row>
    <row r="45" spans="1:10" ht="16.5" x14ac:dyDescent="0.35">
      <c r="A45" s="595" t="s">
        <v>776</v>
      </c>
      <c r="B45" s="601"/>
      <c r="C45" s="601"/>
      <c r="D45" s="607">
        <f>SUM(D37:D44)</f>
        <v>3771.0125479365638</v>
      </c>
      <c r="F45" s="595" t="s">
        <v>776</v>
      </c>
      <c r="G45" s="601"/>
      <c r="H45" s="601"/>
      <c r="I45" s="607">
        <f>SUM(I37:I44)</f>
        <v>492.74725065759156</v>
      </c>
    </row>
    <row r="46" spans="1:10" ht="25.5" customHeight="1" x14ac:dyDescent="0.35">
      <c r="A46" s="616" t="s">
        <v>777</v>
      </c>
      <c r="B46" s="589"/>
      <c r="C46" s="589"/>
      <c r="D46" s="617">
        <f>+D23+D45</f>
        <v>11777.834692630902</v>
      </c>
      <c r="F46" s="616" t="s">
        <v>777</v>
      </c>
      <c r="G46" s="589"/>
      <c r="H46" s="589"/>
      <c r="I46" s="617">
        <f>+I23+I45</f>
        <v>1537.8677659635835</v>
      </c>
      <c r="J46" s="580">
        <f>+I46/I23</f>
        <v>1.4714740964713762</v>
      </c>
    </row>
    <row r="47" spans="1:10" ht="16.5" x14ac:dyDescent="0.35">
      <c r="A47" s="618"/>
      <c r="B47" s="619"/>
      <c r="C47" s="619"/>
      <c r="D47" s="620"/>
      <c r="F47" s="618"/>
      <c r="G47" s="619"/>
      <c r="H47" s="619"/>
      <c r="I47" s="620">
        <v>383732.72</v>
      </c>
    </row>
    <row r="48" spans="1:10" x14ac:dyDescent="0.3">
      <c r="I48" s="622">
        <v>285</v>
      </c>
    </row>
    <row r="49" spans="9:9" x14ac:dyDescent="0.3">
      <c r="I49" s="622">
        <f>+I47/I48</f>
        <v>1346.430596491228</v>
      </c>
    </row>
  </sheetData>
  <mergeCells count="4">
    <mergeCell ref="A3:A4"/>
    <mergeCell ref="B3:B4"/>
    <mergeCell ref="F3:F4"/>
    <mergeCell ref="G3:G4"/>
  </mergeCells>
  <printOptions horizontalCentered="1"/>
  <pageMargins left="0.14000000000000001" right="0.43" top="1" bottom="1" header="0" footer="0"/>
  <pageSetup paperSize="9" scale="65" orientation="landscape" horizontalDpi="300" verticalDpi="300" r:id="rId1"/>
  <headerFooter alignWithMargins="0">
    <oddFooter>&amp;L&amp;F  -- &amp;A&amp;C&amp;P&amp;R&amp;D</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20">
    <tabColor rgb="FFFFFF00"/>
  </sheetPr>
  <dimension ref="B4:X67"/>
  <sheetViews>
    <sheetView showGridLines="0" zoomScale="70" zoomScaleNormal="70" workbookViewId="0">
      <selection activeCell="O51" sqref="O51"/>
    </sheetView>
  </sheetViews>
  <sheetFormatPr baseColWidth="10" defaultColWidth="9.140625" defaultRowHeight="12.75" x14ac:dyDescent="0.2"/>
  <cols>
    <col min="1" max="1" width="9.140625" style="38"/>
    <col min="2" max="2" width="53.140625" style="38" bestFit="1" customWidth="1"/>
    <col min="3" max="3" width="9" style="38" customWidth="1"/>
    <col min="4" max="6" width="9.140625" style="38"/>
    <col min="7" max="7" width="9.140625" style="529"/>
    <col min="8" max="8" width="9.140625" style="38"/>
    <col min="9" max="9" width="22.140625" style="38" customWidth="1"/>
    <col min="10" max="11" width="9.140625" style="38"/>
    <col min="12" max="12" width="10.140625" style="38" customWidth="1"/>
    <col min="13" max="13" width="13.85546875" style="38" customWidth="1"/>
    <col min="14" max="257" width="9.140625" style="38"/>
    <col min="258" max="258" width="53.140625" style="38" bestFit="1" customWidth="1"/>
    <col min="259" max="264" width="9.140625" style="38"/>
    <col min="265" max="265" width="22.140625" style="38" customWidth="1"/>
    <col min="266" max="267" width="9.140625" style="38"/>
    <col min="268" max="268" width="10.140625" style="38" customWidth="1"/>
    <col min="269" max="269" width="13.85546875" style="38" customWidth="1"/>
    <col min="270" max="513" width="9.140625" style="38"/>
    <col min="514" max="514" width="53.140625" style="38" bestFit="1" customWidth="1"/>
    <col min="515" max="520" width="9.140625" style="38"/>
    <col min="521" max="521" width="22.140625" style="38" customWidth="1"/>
    <col min="522" max="523" width="9.140625" style="38"/>
    <col min="524" max="524" width="10.140625" style="38" customWidth="1"/>
    <col min="525" max="525" width="13.85546875" style="38" customWidth="1"/>
    <col min="526" max="769" width="9.140625" style="38"/>
    <col min="770" max="770" width="53.140625" style="38" bestFit="1" customWidth="1"/>
    <col min="771" max="776" width="9.140625" style="38"/>
    <col min="777" max="777" width="22.140625" style="38" customWidth="1"/>
    <col min="778" max="779" width="9.140625" style="38"/>
    <col min="780" max="780" width="10.140625" style="38" customWidth="1"/>
    <col min="781" max="781" width="13.85546875" style="38" customWidth="1"/>
    <col min="782" max="1025" width="9.140625" style="38"/>
    <col min="1026" max="1026" width="53.140625" style="38" bestFit="1" customWidth="1"/>
    <col min="1027" max="1032" width="9.140625" style="38"/>
    <col min="1033" max="1033" width="22.140625" style="38" customWidth="1"/>
    <col min="1034" max="1035" width="9.140625" style="38"/>
    <col min="1036" max="1036" width="10.140625" style="38" customWidth="1"/>
    <col min="1037" max="1037" width="13.85546875" style="38" customWidth="1"/>
    <col min="1038" max="1281" width="9.140625" style="38"/>
    <col min="1282" max="1282" width="53.140625" style="38" bestFit="1" customWidth="1"/>
    <col min="1283" max="1288" width="9.140625" style="38"/>
    <col min="1289" max="1289" width="22.140625" style="38" customWidth="1"/>
    <col min="1290" max="1291" width="9.140625" style="38"/>
    <col min="1292" max="1292" width="10.140625" style="38" customWidth="1"/>
    <col min="1293" max="1293" width="13.85546875" style="38" customWidth="1"/>
    <col min="1294" max="1537" width="9.140625" style="38"/>
    <col min="1538" max="1538" width="53.140625" style="38" bestFit="1" customWidth="1"/>
    <col min="1539" max="1544" width="9.140625" style="38"/>
    <col min="1545" max="1545" width="22.140625" style="38" customWidth="1"/>
    <col min="1546" max="1547" width="9.140625" style="38"/>
    <col min="1548" max="1548" width="10.140625" style="38" customWidth="1"/>
    <col min="1549" max="1549" width="13.85546875" style="38" customWidth="1"/>
    <col min="1550" max="1793" width="9.140625" style="38"/>
    <col min="1794" max="1794" width="53.140625" style="38" bestFit="1" customWidth="1"/>
    <col min="1795" max="1800" width="9.140625" style="38"/>
    <col min="1801" max="1801" width="22.140625" style="38" customWidth="1"/>
    <col min="1802" max="1803" width="9.140625" style="38"/>
    <col min="1804" max="1804" width="10.140625" style="38" customWidth="1"/>
    <col min="1805" max="1805" width="13.85546875" style="38" customWidth="1"/>
    <col min="1806" max="2049" width="9.140625" style="38"/>
    <col min="2050" max="2050" width="53.140625" style="38" bestFit="1" customWidth="1"/>
    <col min="2051" max="2056" width="9.140625" style="38"/>
    <col min="2057" max="2057" width="22.140625" style="38" customWidth="1"/>
    <col min="2058" max="2059" width="9.140625" style="38"/>
    <col min="2060" max="2060" width="10.140625" style="38" customWidth="1"/>
    <col min="2061" max="2061" width="13.85546875" style="38" customWidth="1"/>
    <col min="2062" max="2305" width="9.140625" style="38"/>
    <col min="2306" max="2306" width="53.140625" style="38" bestFit="1" customWidth="1"/>
    <col min="2307" max="2312" width="9.140625" style="38"/>
    <col min="2313" max="2313" width="22.140625" style="38" customWidth="1"/>
    <col min="2314" max="2315" width="9.140625" style="38"/>
    <col min="2316" max="2316" width="10.140625" style="38" customWidth="1"/>
    <col min="2317" max="2317" width="13.85546875" style="38" customWidth="1"/>
    <col min="2318" max="2561" width="9.140625" style="38"/>
    <col min="2562" max="2562" width="53.140625" style="38" bestFit="1" customWidth="1"/>
    <col min="2563" max="2568" width="9.140625" style="38"/>
    <col min="2569" max="2569" width="22.140625" style="38" customWidth="1"/>
    <col min="2570" max="2571" width="9.140625" style="38"/>
    <col min="2572" max="2572" width="10.140625" style="38" customWidth="1"/>
    <col min="2573" max="2573" width="13.85546875" style="38" customWidth="1"/>
    <col min="2574" max="2817" width="9.140625" style="38"/>
    <col min="2818" max="2818" width="53.140625" style="38" bestFit="1" customWidth="1"/>
    <col min="2819" max="2824" width="9.140625" style="38"/>
    <col min="2825" max="2825" width="22.140625" style="38" customWidth="1"/>
    <col min="2826" max="2827" width="9.140625" style="38"/>
    <col min="2828" max="2828" width="10.140625" style="38" customWidth="1"/>
    <col min="2829" max="2829" width="13.85546875" style="38" customWidth="1"/>
    <col min="2830" max="3073" width="9.140625" style="38"/>
    <col min="3074" max="3074" width="53.140625" style="38" bestFit="1" customWidth="1"/>
    <col min="3075" max="3080" width="9.140625" style="38"/>
    <col min="3081" max="3081" width="22.140625" style="38" customWidth="1"/>
    <col min="3082" max="3083" width="9.140625" style="38"/>
    <col min="3084" max="3084" width="10.140625" style="38" customWidth="1"/>
    <col min="3085" max="3085" width="13.85546875" style="38" customWidth="1"/>
    <col min="3086" max="3329" width="9.140625" style="38"/>
    <col min="3330" max="3330" width="53.140625" style="38" bestFit="1" customWidth="1"/>
    <col min="3331" max="3336" width="9.140625" style="38"/>
    <col min="3337" max="3337" width="22.140625" style="38" customWidth="1"/>
    <col min="3338" max="3339" width="9.140625" style="38"/>
    <col min="3340" max="3340" width="10.140625" style="38" customWidth="1"/>
    <col min="3341" max="3341" width="13.85546875" style="38" customWidth="1"/>
    <col min="3342" max="3585" width="9.140625" style="38"/>
    <col min="3586" max="3586" width="53.140625" style="38" bestFit="1" customWidth="1"/>
    <col min="3587" max="3592" width="9.140625" style="38"/>
    <col min="3593" max="3593" width="22.140625" style="38" customWidth="1"/>
    <col min="3594" max="3595" width="9.140625" style="38"/>
    <col min="3596" max="3596" width="10.140625" style="38" customWidth="1"/>
    <col min="3597" max="3597" width="13.85546875" style="38" customWidth="1"/>
    <col min="3598" max="3841" width="9.140625" style="38"/>
    <col min="3842" max="3842" width="53.140625" style="38" bestFit="1" customWidth="1"/>
    <col min="3843" max="3848" width="9.140625" style="38"/>
    <col min="3849" max="3849" width="22.140625" style="38" customWidth="1"/>
    <col min="3850" max="3851" width="9.140625" style="38"/>
    <col min="3852" max="3852" width="10.140625" style="38" customWidth="1"/>
    <col min="3853" max="3853" width="13.85546875" style="38" customWidth="1"/>
    <col min="3854" max="4097" width="9.140625" style="38"/>
    <col min="4098" max="4098" width="53.140625" style="38" bestFit="1" customWidth="1"/>
    <col min="4099" max="4104" width="9.140625" style="38"/>
    <col min="4105" max="4105" width="22.140625" style="38" customWidth="1"/>
    <col min="4106" max="4107" width="9.140625" style="38"/>
    <col min="4108" max="4108" width="10.140625" style="38" customWidth="1"/>
    <col min="4109" max="4109" width="13.85546875" style="38" customWidth="1"/>
    <col min="4110" max="4353" width="9.140625" style="38"/>
    <col min="4354" max="4354" width="53.140625" style="38" bestFit="1" customWidth="1"/>
    <col min="4355" max="4360" width="9.140625" style="38"/>
    <col min="4361" max="4361" width="22.140625" style="38" customWidth="1"/>
    <col min="4362" max="4363" width="9.140625" style="38"/>
    <col min="4364" max="4364" width="10.140625" style="38" customWidth="1"/>
    <col min="4365" max="4365" width="13.85546875" style="38" customWidth="1"/>
    <col min="4366" max="4609" width="9.140625" style="38"/>
    <col min="4610" max="4610" width="53.140625" style="38" bestFit="1" customWidth="1"/>
    <col min="4611" max="4616" width="9.140625" style="38"/>
    <col min="4617" max="4617" width="22.140625" style="38" customWidth="1"/>
    <col min="4618" max="4619" width="9.140625" style="38"/>
    <col min="4620" max="4620" width="10.140625" style="38" customWidth="1"/>
    <col min="4621" max="4621" width="13.85546875" style="38" customWidth="1"/>
    <col min="4622" max="4865" width="9.140625" style="38"/>
    <col min="4866" max="4866" width="53.140625" style="38" bestFit="1" customWidth="1"/>
    <col min="4867" max="4872" width="9.140625" style="38"/>
    <col min="4873" max="4873" width="22.140625" style="38" customWidth="1"/>
    <col min="4874" max="4875" width="9.140625" style="38"/>
    <col min="4876" max="4876" width="10.140625" style="38" customWidth="1"/>
    <col min="4877" max="4877" width="13.85546875" style="38" customWidth="1"/>
    <col min="4878" max="5121" width="9.140625" style="38"/>
    <col min="5122" max="5122" width="53.140625" style="38" bestFit="1" customWidth="1"/>
    <col min="5123" max="5128" width="9.140625" style="38"/>
    <col min="5129" max="5129" width="22.140625" style="38" customWidth="1"/>
    <col min="5130" max="5131" width="9.140625" style="38"/>
    <col min="5132" max="5132" width="10.140625" style="38" customWidth="1"/>
    <col min="5133" max="5133" width="13.85546875" style="38" customWidth="1"/>
    <col min="5134" max="5377" width="9.140625" style="38"/>
    <col min="5378" max="5378" width="53.140625" style="38" bestFit="1" customWidth="1"/>
    <col min="5379" max="5384" width="9.140625" style="38"/>
    <col min="5385" max="5385" width="22.140625" style="38" customWidth="1"/>
    <col min="5386" max="5387" width="9.140625" style="38"/>
    <col min="5388" max="5388" width="10.140625" style="38" customWidth="1"/>
    <col min="5389" max="5389" width="13.85546875" style="38" customWidth="1"/>
    <col min="5390" max="5633" width="9.140625" style="38"/>
    <col min="5634" max="5634" width="53.140625" style="38" bestFit="1" customWidth="1"/>
    <col min="5635" max="5640" width="9.140625" style="38"/>
    <col min="5641" max="5641" width="22.140625" style="38" customWidth="1"/>
    <col min="5642" max="5643" width="9.140625" style="38"/>
    <col min="5644" max="5644" width="10.140625" style="38" customWidth="1"/>
    <col min="5645" max="5645" width="13.85546875" style="38" customWidth="1"/>
    <col min="5646" max="5889" width="9.140625" style="38"/>
    <col min="5890" max="5890" width="53.140625" style="38" bestFit="1" customWidth="1"/>
    <col min="5891" max="5896" width="9.140625" style="38"/>
    <col min="5897" max="5897" width="22.140625" style="38" customWidth="1"/>
    <col min="5898" max="5899" width="9.140625" style="38"/>
    <col min="5900" max="5900" width="10.140625" style="38" customWidth="1"/>
    <col min="5901" max="5901" width="13.85546875" style="38" customWidth="1"/>
    <col min="5902" max="6145" width="9.140625" style="38"/>
    <col min="6146" max="6146" width="53.140625" style="38" bestFit="1" customWidth="1"/>
    <col min="6147" max="6152" width="9.140625" style="38"/>
    <col min="6153" max="6153" width="22.140625" style="38" customWidth="1"/>
    <col min="6154" max="6155" width="9.140625" style="38"/>
    <col min="6156" max="6156" width="10.140625" style="38" customWidth="1"/>
    <col min="6157" max="6157" width="13.85546875" style="38" customWidth="1"/>
    <col min="6158" max="6401" width="9.140625" style="38"/>
    <col min="6402" max="6402" width="53.140625" style="38" bestFit="1" customWidth="1"/>
    <col min="6403" max="6408" width="9.140625" style="38"/>
    <col min="6409" max="6409" width="22.140625" style="38" customWidth="1"/>
    <col min="6410" max="6411" width="9.140625" style="38"/>
    <col min="6412" max="6412" width="10.140625" style="38" customWidth="1"/>
    <col min="6413" max="6413" width="13.85546875" style="38" customWidth="1"/>
    <col min="6414" max="6657" width="9.140625" style="38"/>
    <col min="6658" max="6658" width="53.140625" style="38" bestFit="1" customWidth="1"/>
    <col min="6659" max="6664" width="9.140625" style="38"/>
    <col min="6665" max="6665" width="22.140625" style="38" customWidth="1"/>
    <col min="6666" max="6667" width="9.140625" style="38"/>
    <col min="6668" max="6668" width="10.140625" style="38" customWidth="1"/>
    <col min="6669" max="6669" width="13.85546875" style="38" customWidth="1"/>
    <col min="6670" max="6913" width="9.140625" style="38"/>
    <col min="6914" max="6914" width="53.140625" style="38" bestFit="1" customWidth="1"/>
    <col min="6915" max="6920" width="9.140625" style="38"/>
    <col min="6921" max="6921" width="22.140625" style="38" customWidth="1"/>
    <col min="6922" max="6923" width="9.140625" style="38"/>
    <col min="6924" max="6924" width="10.140625" style="38" customWidth="1"/>
    <col min="6925" max="6925" width="13.85546875" style="38" customWidth="1"/>
    <col min="6926" max="7169" width="9.140625" style="38"/>
    <col min="7170" max="7170" width="53.140625" style="38" bestFit="1" customWidth="1"/>
    <col min="7171" max="7176" width="9.140625" style="38"/>
    <col min="7177" max="7177" width="22.140625" style="38" customWidth="1"/>
    <col min="7178" max="7179" width="9.140625" style="38"/>
    <col min="7180" max="7180" width="10.140625" style="38" customWidth="1"/>
    <col min="7181" max="7181" width="13.85546875" style="38" customWidth="1"/>
    <col min="7182" max="7425" width="9.140625" style="38"/>
    <col min="7426" max="7426" width="53.140625" style="38" bestFit="1" customWidth="1"/>
    <col min="7427" max="7432" width="9.140625" style="38"/>
    <col min="7433" max="7433" width="22.140625" style="38" customWidth="1"/>
    <col min="7434" max="7435" width="9.140625" style="38"/>
    <col min="7436" max="7436" width="10.140625" style="38" customWidth="1"/>
    <col min="7437" max="7437" width="13.85546875" style="38" customWidth="1"/>
    <col min="7438" max="7681" width="9.140625" style="38"/>
    <col min="7682" max="7682" width="53.140625" style="38" bestFit="1" customWidth="1"/>
    <col min="7683" max="7688" width="9.140625" style="38"/>
    <col min="7689" max="7689" width="22.140625" style="38" customWidth="1"/>
    <col min="7690" max="7691" width="9.140625" style="38"/>
    <col min="7692" max="7692" width="10.140625" style="38" customWidth="1"/>
    <col min="7693" max="7693" width="13.85546875" style="38" customWidth="1"/>
    <col min="7694" max="7937" width="9.140625" style="38"/>
    <col min="7938" max="7938" width="53.140625" style="38" bestFit="1" customWidth="1"/>
    <col min="7939" max="7944" width="9.140625" style="38"/>
    <col min="7945" max="7945" width="22.140625" style="38" customWidth="1"/>
    <col min="7946" max="7947" width="9.140625" style="38"/>
    <col min="7948" max="7948" width="10.140625" style="38" customWidth="1"/>
    <col min="7949" max="7949" width="13.85546875" style="38" customWidth="1"/>
    <col min="7950" max="8193" width="9.140625" style="38"/>
    <col min="8194" max="8194" width="53.140625" style="38" bestFit="1" customWidth="1"/>
    <col min="8195" max="8200" width="9.140625" style="38"/>
    <col min="8201" max="8201" width="22.140625" style="38" customWidth="1"/>
    <col min="8202" max="8203" width="9.140625" style="38"/>
    <col min="8204" max="8204" width="10.140625" style="38" customWidth="1"/>
    <col min="8205" max="8205" width="13.85546875" style="38" customWidth="1"/>
    <col min="8206" max="8449" width="9.140625" style="38"/>
    <col min="8450" max="8450" width="53.140625" style="38" bestFit="1" customWidth="1"/>
    <col min="8451" max="8456" width="9.140625" style="38"/>
    <col min="8457" max="8457" width="22.140625" style="38" customWidth="1"/>
    <col min="8458" max="8459" width="9.140625" style="38"/>
    <col min="8460" max="8460" width="10.140625" style="38" customWidth="1"/>
    <col min="8461" max="8461" width="13.85546875" style="38" customWidth="1"/>
    <col min="8462" max="8705" width="9.140625" style="38"/>
    <col min="8706" max="8706" width="53.140625" style="38" bestFit="1" customWidth="1"/>
    <col min="8707" max="8712" width="9.140625" style="38"/>
    <col min="8713" max="8713" width="22.140625" style="38" customWidth="1"/>
    <col min="8714" max="8715" width="9.140625" style="38"/>
    <col min="8716" max="8716" width="10.140625" style="38" customWidth="1"/>
    <col min="8717" max="8717" width="13.85546875" style="38" customWidth="1"/>
    <col min="8718" max="8961" width="9.140625" style="38"/>
    <col min="8962" max="8962" width="53.140625" style="38" bestFit="1" customWidth="1"/>
    <col min="8963" max="8968" width="9.140625" style="38"/>
    <col min="8969" max="8969" width="22.140625" style="38" customWidth="1"/>
    <col min="8970" max="8971" width="9.140625" style="38"/>
    <col min="8972" max="8972" width="10.140625" style="38" customWidth="1"/>
    <col min="8973" max="8973" width="13.85546875" style="38" customWidth="1"/>
    <col min="8974" max="9217" width="9.140625" style="38"/>
    <col min="9218" max="9218" width="53.140625" style="38" bestFit="1" customWidth="1"/>
    <col min="9219" max="9224" width="9.140625" style="38"/>
    <col min="9225" max="9225" width="22.140625" style="38" customWidth="1"/>
    <col min="9226" max="9227" width="9.140625" style="38"/>
    <col min="9228" max="9228" width="10.140625" style="38" customWidth="1"/>
    <col min="9229" max="9229" width="13.85546875" style="38" customWidth="1"/>
    <col min="9230" max="9473" width="9.140625" style="38"/>
    <col min="9474" max="9474" width="53.140625" style="38" bestFit="1" customWidth="1"/>
    <col min="9475" max="9480" width="9.140625" style="38"/>
    <col min="9481" max="9481" width="22.140625" style="38" customWidth="1"/>
    <col min="9482" max="9483" width="9.140625" style="38"/>
    <col min="9484" max="9484" width="10.140625" style="38" customWidth="1"/>
    <col min="9485" max="9485" width="13.85546875" style="38" customWidth="1"/>
    <col min="9486" max="9729" width="9.140625" style="38"/>
    <col min="9730" max="9730" width="53.140625" style="38" bestFit="1" customWidth="1"/>
    <col min="9731" max="9736" width="9.140625" style="38"/>
    <col min="9737" max="9737" width="22.140625" style="38" customWidth="1"/>
    <col min="9738" max="9739" width="9.140625" style="38"/>
    <col min="9740" max="9740" width="10.140625" style="38" customWidth="1"/>
    <col min="9741" max="9741" width="13.85546875" style="38" customWidth="1"/>
    <col min="9742" max="9985" width="9.140625" style="38"/>
    <col min="9986" max="9986" width="53.140625" style="38" bestFit="1" customWidth="1"/>
    <col min="9987" max="9992" width="9.140625" style="38"/>
    <col min="9993" max="9993" width="22.140625" style="38" customWidth="1"/>
    <col min="9994" max="9995" width="9.140625" style="38"/>
    <col min="9996" max="9996" width="10.140625" style="38" customWidth="1"/>
    <col min="9997" max="9997" width="13.85546875" style="38" customWidth="1"/>
    <col min="9998" max="10241" width="9.140625" style="38"/>
    <col min="10242" max="10242" width="53.140625" style="38" bestFit="1" customWidth="1"/>
    <col min="10243" max="10248" width="9.140625" style="38"/>
    <col min="10249" max="10249" width="22.140625" style="38" customWidth="1"/>
    <col min="10250" max="10251" width="9.140625" style="38"/>
    <col min="10252" max="10252" width="10.140625" style="38" customWidth="1"/>
    <col min="10253" max="10253" width="13.85546875" style="38" customWidth="1"/>
    <col min="10254" max="10497" width="9.140625" style="38"/>
    <col min="10498" max="10498" width="53.140625" style="38" bestFit="1" customWidth="1"/>
    <col min="10499" max="10504" width="9.140625" style="38"/>
    <col min="10505" max="10505" width="22.140625" style="38" customWidth="1"/>
    <col min="10506" max="10507" width="9.140625" style="38"/>
    <col min="10508" max="10508" width="10.140625" style="38" customWidth="1"/>
    <col min="10509" max="10509" width="13.85546875" style="38" customWidth="1"/>
    <col min="10510" max="10753" width="9.140625" style="38"/>
    <col min="10754" max="10754" width="53.140625" style="38" bestFit="1" customWidth="1"/>
    <col min="10755" max="10760" width="9.140625" style="38"/>
    <col min="10761" max="10761" width="22.140625" style="38" customWidth="1"/>
    <col min="10762" max="10763" width="9.140625" style="38"/>
    <col min="10764" max="10764" width="10.140625" style="38" customWidth="1"/>
    <col min="10765" max="10765" width="13.85546875" style="38" customWidth="1"/>
    <col min="10766" max="11009" width="9.140625" style="38"/>
    <col min="11010" max="11010" width="53.140625" style="38" bestFit="1" customWidth="1"/>
    <col min="11011" max="11016" width="9.140625" style="38"/>
    <col min="11017" max="11017" width="22.140625" style="38" customWidth="1"/>
    <col min="11018" max="11019" width="9.140625" style="38"/>
    <col min="11020" max="11020" width="10.140625" style="38" customWidth="1"/>
    <col min="11021" max="11021" width="13.85546875" style="38" customWidth="1"/>
    <col min="11022" max="11265" width="9.140625" style="38"/>
    <col min="11266" max="11266" width="53.140625" style="38" bestFit="1" customWidth="1"/>
    <col min="11267" max="11272" width="9.140625" style="38"/>
    <col min="11273" max="11273" width="22.140625" style="38" customWidth="1"/>
    <col min="11274" max="11275" width="9.140625" style="38"/>
    <col min="11276" max="11276" width="10.140625" style="38" customWidth="1"/>
    <col min="11277" max="11277" width="13.85546875" style="38" customWidth="1"/>
    <col min="11278" max="11521" width="9.140625" style="38"/>
    <col min="11522" max="11522" width="53.140625" style="38" bestFit="1" customWidth="1"/>
    <col min="11523" max="11528" width="9.140625" style="38"/>
    <col min="11529" max="11529" width="22.140625" style="38" customWidth="1"/>
    <col min="11530" max="11531" width="9.140625" style="38"/>
    <col min="11532" max="11532" width="10.140625" style="38" customWidth="1"/>
    <col min="11533" max="11533" width="13.85546875" style="38" customWidth="1"/>
    <col min="11534" max="11777" width="9.140625" style="38"/>
    <col min="11778" max="11778" width="53.140625" style="38" bestFit="1" customWidth="1"/>
    <col min="11779" max="11784" width="9.140625" style="38"/>
    <col min="11785" max="11785" width="22.140625" style="38" customWidth="1"/>
    <col min="11786" max="11787" width="9.140625" style="38"/>
    <col min="11788" max="11788" width="10.140625" style="38" customWidth="1"/>
    <col min="11789" max="11789" width="13.85546875" style="38" customWidth="1"/>
    <col min="11790" max="12033" width="9.140625" style="38"/>
    <col min="12034" max="12034" width="53.140625" style="38" bestFit="1" customWidth="1"/>
    <col min="12035" max="12040" width="9.140625" style="38"/>
    <col min="12041" max="12041" width="22.140625" style="38" customWidth="1"/>
    <col min="12042" max="12043" width="9.140625" style="38"/>
    <col min="12044" max="12044" width="10.140625" style="38" customWidth="1"/>
    <col min="12045" max="12045" width="13.85546875" style="38" customWidth="1"/>
    <col min="12046" max="12289" width="9.140625" style="38"/>
    <col min="12290" max="12290" width="53.140625" style="38" bestFit="1" customWidth="1"/>
    <col min="12291" max="12296" width="9.140625" style="38"/>
    <col min="12297" max="12297" width="22.140625" style="38" customWidth="1"/>
    <col min="12298" max="12299" width="9.140625" style="38"/>
    <col min="12300" max="12300" width="10.140625" style="38" customWidth="1"/>
    <col min="12301" max="12301" width="13.85546875" style="38" customWidth="1"/>
    <col min="12302" max="12545" width="9.140625" style="38"/>
    <col min="12546" max="12546" width="53.140625" style="38" bestFit="1" customWidth="1"/>
    <col min="12547" max="12552" width="9.140625" style="38"/>
    <col min="12553" max="12553" width="22.140625" style="38" customWidth="1"/>
    <col min="12554" max="12555" width="9.140625" style="38"/>
    <col min="12556" max="12556" width="10.140625" style="38" customWidth="1"/>
    <col min="12557" max="12557" width="13.85546875" style="38" customWidth="1"/>
    <col min="12558" max="12801" width="9.140625" style="38"/>
    <col min="12802" max="12802" width="53.140625" style="38" bestFit="1" customWidth="1"/>
    <col min="12803" max="12808" width="9.140625" style="38"/>
    <col min="12809" max="12809" width="22.140625" style="38" customWidth="1"/>
    <col min="12810" max="12811" width="9.140625" style="38"/>
    <col min="12812" max="12812" width="10.140625" style="38" customWidth="1"/>
    <col min="12813" max="12813" width="13.85546875" style="38" customWidth="1"/>
    <col min="12814" max="13057" width="9.140625" style="38"/>
    <col min="13058" max="13058" width="53.140625" style="38" bestFit="1" customWidth="1"/>
    <col min="13059" max="13064" width="9.140625" style="38"/>
    <col min="13065" max="13065" width="22.140625" style="38" customWidth="1"/>
    <col min="13066" max="13067" width="9.140625" style="38"/>
    <col min="13068" max="13068" width="10.140625" style="38" customWidth="1"/>
    <col min="13069" max="13069" width="13.85546875" style="38" customWidth="1"/>
    <col min="13070" max="13313" width="9.140625" style="38"/>
    <col min="13314" max="13314" width="53.140625" style="38" bestFit="1" customWidth="1"/>
    <col min="13315" max="13320" width="9.140625" style="38"/>
    <col min="13321" max="13321" width="22.140625" style="38" customWidth="1"/>
    <col min="13322" max="13323" width="9.140625" style="38"/>
    <col min="13324" max="13324" width="10.140625" style="38" customWidth="1"/>
    <col min="13325" max="13325" width="13.85546875" style="38" customWidth="1"/>
    <col min="13326" max="13569" width="9.140625" style="38"/>
    <col min="13570" max="13570" width="53.140625" style="38" bestFit="1" customWidth="1"/>
    <col min="13571" max="13576" width="9.140625" style="38"/>
    <col min="13577" max="13577" width="22.140625" style="38" customWidth="1"/>
    <col min="13578" max="13579" width="9.140625" style="38"/>
    <col min="13580" max="13580" width="10.140625" style="38" customWidth="1"/>
    <col min="13581" max="13581" width="13.85546875" style="38" customWidth="1"/>
    <col min="13582" max="13825" width="9.140625" style="38"/>
    <col min="13826" max="13826" width="53.140625" style="38" bestFit="1" customWidth="1"/>
    <col min="13827" max="13832" width="9.140625" style="38"/>
    <col min="13833" max="13833" width="22.140625" style="38" customWidth="1"/>
    <col min="13834" max="13835" width="9.140625" style="38"/>
    <col min="13836" max="13836" width="10.140625" style="38" customWidth="1"/>
    <col min="13837" max="13837" width="13.85546875" style="38" customWidth="1"/>
    <col min="13838" max="14081" width="9.140625" style="38"/>
    <col min="14082" max="14082" width="53.140625" style="38" bestFit="1" customWidth="1"/>
    <col min="14083" max="14088" width="9.140625" style="38"/>
    <col min="14089" max="14089" width="22.140625" style="38" customWidth="1"/>
    <col min="14090" max="14091" width="9.140625" style="38"/>
    <col min="14092" max="14092" width="10.140625" style="38" customWidth="1"/>
    <col min="14093" max="14093" width="13.85546875" style="38" customWidth="1"/>
    <col min="14094" max="14337" width="9.140625" style="38"/>
    <col min="14338" max="14338" width="53.140625" style="38" bestFit="1" customWidth="1"/>
    <col min="14339" max="14344" width="9.140625" style="38"/>
    <col min="14345" max="14345" width="22.140625" style="38" customWidth="1"/>
    <col min="14346" max="14347" width="9.140625" style="38"/>
    <col min="14348" max="14348" width="10.140625" style="38" customWidth="1"/>
    <col min="14349" max="14349" width="13.85546875" style="38" customWidth="1"/>
    <col min="14350" max="14593" width="9.140625" style="38"/>
    <col min="14594" max="14594" width="53.140625" style="38" bestFit="1" customWidth="1"/>
    <col min="14595" max="14600" width="9.140625" style="38"/>
    <col min="14601" max="14601" width="22.140625" style="38" customWidth="1"/>
    <col min="14602" max="14603" width="9.140625" style="38"/>
    <col min="14604" max="14604" width="10.140625" style="38" customWidth="1"/>
    <col min="14605" max="14605" width="13.85546875" style="38" customWidth="1"/>
    <col min="14606" max="14849" width="9.140625" style="38"/>
    <col min="14850" max="14850" width="53.140625" style="38" bestFit="1" customWidth="1"/>
    <col min="14851" max="14856" width="9.140625" style="38"/>
    <col min="14857" max="14857" width="22.140625" style="38" customWidth="1"/>
    <col min="14858" max="14859" width="9.140625" style="38"/>
    <col min="14860" max="14860" width="10.140625" style="38" customWidth="1"/>
    <col min="14861" max="14861" width="13.85546875" style="38" customWidth="1"/>
    <col min="14862" max="15105" width="9.140625" style="38"/>
    <col min="15106" max="15106" width="53.140625" style="38" bestFit="1" customWidth="1"/>
    <col min="15107" max="15112" width="9.140625" style="38"/>
    <col min="15113" max="15113" width="22.140625" style="38" customWidth="1"/>
    <col min="15114" max="15115" width="9.140625" style="38"/>
    <col min="15116" max="15116" width="10.140625" style="38" customWidth="1"/>
    <col min="15117" max="15117" width="13.85546875" style="38" customWidth="1"/>
    <col min="15118" max="15361" width="9.140625" style="38"/>
    <col min="15362" max="15362" width="53.140625" style="38" bestFit="1" customWidth="1"/>
    <col min="15363" max="15368" width="9.140625" style="38"/>
    <col min="15369" max="15369" width="22.140625" style="38" customWidth="1"/>
    <col min="15370" max="15371" width="9.140625" style="38"/>
    <col min="15372" max="15372" width="10.140625" style="38" customWidth="1"/>
    <col min="15373" max="15373" width="13.85546875" style="38" customWidth="1"/>
    <col min="15374" max="15617" width="9.140625" style="38"/>
    <col min="15618" max="15618" width="53.140625" style="38" bestFit="1" customWidth="1"/>
    <col min="15619" max="15624" width="9.140625" style="38"/>
    <col min="15625" max="15625" width="22.140625" style="38" customWidth="1"/>
    <col min="15626" max="15627" width="9.140625" style="38"/>
    <col min="15628" max="15628" width="10.140625" style="38" customWidth="1"/>
    <col min="15629" max="15629" width="13.85546875" style="38" customWidth="1"/>
    <col min="15630" max="15873" width="9.140625" style="38"/>
    <col min="15874" max="15874" width="53.140625" style="38" bestFit="1" customWidth="1"/>
    <col min="15875" max="15880" width="9.140625" style="38"/>
    <col min="15881" max="15881" width="22.140625" style="38" customWidth="1"/>
    <col min="15882" max="15883" width="9.140625" style="38"/>
    <col min="15884" max="15884" width="10.140625" style="38" customWidth="1"/>
    <col min="15885" max="15885" width="13.85546875" style="38" customWidth="1"/>
    <col min="15886" max="16129" width="9.140625" style="38"/>
    <col min="16130" max="16130" width="53.140625" style="38" bestFit="1" customWidth="1"/>
    <col min="16131" max="16136" width="9.140625" style="38"/>
    <col min="16137" max="16137" width="22.140625" style="38" customWidth="1"/>
    <col min="16138" max="16139" width="9.140625" style="38"/>
    <col min="16140" max="16140" width="10.140625" style="38" customWidth="1"/>
    <col min="16141" max="16141" width="13.85546875" style="38" customWidth="1"/>
    <col min="16142" max="16384" width="9.140625" style="38"/>
  </cols>
  <sheetData>
    <row r="4" spans="2:24" ht="13.5" thickBot="1" x14ac:dyDescent="0.25"/>
    <row r="5" spans="2:24" ht="18.75" thickBot="1" x14ac:dyDescent="0.25">
      <c r="B5" s="830" t="s">
        <v>833</v>
      </c>
      <c r="C5" s="831"/>
      <c r="D5" s="831"/>
      <c r="E5" s="832"/>
      <c r="U5" s="830" t="s">
        <v>833</v>
      </c>
      <c r="V5" s="831"/>
      <c r="W5" s="831"/>
      <c r="X5" s="832"/>
    </row>
    <row r="6" spans="2:24" x14ac:dyDescent="0.2">
      <c r="B6" s="486" t="s">
        <v>689</v>
      </c>
      <c r="C6" s="487"/>
      <c r="D6" s="487"/>
      <c r="E6" s="488">
        <v>1</v>
      </c>
      <c r="G6" s="42" t="s">
        <v>722</v>
      </c>
      <c r="U6" s="486" t="s">
        <v>689</v>
      </c>
      <c r="V6" s="487"/>
      <c r="W6" s="487"/>
      <c r="X6" s="488">
        <v>1</v>
      </c>
    </row>
    <row r="7" spans="2:24" x14ac:dyDescent="0.2">
      <c r="B7" s="489"/>
      <c r="C7" s="490"/>
      <c r="D7" s="490"/>
      <c r="E7" s="491"/>
      <c r="G7" s="529">
        <v>1</v>
      </c>
      <c r="H7" s="38" t="s">
        <v>823</v>
      </c>
      <c r="U7" s="489"/>
      <c r="V7" s="490"/>
      <c r="W7" s="490"/>
      <c r="X7" s="491"/>
    </row>
    <row r="8" spans="2:24" x14ac:dyDescent="0.2">
      <c r="B8" s="489" t="s">
        <v>690</v>
      </c>
      <c r="C8" s="492">
        <v>0.1</v>
      </c>
      <c r="D8" s="492"/>
      <c r="E8" s="491">
        <f>+C8/1</f>
        <v>0.1</v>
      </c>
      <c r="H8" s="38" t="s">
        <v>824</v>
      </c>
      <c r="U8" s="489" t="s">
        <v>690</v>
      </c>
      <c r="V8" s="492">
        <v>0.1</v>
      </c>
      <c r="W8" s="492"/>
      <c r="X8" s="491">
        <f>+V8/1</f>
        <v>0.1</v>
      </c>
    </row>
    <row r="9" spans="2:24" x14ac:dyDescent="0.2">
      <c r="B9" s="489" t="s">
        <v>691</v>
      </c>
      <c r="C9" s="492">
        <v>0.05</v>
      </c>
      <c r="D9" s="492"/>
      <c r="E9" s="491">
        <f>+C9/1</f>
        <v>0.05</v>
      </c>
      <c r="H9" s="38" t="s">
        <v>825</v>
      </c>
      <c r="U9" s="489" t="s">
        <v>691</v>
      </c>
      <c r="V9" s="492">
        <v>0.05</v>
      </c>
      <c r="W9" s="492"/>
      <c r="X9" s="491">
        <f>+V9/1</f>
        <v>0.05</v>
      </c>
    </row>
    <row r="10" spans="2:24" x14ac:dyDescent="0.2">
      <c r="B10" s="489"/>
      <c r="C10" s="492"/>
      <c r="D10" s="492"/>
      <c r="E10" s="491"/>
      <c r="H10" s="735" t="s">
        <v>826</v>
      </c>
      <c r="I10" s="530" t="s">
        <v>723</v>
      </c>
      <c r="J10" s="531" t="s">
        <v>827</v>
      </c>
      <c r="K10" s="532"/>
      <c r="L10" s="529" t="s">
        <v>724</v>
      </c>
      <c r="N10" s="38" t="s">
        <v>828</v>
      </c>
      <c r="U10" s="489"/>
      <c r="V10" s="492"/>
      <c r="W10" s="492"/>
      <c r="X10" s="491"/>
    </row>
    <row r="11" spans="2:24" x14ac:dyDescent="0.2">
      <c r="B11" s="493" t="s">
        <v>692</v>
      </c>
      <c r="C11" s="492"/>
      <c r="D11" s="492"/>
      <c r="E11" s="491">
        <f>SUM(E6:E10)</f>
        <v>1.1500000000000001</v>
      </c>
      <c r="H11" s="736">
        <v>9.3600000000000003E-2</v>
      </c>
      <c r="I11" s="533">
        <v>75</v>
      </c>
      <c r="J11" s="737">
        <f>+H11*I11/30</f>
        <v>0.23400000000000001</v>
      </c>
      <c r="U11" s="493" t="s">
        <v>692</v>
      </c>
      <c r="V11" s="492"/>
      <c r="W11" s="492"/>
      <c r="X11" s="491">
        <f>SUM(X6:X10)</f>
        <v>1.1500000000000001</v>
      </c>
    </row>
    <row r="12" spans="2:24" x14ac:dyDescent="0.2">
      <c r="B12" s="489"/>
      <c r="C12" s="492"/>
      <c r="D12" s="492"/>
      <c r="E12" s="491"/>
      <c r="U12" s="489"/>
      <c r="V12" s="492"/>
      <c r="W12" s="492"/>
      <c r="X12" s="491"/>
    </row>
    <row r="13" spans="2:24" x14ac:dyDescent="0.2">
      <c r="B13" s="489" t="s">
        <v>693</v>
      </c>
      <c r="C13" s="492">
        <v>0.23</v>
      </c>
      <c r="D13" s="492"/>
      <c r="E13" s="491">
        <f>+C13/1</f>
        <v>0.23</v>
      </c>
      <c r="G13" s="529">
        <v>2</v>
      </c>
      <c r="H13" s="38" t="s">
        <v>829</v>
      </c>
      <c r="U13" s="489" t="s">
        <v>693</v>
      </c>
      <c r="V13" s="492">
        <v>0.23</v>
      </c>
      <c r="W13" s="492"/>
      <c r="X13" s="491">
        <f>+V13/1</f>
        <v>0.23</v>
      </c>
    </row>
    <row r="14" spans="2:24" ht="15" x14ac:dyDescent="0.25">
      <c r="B14" s="489"/>
      <c r="C14" s="492"/>
      <c r="D14" s="492"/>
      <c r="E14" s="491"/>
      <c r="H14" t="s">
        <v>830</v>
      </c>
      <c r="U14" s="489"/>
      <c r="V14" s="492"/>
      <c r="W14" s="492"/>
      <c r="X14" s="491"/>
    </row>
    <row r="15" spans="2:24" x14ac:dyDescent="0.2">
      <c r="B15" s="489"/>
      <c r="C15" s="492"/>
      <c r="D15" s="492"/>
      <c r="E15" s="491"/>
      <c r="K15" s="532"/>
      <c r="U15" s="489"/>
      <c r="V15" s="492"/>
      <c r="W15" s="492"/>
      <c r="X15" s="491"/>
    </row>
    <row r="16" spans="2:24" x14ac:dyDescent="0.2">
      <c r="B16" s="493" t="s">
        <v>694</v>
      </c>
      <c r="C16" s="492"/>
      <c r="D16" s="492"/>
      <c r="E16" s="491">
        <f>+E11*(1+E13)</f>
        <v>1.4145000000000001</v>
      </c>
      <c r="G16" s="529">
        <v>3</v>
      </c>
      <c r="H16" s="38" t="s">
        <v>725</v>
      </c>
      <c r="U16" s="493" t="s">
        <v>694</v>
      </c>
      <c r="V16" s="492"/>
      <c r="W16" s="492"/>
      <c r="X16" s="491">
        <f>+X11*(1+X13)</f>
        <v>1.4145000000000001</v>
      </c>
    </row>
    <row r="17" spans="2:24" x14ac:dyDescent="0.2">
      <c r="B17" s="489"/>
      <c r="C17" s="490"/>
      <c r="D17" s="490"/>
      <c r="E17" s="491"/>
      <c r="U17" s="489"/>
      <c r="V17" s="490"/>
      <c r="W17" s="490"/>
      <c r="X17" s="491"/>
    </row>
    <row r="18" spans="2:24" x14ac:dyDescent="0.2">
      <c r="B18" s="489" t="s">
        <v>695</v>
      </c>
      <c r="C18" s="492">
        <v>0.1</v>
      </c>
      <c r="D18" s="492"/>
      <c r="E18" s="491">
        <f>E6*C18</f>
        <v>0.1</v>
      </c>
      <c r="U18" s="489" t="s">
        <v>695</v>
      </c>
      <c r="V18" s="492">
        <v>0.1</v>
      </c>
      <c r="W18" s="492"/>
      <c r="X18" s="491">
        <f>X6*V18</f>
        <v>0.1</v>
      </c>
    </row>
    <row r="19" spans="2:24" x14ac:dyDescent="0.2">
      <c r="B19" s="489"/>
      <c r="C19" s="492"/>
      <c r="D19" s="492"/>
      <c r="E19" s="491"/>
      <c r="U19" s="489"/>
      <c r="V19" s="492"/>
      <c r="W19" s="492"/>
      <c r="X19" s="491"/>
    </row>
    <row r="20" spans="2:24" x14ac:dyDescent="0.2">
      <c r="B20" s="493" t="s">
        <v>696</v>
      </c>
      <c r="C20" s="492"/>
      <c r="D20" s="492"/>
      <c r="E20" s="491">
        <f>+E16*(1+E18)</f>
        <v>1.5559500000000002</v>
      </c>
      <c r="U20" s="493" t="s">
        <v>696</v>
      </c>
      <c r="V20" s="492"/>
      <c r="W20" s="492"/>
      <c r="X20" s="491">
        <f>+X16*(1+X18)</f>
        <v>1.5559500000000002</v>
      </c>
    </row>
    <row r="21" spans="2:24" x14ac:dyDescent="0.2">
      <c r="B21" s="489"/>
      <c r="C21" s="492"/>
      <c r="D21" s="492"/>
      <c r="E21" s="491"/>
      <c r="U21" s="489"/>
      <c r="V21" s="492"/>
      <c r="W21" s="492"/>
      <c r="X21" s="491"/>
    </row>
    <row r="22" spans="2:24" x14ac:dyDescent="0.2">
      <c r="B22" s="489" t="s">
        <v>697</v>
      </c>
      <c r="C22" s="490"/>
      <c r="D22" s="490"/>
      <c r="E22" s="491"/>
      <c r="H22" s="534"/>
      <c r="U22" s="489" t="s">
        <v>697</v>
      </c>
      <c r="V22" s="490"/>
      <c r="W22" s="490"/>
      <c r="X22" s="491"/>
    </row>
    <row r="23" spans="2:24" x14ac:dyDescent="0.2">
      <c r="B23" s="489" t="s">
        <v>698</v>
      </c>
      <c r="C23" s="492">
        <v>0.21</v>
      </c>
      <c r="D23" s="492"/>
      <c r="E23" s="491">
        <f>+C23/1</f>
        <v>0.21</v>
      </c>
      <c r="U23" s="489" t="s">
        <v>698</v>
      </c>
      <c r="V23" s="492">
        <v>0.105</v>
      </c>
      <c r="W23" s="492"/>
      <c r="X23" s="491">
        <f>+V23/1</f>
        <v>0.105</v>
      </c>
    </row>
    <row r="24" spans="2:24" x14ac:dyDescent="0.2">
      <c r="B24" s="489"/>
      <c r="C24" s="490"/>
      <c r="D24" s="490"/>
      <c r="E24" s="491"/>
      <c r="U24" s="489"/>
      <c r="V24" s="490"/>
      <c r="W24" s="490"/>
      <c r="X24" s="491"/>
    </row>
    <row r="25" spans="2:24" x14ac:dyDescent="0.2">
      <c r="B25" s="493" t="s">
        <v>699</v>
      </c>
      <c r="C25" s="490"/>
      <c r="D25" s="490"/>
      <c r="E25" s="491">
        <f>+E20*(1+E23)</f>
        <v>1.8826995000000002</v>
      </c>
      <c r="U25" s="493" t="s">
        <v>699</v>
      </c>
      <c r="V25" s="490"/>
      <c r="W25" s="490"/>
      <c r="X25" s="491">
        <f>+X20*(1+X23)</f>
        <v>1.7193247500000002</v>
      </c>
    </row>
    <row r="26" spans="2:24" x14ac:dyDescent="0.2">
      <c r="B26" s="489"/>
      <c r="C26" s="490"/>
      <c r="D26" s="490"/>
      <c r="E26" s="491"/>
      <c r="U26" s="489"/>
      <c r="V26" s="490"/>
      <c r="W26" s="490"/>
      <c r="X26" s="491"/>
    </row>
    <row r="27" spans="2:24" x14ac:dyDescent="0.2">
      <c r="B27" s="493" t="s">
        <v>700</v>
      </c>
      <c r="C27" s="494"/>
      <c r="D27" s="494"/>
      <c r="E27" s="491"/>
      <c r="U27" s="493" t="s">
        <v>700</v>
      </c>
      <c r="V27" s="494"/>
      <c r="W27" s="494"/>
      <c r="X27" s="491"/>
    </row>
    <row r="28" spans="2:24" x14ac:dyDescent="0.2">
      <c r="B28" s="489" t="s">
        <v>831</v>
      </c>
      <c r="C28" s="494">
        <v>1.2E-2</v>
      </c>
      <c r="D28" s="494"/>
      <c r="E28" s="491">
        <f>+C28/1</f>
        <v>1.2E-2</v>
      </c>
      <c r="U28" s="489" t="s">
        <v>831</v>
      </c>
      <c r="V28" s="494">
        <v>1.2E-2</v>
      </c>
      <c r="W28" s="494"/>
      <c r="X28" s="491">
        <f>+V28/1</f>
        <v>1.2E-2</v>
      </c>
    </row>
    <row r="29" spans="2:24" ht="12.75" customHeight="1" x14ac:dyDescent="0.2">
      <c r="B29" s="489" t="s">
        <v>701</v>
      </c>
      <c r="C29" s="494">
        <v>1.4999999999999999E-2</v>
      </c>
      <c r="D29" s="494"/>
      <c r="E29" s="491">
        <f>+C29/1</f>
        <v>1.4999999999999999E-2</v>
      </c>
      <c r="H29" s="206"/>
      <c r="U29" s="489" t="s">
        <v>701</v>
      </c>
      <c r="V29" s="494">
        <v>1.4999999999999999E-2</v>
      </c>
      <c r="W29" s="494"/>
      <c r="X29" s="491">
        <f>+V29/1</f>
        <v>1.4999999999999999E-2</v>
      </c>
    </row>
    <row r="30" spans="2:24" x14ac:dyDescent="0.2">
      <c r="B30" s="489"/>
      <c r="C30" s="494"/>
      <c r="D30" s="490"/>
      <c r="E30" s="491"/>
      <c r="U30" s="489"/>
      <c r="V30" s="494"/>
      <c r="W30" s="490"/>
      <c r="X30" s="491"/>
    </row>
    <row r="31" spans="2:24" x14ac:dyDescent="0.2">
      <c r="B31" s="489"/>
      <c r="C31" s="490"/>
      <c r="D31" s="490"/>
      <c r="E31" s="491"/>
      <c r="U31" s="489"/>
      <c r="V31" s="490"/>
      <c r="W31" s="490"/>
      <c r="X31" s="491"/>
    </row>
    <row r="32" spans="2:24" x14ac:dyDescent="0.2">
      <c r="B32" s="493" t="s">
        <v>702</v>
      </c>
      <c r="C32" s="490"/>
      <c r="D32" s="490"/>
      <c r="E32" s="491">
        <f>+SUM(E28:E30)</f>
        <v>2.7E-2</v>
      </c>
      <c r="U32" s="493" t="s">
        <v>702</v>
      </c>
      <c r="V32" s="490"/>
      <c r="W32" s="490"/>
      <c r="X32" s="491">
        <f>+SUM(X28:X30)</f>
        <v>2.7E-2</v>
      </c>
    </row>
    <row r="33" spans="2:24" x14ac:dyDescent="0.2">
      <c r="B33" s="489"/>
      <c r="C33" s="490"/>
      <c r="D33" s="490"/>
      <c r="E33" s="491"/>
      <c r="U33" s="489"/>
      <c r="V33" s="490"/>
      <c r="W33" s="490"/>
      <c r="X33" s="491"/>
    </row>
    <row r="34" spans="2:24" ht="15.75" thickBot="1" x14ac:dyDescent="0.3">
      <c r="B34" s="495" t="s">
        <v>703</v>
      </c>
      <c r="C34" s="496"/>
      <c r="D34" s="497"/>
      <c r="E34" s="498">
        <f>+E25*(1+E32)</f>
        <v>1.9335323865</v>
      </c>
      <c r="U34" s="495" t="s">
        <v>703</v>
      </c>
      <c r="V34" s="496"/>
      <c r="W34" s="497"/>
      <c r="X34" s="498">
        <f>+X25*(1+X32)</f>
        <v>1.7657465182500001</v>
      </c>
    </row>
    <row r="42" spans="2:24" x14ac:dyDescent="0.2">
      <c r="B42" s="499" t="s">
        <v>834</v>
      </c>
      <c r="C42" s="738">
        <v>1.766</v>
      </c>
    </row>
    <row r="43" spans="2:24" x14ac:dyDescent="0.2">
      <c r="B43" s="499" t="s">
        <v>832</v>
      </c>
      <c r="C43" s="738">
        <v>1.9339999999999999</v>
      </c>
    </row>
    <row r="44" spans="2:24" x14ac:dyDescent="0.2">
      <c r="B44" s="500" t="s">
        <v>839</v>
      </c>
      <c r="C44" s="501">
        <v>270.16000000000003</v>
      </c>
    </row>
    <row r="51" spans="7:7" x14ac:dyDescent="0.2">
      <c r="G51" s="38"/>
    </row>
    <row r="52" spans="7:7" x14ac:dyDescent="0.2">
      <c r="G52" s="38"/>
    </row>
    <row r="53" spans="7:7" x14ac:dyDescent="0.2">
      <c r="G53" s="38"/>
    </row>
    <row r="54" spans="7:7" x14ac:dyDescent="0.2">
      <c r="G54" s="38"/>
    </row>
    <row r="55" spans="7:7" x14ac:dyDescent="0.2">
      <c r="G55" s="38"/>
    </row>
    <row r="56" spans="7:7" x14ac:dyDescent="0.2">
      <c r="G56" s="38"/>
    </row>
    <row r="57" spans="7:7" x14ac:dyDescent="0.2">
      <c r="G57" s="38"/>
    </row>
    <row r="58" spans="7:7" x14ac:dyDescent="0.2">
      <c r="G58" s="38"/>
    </row>
    <row r="59" spans="7:7" x14ac:dyDescent="0.2">
      <c r="G59" s="38"/>
    </row>
    <row r="60" spans="7:7" x14ac:dyDescent="0.2">
      <c r="G60" s="38"/>
    </row>
    <row r="61" spans="7:7" x14ac:dyDescent="0.2">
      <c r="G61" s="38"/>
    </row>
    <row r="62" spans="7:7" x14ac:dyDescent="0.2">
      <c r="G62" s="38"/>
    </row>
    <row r="63" spans="7:7" x14ac:dyDescent="0.2">
      <c r="G63" s="38"/>
    </row>
    <row r="64" spans="7:7" x14ac:dyDescent="0.2">
      <c r="G64" s="38"/>
    </row>
    <row r="65" spans="7:7" x14ac:dyDescent="0.2">
      <c r="G65" s="38"/>
    </row>
    <row r="66" spans="7:7" x14ac:dyDescent="0.2">
      <c r="G66" s="38"/>
    </row>
    <row r="67" spans="7:7" x14ac:dyDescent="0.2">
      <c r="G67" s="38"/>
    </row>
  </sheetData>
  <mergeCells count="2">
    <mergeCell ref="B5:E5"/>
    <mergeCell ref="U5:X5"/>
  </mergeCells>
  <pageMargins left="0.75" right="0.75" top="1" bottom="1" header="0" footer="0"/>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21">
    <tabColor rgb="FFFFFF00"/>
  </sheetPr>
  <dimension ref="A1:IR91"/>
  <sheetViews>
    <sheetView zoomScaleNormal="106" workbookViewId="0">
      <selection activeCell="M1" sqref="M1"/>
    </sheetView>
  </sheetViews>
  <sheetFormatPr baseColWidth="10" defaultRowHeight="14.25" x14ac:dyDescent="0.25"/>
  <cols>
    <col min="1" max="1" width="7.42578125" style="427" customWidth="1"/>
    <col min="2" max="2" width="55.42578125" style="383" customWidth="1"/>
    <col min="3" max="3" width="8.85546875" style="383" customWidth="1"/>
    <col min="4" max="4" width="6.42578125" style="383" bestFit="1" customWidth="1"/>
    <col min="5" max="5" width="15" style="457" bestFit="1" customWidth="1"/>
    <col min="6" max="6" width="13.140625" style="457" customWidth="1"/>
    <col min="7" max="7" width="3.7109375" style="424" bestFit="1" customWidth="1"/>
    <col min="8" max="8" width="5.5703125" style="383" hidden="1" customWidth="1"/>
    <col min="9" max="9" width="26.7109375" style="383" hidden="1" customWidth="1"/>
    <col min="10" max="10" width="11.42578125" style="383" hidden="1" customWidth="1"/>
    <col min="11" max="11" width="13.28515625" style="383" hidden="1" customWidth="1"/>
    <col min="12" max="13" width="11.42578125" style="383"/>
    <col min="14" max="14" width="18.5703125" style="774" customWidth="1"/>
    <col min="15" max="256" width="11.42578125" style="383"/>
    <col min="257" max="257" width="7.42578125" style="383" customWidth="1"/>
    <col min="258" max="258" width="55.42578125" style="383" customWidth="1"/>
    <col min="259" max="259" width="8.85546875" style="383" customWidth="1"/>
    <col min="260" max="260" width="6.42578125" style="383" bestFit="1" customWidth="1"/>
    <col min="261" max="261" width="15" style="383" bestFit="1" customWidth="1"/>
    <col min="262" max="262" width="13.140625" style="383" customWidth="1"/>
    <col min="263" max="263" width="3.7109375" style="383" bestFit="1" customWidth="1"/>
    <col min="264" max="264" width="0" style="383" hidden="1" customWidth="1"/>
    <col min="265" max="265" width="20.85546875" style="383" customWidth="1"/>
    <col min="266" max="266" width="11.42578125" style="383" customWidth="1"/>
    <col min="267" max="267" width="13.28515625" style="383" customWidth="1"/>
    <col min="268" max="512" width="11.42578125" style="383"/>
    <col min="513" max="513" width="7.42578125" style="383" customWidth="1"/>
    <col min="514" max="514" width="55.42578125" style="383" customWidth="1"/>
    <col min="515" max="515" width="8.85546875" style="383" customWidth="1"/>
    <col min="516" max="516" width="6.42578125" style="383" bestFit="1" customWidth="1"/>
    <col min="517" max="517" width="15" style="383" bestFit="1" customWidth="1"/>
    <col min="518" max="518" width="13.140625" style="383" customWidth="1"/>
    <col min="519" max="519" width="3.7109375" style="383" bestFit="1" customWidth="1"/>
    <col min="520" max="520" width="0" style="383" hidden="1" customWidth="1"/>
    <col min="521" max="521" width="20.85546875" style="383" customWidth="1"/>
    <col min="522" max="522" width="11.42578125" style="383" customWidth="1"/>
    <col min="523" max="523" width="13.28515625" style="383" customWidth="1"/>
    <col min="524" max="768" width="11.42578125" style="383"/>
    <col min="769" max="769" width="7.42578125" style="383" customWidth="1"/>
    <col min="770" max="770" width="55.42578125" style="383" customWidth="1"/>
    <col min="771" max="771" width="8.85546875" style="383" customWidth="1"/>
    <col min="772" max="772" width="6.42578125" style="383" bestFit="1" customWidth="1"/>
    <col min="773" max="773" width="15" style="383" bestFit="1" customWidth="1"/>
    <col min="774" max="774" width="13.140625" style="383" customWidth="1"/>
    <col min="775" max="775" width="3.7109375" style="383" bestFit="1" customWidth="1"/>
    <col min="776" max="776" width="0" style="383" hidden="1" customWidth="1"/>
    <col min="777" max="777" width="20.85546875" style="383" customWidth="1"/>
    <col min="778" max="778" width="11.42578125" style="383" customWidth="1"/>
    <col min="779" max="779" width="13.28515625" style="383" customWidth="1"/>
    <col min="780" max="1024" width="11.42578125" style="383"/>
    <col min="1025" max="1025" width="7.42578125" style="383" customWidth="1"/>
    <col min="1026" max="1026" width="55.42578125" style="383" customWidth="1"/>
    <col min="1027" max="1027" width="8.85546875" style="383" customWidth="1"/>
    <col min="1028" max="1028" width="6.42578125" style="383" bestFit="1" customWidth="1"/>
    <col min="1029" max="1029" width="15" style="383" bestFit="1" customWidth="1"/>
    <col min="1030" max="1030" width="13.140625" style="383" customWidth="1"/>
    <col min="1031" max="1031" width="3.7109375" style="383" bestFit="1" customWidth="1"/>
    <col min="1032" max="1032" width="0" style="383" hidden="1" customWidth="1"/>
    <col min="1033" max="1033" width="20.85546875" style="383" customWidth="1"/>
    <col min="1034" max="1034" width="11.42578125" style="383" customWidth="1"/>
    <col min="1035" max="1035" width="13.28515625" style="383" customWidth="1"/>
    <col min="1036" max="1280" width="11.42578125" style="383"/>
    <col min="1281" max="1281" width="7.42578125" style="383" customWidth="1"/>
    <col min="1282" max="1282" width="55.42578125" style="383" customWidth="1"/>
    <col min="1283" max="1283" width="8.85546875" style="383" customWidth="1"/>
    <col min="1284" max="1284" width="6.42578125" style="383" bestFit="1" customWidth="1"/>
    <col min="1285" max="1285" width="15" style="383" bestFit="1" customWidth="1"/>
    <col min="1286" max="1286" width="13.140625" style="383" customWidth="1"/>
    <col min="1287" max="1287" width="3.7109375" style="383" bestFit="1" customWidth="1"/>
    <col min="1288" max="1288" width="0" style="383" hidden="1" customWidth="1"/>
    <col min="1289" max="1289" width="20.85546875" style="383" customWidth="1"/>
    <col min="1290" max="1290" width="11.42578125" style="383" customWidth="1"/>
    <col min="1291" max="1291" width="13.28515625" style="383" customWidth="1"/>
    <col min="1292" max="1536" width="11.42578125" style="383"/>
    <col min="1537" max="1537" width="7.42578125" style="383" customWidth="1"/>
    <col min="1538" max="1538" width="55.42578125" style="383" customWidth="1"/>
    <col min="1539" max="1539" width="8.85546875" style="383" customWidth="1"/>
    <col min="1540" max="1540" width="6.42578125" style="383" bestFit="1" customWidth="1"/>
    <col min="1541" max="1541" width="15" style="383" bestFit="1" customWidth="1"/>
    <col min="1542" max="1542" width="13.140625" style="383" customWidth="1"/>
    <col min="1543" max="1543" width="3.7109375" style="383" bestFit="1" customWidth="1"/>
    <col min="1544" max="1544" width="0" style="383" hidden="1" customWidth="1"/>
    <col min="1545" max="1545" width="20.85546875" style="383" customWidth="1"/>
    <col min="1546" max="1546" width="11.42578125" style="383" customWidth="1"/>
    <col min="1547" max="1547" width="13.28515625" style="383" customWidth="1"/>
    <col min="1548" max="1792" width="11.42578125" style="383"/>
    <col min="1793" max="1793" width="7.42578125" style="383" customWidth="1"/>
    <col min="1794" max="1794" width="55.42578125" style="383" customWidth="1"/>
    <col min="1795" max="1795" width="8.85546875" style="383" customWidth="1"/>
    <col min="1796" max="1796" width="6.42578125" style="383" bestFit="1" customWidth="1"/>
    <col min="1797" max="1797" width="15" style="383" bestFit="1" customWidth="1"/>
    <col min="1798" max="1798" width="13.140625" style="383" customWidth="1"/>
    <col min="1799" max="1799" width="3.7109375" style="383" bestFit="1" customWidth="1"/>
    <col min="1800" max="1800" width="0" style="383" hidden="1" customWidth="1"/>
    <col min="1801" max="1801" width="20.85546875" style="383" customWidth="1"/>
    <col min="1802" max="1802" width="11.42578125" style="383" customWidth="1"/>
    <col min="1803" max="1803" width="13.28515625" style="383" customWidth="1"/>
    <col min="1804" max="2048" width="11.42578125" style="383"/>
    <col min="2049" max="2049" width="7.42578125" style="383" customWidth="1"/>
    <col min="2050" max="2050" width="55.42578125" style="383" customWidth="1"/>
    <col min="2051" max="2051" width="8.85546875" style="383" customWidth="1"/>
    <col min="2052" max="2052" width="6.42578125" style="383" bestFit="1" customWidth="1"/>
    <col min="2053" max="2053" width="15" style="383" bestFit="1" customWidth="1"/>
    <col min="2054" max="2054" width="13.140625" style="383" customWidth="1"/>
    <col min="2055" max="2055" width="3.7109375" style="383" bestFit="1" customWidth="1"/>
    <col min="2056" max="2056" width="0" style="383" hidden="1" customWidth="1"/>
    <col min="2057" max="2057" width="20.85546875" style="383" customWidth="1"/>
    <col min="2058" max="2058" width="11.42578125" style="383" customWidth="1"/>
    <col min="2059" max="2059" width="13.28515625" style="383" customWidth="1"/>
    <col min="2060" max="2304" width="11.42578125" style="383"/>
    <col min="2305" max="2305" width="7.42578125" style="383" customWidth="1"/>
    <col min="2306" max="2306" width="55.42578125" style="383" customWidth="1"/>
    <col min="2307" max="2307" width="8.85546875" style="383" customWidth="1"/>
    <col min="2308" max="2308" width="6.42578125" style="383" bestFit="1" customWidth="1"/>
    <col min="2309" max="2309" width="15" style="383" bestFit="1" customWidth="1"/>
    <col min="2310" max="2310" width="13.140625" style="383" customWidth="1"/>
    <col min="2311" max="2311" width="3.7109375" style="383" bestFit="1" customWidth="1"/>
    <col min="2312" max="2312" width="0" style="383" hidden="1" customWidth="1"/>
    <col min="2313" max="2313" width="20.85546875" style="383" customWidth="1"/>
    <col min="2314" max="2314" width="11.42578125" style="383" customWidth="1"/>
    <col min="2315" max="2315" width="13.28515625" style="383" customWidth="1"/>
    <col min="2316" max="2560" width="11.42578125" style="383"/>
    <col min="2561" max="2561" width="7.42578125" style="383" customWidth="1"/>
    <col min="2562" max="2562" width="55.42578125" style="383" customWidth="1"/>
    <col min="2563" max="2563" width="8.85546875" style="383" customWidth="1"/>
    <col min="2564" max="2564" width="6.42578125" style="383" bestFit="1" customWidth="1"/>
    <col min="2565" max="2565" width="15" style="383" bestFit="1" customWidth="1"/>
    <col min="2566" max="2566" width="13.140625" style="383" customWidth="1"/>
    <col min="2567" max="2567" width="3.7109375" style="383" bestFit="1" customWidth="1"/>
    <col min="2568" max="2568" width="0" style="383" hidden="1" customWidth="1"/>
    <col min="2569" max="2569" width="20.85546875" style="383" customWidth="1"/>
    <col min="2570" max="2570" width="11.42578125" style="383" customWidth="1"/>
    <col min="2571" max="2571" width="13.28515625" style="383" customWidth="1"/>
    <col min="2572" max="2816" width="11.42578125" style="383"/>
    <col min="2817" max="2817" width="7.42578125" style="383" customWidth="1"/>
    <col min="2818" max="2818" width="55.42578125" style="383" customWidth="1"/>
    <col min="2819" max="2819" width="8.85546875" style="383" customWidth="1"/>
    <col min="2820" max="2820" width="6.42578125" style="383" bestFit="1" customWidth="1"/>
    <col min="2821" max="2821" width="15" style="383" bestFit="1" customWidth="1"/>
    <col min="2822" max="2822" width="13.140625" style="383" customWidth="1"/>
    <col min="2823" max="2823" width="3.7109375" style="383" bestFit="1" customWidth="1"/>
    <col min="2824" max="2824" width="0" style="383" hidden="1" customWidth="1"/>
    <col min="2825" max="2825" width="20.85546875" style="383" customWidth="1"/>
    <col min="2826" max="2826" width="11.42578125" style="383" customWidth="1"/>
    <col min="2827" max="2827" width="13.28515625" style="383" customWidth="1"/>
    <col min="2828" max="3072" width="11.42578125" style="383"/>
    <col min="3073" max="3073" width="7.42578125" style="383" customWidth="1"/>
    <col min="3074" max="3074" width="55.42578125" style="383" customWidth="1"/>
    <col min="3075" max="3075" width="8.85546875" style="383" customWidth="1"/>
    <col min="3076" max="3076" width="6.42578125" style="383" bestFit="1" customWidth="1"/>
    <col min="3077" max="3077" width="15" style="383" bestFit="1" customWidth="1"/>
    <col min="3078" max="3078" width="13.140625" style="383" customWidth="1"/>
    <col min="3079" max="3079" width="3.7109375" style="383" bestFit="1" customWidth="1"/>
    <col min="3080" max="3080" width="0" style="383" hidden="1" customWidth="1"/>
    <col min="3081" max="3081" width="20.85546875" style="383" customWidth="1"/>
    <col min="3082" max="3082" width="11.42578125" style="383" customWidth="1"/>
    <col min="3083" max="3083" width="13.28515625" style="383" customWidth="1"/>
    <col min="3084" max="3328" width="11.42578125" style="383"/>
    <col min="3329" max="3329" width="7.42578125" style="383" customWidth="1"/>
    <col min="3330" max="3330" width="55.42578125" style="383" customWidth="1"/>
    <col min="3331" max="3331" width="8.85546875" style="383" customWidth="1"/>
    <col min="3332" max="3332" width="6.42578125" style="383" bestFit="1" customWidth="1"/>
    <col min="3333" max="3333" width="15" style="383" bestFit="1" customWidth="1"/>
    <col min="3334" max="3334" width="13.140625" style="383" customWidth="1"/>
    <col min="3335" max="3335" width="3.7109375" style="383" bestFit="1" customWidth="1"/>
    <col min="3336" max="3336" width="0" style="383" hidden="1" customWidth="1"/>
    <col min="3337" max="3337" width="20.85546875" style="383" customWidth="1"/>
    <col min="3338" max="3338" width="11.42578125" style="383" customWidth="1"/>
    <col min="3339" max="3339" width="13.28515625" style="383" customWidth="1"/>
    <col min="3340" max="3584" width="11.42578125" style="383"/>
    <col min="3585" max="3585" width="7.42578125" style="383" customWidth="1"/>
    <col min="3586" max="3586" width="55.42578125" style="383" customWidth="1"/>
    <col min="3587" max="3587" width="8.85546875" style="383" customWidth="1"/>
    <col min="3588" max="3588" width="6.42578125" style="383" bestFit="1" customWidth="1"/>
    <col min="3589" max="3589" width="15" style="383" bestFit="1" customWidth="1"/>
    <col min="3590" max="3590" width="13.140625" style="383" customWidth="1"/>
    <col min="3591" max="3591" width="3.7109375" style="383" bestFit="1" customWidth="1"/>
    <col min="3592" max="3592" width="0" style="383" hidden="1" customWidth="1"/>
    <col min="3593" max="3593" width="20.85546875" style="383" customWidth="1"/>
    <col min="3594" max="3594" width="11.42578125" style="383" customWidth="1"/>
    <col min="3595" max="3595" width="13.28515625" style="383" customWidth="1"/>
    <col min="3596" max="3840" width="11.42578125" style="383"/>
    <col min="3841" max="3841" width="7.42578125" style="383" customWidth="1"/>
    <col min="3842" max="3842" width="55.42578125" style="383" customWidth="1"/>
    <col min="3843" max="3843" width="8.85546875" style="383" customWidth="1"/>
    <col min="3844" max="3844" width="6.42578125" style="383" bestFit="1" customWidth="1"/>
    <col min="3845" max="3845" width="15" style="383" bestFit="1" customWidth="1"/>
    <col min="3846" max="3846" width="13.140625" style="383" customWidth="1"/>
    <col min="3847" max="3847" width="3.7109375" style="383" bestFit="1" customWidth="1"/>
    <col min="3848" max="3848" width="0" style="383" hidden="1" customWidth="1"/>
    <col min="3849" max="3849" width="20.85546875" style="383" customWidth="1"/>
    <col min="3850" max="3850" width="11.42578125" style="383" customWidth="1"/>
    <col min="3851" max="3851" width="13.28515625" style="383" customWidth="1"/>
    <col min="3852" max="4096" width="11.42578125" style="383"/>
    <col min="4097" max="4097" width="7.42578125" style="383" customWidth="1"/>
    <col min="4098" max="4098" width="55.42578125" style="383" customWidth="1"/>
    <col min="4099" max="4099" width="8.85546875" style="383" customWidth="1"/>
    <col min="4100" max="4100" width="6.42578125" style="383" bestFit="1" customWidth="1"/>
    <col min="4101" max="4101" width="15" style="383" bestFit="1" customWidth="1"/>
    <col min="4102" max="4102" width="13.140625" style="383" customWidth="1"/>
    <col min="4103" max="4103" width="3.7109375" style="383" bestFit="1" customWidth="1"/>
    <col min="4104" max="4104" width="0" style="383" hidden="1" customWidth="1"/>
    <col min="4105" max="4105" width="20.85546875" style="383" customWidth="1"/>
    <col min="4106" max="4106" width="11.42578125" style="383" customWidth="1"/>
    <col min="4107" max="4107" width="13.28515625" style="383" customWidth="1"/>
    <col min="4108" max="4352" width="11.42578125" style="383"/>
    <col min="4353" max="4353" width="7.42578125" style="383" customWidth="1"/>
    <col min="4354" max="4354" width="55.42578125" style="383" customWidth="1"/>
    <col min="4355" max="4355" width="8.85546875" style="383" customWidth="1"/>
    <col min="4356" max="4356" width="6.42578125" style="383" bestFit="1" customWidth="1"/>
    <col min="4357" max="4357" width="15" style="383" bestFit="1" customWidth="1"/>
    <col min="4358" max="4358" width="13.140625" style="383" customWidth="1"/>
    <col min="4359" max="4359" width="3.7109375" style="383" bestFit="1" customWidth="1"/>
    <col min="4360" max="4360" width="0" style="383" hidden="1" customWidth="1"/>
    <col min="4361" max="4361" width="20.85546875" style="383" customWidth="1"/>
    <col min="4362" max="4362" width="11.42578125" style="383" customWidth="1"/>
    <col min="4363" max="4363" width="13.28515625" style="383" customWidth="1"/>
    <col min="4364" max="4608" width="11.42578125" style="383"/>
    <col min="4609" max="4609" width="7.42578125" style="383" customWidth="1"/>
    <col min="4610" max="4610" width="55.42578125" style="383" customWidth="1"/>
    <col min="4611" max="4611" width="8.85546875" style="383" customWidth="1"/>
    <col min="4612" max="4612" width="6.42578125" style="383" bestFit="1" customWidth="1"/>
    <col min="4613" max="4613" width="15" style="383" bestFit="1" customWidth="1"/>
    <col min="4614" max="4614" width="13.140625" style="383" customWidth="1"/>
    <col min="4615" max="4615" width="3.7109375" style="383" bestFit="1" customWidth="1"/>
    <col min="4616" max="4616" width="0" style="383" hidden="1" customWidth="1"/>
    <col min="4617" max="4617" width="20.85546875" style="383" customWidth="1"/>
    <col min="4618" max="4618" width="11.42578125" style="383" customWidth="1"/>
    <col min="4619" max="4619" width="13.28515625" style="383" customWidth="1"/>
    <col min="4620" max="4864" width="11.42578125" style="383"/>
    <col min="4865" max="4865" width="7.42578125" style="383" customWidth="1"/>
    <col min="4866" max="4866" width="55.42578125" style="383" customWidth="1"/>
    <col min="4867" max="4867" width="8.85546875" style="383" customWidth="1"/>
    <col min="4868" max="4868" width="6.42578125" style="383" bestFit="1" customWidth="1"/>
    <col min="4869" max="4869" width="15" style="383" bestFit="1" customWidth="1"/>
    <col min="4870" max="4870" width="13.140625" style="383" customWidth="1"/>
    <col min="4871" max="4871" width="3.7109375" style="383" bestFit="1" customWidth="1"/>
    <col min="4872" max="4872" width="0" style="383" hidden="1" customWidth="1"/>
    <col min="4873" max="4873" width="20.85546875" style="383" customWidth="1"/>
    <col min="4874" max="4874" width="11.42578125" style="383" customWidth="1"/>
    <col min="4875" max="4875" width="13.28515625" style="383" customWidth="1"/>
    <col min="4876" max="5120" width="11.42578125" style="383"/>
    <col min="5121" max="5121" width="7.42578125" style="383" customWidth="1"/>
    <col min="5122" max="5122" width="55.42578125" style="383" customWidth="1"/>
    <col min="5123" max="5123" width="8.85546875" style="383" customWidth="1"/>
    <col min="5124" max="5124" width="6.42578125" style="383" bestFit="1" customWidth="1"/>
    <col min="5125" max="5125" width="15" style="383" bestFit="1" customWidth="1"/>
    <col min="5126" max="5126" width="13.140625" style="383" customWidth="1"/>
    <col min="5127" max="5127" width="3.7109375" style="383" bestFit="1" customWidth="1"/>
    <col min="5128" max="5128" width="0" style="383" hidden="1" customWidth="1"/>
    <col min="5129" max="5129" width="20.85546875" style="383" customWidth="1"/>
    <col min="5130" max="5130" width="11.42578125" style="383" customWidth="1"/>
    <col min="5131" max="5131" width="13.28515625" style="383" customWidth="1"/>
    <col min="5132" max="5376" width="11.42578125" style="383"/>
    <col min="5377" max="5377" width="7.42578125" style="383" customWidth="1"/>
    <col min="5378" max="5378" width="55.42578125" style="383" customWidth="1"/>
    <col min="5379" max="5379" width="8.85546875" style="383" customWidth="1"/>
    <col min="5380" max="5380" width="6.42578125" style="383" bestFit="1" customWidth="1"/>
    <col min="5381" max="5381" width="15" style="383" bestFit="1" customWidth="1"/>
    <col min="5382" max="5382" width="13.140625" style="383" customWidth="1"/>
    <col min="5383" max="5383" width="3.7109375" style="383" bestFit="1" customWidth="1"/>
    <col min="5384" max="5384" width="0" style="383" hidden="1" customWidth="1"/>
    <col min="5385" max="5385" width="20.85546875" style="383" customWidth="1"/>
    <col min="5386" max="5386" width="11.42578125" style="383" customWidth="1"/>
    <col min="5387" max="5387" width="13.28515625" style="383" customWidth="1"/>
    <col min="5388" max="5632" width="11.42578125" style="383"/>
    <col min="5633" max="5633" width="7.42578125" style="383" customWidth="1"/>
    <col min="5634" max="5634" width="55.42578125" style="383" customWidth="1"/>
    <col min="5635" max="5635" width="8.85546875" style="383" customWidth="1"/>
    <col min="5636" max="5636" width="6.42578125" style="383" bestFit="1" customWidth="1"/>
    <col min="5637" max="5637" width="15" style="383" bestFit="1" customWidth="1"/>
    <col min="5638" max="5638" width="13.140625" style="383" customWidth="1"/>
    <col min="5639" max="5639" width="3.7109375" style="383" bestFit="1" customWidth="1"/>
    <col min="5640" max="5640" width="0" style="383" hidden="1" customWidth="1"/>
    <col min="5641" max="5641" width="20.85546875" style="383" customWidth="1"/>
    <col min="5642" max="5642" width="11.42578125" style="383" customWidth="1"/>
    <col min="5643" max="5643" width="13.28515625" style="383" customWidth="1"/>
    <col min="5644" max="5888" width="11.42578125" style="383"/>
    <col min="5889" max="5889" width="7.42578125" style="383" customWidth="1"/>
    <col min="5890" max="5890" width="55.42578125" style="383" customWidth="1"/>
    <col min="5891" max="5891" width="8.85546875" style="383" customWidth="1"/>
    <col min="5892" max="5892" width="6.42578125" style="383" bestFit="1" customWidth="1"/>
    <col min="5893" max="5893" width="15" style="383" bestFit="1" customWidth="1"/>
    <col min="5894" max="5894" width="13.140625" style="383" customWidth="1"/>
    <col min="5895" max="5895" width="3.7109375" style="383" bestFit="1" customWidth="1"/>
    <col min="5896" max="5896" width="0" style="383" hidden="1" customWidth="1"/>
    <col min="5897" max="5897" width="20.85546875" style="383" customWidth="1"/>
    <col min="5898" max="5898" width="11.42578125" style="383" customWidth="1"/>
    <col min="5899" max="5899" width="13.28515625" style="383" customWidth="1"/>
    <col min="5900" max="6144" width="11.42578125" style="383"/>
    <col min="6145" max="6145" width="7.42578125" style="383" customWidth="1"/>
    <col min="6146" max="6146" width="55.42578125" style="383" customWidth="1"/>
    <col min="6147" max="6147" width="8.85546875" style="383" customWidth="1"/>
    <col min="6148" max="6148" width="6.42578125" style="383" bestFit="1" customWidth="1"/>
    <col min="6149" max="6149" width="15" style="383" bestFit="1" customWidth="1"/>
    <col min="6150" max="6150" width="13.140625" style="383" customWidth="1"/>
    <col min="6151" max="6151" width="3.7109375" style="383" bestFit="1" customWidth="1"/>
    <col min="6152" max="6152" width="0" style="383" hidden="1" customWidth="1"/>
    <col min="6153" max="6153" width="20.85546875" style="383" customWidth="1"/>
    <col min="6154" max="6154" width="11.42578125" style="383" customWidth="1"/>
    <col min="6155" max="6155" width="13.28515625" style="383" customWidth="1"/>
    <col min="6156" max="6400" width="11.42578125" style="383"/>
    <col min="6401" max="6401" width="7.42578125" style="383" customWidth="1"/>
    <col min="6402" max="6402" width="55.42578125" style="383" customWidth="1"/>
    <col min="6403" max="6403" width="8.85546875" style="383" customWidth="1"/>
    <col min="6404" max="6404" width="6.42578125" style="383" bestFit="1" customWidth="1"/>
    <col min="6405" max="6405" width="15" style="383" bestFit="1" customWidth="1"/>
    <col min="6406" max="6406" width="13.140625" style="383" customWidth="1"/>
    <col min="6407" max="6407" width="3.7109375" style="383" bestFit="1" customWidth="1"/>
    <col min="6408" max="6408" width="0" style="383" hidden="1" customWidth="1"/>
    <col min="6409" max="6409" width="20.85546875" style="383" customWidth="1"/>
    <col min="6410" max="6410" width="11.42578125" style="383" customWidth="1"/>
    <col min="6411" max="6411" width="13.28515625" style="383" customWidth="1"/>
    <col min="6412" max="6656" width="11.42578125" style="383"/>
    <col min="6657" max="6657" width="7.42578125" style="383" customWidth="1"/>
    <col min="6658" max="6658" width="55.42578125" style="383" customWidth="1"/>
    <col min="6659" max="6659" width="8.85546875" style="383" customWidth="1"/>
    <col min="6660" max="6660" width="6.42578125" style="383" bestFit="1" customWidth="1"/>
    <col min="6661" max="6661" width="15" style="383" bestFit="1" customWidth="1"/>
    <col min="6662" max="6662" width="13.140625" style="383" customWidth="1"/>
    <col min="6663" max="6663" width="3.7109375" style="383" bestFit="1" customWidth="1"/>
    <col min="6664" max="6664" width="0" style="383" hidden="1" customWidth="1"/>
    <col min="6665" max="6665" width="20.85546875" style="383" customWidth="1"/>
    <col min="6666" max="6666" width="11.42578125" style="383" customWidth="1"/>
    <col min="6667" max="6667" width="13.28515625" style="383" customWidth="1"/>
    <col min="6668" max="6912" width="11.42578125" style="383"/>
    <col min="6913" max="6913" width="7.42578125" style="383" customWidth="1"/>
    <col min="6914" max="6914" width="55.42578125" style="383" customWidth="1"/>
    <col min="6915" max="6915" width="8.85546875" style="383" customWidth="1"/>
    <col min="6916" max="6916" width="6.42578125" style="383" bestFit="1" customWidth="1"/>
    <col min="6917" max="6917" width="15" style="383" bestFit="1" customWidth="1"/>
    <col min="6918" max="6918" width="13.140625" style="383" customWidth="1"/>
    <col min="6919" max="6919" width="3.7109375" style="383" bestFit="1" customWidth="1"/>
    <col min="6920" max="6920" width="0" style="383" hidden="1" customWidth="1"/>
    <col min="6921" max="6921" width="20.85546875" style="383" customWidth="1"/>
    <col min="6922" max="6922" width="11.42578125" style="383" customWidth="1"/>
    <col min="6923" max="6923" width="13.28515625" style="383" customWidth="1"/>
    <col min="6924" max="7168" width="11.42578125" style="383"/>
    <col min="7169" max="7169" width="7.42578125" style="383" customWidth="1"/>
    <col min="7170" max="7170" width="55.42578125" style="383" customWidth="1"/>
    <col min="7171" max="7171" width="8.85546875" style="383" customWidth="1"/>
    <col min="7172" max="7172" width="6.42578125" style="383" bestFit="1" customWidth="1"/>
    <col min="7173" max="7173" width="15" style="383" bestFit="1" customWidth="1"/>
    <col min="7174" max="7174" width="13.140625" style="383" customWidth="1"/>
    <col min="7175" max="7175" width="3.7109375" style="383" bestFit="1" customWidth="1"/>
    <col min="7176" max="7176" width="0" style="383" hidden="1" customWidth="1"/>
    <col min="7177" max="7177" width="20.85546875" style="383" customWidth="1"/>
    <col min="7178" max="7178" width="11.42578125" style="383" customWidth="1"/>
    <col min="7179" max="7179" width="13.28515625" style="383" customWidth="1"/>
    <col min="7180" max="7424" width="11.42578125" style="383"/>
    <col min="7425" max="7425" width="7.42578125" style="383" customWidth="1"/>
    <col min="7426" max="7426" width="55.42578125" style="383" customWidth="1"/>
    <col min="7427" max="7427" width="8.85546875" style="383" customWidth="1"/>
    <col min="7428" max="7428" width="6.42578125" style="383" bestFit="1" customWidth="1"/>
    <col min="7429" max="7429" width="15" style="383" bestFit="1" customWidth="1"/>
    <col min="7430" max="7430" width="13.140625" style="383" customWidth="1"/>
    <col min="7431" max="7431" width="3.7109375" style="383" bestFit="1" customWidth="1"/>
    <col min="7432" max="7432" width="0" style="383" hidden="1" customWidth="1"/>
    <col min="7433" max="7433" width="20.85546875" style="383" customWidth="1"/>
    <col min="7434" max="7434" width="11.42578125" style="383" customWidth="1"/>
    <col min="7435" max="7435" width="13.28515625" style="383" customWidth="1"/>
    <col min="7436" max="7680" width="11.42578125" style="383"/>
    <col min="7681" max="7681" width="7.42578125" style="383" customWidth="1"/>
    <col min="7682" max="7682" width="55.42578125" style="383" customWidth="1"/>
    <col min="7683" max="7683" width="8.85546875" style="383" customWidth="1"/>
    <col min="7684" max="7684" width="6.42578125" style="383" bestFit="1" customWidth="1"/>
    <col min="7685" max="7685" width="15" style="383" bestFit="1" customWidth="1"/>
    <col min="7686" max="7686" width="13.140625" style="383" customWidth="1"/>
    <col min="7687" max="7687" width="3.7109375" style="383" bestFit="1" customWidth="1"/>
    <col min="7688" max="7688" width="0" style="383" hidden="1" customWidth="1"/>
    <col min="7689" max="7689" width="20.85546875" style="383" customWidth="1"/>
    <col min="7690" max="7690" width="11.42578125" style="383" customWidth="1"/>
    <col min="7691" max="7691" width="13.28515625" style="383" customWidth="1"/>
    <col min="7692" max="7936" width="11.42578125" style="383"/>
    <col min="7937" max="7937" width="7.42578125" style="383" customWidth="1"/>
    <col min="7938" max="7938" width="55.42578125" style="383" customWidth="1"/>
    <col min="7939" max="7939" width="8.85546875" style="383" customWidth="1"/>
    <col min="7940" max="7940" width="6.42578125" style="383" bestFit="1" customWidth="1"/>
    <col min="7941" max="7941" width="15" style="383" bestFit="1" customWidth="1"/>
    <col min="7942" max="7942" width="13.140625" style="383" customWidth="1"/>
    <col min="7943" max="7943" width="3.7109375" style="383" bestFit="1" customWidth="1"/>
    <col min="7944" max="7944" width="0" style="383" hidden="1" customWidth="1"/>
    <col min="7945" max="7945" width="20.85546875" style="383" customWidth="1"/>
    <col min="7946" max="7946" width="11.42578125" style="383" customWidth="1"/>
    <col min="7947" max="7947" width="13.28515625" style="383" customWidth="1"/>
    <col min="7948" max="8192" width="11.42578125" style="383"/>
    <col min="8193" max="8193" width="7.42578125" style="383" customWidth="1"/>
    <col min="8194" max="8194" width="55.42578125" style="383" customWidth="1"/>
    <col min="8195" max="8195" width="8.85546875" style="383" customWidth="1"/>
    <col min="8196" max="8196" width="6.42578125" style="383" bestFit="1" customWidth="1"/>
    <col min="8197" max="8197" width="15" style="383" bestFit="1" customWidth="1"/>
    <col min="8198" max="8198" width="13.140625" style="383" customWidth="1"/>
    <col min="8199" max="8199" width="3.7109375" style="383" bestFit="1" customWidth="1"/>
    <col min="8200" max="8200" width="0" style="383" hidden="1" customWidth="1"/>
    <col min="8201" max="8201" width="20.85546875" style="383" customWidth="1"/>
    <col min="8202" max="8202" width="11.42578125" style="383" customWidth="1"/>
    <col min="8203" max="8203" width="13.28515625" style="383" customWidth="1"/>
    <col min="8204" max="8448" width="11.42578125" style="383"/>
    <col min="8449" max="8449" width="7.42578125" style="383" customWidth="1"/>
    <col min="8450" max="8450" width="55.42578125" style="383" customWidth="1"/>
    <col min="8451" max="8451" width="8.85546875" style="383" customWidth="1"/>
    <col min="8452" max="8452" width="6.42578125" style="383" bestFit="1" customWidth="1"/>
    <col min="8453" max="8453" width="15" style="383" bestFit="1" customWidth="1"/>
    <col min="8454" max="8454" width="13.140625" style="383" customWidth="1"/>
    <col min="8455" max="8455" width="3.7109375" style="383" bestFit="1" customWidth="1"/>
    <col min="8456" max="8456" width="0" style="383" hidden="1" customWidth="1"/>
    <col min="8457" max="8457" width="20.85546875" style="383" customWidth="1"/>
    <col min="8458" max="8458" width="11.42578125" style="383" customWidth="1"/>
    <col min="8459" max="8459" width="13.28515625" style="383" customWidth="1"/>
    <col min="8460" max="8704" width="11.42578125" style="383"/>
    <col min="8705" max="8705" width="7.42578125" style="383" customWidth="1"/>
    <col min="8706" max="8706" width="55.42578125" style="383" customWidth="1"/>
    <col min="8707" max="8707" width="8.85546875" style="383" customWidth="1"/>
    <col min="8708" max="8708" width="6.42578125" style="383" bestFit="1" customWidth="1"/>
    <col min="8709" max="8709" width="15" style="383" bestFit="1" customWidth="1"/>
    <col min="8710" max="8710" width="13.140625" style="383" customWidth="1"/>
    <col min="8711" max="8711" width="3.7109375" style="383" bestFit="1" customWidth="1"/>
    <col min="8712" max="8712" width="0" style="383" hidden="1" customWidth="1"/>
    <col min="8713" max="8713" width="20.85546875" style="383" customWidth="1"/>
    <col min="8714" max="8714" width="11.42578125" style="383" customWidth="1"/>
    <col min="8715" max="8715" width="13.28515625" style="383" customWidth="1"/>
    <col min="8716" max="8960" width="11.42578125" style="383"/>
    <col min="8961" max="8961" width="7.42578125" style="383" customWidth="1"/>
    <col min="8962" max="8962" width="55.42578125" style="383" customWidth="1"/>
    <col min="8963" max="8963" width="8.85546875" style="383" customWidth="1"/>
    <col min="8964" max="8964" width="6.42578125" style="383" bestFit="1" customWidth="1"/>
    <col min="8965" max="8965" width="15" style="383" bestFit="1" customWidth="1"/>
    <col min="8966" max="8966" width="13.140625" style="383" customWidth="1"/>
    <col min="8967" max="8967" width="3.7109375" style="383" bestFit="1" customWidth="1"/>
    <col min="8968" max="8968" width="0" style="383" hidden="1" customWidth="1"/>
    <col min="8969" max="8969" width="20.85546875" style="383" customWidth="1"/>
    <col min="8970" max="8970" width="11.42578125" style="383" customWidth="1"/>
    <col min="8971" max="8971" width="13.28515625" style="383" customWidth="1"/>
    <col min="8972" max="9216" width="11.42578125" style="383"/>
    <col min="9217" max="9217" width="7.42578125" style="383" customWidth="1"/>
    <col min="9218" max="9218" width="55.42578125" style="383" customWidth="1"/>
    <col min="9219" max="9219" width="8.85546875" style="383" customWidth="1"/>
    <col min="9220" max="9220" width="6.42578125" style="383" bestFit="1" customWidth="1"/>
    <col min="9221" max="9221" width="15" style="383" bestFit="1" customWidth="1"/>
    <col min="9222" max="9222" width="13.140625" style="383" customWidth="1"/>
    <col min="9223" max="9223" width="3.7109375" style="383" bestFit="1" customWidth="1"/>
    <col min="9224" max="9224" width="0" style="383" hidden="1" customWidth="1"/>
    <col min="9225" max="9225" width="20.85546875" style="383" customWidth="1"/>
    <col min="9226" max="9226" width="11.42578125" style="383" customWidth="1"/>
    <col min="9227" max="9227" width="13.28515625" style="383" customWidth="1"/>
    <col min="9228" max="9472" width="11.42578125" style="383"/>
    <col min="9473" max="9473" width="7.42578125" style="383" customWidth="1"/>
    <col min="9474" max="9474" width="55.42578125" style="383" customWidth="1"/>
    <col min="9475" max="9475" width="8.85546875" style="383" customWidth="1"/>
    <col min="9476" max="9476" width="6.42578125" style="383" bestFit="1" customWidth="1"/>
    <col min="9477" max="9477" width="15" style="383" bestFit="1" customWidth="1"/>
    <col min="9478" max="9478" width="13.140625" style="383" customWidth="1"/>
    <col min="9479" max="9479" width="3.7109375" style="383" bestFit="1" customWidth="1"/>
    <col min="9480" max="9480" width="0" style="383" hidden="1" customWidth="1"/>
    <col min="9481" max="9481" width="20.85546875" style="383" customWidth="1"/>
    <col min="9482" max="9482" width="11.42578125" style="383" customWidth="1"/>
    <col min="9483" max="9483" width="13.28515625" style="383" customWidth="1"/>
    <col min="9484" max="9728" width="11.42578125" style="383"/>
    <col min="9729" max="9729" width="7.42578125" style="383" customWidth="1"/>
    <col min="9730" max="9730" width="55.42578125" style="383" customWidth="1"/>
    <col min="9731" max="9731" width="8.85546875" style="383" customWidth="1"/>
    <col min="9732" max="9732" width="6.42578125" style="383" bestFit="1" customWidth="1"/>
    <col min="9733" max="9733" width="15" style="383" bestFit="1" customWidth="1"/>
    <col min="9734" max="9734" width="13.140625" style="383" customWidth="1"/>
    <col min="9735" max="9735" width="3.7109375" style="383" bestFit="1" customWidth="1"/>
    <col min="9736" max="9736" width="0" style="383" hidden="1" customWidth="1"/>
    <col min="9737" max="9737" width="20.85546875" style="383" customWidth="1"/>
    <col min="9738" max="9738" width="11.42578125" style="383" customWidth="1"/>
    <col min="9739" max="9739" width="13.28515625" style="383" customWidth="1"/>
    <col min="9740" max="9984" width="11.42578125" style="383"/>
    <col min="9985" max="9985" width="7.42578125" style="383" customWidth="1"/>
    <col min="9986" max="9986" width="55.42578125" style="383" customWidth="1"/>
    <col min="9987" max="9987" width="8.85546875" style="383" customWidth="1"/>
    <col min="9988" max="9988" width="6.42578125" style="383" bestFit="1" customWidth="1"/>
    <col min="9989" max="9989" width="15" style="383" bestFit="1" customWidth="1"/>
    <col min="9990" max="9990" width="13.140625" style="383" customWidth="1"/>
    <col min="9991" max="9991" width="3.7109375" style="383" bestFit="1" customWidth="1"/>
    <col min="9992" max="9992" width="0" style="383" hidden="1" customWidth="1"/>
    <col min="9993" max="9993" width="20.85546875" style="383" customWidth="1"/>
    <col min="9994" max="9994" width="11.42578125" style="383" customWidth="1"/>
    <col min="9995" max="9995" width="13.28515625" style="383" customWidth="1"/>
    <col min="9996" max="10240" width="11.42578125" style="383"/>
    <col min="10241" max="10241" width="7.42578125" style="383" customWidth="1"/>
    <col min="10242" max="10242" width="55.42578125" style="383" customWidth="1"/>
    <col min="10243" max="10243" width="8.85546875" style="383" customWidth="1"/>
    <col min="10244" max="10244" width="6.42578125" style="383" bestFit="1" customWidth="1"/>
    <col min="10245" max="10245" width="15" style="383" bestFit="1" customWidth="1"/>
    <col min="10246" max="10246" width="13.140625" style="383" customWidth="1"/>
    <col min="10247" max="10247" width="3.7109375" style="383" bestFit="1" customWidth="1"/>
    <col min="10248" max="10248" width="0" style="383" hidden="1" customWidth="1"/>
    <col min="10249" max="10249" width="20.85546875" style="383" customWidth="1"/>
    <col min="10250" max="10250" width="11.42578125" style="383" customWidth="1"/>
    <col min="10251" max="10251" width="13.28515625" style="383" customWidth="1"/>
    <col min="10252" max="10496" width="11.42578125" style="383"/>
    <col min="10497" max="10497" width="7.42578125" style="383" customWidth="1"/>
    <col min="10498" max="10498" width="55.42578125" style="383" customWidth="1"/>
    <col min="10499" max="10499" width="8.85546875" style="383" customWidth="1"/>
    <col min="10500" max="10500" width="6.42578125" style="383" bestFit="1" customWidth="1"/>
    <col min="10501" max="10501" width="15" style="383" bestFit="1" customWidth="1"/>
    <col min="10502" max="10502" width="13.140625" style="383" customWidth="1"/>
    <col min="10503" max="10503" width="3.7109375" style="383" bestFit="1" customWidth="1"/>
    <col min="10504" max="10504" width="0" style="383" hidden="1" customWidth="1"/>
    <col min="10505" max="10505" width="20.85546875" style="383" customWidth="1"/>
    <col min="10506" max="10506" width="11.42578125" style="383" customWidth="1"/>
    <col min="10507" max="10507" width="13.28515625" style="383" customWidth="1"/>
    <col min="10508" max="10752" width="11.42578125" style="383"/>
    <col min="10753" max="10753" width="7.42578125" style="383" customWidth="1"/>
    <col min="10754" max="10754" width="55.42578125" style="383" customWidth="1"/>
    <col min="10755" max="10755" width="8.85546875" style="383" customWidth="1"/>
    <col min="10756" max="10756" width="6.42578125" style="383" bestFit="1" customWidth="1"/>
    <col min="10757" max="10757" width="15" style="383" bestFit="1" customWidth="1"/>
    <col min="10758" max="10758" width="13.140625" style="383" customWidth="1"/>
    <col min="10759" max="10759" width="3.7109375" style="383" bestFit="1" customWidth="1"/>
    <col min="10760" max="10760" width="0" style="383" hidden="1" customWidth="1"/>
    <col min="10761" max="10761" width="20.85546875" style="383" customWidth="1"/>
    <col min="10762" max="10762" width="11.42578125" style="383" customWidth="1"/>
    <col min="10763" max="10763" width="13.28515625" style="383" customWidth="1"/>
    <col min="10764" max="11008" width="11.42578125" style="383"/>
    <col min="11009" max="11009" width="7.42578125" style="383" customWidth="1"/>
    <col min="11010" max="11010" width="55.42578125" style="383" customWidth="1"/>
    <col min="11011" max="11011" width="8.85546875" style="383" customWidth="1"/>
    <col min="11012" max="11012" width="6.42578125" style="383" bestFit="1" customWidth="1"/>
    <col min="11013" max="11013" width="15" style="383" bestFit="1" customWidth="1"/>
    <col min="11014" max="11014" width="13.140625" style="383" customWidth="1"/>
    <col min="11015" max="11015" width="3.7109375" style="383" bestFit="1" customWidth="1"/>
    <col min="11016" max="11016" width="0" style="383" hidden="1" customWidth="1"/>
    <col min="11017" max="11017" width="20.85546875" style="383" customWidth="1"/>
    <col min="11018" max="11018" width="11.42578125" style="383" customWidth="1"/>
    <col min="11019" max="11019" width="13.28515625" style="383" customWidth="1"/>
    <col min="11020" max="11264" width="11.42578125" style="383"/>
    <col min="11265" max="11265" width="7.42578125" style="383" customWidth="1"/>
    <col min="11266" max="11266" width="55.42578125" style="383" customWidth="1"/>
    <col min="11267" max="11267" width="8.85546875" style="383" customWidth="1"/>
    <col min="11268" max="11268" width="6.42578125" style="383" bestFit="1" customWidth="1"/>
    <col min="11269" max="11269" width="15" style="383" bestFit="1" customWidth="1"/>
    <col min="11270" max="11270" width="13.140625" style="383" customWidth="1"/>
    <col min="11271" max="11271" width="3.7109375" style="383" bestFit="1" customWidth="1"/>
    <col min="11272" max="11272" width="0" style="383" hidden="1" customWidth="1"/>
    <col min="11273" max="11273" width="20.85546875" style="383" customWidth="1"/>
    <col min="11274" max="11274" width="11.42578125" style="383" customWidth="1"/>
    <col min="11275" max="11275" width="13.28515625" style="383" customWidth="1"/>
    <col min="11276" max="11520" width="11.42578125" style="383"/>
    <col min="11521" max="11521" width="7.42578125" style="383" customWidth="1"/>
    <col min="11522" max="11522" width="55.42578125" style="383" customWidth="1"/>
    <col min="11523" max="11523" width="8.85546875" style="383" customWidth="1"/>
    <col min="11524" max="11524" width="6.42578125" style="383" bestFit="1" customWidth="1"/>
    <col min="11525" max="11525" width="15" style="383" bestFit="1" customWidth="1"/>
    <col min="11526" max="11526" width="13.140625" style="383" customWidth="1"/>
    <col min="11527" max="11527" width="3.7109375" style="383" bestFit="1" customWidth="1"/>
    <col min="11528" max="11528" width="0" style="383" hidden="1" customWidth="1"/>
    <col min="11529" max="11529" width="20.85546875" style="383" customWidth="1"/>
    <col min="11530" max="11530" width="11.42578125" style="383" customWidth="1"/>
    <col min="11531" max="11531" width="13.28515625" style="383" customWidth="1"/>
    <col min="11532" max="11776" width="11.42578125" style="383"/>
    <col min="11777" max="11777" width="7.42578125" style="383" customWidth="1"/>
    <col min="11778" max="11778" width="55.42578125" style="383" customWidth="1"/>
    <col min="11779" max="11779" width="8.85546875" style="383" customWidth="1"/>
    <col min="11780" max="11780" width="6.42578125" style="383" bestFit="1" customWidth="1"/>
    <col min="11781" max="11781" width="15" style="383" bestFit="1" customWidth="1"/>
    <col min="11782" max="11782" width="13.140625" style="383" customWidth="1"/>
    <col min="11783" max="11783" width="3.7109375" style="383" bestFit="1" customWidth="1"/>
    <col min="11784" max="11784" width="0" style="383" hidden="1" customWidth="1"/>
    <col min="11785" max="11785" width="20.85546875" style="383" customWidth="1"/>
    <col min="11786" max="11786" width="11.42578125" style="383" customWidth="1"/>
    <col min="11787" max="11787" width="13.28515625" style="383" customWidth="1"/>
    <col min="11788" max="12032" width="11.42578125" style="383"/>
    <col min="12033" max="12033" width="7.42578125" style="383" customWidth="1"/>
    <col min="12034" max="12034" width="55.42578125" style="383" customWidth="1"/>
    <col min="12035" max="12035" width="8.85546875" style="383" customWidth="1"/>
    <col min="12036" max="12036" width="6.42578125" style="383" bestFit="1" customWidth="1"/>
    <col min="12037" max="12037" width="15" style="383" bestFit="1" customWidth="1"/>
    <col min="12038" max="12038" width="13.140625" style="383" customWidth="1"/>
    <col min="12039" max="12039" width="3.7109375" style="383" bestFit="1" customWidth="1"/>
    <col min="12040" max="12040" width="0" style="383" hidden="1" customWidth="1"/>
    <col min="12041" max="12041" width="20.85546875" style="383" customWidth="1"/>
    <col min="12042" max="12042" width="11.42578125" style="383" customWidth="1"/>
    <col min="12043" max="12043" width="13.28515625" style="383" customWidth="1"/>
    <col min="12044" max="12288" width="11.42578125" style="383"/>
    <col min="12289" max="12289" width="7.42578125" style="383" customWidth="1"/>
    <col min="12290" max="12290" width="55.42578125" style="383" customWidth="1"/>
    <col min="12291" max="12291" width="8.85546875" style="383" customWidth="1"/>
    <col min="12292" max="12292" width="6.42578125" style="383" bestFit="1" customWidth="1"/>
    <col min="12293" max="12293" width="15" style="383" bestFit="1" customWidth="1"/>
    <col min="12294" max="12294" width="13.140625" style="383" customWidth="1"/>
    <col min="12295" max="12295" width="3.7109375" style="383" bestFit="1" customWidth="1"/>
    <col min="12296" max="12296" width="0" style="383" hidden="1" customWidth="1"/>
    <col min="12297" max="12297" width="20.85546875" style="383" customWidth="1"/>
    <col min="12298" max="12298" width="11.42578125" style="383" customWidth="1"/>
    <col min="12299" max="12299" width="13.28515625" style="383" customWidth="1"/>
    <col min="12300" max="12544" width="11.42578125" style="383"/>
    <col min="12545" max="12545" width="7.42578125" style="383" customWidth="1"/>
    <col min="12546" max="12546" width="55.42578125" style="383" customWidth="1"/>
    <col min="12547" max="12547" width="8.85546875" style="383" customWidth="1"/>
    <col min="12548" max="12548" width="6.42578125" style="383" bestFit="1" customWidth="1"/>
    <col min="12549" max="12549" width="15" style="383" bestFit="1" customWidth="1"/>
    <col min="12550" max="12550" width="13.140625" style="383" customWidth="1"/>
    <col min="12551" max="12551" width="3.7109375" style="383" bestFit="1" customWidth="1"/>
    <col min="12552" max="12552" width="0" style="383" hidden="1" customWidth="1"/>
    <col min="12553" max="12553" width="20.85546875" style="383" customWidth="1"/>
    <col min="12554" max="12554" width="11.42578125" style="383" customWidth="1"/>
    <col min="12555" max="12555" width="13.28515625" style="383" customWidth="1"/>
    <col min="12556" max="12800" width="11.42578125" style="383"/>
    <col min="12801" max="12801" width="7.42578125" style="383" customWidth="1"/>
    <col min="12802" max="12802" width="55.42578125" style="383" customWidth="1"/>
    <col min="12803" max="12803" width="8.85546875" style="383" customWidth="1"/>
    <col min="12804" max="12804" width="6.42578125" style="383" bestFit="1" customWidth="1"/>
    <col min="12805" max="12805" width="15" style="383" bestFit="1" customWidth="1"/>
    <col min="12806" max="12806" width="13.140625" style="383" customWidth="1"/>
    <col min="12807" max="12807" width="3.7109375" style="383" bestFit="1" customWidth="1"/>
    <col min="12808" max="12808" width="0" style="383" hidden="1" customWidth="1"/>
    <col min="12809" max="12809" width="20.85546875" style="383" customWidth="1"/>
    <col min="12810" max="12810" width="11.42578125" style="383" customWidth="1"/>
    <col min="12811" max="12811" width="13.28515625" style="383" customWidth="1"/>
    <col min="12812" max="13056" width="11.42578125" style="383"/>
    <col min="13057" max="13057" width="7.42578125" style="383" customWidth="1"/>
    <col min="13058" max="13058" width="55.42578125" style="383" customWidth="1"/>
    <col min="13059" max="13059" width="8.85546875" style="383" customWidth="1"/>
    <col min="13060" max="13060" width="6.42578125" style="383" bestFit="1" customWidth="1"/>
    <col min="13061" max="13061" width="15" style="383" bestFit="1" customWidth="1"/>
    <col min="13062" max="13062" width="13.140625" style="383" customWidth="1"/>
    <col min="13063" max="13063" width="3.7109375" style="383" bestFit="1" customWidth="1"/>
    <col min="13064" max="13064" width="0" style="383" hidden="1" customWidth="1"/>
    <col min="13065" max="13065" width="20.85546875" style="383" customWidth="1"/>
    <col min="13066" max="13066" width="11.42578125" style="383" customWidth="1"/>
    <col min="13067" max="13067" width="13.28515625" style="383" customWidth="1"/>
    <col min="13068" max="13312" width="11.42578125" style="383"/>
    <col min="13313" max="13313" width="7.42578125" style="383" customWidth="1"/>
    <col min="13314" max="13314" width="55.42578125" style="383" customWidth="1"/>
    <col min="13315" max="13315" width="8.85546875" style="383" customWidth="1"/>
    <col min="13316" max="13316" width="6.42578125" style="383" bestFit="1" customWidth="1"/>
    <col min="13317" max="13317" width="15" style="383" bestFit="1" customWidth="1"/>
    <col min="13318" max="13318" width="13.140625" style="383" customWidth="1"/>
    <col min="13319" max="13319" width="3.7109375" style="383" bestFit="1" customWidth="1"/>
    <col min="13320" max="13320" width="0" style="383" hidden="1" customWidth="1"/>
    <col min="13321" max="13321" width="20.85546875" style="383" customWidth="1"/>
    <col min="13322" max="13322" width="11.42578125" style="383" customWidth="1"/>
    <col min="13323" max="13323" width="13.28515625" style="383" customWidth="1"/>
    <col min="13324" max="13568" width="11.42578125" style="383"/>
    <col min="13569" max="13569" width="7.42578125" style="383" customWidth="1"/>
    <col min="13570" max="13570" width="55.42578125" style="383" customWidth="1"/>
    <col min="13571" max="13571" width="8.85546875" style="383" customWidth="1"/>
    <col min="13572" max="13572" width="6.42578125" style="383" bestFit="1" customWidth="1"/>
    <col min="13573" max="13573" width="15" style="383" bestFit="1" customWidth="1"/>
    <col min="13574" max="13574" width="13.140625" style="383" customWidth="1"/>
    <col min="13575" max="13575" width="3.7109375" style="383" bestFit="1" customWidth="1"/>
    <col min="13576" max="13576" width="0" style="383" hidden="1" customWidth="1"/>
    <col min="13577" max="13577" width="20.85546875" style="383" customWidth="1"/>
    <col min="13578" max="13578" width="11.42578125" style="383" customWidth="1"/>
    <col min="13579" max="13579" width="13.28515625" style="383" customWidth="1"/>
    <col min="13580" max="13824" width="11.42578125" style="383"/>
    <col min="13825" max="13825" width="7.42578125" style="383" customWidth="1"/>
    <col min="13826" max="13826" width="55.42578125" style="383" customWidth="1"/>
    <col min="13827" max="13827" width="8.85546875" style="383" customWidth="1"/>
    <col min="13828" max="13828" width="6.42578125" style="383" bestFit="1" customWidth="1"/>
    <col min="13829" max="13829" width="15" style="383" bestFit="1" customWidth="1"/>
    <col min="13830" max="13830" width="13.140625" style="383" customWidth="1"/>
    <col min="13831" max="13831" width="3.7109375" style="383" bestFit="1" customWidth="1"/>
    <col min="13832" max="13832" width="0" style="383" hidden="1" customWidth="1"/>
    <col min="13833" max="13833" width="20.85546875" style="383" customWidth="1"/>
    <col min="13834" max="13834" width="11.42578125" style="383" customWidth="1"/>
    <col min="13835" max="13835" width="13.28515625" style="383" customWidth="1"/>
    <col min="13836" max="14080" width="11.42578125" style="383"/>
    <col min="14081" max="14081" width="7.42578125" style="383" customWidth="1"/>
    <col min="14082" max="14082" width="55.42578125" style="383" customWidth="1"/>
    <col min="14083" max="14083" width="8.85546875" style="383" customWidth="1"/>
    <col min="14084" max="14084" width="6.42578125" style="383" bestFit="1" customWidth="1"/>
    <col min="14085" max="14085" width="15" style="383" bestFit="1" customWidth="1"/>
    <col min="14086" max="14086" width="13.140625" style="383" customWidth="1"/>
    <col min="14087" max="14087" width="3.7109375" style="383" bestFit="1" customWidth="1"/>
    <col min="14088" max="14088" width="0" style="383" hidden="1" customWidth="1"/>
    <col min="14089" max="14089" width="20.85546875" style="383" customWidth="1"/>
    <col min="14090" max="14090" width="11.42578125" style="383" customWidth="1"/>
    <col min="14091" max="14091" width="13.28515625" style="383" customWidth="1"/>
    <col min="14092" max="14336" width="11.42578125" style="383"/>
    <col min="14337" max="14337" width="7.42578125" style="383" customWidth="1"/>
    <col min="14338" max="14338" width="55.42578125" style="383" customWidth="1"/>
    <col min="14339" max="14339" width="8.85546875" style="383" customWidth="1"/>
    <col min="14340" max="14340" width="6.42578125" style="383" bestFit="1" customWidth="1"/>
    <col min="14341" max="14341" width="15" style="383" bestFit="1" customWidth="1"/>
    <col min="14342" max="14342" width="13.140625" style="383" customWidth="1"/>
    <col min="14343" max="14343" width="3.7109375" style="383" bestFit="1" customWidth="1"/>
    <col min="14344" max="14344" width="0" style="383" hidden="1" customWidth="1"/>
    <col min="14345" max="14345" width="20.85546875" style="383" customWidth="1"/>
    <col min="14346" max="14346" width="11.42578125" style="383" customWidth="1"/>
    <col min="14347" max="14347" width="13.28515625" style="383" customWidth="1"/>
    <col min="14348" max="14592" width="11.42578125" style="383"/>
    <col min="14593" max="14593" width="7.42578125" style="383" customWidth="1"/>
    <col min="14594" max="14594" width="55.42578125" style="383" customWidth="1"/>
    <col min="14595" max="14595" width="8.85546875" style="383" customWidth="1"/>
    <col min="14596" max="14596" width="6.42578125" style="383" bestFit="1" customWidth="1"/>
    <col min="14597" max="14597" width="15" style="383" bestFit="1" customWidth="1"/>
    <col min="14598" max="14598" width="13.140625" style="383" customWidth="1"/>
    <col min="14599" max="14599" width="3.7109375" style="383" bestFit="1" customWidth="1"/>
    <col min="14600" max="14600" width="0" style="383" hidden="1" customWidth="1"/>
    <col min="14601" max="14601" width="20.85546875" style="383" customWidth="1"/>
    <col min="14602" max="14602" width="11.42578125" style="383" customWidth="1"/>
    <col min="14603" max="14603" width="13.28515625" style="383" customWidth="1"/>
    <col min="14604" max="14848" width="11.42578125" style="383"/>
    <col min="14849" max="14849" width="7.42578125" style="383" customWidth="1"/>
    <col min="14850" max="14850" width="55.42578125" style="383" customWidth="1"/>
    <col min="14851" max="14851" width="8.85546875" style="383" customWidth="1"/>
    <col min="14852" max="14852" width="6.42578125" style="383" bestFit="1" customWidth="1"/>
    <col min="14853" max="14853" width="15" style="383" bestFit="1" customWidth="1"/>
    <col min="14854" max="14854" width="13.140625" style="383" customWidth="1"/>
    <col min="14855" max="14855" width="3.7109375" style="383" bestFit="1" customWidth="1"/>
    <col min="14856" max="14856" width="0" style="383" hidden="1" customWidth="1"/>
    <col min="14857" max="14857" width="20.85546875" style="383" customWidth="1"/>
    <col min="14858" max="14858" width="11.42578125" style="383" customWidth="1"/>
    <col min="14859" max="14859" width="13.28515625" style="383" customWidth="1"/>
    <col min="14860" max="15104" width="11.42578125" style="383"/>
    <col min="15105" max="15105" width="7.42578125" style="383" customWidth="1"/>
    <col min="15106" max="15106" width="55.42578125" style="383" customWidth="1"/>
    <col min="15107" max="15107" width="8.85546875" style="383" customWidth="1"/>
    <col min="15108" max="15108" width="6.42578125" style="383" bestFit="1" customWidth="1"/>
    <col min="15109" max="15109" width="15" style="383" bestFit="1" customWidth="1"/>
    <col min="15110" max="15110" width="13.140625" style="383" customWidth="1"/>
    <col min="15111" max="15111" width="3.7109375" style="383" bestFit="1" customWidth="1"/>
    <col min="15112" max="15112" width="0" style="383" hidden="1" customWidth="1"/>
    <col min="15113" max="15113" width="20.85546875" style="383" customWidth="1"/>
    <col min="15114" max="15114" width="11.42578125" style="383" customWidth="1"/>
    <col min="15115" max="15115" width="13.28515625" style="383" customWidth="1"/>
    <col min="15116" max="15360" width="11.42578125" style="383"/>
    <col min="15361" max="15361" width="7.42578125" style="383" customWidth="1"/>
    <col min="15362" max="15362" width="55.42578125" style="383" customWidth="1"/>
    <col min="15363" max="15363" width="8.85546875" style="383" customWidth="1"/>
    <col min="15364" max="15364" width="6.42578125" style="383" bestFit="1" customWidth="1"/>
    <col min="15365" max="15365" width="15" style="383" bestFit="1" customWidth="1"/>
    <col min="15366" max="15366" width="13.140625" style="383" customWidth="1"/>
    <col min="15367" max="15367" width="3.7109375" style="383" bestFit="1" customWidth="1"/>
    <col min="15368" max="15368" width="0" style="383" hidden="1" customWidth="1"/>
    <col min="15369" max="15369" width="20.85546875" style="383" customWidth="1"/>
    <col min="15370" max="15370" width="11.42578125" style="383" customWidth="1"/>
    <col min="15371" max="15371" width="13.28515625" style="383" customWidth="1"/>
    <col min="15372" max="15616" width="11.42578125" style="383"/>
    <col min="15617" max="15617" width="7.42578125" style="383" customWidth="1"/>
    <col min="15618" max="15618" width="55.42578125" style="383" customWidth="1"/>
    <col min="15619" max="15619" width="8.85546875" style="383" customWidth="1"/>
    <col min="15620" max="15620" width="6.42578125" style="383" bestFit="1" customWidth="1"/>
    <col min="15621" max="15621" width="15" style="383" bestFit="1" customWidth="1"/>
    <col min="15622" max="15622" width="13.140625" style="383" customWidth="1"/>
    <col min="15623" max="15623" width="3.7109375" style="383" bestFit="1" customWidth="1"/>
    <col min="15624" max="15624" width="0" style="383" hidden="1" customWidth="1"/>
    <col min="15625" max="15625" width="20.85546875" style="383" customWidth="1"/>
    <col min="15626" max="15626" width="11.42578125" style="383" customWidth="1"/>
    <col min="15627" max="15627" width="13.28515625" style="383" customWidth="1"/>
    <col min="15628" max="15872" width="11.42578125" style="383"/>
    <col min="15873" max="15873" width="7.42578125" style="383" customWidth="1"/>
    <col min="15874" max="15874" width="55.42578125" style="383" customWidth="1"/>
    <col min="15875" max="15875" width="8.85546875" style="383" customWidth="1"/>
    <col min="15876" max="15876" width="6.42578125" style="383" bestFit="1" customWidth="1"/>
    <col min="15877" max="15877" width="15" style="383" bestFit="1" customWidth="1"/>
    <col min="15878" max="15878" width="13.140625" style="383" customWidth="1"/>
    <col min="15879" max="15879" width="3.7109375" style="383" bestFit="1" customWidth="1"/>
    <col min="15880" max="15880" width="0" style="383" hidden="1" customWidth="1"/>
    <col min="15881" max="15881" width="20.85546875" style="383" customWidth="1"/>
    <col min="15882" max="15882" width="11.42578125" style="383" customWidth="1"/>
    <col min="15883" max="15883" width="13.28515625" style="383" customWidth="1"/>
    <col min="15884" max="16128" width="11.42578125" style="383"/>
    <col min="16129" max="16129" width="7.42578125" style="383" customWidth="1"/>
    <col min="16130" max="16130" width="55.42578125" style="383" customWidth="1"/>
    <col min="16131" max="16131" width="8.85546875" style="383" customWidth="1"/>
    <col min="16132" max="16132" width="6.42578125" style="383" bestFit="1" customWidth="1"/>
    <col min="16133" max="16133" width="15" style="383" bestFit="1" customWidth="1"/>
    <col min="16134" max="16134" width="13.140625" style="383" customWidth="1"/>
    <col min="16135" max="16135" width="3.7109375" style="383" bestFit="1" customWidth="1"/>
    <col min="16136" max="16136" width="0" style="383" hidden="1" customWidth="1"/>
    <col min="16137" max="16137" width="20.85546875" style="383" customWidth="1"/>
    <col min="16138" max="16138" width="11.42578125" style="383" customWidth="1"/>
    <col min="16139" max="16139" width="13.28515625" style="383" customWidth="1"/>
    <col min="16140" max="16384" width="11.42578125" style="383"/>
  </cols>
  <sheetData>
    <row r="1" spans="1:16" ht="46.5" customHeight="1" x14ac:dyDescent="0.25">
      <c r="A1" s="833" t="s">
        <v>519</v>
      </c>
      <c r="B1" s="834"/>
      <c r="C1" s="834"/>
      <c r="D1" s="834"/>
      <c r="E1" s="834"/>
      <c r="F1" s="834"/>
      <c r="G1" s="835"/>
      <c r="H1" s="382"/>
    </row>
    <row r="2" spans="1:16" ht="7.5" customHeight="1" x14ac:dyDescent="0.25">
      <c r="A2" s="384"/>
      <c r="B2" s="385"/>
      <c r="C2" s="386"/>
      <c r="D2" s="385"/>
      <c r="E2" s="387"/>
      <c r="F2" s="387"/>
      <c r="G2" s="388"/>
      <c r="H2" s="389"/>
    </row>
    <row r="3" spans="1:16" ht="21.75" customHeight="1" x14ac:dyDescent="0.25">
      <c r="A3" s="836" t="s">
        <v>520</v>
      </c>
      <c r="B3" s="837"/>
      <c r="C3" s="837"/>
      <c r="D3" s="837"/>
      <c r="E3" s="837"/>
      <c r="F3" s="837"/>
      <c r="G3" s="838"/>
      <c r="H3" s="390"/>
      <c r="L3" s="383" t="s">
        <v>835</v>
      </c>
      <c r="M3" s="383">
        <v>8.1300000000000008</v>
      </c>
      <c r="N3" s="776">
        <v>100.75</v>
      </c>
      <c r="O3" s="777"/>
      <c r="P3" s="777"/>
    </row>
    <row r="4" spans="1:16" ht="7.5" customHeight="1" x14ac:dyDescent="0.25">
      <c r="A4" s="384"/>
      <c r="B4" s="385"/>
      <c r="C4" s="386"/>
      <c r="D4" s="385"/>
      <c r="E4" s="387"/>
      <c r="F4" s="387"/>
      <c r="G4" s="391"/>
      <c r="H4" s="392"/>
      <c r="N4" s="776"/>
      <c r="O4" s="777"/>
      <c r="P4" s="777"/>
    </row>
    <row r="5" spans="1:16" ht="18" customHeight="1" x14ac:dyDescent="0.25">
      <c r="A5" s="383" t="s">
        <v>521</v>
      </c>
      <c r="E5" s="383"/>
      <c r="F5" s="383"/>
      <c r="G5" s="383"/>
      <c r="H5" s="392"/>
      <c r="J5" s="393" t="s">
        <v>522</v>
      </c>
      <c r="N5" s="776" t="s">
        <v>1101</v>
      </c>
      <c r="O5" s="777"/>
      <c r="P5" s="777"/>
    </row>
    <row r="6" spans="1:16" ht="14.25" customHeight="1" x14ac:dyDescent="0.25">
      <c r="A6" s="394"/>
      <c r="B6" s="395"/>
      <c r="C6" s="396"/>
      <c r="D6" s="396"/>
      <c r="E6" s="397"/>
      <c r="F6" s="398">
        <v>8.8000000000000007</v>
      </c>
      <c r="G6" s="399"/>
      <c r="H6" s="400"/>
      <c r="N6" s="776" t="s">
        <v>1102</v>
      </c>
      <c r="O6" s="777" t="s">
        <v>816</v>
      </c>
      <c r="P6" s="777" t="s">
        <v>1103</v>
      </c>
    </row>
    <row r="7" spans="1:16" ht="54.95" customHeight="1" x14ac:dyDescent="0.25">
      <c r="A7" s="401" t="s">
        <v>523</v>
      </c>
      <c r="B7" s="402" t="s">
        <v>524</v>
      </c>
      <c r="C7" s="837" t="s">
        <v>525</v>
      </c>
      <c r="D7" s="837"/>
      <c r="E7" s="403" t="s">
        <v>526</v>
      </c>
      <c r="F7" s="403" t="s">
        <v>527</v>
      </c>
      <c r="G7" s="404"/>
      <c r="H7" s="405" t="s">
        <v>528</v>
      </c>
      <c r="J7" s="511" t="s">
        <v>836</v>
      </c>
      <c r="K7" s="511" t="s">
        <v>837</v>
      </c>
      <c r="N7" s="776"/>
      <c r="O7" s="777"/>
      <c r="P7" s="777"/>
    </row>
    <row r="8" spans="1:16" ht="15" x14ac:dyDescent="0.25">
      <c r="A8" s="406"/>
      <c r="B8" s="395"/>
      <c r="C8" s="395"/>
      <c r="D8" s="395"/>
      <c r="E8" s="407"/>
      <c r="F8" s="407"/>
      <c r="G8" s="408"/>
      <c r="H8" s="409"/>
      <c r="J8" s="410"/>
      <c r="K8" s="410"/>
      <c r="N8" s="776"/>
      <c r="O8" s="777"/>
      <c r="P8" s="777"/>
    </row>
    <row r="9" spans="1:16" ht="15" x14ac:dyDescent="0.25">
      <c r="A9" s="411">
        <v>1</v>
      </c>
      <c r="B9" s="412" t="s">
        <v>529</v>
      </c>
      <c r="C9" s="412"/>
      <c r="D9" s="412"/>
      <c r="E9" s="403"/>
      <c r="F9" s="403"/>
      <c r="G9" s="404"/>
      <c r="H9" s="390"/>
      <c r="J9" s="410"/>
      <c r="K9" s="410"/>
      <c r="N9" s="776"/>
      <c r="O9" s="777"/>
      <c r="P9" s="777"/>
    </row>
    <row r="10" spans="1:16" ht="48.75" customHeight="1" x14ac:dyDescent="0.25">
      <c r="A10" s="394"/>
      <c r="B10" s="413" t="s">
        <v>530</v>
      </c>
      <c r="C10" s="414">
        <v>1</v>
      </c>
      <c r="D10" s="414" t="s">
        <v>531</v>
      </c>
      <c r="E10" s="397">
        <f>85000/$M$3</f>
        <v>10455.10455104551</v>
      </c>
      <c r="F10" s="397">
        <f>C10*E10</f>
        <v>10455.10455104551</v>
      </c>
      <c r="G10" s="399" t="s">
        <v>532</v>
      </c>
      <c r="H10" s="415"/>
      <c r="J10" s="416"/>
      <c r="K10" s="416">
        <f>+F10</f>
        <v>10455.10455104551</v>
      </c>
      <c r="N10" s="776">
        <v>45800</v>
      </c>
      <c r="O10" s="778">
        <f>+N10/$N$3</f>
        <v>454.59057071960297</v>
      </c>
      <c r="P10" s="777" t="s">
        <v>1095</v>
      </c>
    </row>
    <row r="11" spans="1:16" ht="15" x14ac:dyDescent="0.25">
      <c r="A11" s="411">
        <v>2</v>
      </c>
      <c r="B11" s="412" t="s">
        <v>533</v>
      </c>
      <c r="C11" s="412"/>
      <c r="D11" s="412"/>
      <c r="E11" s="403"/>
      <c r="F11" s="403"/>
      <c r="G11" s="404"/>
      <c r="H11" s="390"/>
      <c r="J11" s="416"/>
      <c r="K11" s="416"/>
      <c r="N11" s="776"/>
      <c r="O11" s="778">
        <f t="shared" ref="O11:O54" si="0">+N11/$N$3</f>
        <v>0</v>
      </c>
      <c r="P11" s="777"/>
    </row>
    <row r="12" spans="1:16" ht="15" x14ac:dyDescent="0.25">
      <c r="A12" s="394">
        <v>2</v>
      </c>
      <c r="B12" s="385" t="s">
        <v>534</v>
      </c>
      <c r="C12" s="385"/>
      <c r="D12" s="385"/>
      <c r="E12" s="387"/>
      <c r="F12" s="387"/>
      <c r="G12" s="417"/>
      <c r="H12" s="389"/>
      <c r="J12" s="416"/>
      <c r="K12" s="416"/>
      <c r="N12" s="776"/>
      <c r="O12" s="778">
        <f t="shared" si="0"/>
        <v>0</v>
      </c>
      <c r="P12" s="777"/>
    </row>
    <row r="13" spans="1:16" ht="39.75" customHeight="1" x14ac:dyDescent="0.25">
      <c r="A13" s="394" t="s">
        <v>535</v>
      </c>
      <c r="B13" s="413" t="s">
        <v>536</v>
      </c>
      <c r="C13" s="414">
        <f>60*70*0.3</f>
        <v>1260</v>
      </c>
      <c r="D13" s="414" t="s">
        <v>537</v>
      </c>
      <c r="E13" s="418">
        <f>O13</f>
        <v>2.8585607940446649</v>
      </c>
      <c r="F13" s="397">
        <f>C13*E13</f>
        <v>3601.786600496278</v>
      </c>
      <c r="G13" s="399" t="s">
        <v>532</v>
      </c>
      <c r="H13" s="415"/>
      <c r="J13" s="416"/>
      <c r="K13" s="416">
        <f>+F13</f>
        <v>3601.786600496278</v>
      </c>
      <c r="L13" s="419"/>
      <c r="N13" s="776">
        <v>288</v>
      </c>
      <c r="O13" s="778">
        <f t="shared" si="0"/>
        <v>2.8585607940446649</v>
      </c>
      <c r="P13" s="777" t="s">
        <v>1095</v>
      </c>
    </row>
    <row r="14" spans="1:16" ht="30" x14ac:dyDescent="0.25">
      <c r="A14" s="394" t="s">
        <v>538</v>
      </c>
      <c r="B14" s="420" t="s">
        <v>539</v>
      </c>
      <c r="C14" s="414">
        <f>(9*(60+60+50))*0.4*1.4</f>
        <v>856.8</v>
      </c>
      <c r="D14" s="414" t="s">
        <v>86</v>
      </c>
      <c r="E14" s="418">
        <f>O14</f>
        <v>12.616377171215881</v>
      </c>
      <c r="F14" s="397">
        <f>C14*E14</f>
        <v>10809.711960297765</v>
      </c>
      <c r="G14" s="399" t="s">
        <v>532</v>
      </c>
      <c r="H14" s="415"/>
      <c r="J14" s="416"/>
      <c r="K14" s="416">
        <f>+F14</f>
        <v>10809.711960297765</v>
      </c>
      <c r="N14" s="776">
        <v>1271.0999999999999</v>
      </c>
      <c r="O14" s="778">
        <f t="shared" si="0"/>
        <v>12.616377171215881</v>
      </c>
      <c r="P14" s="777" t="s">
        <v>1095</v>
      </c>
    </row>
    <row r="15" spans="1:16" ht="30" x14ac:dyDescent="0.25">
      <c r="A15" s="394" t="s">
        <v>540</v>
      </c>
      <c r="B15" s="420" t="s">
        <v>541</v>
      </c>
      <c r="C15" s="414">
        <f>24*34*0.6*1.4</f>
        <v>685.43999999999994</v>
      </c>
      <c r="D15" s="414" t="s">
        <v>86</v>
      </c>
      <c r="E15" s="418">
        <f>E14</f>
        <v>12.616377171215881</v>
      </c>
      <c r="F15" s="397">
        <f>C15*E15</f>
        <v>8647.7695682382127</v>
      </c>
      <c r="G15" s="399" t="s">
        <v>532</v>
      </c>
      <c r="H15" s="415"/>
      <c r="J15" s="416"/>
      <c r="K15" s="416">
        <f>+F15</f>
        <v>8647.7695682382127</v>
      </c>
      <c r="N15" s="776">
        <v>1271.0999999999999</v>
      </c>
      <c r="O15" s="778">
        <f t="shared" si="0"/>
        <v>12.616377171215881</v>
      </c>
      <c r="P15" s="777" t="s">
        <v>1095</v>
      </c>
    </row>
    <row r="16" spans="1:16" ht="15" x14ac:dyDescent="0.25">
      <c r="A16" s="394" t="s">
        <v>542</v>
      </c>
      <c r="B16" s="385" t="s">
        <v>543</v>
      </c>
      <c r="C16" s="385"/>
      <c r="D16" s="385"/>
      <c r="E16" s="387"/>
      <c r="F16" s="387"/>
      <c r="G16" s="417"/>
      <c r="H16" s="389"/>
      <c r="J16" s="416"/>
      <c r="K16" s="416"/>
      <c r="N16" s="776"/>
      <c r="O16" s="778">
        <f t="shared" si="0"/>
        <v>0</v>
      </c>
      <c r="P16" s="777"/>
    </row>
    <row r="17" spans="1:252" ht="60" x14ac:dyDescent="0.25">
      <c r="A17" s="394"/>
      <c r="B17" s="413" t="s">
        <v>544</v>
      </c>
      <c r="C17" s="414">
        <f>(9*(60+60+50))</f>
        <v>1530</v>
      </c>
      <c r="D17" s="414" t="s">
        <v>545</v>
      </c>
      <c r="E17" s="418">
        <f>O17</f>
        <v>39.682626262626265</v>
      </c>
      <c r="F17" s="397">
        <f>C17*E17</f>
        <v>60714.418181818182</v>
      </c>
      <c r="G17" s="399" t="s">
        <v>532</v>
      </c>
      <c r="H17" s="415"/>
      <c r="I17" s="383" t="s">
        <v>546</v>
      </c>
      <c r="J17" s="416"/>
      <c r="K17" s="416">
        <f>+F17</f>
        <v>60714.418181818182</v>
      </c>
      <c r="N17" s="776">
        <v>3928.58</v>
      </c>
      <c r="O17" s="778">
        <f>+N17/99</f>
        <v>39.682626262626265</v>
      </c>
      <c r="P17" s="777" t="s">
        <v>1098</v>
      </c>
    </row>
    <row r="18" spans="1:252" ht="15" x14ac:dyDescent="0.25">
      <c r="A18" s="394" t="s">
        <v>547</v>
      </c>
      <c r="B18" s="385" t="s">
        <v>548</v>
      </c>
      <c r="C18" s="385"/>
      <c r="D18" s="385"/>
      <c r="E18" s="387"/>
      <c r="F18" s="397"/>
      <c r="G18" s="417"/>
      <c r="H18" s="389"/>
      <c r="J18" s="416"/>
      <c r="K18" s="416"/>
      <c r="N18" s="776"/>
      <c r="O18" s="778">
        <f t="shared" si="0"/>
        <v>0</v>
      </c>
      <c r="P18" s="777"/>
    </row>
    <row r="19" spans="1:252" ht="45" x14ac:dyDescent="0.25">
      <c r="A19" s="394" t="s">
        <v>549</v>
      </c>
      <c r="B19" s="413" t="s">
        <v>550</v>
      </c>
      <c r="C19" s="414">
        <f>30*3*0.3</f>
        <v>27</v>
      </c>
      <c r="D19" s="414" t="s">
        <v>86</v>
      </c>
      <c r="E19" s="418">
        <f>O19</f>
        <v>634.1824644549763</v>
      </c>
      <c r="F19" s="397">
        <f>C19*E19</f>
        <v>17122.926540284359</v>
      </c>
      <c r="G19" s="399" t="s">
        <v>532</v>
      </c>
      <c r="H19" s="400"/>
      <c r="I19" s="421" t="s">
        <v>551</v>
      </c>
      <c r="J19" s="416">
        <f>+F19</f>
        <v>17122.926540284359</v>
      </c>
      <c r="K19" s="416"/>
      <c r="N19" s="776">
        <v>64230</v>
      </c>
      <c r="O19" s="778">
        <f>+N19/101.28</f>
        <v>634.1824644549763</v>
      </c>
      <c r="P19" s="777" t="s">
        <v>1096</v>
      </c>
    </row>
    <row r="20" spans="1:252" ht="13.5" customHeight="1" x14ac:dyDescent="0.25">
      <c r="A20" s="394" t="s">
        <v>552</v>
      </c>
      <c r="B20" s="385" t="s">
        <v>553</v>
      </c>
      <c r="C20" s="385"/>
      <c r="D20" s="385"/>
      <c r="E20" s="387"/>
      <c r="F20" s="387"/>
      <c r="G20" s="417"/>
      <c r="H20" s="400"/>
      <c r="J20" s="416"/>
      <c r="K20" s="416"/>
      <c r="N20" s="776"/>
      <c r="O20" s="778">
        <f t="shared" si="0"/>
        <v>0</v>
      </c>
      <c r="P20" s="777"/>
    </row>
    <row r="21" spans="1:252" ht="48.75" customHeight="1" x14ac:dyDescent="0.25">
      <c r="A21" s="394"/>
      <c r="B21" s="413" t="s">
        <v>554</v>
      </c>
      <c r="C21" s="414">
        <f>24*34</f>
        <v>816</v>
      </c>
      <c r="D21" s="414" t="s">
        <v>156</v>
      </c>
      <c r="E21" s="418">
        <f>O21</f>
        <v>50.421836228287845</v>
      </c>
      <c r="F21" s="397">
        <f>C21*E21</f>
        <v>41144.218362282882</v>
      </c>
      <c r="G21" s="399" t="s">
        <v>532</v>
      </c>
      <c r="H21" s="400"/>
      <c r="J21" s="416">
        <f>+F21</f>
        <v>41144.218362282882</v>
      </c>
      <c r="K21" s="422"/>
      <c r="N21" s="776">
        <v>5080</v>
      </c>
      <c r="O21" s="778">
        <f t="shared" si="0"/>
        <v>50.421836228287845</v>
      </c>
      <c r="P21" s="777" t="s">
        <v>1095</v>
      </c>
    </row>
    <row r="22" spans="1:252" ht="60" x14ac:dyDescent="0.25">
      <c r="A22" s="394" t="s">
        <v>555</v>
      </c>
      <c r="B22" s="386" t="s">
        <v>556</v>
      </c>
      <c r="C22" s="414">
        <f>21*31</f>
        <v>651</v>
      </c>
      <c r="D22" s="414" t="s">
        <v>156</v>
      </c>
      <c r="E22" s="418">
        <f>(1405.63 + ((3*16585.62)/651) + 46)/$M$3</f>
        <v>187.95343524863819</v>
      </c>
      <c r="F22" s="397">
        <f>C22*E22</f>
        <v>122357.68634686345</v>
      </c>
      <c r="G22" s="399" t="s">
        <v>532</v>
      </c>
      <c r="H22" s="423"/>
      <c r="I22" s="424" t="s">
        <v>557</v>
      </c>
      <c r="J22" s="425">
        <f>+F22</f>
        <v>122357.68634686345</v>
      </c>
      <c r="K22" s="416"/>
      <c r="N22" s="776"/>
      <c r="O22" s="778"/>
      <c r="P22" s="777" t="s">
        <v>1097</v>
      </c>
    </row>
    <row r="23" spans="1:252" ht="49.5" customHeight="1" x14ac:dyDescent="0.25">
      <c r="A23" s="394" t="s">
        <v>558</v>
      </c>
      <c r="B23" s="386" t="s">
        <v>559</v>
      </c>
      <c r="C23" s="414">
        <v>36</v>
      </c>
      <c r="D23" s="414" t="s">
        <v>159</v>
      </c>
      <c r="E23" s="418">
        <f>O23</f>
        <v>27.791563275434243</v>
      </c>
      <c r="F23" s="397">
        <f>C23*E23</f>
        <v>1000.4962779156327</v>
      </c>
      <c r="G23" s="399" t="s">
        <v>532</v>
      </c>
      <c r="H23" s="415"/>
      <c r="J23" s="416"/>
      <c r="K23" s="416">
        <f>+F23</f>
        <v>1000.4962779156327</v>
      </c>
      <c r="N23" s="776">
        <v>2800</v>
      </c>
      <c r="O23" s="778">
        <f t="shared" si="0"/>
        <v>27.791563275434243</v>
      </c>
      <c r="P23" s="777" t="s">
        <v>1095</v>
      </c>
    </row>
    <row r="24" spans="1:252" ht="63" customHeight="1" x14ac:dyDescent="0.25">
      <c r="A24" s="394" t="s">
        <v>560</v>
      </c>
      <c r="B24" s="386" t="s">
        <v>561</v>
      </c>
      <c r="C24" s="414">
        <v>1</v>
      </c>
      <c r="D24" s="414" t="s">
        <v>562</v>
      </c>
      <c r="E24" s="418">
        <f>85400/$M$3</f>
        <v>10504.30504305043</v>
      </c>
      <c r="F24" s="397">
        <f>C24*E24</f>
        <v>10504.30504305043</v>
      </c>
      <c r="G24" s="399" t="s">
        <v>532</v>
      </c>
      <c r="H24" s="415"/>
      <c r="I24" s="424" t="s">
        <v>563</v>
      </c>
      <c r="J24" s="416"/>
      <c r="K24" s="416">
        <f>+F24</f>
        <v>10504.30504305043</v>
      </c>
      <c r="N24" s="776">
        <v>114000</v>
      </c>
      <c r="O24" s="778">
        <f t="shared" si="0"/>
        <v>1131.5136476426799</v>
      </c>
      <c r="P24" s="777" t="s">
        <v>1099</v>
      </c>
    </row>
    <row r="25" spans="1:252" ht="59.25" customHeight="1" x14ac:dyDescent="0.25">
      <c r="A25" s="394" t="s">
        <v>564</v>
      </c>
      <c r="B25" s="386" t="s">
        <v>565</v>
      </c>
      <c r="C25" s="414">
        <v>1</v>
      </c>
      <c r="D25" s="414" t="s">
        <v>562</v>
      </c>
      <c r="E25" s="418">
        <f>O25</f>
        <v>1698.9393696275072</v>
      </c>
      <c r="F25" s="397">
        <f>C25*E25</f>
        <v>1698.9393696275072</v>
      </c>
      <c r="G25" s="399" t="s">
        <v>532</v>
      </c>
      <c r="H25" s="426" t="s">
        <v>566</v>
      </c>
      <c r="I25" s="424" t="s">
        <v>567</v>
      </c>
      <c r="J25" s="416"/>
      <c r="K25" s="416">
        <f>+F25</f>
        <v>1698.9393696275072</v>
      </c>
      <c r="L25" s="424"/>
      <c r="M25" s="424"/>
      <c r="N25" s="776">
        <v>148232.46</v>
      </c>
      <c r="O25" s="778">
        <f>+N25/87.25</f>
        <v>1698.9393696275072</v>
      </c>
      <c r="P25" s="779" t="s">
        <v>1095</v>
      </c>
      <c r="Q25" s="424"/>
      <c r="R25" s="424"/>
      <c r="S25" s="424"/>
      <c r="T25" s="424"/>
      <c r="U25" s="424"/>
      <c r="V25" s="427"/>
      <c r="W25" s="419"/>
      <c r="X25" s="424"/>
      <c r="Y25" s="424"/>
      <c r="Z25" s="424"/>
      <c r="AA25" s="424"/>
      <c r="AB25" s="424"/>
      <c r="AC25" s="424"/>
      <c r="AD25" s="427"/>
      <c r="AE25" s="419"/>
      <c r="AF25" s="424"/>
      <c r="AG25" s="424"/>
      <c r="AH25" s="424"/>
      <c r="AI25" s="424"/>
      <c r="AJ25" s="424"/>
      <c r="AK25" s="424"/>
      <c r="AL25" s="427"/>
      <c r="AM25" s="419"/>
      <c r="AN25" s="424"/>
      <c r="AO25" s="424"/>
      <c r="AP25" s="424"/>
      <c r="AQ25" s="424"/>
      <c r="AR25" s="424"/>
      <c r="AS25" s="424"/>
      <c r="AT25" s="427"/>
      <c r="AU25" s="419"/>
      <c r="AV25" s="424"/>
      <c r="AW25" s="424"/>
      <c r="AX25" s="424"/>
      <c r="AY25" s="424"/>
      <c r="AZ25" s="424"/>
      <c r="BA25" s="424"/>
      <c r="BB25" s="427"/>
      <c r="BC25" s="419"/>
      <c r="BD25" s="424"/>
      <c r="BE25" s="424"/>
      <c r="BF25" s="424"/>
      <c r="BG25" s="424"/>
      <c r="BH25" s="424"/>
      <c r="BI25" s="424"/>
      <c r="BJ25" s="427"/>
      <c r="BK25" s="419"/>
      <c r="BL25" s="424"/>
      <c r="BM25" s="424"/>
      <c r="BN25" s="424"/>
      <c r="BO25" s="424"/>
      <c r="BP25" s="424"/>
      <c r="BQ25" s="424"/>
      <c r="BR25" s="427"/>
      <c r="BS25" s="419"/>
      <c r="BT25" s="424"/>
      <c r="BU25" s="424"/>
      <c r="BV25" s="424"/>
      <c r="BW25" s="424"/>
      <c r="BX25" s="424"/>
      <c r="BY25" s="424"/>
      <c r="BZ25" s="427"/>
      <c r="CA25" s="419"/>
      <c r="CB25" s="424"/>
      <c r="CC25" s="424"/>
      <c r="CD25" s="424"/>
      <c r="CE25" s="424"/>
      <c r="CF25" s="424"/>
      <c r="CG25" s="424"/>
      <c r="CH25" s="427"/>
      <c r="CI25" s="419"/>
      <c r="CJ25" s="424"/>
      <c r="CK25" s="424"/>
      <c r="CL25" s="424"/>
      <c r="CM25" s="424"/>
      <c r="CN25" s="424"/>
      <c r="CO25" s="424"/>
      <c r="CP25" s="427"/>
      <c r="CQ25" s="419"/>
      <c r="CR25" s="424"/>
      <c r="CS25" s="424"/>
      <c r="CT25" s="424"/>
      <c r="CU25" s="424"/>
      <c r="CV25" s="424"/>
      <c r="CW25" s="424"/>
      <c r="CX25" s="427"/>
      <c r="CY25" s="419"/>
      <c r="CZ25" s="424"/>
      <c r="DA25" s="424"/>
      <c r="DB25" s="424"/>
      <c r="DC25" s="424"/>
      <c r="DD25" s="424"/>
      <c r="DE25" s="424"/>
      <c r="DF25" s="427"/>
      <c r="DG25" s="419"/>
      <c r="DH25" s="424"/>
      <c r="DI25" s="424"/>
      <c r="DJ25" s="424"/>
      <c r="DK25" s="424"/>
      <c r="DL25" s="424"/>
      <c r="DM25" s="424"/>
      <c r="DN25" s="427"/>
      <c r="DO25" s="419"/>
      <c r="DP25" s="424"/>
      <c r="DQ25" s="424"/>
      <c r="DR25" s="424"/>
      <c r="DS25" s="424"/>
      <c r="DT25" s="424"/>
      <c r="DU25" s="424"/>
      <c r="DV25" s="427"/>
      <c r="DW25" s="419"/>
      <c r="DX25" s="424"/>
      <c r="DY25" s="424"/>
      <c r="DZ25" s="424"/>
      <c r="EA25" s="424"/>
      <c r="EB25" s="424"/>
      <c r="EC25" s="424"/>
      <c r="ED25" s="427"/>
      <c r="EE25" s="419"/>
      <c r="EF25" s="424"/>
      <c r="EG25" s="424"/>
      <c r="EH25" s="424"/>
      <c r="EI25" s="424"/>
      <c r="EJ25" s="424"/>
      <c r="EK25" s="424"/>
      <c r="EL25" s="427"/>
      <c r="EM25" s="419"/>
      <c r="EN25" s="424"/>
      <c r="EO25" s="424"/>
      <c r="EP25" s="424"/>
      <c r="EQ25" s="424"/>
      <c r="ER25" s="424"/>
      <c r="ES25" s="424"/>
      <c r="ET25" s="427"/>
      <c r="EU25" s="419"/>
      <c r="EV25" s="424"/>
      <c r="EW25" s="424"/>
      <c r="EX25" s="424"/>
      <c r="EY25" s="424"/>
      <c r="EZ25" s="424"/>
      <c r="FA25" s="424"/>
      <c r="FB25" s="427"/>
      <c r="FC25" s="419"/>
      <c r="FD25" s="424"/>
      <c r="FE25" s="424"/>
      <c r="FF25" s="424"/>
      <c r="FG25" s="424"/>
      <c r="FH25" s="424"/>
      <c r="FI25" s="424"/>
      <c r="FJ25" s="427"/>
      <c r="FK25" s="419"/>
      <c r="FL25" s="424"/>
      <c r="FM25" s="424"/>
      <c r="FN25" s="424"/>
      <c r="FO25" s="424"/>
      <c r="FP25" s="424"/>
      <c r="FQ25" s="424"/>
      <c r="FR25" s="427"/>
      <c r="FS25" s="419"/>
      <c r="FT25" s="424"/>
      <c r="FU25" s="424"/>
      <c r="FV25" s="424"/>
      <c r="FW25" s="424"/>
      <c r="FX25" s="424"/>
      <c r="FY25" s="424"/>
      <c r="FZ25" s="427"/>
      <c r="GA25" s="419"/>
      <c r="GB25" s="424"/>
      <c r="GC25" s="424"/>
      <c r="GD25" s="424"/>
      <c r="GE25" s="424"/>
      <c r="GF25" s="424"/>
      <c r="GG25" s="424"/>
      <c r="GH25" s="427"/>
      <c r="GI25" s="419"/>
      <c r="GJ25" s="424"/>
      <c r="GK25" s="424"/>
      <c r="GL25" s="424"/>
      <c r="GM25" s="424"/>
      <c r="GN25" s="424"/>
      <c r="GO25" s="424"/>
      <c r="GP25" s="427"/>
      <c r="GQ25" s="419"/>
      <c r="GR25" s="424"/>
      <c r="GS25" s="424"/>
      <c r="GT25" s="424"/>
      <c r="GU25" s="424"/>
      <c r="GV25" s="424"/>
      <c r="GW25" s="424"/>
      <c r="GX25" s="427"/>
      <c r="GY25" s="419"/>
      <c r="GZ25" s="424"/>
      <c r="HA25" s="424"/>
      <c r="HB25" s="424"/>
      <c r="HC25" s="424"/>
      <c r="HD25" s="424"/>
      <c r="HE25" s="424"/>
      <c r="HF25" s="427"/>
      <c r="HG25" s="419"/>
      <c r="HH25" s="424"/>
      <c r="HI25" s="424"/>
      <c r="HJ25" s="424"/>
      <c r="HK25" s="424"/>
      <c r="HL25" s="424"/>
      <c r="HM25" s="424"/>
      <c r="HN25" s="427"/>
      <c r="HO25" s="419"/>
      <c r="HP25" s="424"/>
      <c r="HQ25" s="424"/>
      <c r="HR25" s="424"/>
      <c r="HS25" s="424"/>
      <c r="HT25" s="424"/>
      <c r="HU25" s="424"/>
      <c r="HV25" s="427"/>
      <c r="HW25" s="419"/>
      <c r="HX25" s="424"/>
      <c r="HY25" s="424"/>
      <c r="HZ25" s="424"/>
      <c r="IA25" s="424"/>
      <c r="IB25" s="424"/>
      <c r="IC25" s="424"/>
      <c r="ID25" s="427"/>
      <c r="IE25" s="419"/>
      <c r="IF25" s="424"/>
      <c r="IG25" s="424"/>
      <c r="IH25" s="424"/>
      <c r="II25" s="424"/>
      <c r="IJ25" s="424"/>
      <c r="IK25" s="424"/>
      <c r="IL25" s="427"/>
      <c r="IM25" s="419"/>
      <c r="IN25" s="424"/>
      <c r="IO25" s="424"/>
      <c r="IP25" s="424"/>
      <c r="IQ25" s="424"/>
      <c r="IR25" s="424"/>
    </row>
    <row r="26" spans="1:252" ht="15" x14ac:dyDescent="0.25">
      <c r="A26" s="411">
        <v>3</v>
      </c>
      <c r="B26" s="428" t="s">
        <v>568</v>
      </c>
      <c r="C26" s="428"/>
      <c r="D26" s="428"/>
      <c r="E26" s="403"/>
      <c r="F26" s="403"/>
      <c r="G26" s="429"/>
      <c r="H26" s="430"/>
      <c r="J26" s="416"/>
      <c r="K26" s="416"/>
      <c r="N26" s="776"/>
      <c r="O26" s="778">
        <f t="shared" si="0"/>
        <v>0</v>
      </c>
      <c r="P26" s="777"/>
    </row>
    <row r="27" spans="1:252" ht="45" x14ac:dyDescent="0.25">
      <c r="A27" s="394" t="s">
        <v>569</v>
      </c>
      <c r="B27" s="413" t="s">
        <v>570</v>
      </c>
      <c r="C27" s="414">
        <v>1</v>
      </c>
      <c r="D27" s="414" t="s">
        <v>531</v>
      </c>
      <c r="E27" s="418">
        <f>O27</f>
        <v>7932.1753515301898</v>
      </c>
      <c r="F27" s="397">
        <f>C27*E27</f>
        <v>7932.1753515301898</v>
      </c>
      <c r="G27" s="399" t="s">
        <v>532</v>
      </c>
      <c r="H27" s="415"/>
      <c r="J27" s="416"/>
      <c r="K27" s="416">
        <f>+F27</f>
        <v>7932.1753515301898</v>
      </c>
      <c r="N27" s="776">
        <f>+N45/6</f>
        <v>799166.66666666663</v>
      </c>
      <c r="O27" s="778">
        <f t="shared" si="0"/>
        <v>7932.1753515301898</v>
      </c>
      <c r="P27" s="777" t="s">
        <v>1095</v>
      </c>
    </row>
    <row r="28" spans="1:252" ht="15" x14ac:dyDescent="0.25">
      <c r="A28" s="411">
        <v>4</v>
      </c>
      <c r="B28" s="412" t="s">
        <v>571</v>
      </c>
      <c r="C28" s="412"/>
      <c r="D28" s="412"/>
      <c r="E28" s="403"/>
      <c r="F28" s="403"/>
      <c r="G28" s="404"/>
      <c r="H28" s="390"/>
      <c r="J28" s="416"/>
      <c r="K28" s="416"/>
      <c r="N28" s="776"/>
      <c r="O28" s="778">
        <f t="shared" si="0"/>
        <v>0</v>
      </c>
      <c r="P28" s="777"/>
    </row>
    <row r="29" spans="1:252" ht="150" x14ac:dyDescent="0.25">
      <c r="A29" s="394" t="s">
        <v>572</v>
      </c>
      <c r="B29" s="413" t="s">
        <v>573</v>
      </c>
      <c r="C29" s="414">
        <v>1</v>
      </c>
      <c r="D29" s="414" t="s">
        <v>531</v>
      </c>
      <c r="E29" s="431">
        <f>O29</f>
        <v>121170.72952853599</v>
      </c>
      <c r="F29" s="397">
        <f>C29*E29</f>
        <v>121170.72952853599</v>
      </c>
      <c r="G29" s="399" t="s">
        <v>254</v>
      </c>
      <c r="H29" s="415"/>
      <c r="I29" s="383" t="s">
        <v>574</v>
      </c>
      <c r="J29" s="416"/>
      <c r="K29" s="416">
        <f>+F29</f>
        <v>121170.72952853599</v>
      </c>
      <c r="N29" s="776">
        <f>(54090000-13396830)/3*0.9</f>
        <v>12207951</v>
      </c>
      <c r="O29" s="778">
        <f t="shared" si="0"/>
        <v>121170.72952853599</v>
      </c>
      <c r="P29" s="777" t="s">
        <v>1095</v>
      </c>
    </row>
    <row r="30" spans="1:252" ht="30" x14ac:dyDescent="0.25">
      <c r="A30" s="432">
        <v>5</v>
      </c>
      <c r="B30" s="433" t="s">
        <v>575</v>
      </c>
      <c r="C30" s="412"/>
      <c r="D30" s="412"/>
      <c r="E30" s="403"/>
      <c r="F30" s="403"/>
      <c r="G30" s="404"/>
      <c r="H30" s="390"/>
      <c r="J30" s="416"/>
      <c r="K30" s="416"/>
      <c r="N30" s="776"/>
      <c r="O30" s="778">
        <f t="shared" si="0"/>
        <v>0</v>
      </c>
      <c r="P30" s="777"/>
    </row>
    <row r="31" spans="1:252" ht="60" x14ac:dyDescent="0.25">
      <c r="A31" s="394" t="s">
        <v>576</v>
      </c>
      <c r="B31" s="386" t="s">
        <v>577</v>
      </c>
      <c r="C31" s="434">
        <v>1</v>
      </c>
      <c r="D31" s="414" t="s">
        <v>531</v>
      </c>
      <c r="E31" s="397">
        <f>O31</f>
        <v>67782.23495702006</v>
      </c>
      <c r="F31" s="397">
        <f>C31*E31</f>
        <v>67782.23495702006</v>
      </c>
      <c r="G31" s="399" t="s">
        <v>532</v>
      </c>
      <c r="H31" s="415"/>
      <c r="J31" s="416"/>
      <c r="K31" s="416">
        <f>+F31</f>
        <v>67782.23495702006</v>
      </c>
      <c r="N31" s="776">
        <v>5914000</v>
      </c>
      <c r="O31" s="778">
        <f>+N31/87.25</f>
        <v>67782.23495702006</v>
      </c>
      <c r="P31" s="777" t="s">
        <v>1095</v>
      </c>
    </row>
    <row r="32" spans="1:252" ht="15" x14ac:dyDescent="0.25">
      <c r="A32" s="394" t="s">
        <v>578</v>
      </c>
      <c r="B32" s="385" t="s">
        <v>579</v>
      </c>
      <c r="C32" s="385"/>
      <c r="D32" s="385"/>
      <c r="E32" s="387"/>
      <c r="F32" s="387"/>
      <c r="G32" s="417"/>
      <c r="H32" s="389"/>
      <c r="J32" s="416"/>
      <c r="K32" s="416"/>
      <c r="N32" s="776"/>
      <c r="O32" s="778">
        <f t="shared" si="0"/>
        <v>0</v>
      </c>
      <c r="P32" s="777"/>
    </row>
    <row r="33" spans="1:16" ht="135" x14ac:dyDescent="0.25">
      <c r="A33" s="394" t="s">
        <v>580</v>
      </c>
      <c r="B33" s="413" t="s">
        <v>581</v>
      </c>
      <c r="C33" s="414">
        <v>1</v>
      </c>
      <c r="D33" s="414" t="s">
        <v>531</v>
      </c>
      <c r="E33" s="397"/>
      <c r="F33" s="397"/>
      <c r="G33" s="399" t="s">
        <v>532</v>
      </c>
      <c r="H33" s="415"/>
      <c r="J33" s="416"/>
      <c r="K33" s="416">
        <f>+F33</f>
        <v>0</v>
      </c>
      <c r="N33" s="776">
        <f>+N29</f>
        <v>12207951</v>
      </c>
      <c r="O33" s="778">
        <f t="shared" si="0"/>
        <v>121170.72952853599</v>
      </c>
      <c r="P33" s="777" t="s">
        <v>1095</v>
      </c>
    </row>
    <row r="34" spans="1:16" ht="63.75" customHeight="1" x14ac:dyDescent="0.25">
      <c r="A34" s="394" t="s">
        <v>582</v>
      </c>
      <c r="B34" s="386" t="s">
        <v>583</v>
      </c>
      <c r="C34" s="434">
        <v>1</v>
      </c>
      <c r="D34" s="414" t="s">
        <v>531</v>
      </c>
      <c r="E34" s="397">
        <f>O34</f>
        <v>121170.72952853599</v>
      </c>
      <c r="F34" s="397">
        <f>C34*E34</f>
        <v>121170.72952853599</v>
      </c>
      <c r="G34" s="399" t="s">
        <v>532</v>
      </c>
      <c r="H34" s="415"/>
      <c r="J34" s="416"/>
      <c r="K34" s="416">
        <f>+F34</f>
        <v>121170.72952853599</v>
      </c>
      <c r="N34" s="776">
        <f>+N33</f>
        <v>12207951</v>
      </c>
      <c r="O34" s="778">
        <f t="shared" si="0"/>
        <v>121170.72952853599</v>
      </c>
      <c r="P34" s="777" t="s">
        <v>1095</v>
      </c>
    </row>
    <row r="35" spans="1:16" ht="50.1" customHeight="1" x14ac:dyDescent="0.25">
      <c r="A35" s="401" t="s">
        <v>523</v>
      </c>
      <c r="B35" s="402" t="s">
        <v>524</v>
      </c>
      <c r="C35" s="837" t="s">
        <v>525</v>
      </c>
      <c r="D35" s="837"/>
      <c r="E35" s="403" t="s">
        <v>526</v>
      </c>
      <c r="F35" s="403" t="s">
        <v>527</v>
      </c>
      <c r="G35" s="404"/>
      <c r="H35" s="415"/>
      <c r="J35" s="416"/>
      <c r="K35" s="416"/>
      <c r="N35" s="776"/>
      <c r="O35" s="778">
        <f t="shared" si="0"/>
        <v>0</v>
      </c>
      <c r="P35" s="777"/>
    </row>
    <row r="36" spans="1:16" ht="15" x14ac:dyDescent="0.25">
      <c r="A36" s="411">
        <v>6</v>
      </c>
      <c r="B36" s="412" t="s">
        <v>584</v>
      </c>
      <c r="C36" s="412"/>
      <c r="D36" s="412"/>
      <c r="E36" s="403"/>
      <c r="F36" s="403"/>
      <c r="G36" s="404"/>
      <c r="H36" s="390"/>
      <c r="J36" s="416"/>
      <c r="K36" s="416"/>
      <c r="N36" s="776"/>
      <c r="O36" s="778">
        <f t="shared" si="0"/>
        <v>0</v>
      </c>
      <c r="P36" s="777"/>
    </row>
    <row r="37" spans="1:16" ht="15" x14ac:dyDescent="0.25">
      <c r="A37" s="394" t="s">
        <v>585</v>
      </c>
      <c r="B37" s="395" t="s">
        <v>586</v>
      </c>
      <c r="C37" s="396"/>
      <c r="D37" s="396"/>
      <c r="E37" s="397"/>
      <c r="F37" s="397"/>
      <c r="G37" s="399"/>
      <c r="H37" s="400"/>
      <c r="J37" s="416"/>
      <c r="K37" s="416"/>
      <c r="N37" s="776"/>
      <c r="O37" s="778">
        <f t="shared" si="0"/>
        <v>0</v>
      </c>
      <c r="P37" s="777"/>
    </row>
    <row r="38" spans="1:16" ht="60" x14ac:dyDescent="0.25">
      <c r="A38" s="394"/>
      <c r="B38" s="386" t="s">
        <v>587</v>
      </c>
      <c r="C38" s="396">
        <v>1</v>
      </c>
      <c r="D38" s="396" t="s">
        <v>531</v>
      </c>
      <c r="E38" s="418">
        <f>O38</f>
        <v>132971.01736972705</v>
      </c>
      <c r="F38" s="397">
        <f>C38*E38</f>
        <v>132971.01736972705</v>
      </c>
      <c r="G38" s="399" t="s">
        <v>532</v>
      </c>
      <c r="H38" s="400"/>
      <c r="I38" s="383" t="s">
        <v>588</v>
      </c>
      <c r="J38" s="416"/>
      <c r="K38" s="416">
        <f>+F38</f>
        <v>132971.01736972705</v>
      </c>
      <c r="N38" s="776">
        <v>13396830</v>
      </c>
      <c r="O38" s="778">
        <f t="shared" si="0"/>
        <v>132971.01736972705</v>
      </c>
      <c r="P38" s="777" t="s">
        <v>1095</v>
      </c>
    </row>
    <row r="39" spans="1:16" ht="15" x14ac:dyDescent="0.25">
      <c r="A39" s="394" t="s">
        <v>589</v>
      </c>
      <c r="B39" s="395" t="s">
        <v>590</v>
      </c>
      <c r="C39" s="396"/>
      <c r="D39" s="396"/>
      <c r="E39" s="397"/>
      <c r="F39" s="397"/>
      <c r="G39" s="399"/>
      <c r="H39" s="400"/>
      <c r="J39" s="416"/>
      <c r="K39" s="416"/>
      <c r="N39" s="776"/>
      <c r="O39" s="778">
        <f t="shared" si="0"/>
        <v>0</v>
      </c>
      <c r="P39" s="777"/>
    </row>
    <row r="40" spans="1:16" ht="75" x14ac:dyDescent="0.25">
      <c r="A40" s="394"/>
      <c r="B40" s="386" t="s">
        <v>591</v>
      </c>
      <c r="C40" s="396">
        <v>1</v>
      </c>
      <c r="D40" s="396" t="s">
        <v>531</v>
      </c>
      <c r="E40" s="418">
        <f>O40</f>
        <v>12117.072952853599</v>
      </c>
      <c r="F40" s="397">
        <f>C40*E40</f>
        <v>12117.072952853599</v>
      </c>
      <c r="G40" s="399" t="s">
        <v>532</v>
      </c>
      <c r="H40" s="400"/>
      <c r="J40" s="416"/>
      <c r="K40" s="416">
        <f>+F40</f>
        <v>12117.072952853599</v>
      </c>
      <c r="N40" s="776">
        <f>+N33*0.1</f>
        <v>1220795.1000000001</v>
      </c>
      <c r="O40" s="778">
        <f t="shared" si="0"/>
        <v>12117.072952853599</v>
      </c>
      <c r="P40" s="777" t="s">
        <v>1095</v>
      </c>
    </row>
    <row r="41" spans="1:16" ht="15" x14ac:dyDescent="0.25">
      <c r="A41" s="394" t="s">
        <v>592</v>
      </c>
      <c r="B41" s="395" t="s">
        <v>593</v>
      </c>
      <c r="C41" s="396"/>
      <c r="D41" s="396"/>
      <c r="E41" s="397"/>
      <c r="F41" s="397"/>
      <c r="G41" s="399"/>
      <c r="H41" s="415"/>
      <c r="J41" s="416"/>
      <c r="K41" s="416"/>
      <c r="N41" s="776"/>
      <c r="O41" s="778">
        <f t="shared" si="0"/>
        <v>0</v>
      </c>
      <c r="P41" s="777"/>
    </row>
    <row r="42" spans="1:16" ht="126" customHeight="1" x14ac:dyDescent="0.25">
      <c r="A42" s="394"/>
      <c r="B42" s="420" t="s">
        <v>594</v>
      </c>
      <c r="C42" s="396">
        <f>60+60+72+72</f>
        <v>264</v>
      </c>
      <c r="D42" s="396" t="s">
        <v>595</v>
      </c>
      <c r="E42" s="418">
        <f>O42</f>
        <v>24.94</v>
      </c>
      <c r="F42" s="397">
        <f>C42*E42</f>
        <v>6584.1600000000008</v>
      </c>
      <c r="G42" s="399" t="s">
        <v>254</v>
      </c>
      <c r="H42" s="415"/>
      <c r="J42" s="416"/>
      <c r="K42" s="416">
        <f>+F42</f>
        <v>6584.1600000000008</v>
      </c>
      <c r="N42" s="776"/>
      <c r="O42" s="778">
        <v>24.94</v>
      </c>
      <c r="P42" s="777" t="s">
        <v>1100</v>
      </c>
    </row>
    <row r="43" spans="1:16" ht="50.1" customHeight="1" x14ac:dyDescent="0.25">
      <c r="A43" s="401" t="s">
        <v>523</v>
      </c>
      <c r="B43" s="402" t="s">
        <v>524</v>
      </c>
      <c r="C43" s="837" t="s">
        <v>525</v>
      </c>
      <c r="D43" s="837"/>
      <c r="E43" s="403" t="s">
        <v>526</v>
      </c>
      <c r="F43" s="403" t="s">
        <v>527</v>
      </c>
      <c r="G43" s="404"/>
      <c r="H43" s="400"/>
      <c r="J43" s="416"/>
      <c r="K43" s="416"/>
      <c r="N43" s="776"/>
      <c r="O43" s="778">
        <f t="shared" si="0"/>
        <v>0</v>
      </c>
      <c r="P43" s="777"/>
    </row>
    <row r="44" spans="1:16" ht="15" x14ac:dyDescent="0.25">
      <c r="A44" s="394" t="s">
        <v>596</v>
      </c>
      <c r="B44" s="395" t="s">
        <v>597</v>
      </c>
      <c r="C44" s="395"/>
      <c r="D44" s="395"/>
      <c r="E44" s="407"/>
      <c r="F44" s="407"/>
      <c r="G44" s="408"/>
      <c r="H44" s="400"/>
      <c r="J44" s="416"/>
      <c r="K44" s="416"/>
      <c r="N44" s="776"/>
      <c r="O44" s="778">
        <f t="shared" si="0"/>
        <v>0</v>
      </c>
      <c r="P44" s="777"/>
    </row>
    <row r="45" spans="1:16" ht="105.75" thickBot="1" x14ac:dyDescent="0.3">
      <c r="A45" s="435"/>
      <c r="B45" s="436" t="s">
        <v>598</v>
      </c>
      <c r="C45" s="437">
        <v>1</v>
      </c>
      <c r="D45" s="437" t="s">
        <v>531</v>
      </c>
      <c r="E45" s="438">
        <f>O45</f>
        <v>47593.052109181139</v>
      </c>
      <c r="F45" s="439">
        <f>C45*E45</f>
        <v>47593.052109181139</v>
      </c>
      <c r="G45" s="399" t="s">
        <v>532</v>
      </c>
      <c r="H45" s="440"/>
      <c r="I45" s="383" t="s">
        <v>599</v>
      </c>
      <c r="J45" s="416"/>
      <c r="K45" s="416">
        <f>+F45</f>
        <v>47593.052109181139</v>
      </c>
      <c r="N45" s="776">
        <v>4795000</v>
      </c>
      <c r="O45" s="778">
        <f t="shared" si="0"/>
        <v>47593.052109181139</v>
      </c>
      <c r="P45" s="777" t="s">
        <v>1095</v>
      </c>
    </row>
    <row r="46" spans="1:16" ht="15" x14ac:dyDescent="0.25">
      <c r="A46" s="394" t="s">
        <v>600</v>
      </c>
      <c r="B46" s="395" t="s">
        <v>597</v>
      </c>
      <c r="C46" s="395"/>
      <c r="D46" s="395"/>
      <c r="E46" s="407"/>
      <c r="F46" s="407"/>
      <c r="G46" s="408"/>
      <c r="H46" s="400"/>
      <c r="J46" s="416"/>
      <c r="K46" s="416"/>
      <c r="N46" s="776"/>
      <c r="O46" s="778">
        <f t="shared" si="0"/>
        <v>0</v>
      </c>
      <c r="P46" s="777"/>
    </row>
    <row r="47" spans="1:16" ht="15.75" thickBot="1" x14ac:dyDescent="0.3">
      <c r="A47" s="435"/>
      <c r="B47" s="436" t="s">
        <v>601</v>
      </c>
      <c r="C47" s="437">
        <v>1</v>
      </c>
      <c r="D47" s="437" t="s">
        <v>531</v>
      </c>
      <c r="E47" s="438">
        <f>O47</f>
        <v>13.101736972704714</v>
      </c>
      <c r="F47" s="439">
        <f>C47*E47</f>
        <v>13.101736972704714</v>
      </c>
      <c r="G47" s="399" t="s">
        <v>532</v>
      </c>
      <c r="H47" s="440"/>
      <c r="J47" s="416"/>
      <c r="K47" s="416">
        <f>+F47</f>
        <v>13.101736972704714</v>
      </c>
      <c r="N47" s="776">
        <v>1320</v>
      </c>
      <c r="O47" s="778">
        <f t="shared" si="0"/>
        <v>13.101736972704714</v>
      </c>
      <c r="P47" s="777" t="s">
        <v>1095</v>
      </c>
    </row>
    <row r="48" spans="1:16" ht="15" x14ac:dyDescent="0.25">
      <c r="A48" s="441"/>
      <c r="B48" s="442" t="s">
        <v>602</v>
      </c>
      <c r="C48" s="443">
        <v>1</v>
      </c>
      <c r="D48" s="443" t="s">
        <v>531</v>
      </c>
      <c r="E48" s="444">
        <f>O48</f>
        <v>13.101736972704714</v>
      </c>
      <c r="F48" s="445">
        <f>E48*C48</f>
        <v>13.101736972704714</v>
      </c>
      <c r="G48" s="399"/>
      <c r="J48" s="416"/>
      <c r="K48" s="416">
        <f>+F48</f>
        <v>13.101736972704714</v>
      </c>
      <c r="N48" s="776">
        <v>1320</v>
      </c>
      <c r="O48" s="778">
        <f t="shared" si="0"/>
        <v>13.101736972704714</v>
      </c>
      <c r="P48" s="777" t="s">
        <v>1095</v>
      </c>
    </row>
    <row r="49" spans="1:16" ht="15" x14ac:dyDescent="0.25">
      <c r="A49" s="411">
        <v>9</v>
      </c>
      <c r="B49" s="412" t="s">
        <v>603</v>
      </c>
      <c r="C49" s="412"/>
      <c r="D49" s="412"/>
      <c r="E49" s="403"/>
      <c r="F49" s="403"/>
      <c r="G49" s="404"/>
      <c r="J49" s="416"/>
      <c r="K49" s="416"/>
      <c r="N49" s="776"/>
      <c r="O49" s="778">
        <f t="shared" si="0"/>
        <v>0</v>
      </c>
      <c r="P49" s="777"/>
    </row>
    <row r="50" spans="1:16" ht="30.75" thickBot="1" x14ac:dyDescent="0.3">
      <c r="A50" s="394" t="s">
        <v>604</v>
      </c>
      <c r="B50" s="446" t="s">
        <v>605</v>
      </c>
      <c r="C50" s="447">
        <v>1</v>
      </c>
      <c r="D50" s="447" t="s">
        <v>531</v>
      </c>
      <c r="E50" s="444">
        <f>O50</f>
        <v>47642.679900744413</v>
      </c>
      <c r="F50" s="439">
        <f>E50*C50</f>
        <v>47642.679900744413</v>
      </c>
      <c r="G50" s="399" t="s">
        <v>532</v>
      </c>
      <c r="J50" s="416">
        <f>+F50</f>
        <v>47642.679900744413</v>
      </c>
      <c r="K50" s="416"/>
      <c r="N50" s="776">
        <v>4800000</v>
      </c>
      <c r="O50" s="778">
        <f t="shared" si="0"/>
        <v>47642.679900744413</v>
      </c>
      <c r="P50" s="777" t="s">
        <v>1095</v>
      </c>
    </row>
    <row r="51" spans="1:16" ht="15" x14ac:dyDescent="0.25">
      <c r="A51" s="394" t="s">
        <v>606</v>
      </c>
      <c r="B51" s="448" t="s">
        <v>607</v>
      </c>
      <c r="C51" s="414">
        <v>0</v>
      </c>
      <c r="D51" s="414" t="s">
        <v>562</v>
      </c>
      <c r="E51" s="512"/>
      <c r="F51" s="397">
        <f>C51*E51</f>
        <v>0</v>
      </c>
      <c r="G51" s="399" t="s">
        <v>532</v>
      </c>
      <c r="J51" s="416"/>
      <c r="K51" s="416"/>
      <c r="N51" s="776"/>
      <c r="O51" s="778">
        <v>101775</v>
      </c>
      <c r="P51" s="777" t="s">
        <v>1100</v>
      </c>
    </row>
    <row r="52" spans="1:16" ht="15" x14ac:dyDescent="0.25">
      <c r="A52" s="394" t="s">
        <v>608</v>
      </c>
      <c r="B52" s="449" t="s">
        <v>609</v>
      </c>
      <c r="C52" s="434">
        <v>0</v>
      </c>
      <c r="D52" s="414" t="s">
        <v>562</v>
      </c>
      <c r="E52" s="512"/>
      <c r="F52" s="397">
        <f>C52*E52</f>
        <v>0</v>
      </c>
      <c r="G52" s="399" t="s">
        <v>532</v>
      </c>
      <c r="J52" s="416"/>
      <c r="K52" s="416"/>
      <c r="N52" s="776">
        <v>675025</v>
      </c>
      <c r="O52" s="778">
        <f t="shared" si="0"/>
        <v>6700</v>
      </c>
      <c r="P52" s="777" t="s">
        <v>1095</v>
      </c>
    </row>
    <row r="53" spans="1:16" ht="15" x14ac:dyDescent="0.25">
      <c r="A53" s="450" t="s">
        <v>610</v>
      </c>
      <c r="B53" s="451" t="s">
        <v>611</v>
      </c>
      <c r="C53" s="452">
        <v>1</v>
      </c>
      <c r="D53" s="453" t="s">
        <v>562</v>
      </c>
      <c r="E53" s="444">
        <f>O53</f>
        <v>48287.841191066997</v>
      </c>
      <c r="F53" s="445">
        <f>E53*C53</f>
        <v>48287.841191066997</v>
      </c>
      <c r="G53" s="399" t="s">
        <v>532</v>
      </c>
      <c r="I53" s="383" t="s">
        <v>612</v>
      </c>
      <c r="J53" s="416"/>
      <c r="K53" s="416">
        <f>+F53</f>
        <v>48287.841191066997</v>
      </c>
      <c r="N53" s="776">
        <v>4865000</v>
      </c>
      <c r="O53" s="778">
        <f t="shared" si="0"/>
        <v>48287.841191066997</v>
      </c>
      <c r="P53" s="777" t="s">
        <v>1095</v>
      </c>
    </row>
    <row r="54" spans="1:16" ht="15.75" thickBot="1" x14ac:dyDescent="0.3">
      <c r="A54" s="454" t="s">
        <v>613</v>
      </c>
      <c r="B54" s="436" t="s">
        <v>614</v>
      </c>
      <c r="C54" s="455">
        <v>0</v>
      </c>
      <c r="D54" s="455" t="s">
        <v>562</v>
      </c>
      <c r="E54" s="456">
        <f>(F51+F52)*20%</f>
        <v>0</v>
      </c>
      <c r="F54" s="439">
        <f>C54*E54</f>
        <v>0</v>
      </c>
      <c r="G54" s="399" t="s">
        <v>532</v>
      </c>
      <c r="J54" s="416"/>
      <c r="K54" s="416"/>
      <c r="O54" s="775">
        <f t="shared" si="0"/>
        <v>0</v>
      </c>
    </row>
    <row r="55" spans="1:16" ht="15" thickBot="1" x14ac:dyDescent="0.3">
      <c r="J55" s="410"/>
      <c r="K55" s="410"/>
    </row>
    <row r="56" spans="1:16" ht="15.75" thickBot="1" x14ac:dyDescent="0.3">
      <c r="A56" s="458"/>
      <c r="B56" s="459" t="s">
        <v>615</v>
      </c>
      <c r="C56" s="459"/>
      <c r="D56" s="459"/>
      <c r="E56" s="460"/>
      <c r="F56" s="461">
        <f>SUM(F10:F55)</f>
        <v>901335.25916506117</v>
      </c>
      <c r="G56" s="462" t="s">
        <v>532</v>
      </c>
      <c r="J56" s="463">
        <f>SUM(J10:J55)</f>
        <v>228267.51115017509</v>
      </c>
      <c r="K56" s="463">
        <f>SUM(K10:K55)</f>
        <v>673067.74801488605</v>
      </c>
    </row>
    <row r="57" spans="1:16" ht="15" thickBot="1" x14ac:dyDescent="0.3">
      <c r="I57" s="464" t="s">
        <v>616</v>
      </c>
      <c r="J57" s="383">
        <f>30.8*20.8+23*6.5</f>
        <v>790.14</v>
      </c>
      <c r="K57" s="383">
        <f>59.22*71.73-J57</f>
        <v>3457.7105999999999</v>
      </c>
      <c r="M57" s="383">
        <f>+(J57+K57)/19</f>
        <v>223.57108421052629</v>
      </c>
      <c r="N57" s="774" t="s">
        <v>705</v>
      </c>
    </row>
    <row r="58" spans="1:16" ht="44.25" customHeight="1" thickBot="1" x14ac:dyDescent="0.3">
      <c r="I58" s="513" t="s">
        <v>838</v>
      </c>
      <c r="J58" s="514">
        <f>+J56/J57</f>
        <v>288.89502005995786</v>
      </c>
      <c r="K58" s="515">
        <f>+K56/K57</f>
        <v>194.65705082862809</v>
      </c>
    </row>
    <row r="60" spans="1:16" x14ac:dyDescent="0.25">
      <c r="A60" s="427" t="s">
        <v>617</v>
      </c>
      <c r="B60" s="383" t="s">
        <v>618</v>
      </c>
    </row>
    <row r="61" spans="1:16" x14ac:dyDescent="0.25">
      <c r="B61" s="383" t="s">
        <v>619</v>
      </c>
    </row>
    <row r="62" spans="1:16" x14ac:dyDescent="0.25">
      <c r="B62" s="383" t="s">
        <v>620</v>
      </c>
    </row>
    <row r="63" spans="1:16" x14ac:dyDescent="0.25">
      <c r="B63" s="383" t="s">
        <v>621</v>
      </c>
    </row>
    <row r="66" spans="1:2" x14ac:dyDescent="0.25">
      <c r="A66" s="427" t="s">
        <v>622</v>
      </c>
      <c r="B66" s="383" t="s">
        <v>623</v>
      </c>
    </row>
    <row r="67" spans="1:2" x14ac:dyDescent="0.25">
      <c r="B67" s="383" t="s">
        <v>624</v>
      </c>
    </row>
    <row r="70" spans="1:2" x14ac:dyDescent="0.25">
      <c r="A70" s="427" t="s">
        <v>625</v>
      </c>
      <c r="B70" s="383" t="s">
        <v>626</v>
      </c>
    </row>
    <row r="71" spans="1:2" x14ac:dyDescent="0.25">
      <c r="B71" s="383" t="s">
        <v>627</v>
      </c>
    </row>
    <row r="74" spans="1:2" x14ac:dyDescent="0.25">
      <c r="A74" s="427" t="s">
        <v>628</v>
      </c>
      <c r="B74" s="383" t="s">
        <v>629</v>
      </c>
    </row>
    <row r="75" spans="1:2" x14ac:dyDescent="0.25">
      <c r="B75" s="383" t="s">
        <v>630</v>
      </c>
    </row>
    <row r="78" spans="1:2" x14ac:dyDescent="0.25">
      <c r="B78" s="383" t="s">
        <v>631</v>
      </c>
    </row>
    <row r="80" spans="1:2" x14ac:dyDescent="0.25">
      <c r="A80" s="427" t="s">
        <v>632</v>
      </c>
      <c r="B80" s="383" t="s">
        <v>633</v>
      </c>
    </row>
    <row r="84" spans="1:5" x14ac:dyDescent="0.25">
      <c r="A84" s="427" t="s">
        <v>634</v>
      </c>
      <c r="B84" s="383" t="s">
        <v>635</v>
      </c>
      <c r="E84" s="457">
        <f>1530*35/$M$3</f>
        <v>6586.7158671586712</v>
      </c>
    </row>
    <row r="85" spans="1:5" x14ac:dyDescent="0.25">
      <c r="B85" s="383" t="s">
        <v>636</v>
      </c>
      <c r="E85" s="457">
        <f>170*444.34/$M$3</f>
        <v>9291.2423124231245</v>
      </c>
    </row>
    <row r="86" spans="1:5" x14ac:dyDescent="0.25">
      <c r="B86" s="383" t="s">
        <v>637</v>
      </c>
      <c r="E86" s="457">
        <f>(1530*0.3)*1355/$M$3</f>
        <v>76499.999999999985</v>
      </c>
    </row>
    <row r="87" spans="1:5" x14ac:dyDescent="0.25">
      <c r="B87" s="383" t="s">
        <v>638</v>
      </c>
    </row>
    <row r="88" spans="1:5" x14ac:dyDescent="0.25">
      <c r="B88" s="383" t="s">
        <v>639</v>
      </c>
      <c r="E88" s="457">
        <f>(1530*0.15)*250/$M$3</f>
        <v>7057.1955719557191</v>
      </c>
    </row>
    <row r="89" spans="1:5" x14ac:dyDescent="0.25">
      <c r="B89" s="383" t="s">
        <v>640</v>
      </c>
    </row>
    <row r="90" spans="1:5" x14ac:dyDescent="0.25">
      <c r="E90" s="457">
        <f>SUM(E84:E89)</f>
        <v>99435.153751537495</v>
      </c>
    </row>
    <row r="91" spans="1:5" x14ac:dyDescent="0.25">
      <c r="E91" s="457">
        <f>E90/1530</f>
        <v>64.990296569632349</v>
      </c>
    </row>
  </sheetData>
  <mergeCells count="5">
    <mergeCell ref="A1:G1"/>
    <mergeCell ref="A3:G3"/>
    <mergeCell ref="C7:D7"/>
    <mergeCell ref="C35:D35"/>
    <mergeCell ref="C43:D43"/>
  </mergeCells>
  <pageMargins left="0.7" right="0.7" top="0.75" bottom="0.75" header="0.3" footer="0.3"/>
  <pageSetup orientation="portrait" verticalDpi="30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40"/>
  <dimension ref="A1:L76"/>
  <sheetViews>
    <sheetView view="pageBreakPreview" topLeftCell="A49" zoomScale="80" zoomScaleSheetLayoutView="80" workbookViewId="0">
      <selection activeCell="H67" sqref="H67"/>
    </sheetView>
  </sheetViews>
  <sheetFormatPr baseColWidth="10" defaultRowHeight="15" x14ac:dyDescent="0.25"/>
  <cols>
    <col min="2" max="2" width="12.28515625" customWidth="1"/>
    <col min="3" max="3" width="56.42578125" bestFit="1" customWidth="1"/>
    <col min="4" max="4" width="19.140625" customWidth="1"/>
    <col min="8" max="8" width="17.140625" customWidth="1"/>
    <col min="10" max="10" width="11.85546875" bestFit="1" customWidth="1"/>
  </cols>
  <sheetData>
    <row r="1" spans="2:5" x14ac:dyDescent="0.25">
      <c r="B1" s="2" t="s">
        <v>112</v>
      </c>
    </row>
    <row r="2" spans="2:5" x14ac:dyDescent="0.25">
      <c r="B2" s="2" t="s">
        <v>113</v>
      </c>
      <c r="C2" t="str">
        <f>+Datos!C2</f>
        <v>Pehuajó</v>
      </c>
    </row>
    <row r="4" spans="2:5" x14ac:dyDescent="0.25">
      <c r="B4" s="2" t="s">
        <v>0</v>
      </c>
    </row>
    <row r="5" spans="2:5" x14ac:dyDescent="0.25">
      <c r="B5" t="s">
        <v>1</v>
      </c>
      <c r="C5" t="s">
        <v>2</v>
      </c>
      <c r="D5">
        <f>+Datos!D5</f>
        <v>0</v>
      </c>
      <c r="E5" t="s">
        <v>3</v>
      </c>
    </row>
    <row r="6" spans="2:5" x14ac:dyDescent="0.25">
      <c r="B6" t="s">
        <v>4</v>
      </c>
      <c r="C6" t="s">
        <v>5</v>
      </c>
      <c r="D6" s="150">
        <f>+Datos!D6</f>
        <v>191</v>
      </c>
      <c r="E6" t="s">
        <v>3</v>
      </c>
    </row>
    <row r="7" spans="2:5" x14ac:dyDescent="0.25">
      <c r="B7" t="s">
        <v>6</v>
      </c>
      <c r="C7" t="s">
        <v>8</v>
      </c>
      <c r="D7">
        <f>+Datos!D7</f>
        <v>4.7</v>
      </c>
      <c r="E7" t="s">
        <v>3</v>
      </c>
    </row>
    <row r="8" spans="2:5" x14ac:dyDescent="0.25">
      <c r="B8" t="s">
        <v>7</v>
      </c>
      <c r="C8" t="s">
        <v>9</v>
      </c>
      <c r="D8">
        <f>+Datos!D8</f>
        <v>0</v>
      </c>
      <c r="E8" t="s">
        <v>3</v>
      </c>
    </row>
    <row r="9" spans="2:5" x14ac:dyDescent="0.25">
      <c r="B9" t="s">
        <v>10</v>
      </c>
      <c r="C9" t="s">
        <v>11</v>
      </c>
      <c r="D9">
        <f>+Datos!D9</f>
        <v>4.7</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31.333333333333336</v>
      </c>
      <c r="E14" t="s">
        <v>23</v>
      </c>
    </row>
    <row r="15" spans="2:5" x14ac:dyDescent="0.25">
      <c r="B15" t="s">
        <v>16</v>
      </c>
      <c r="C15" t="s">
        <v>21</v>
      </c>
      <c r="D15">
        <f>+Datos!D15</f>
        <v>40</v>
      </c>
      <c r="E15" t="s">
        <v>23</v>
      </c>
    </row>
    <row r="16" spans="2:5" x14ac:dyDescent="0.25">
      <c r="B16" t="s">
        <v>17</v>
      </c>
      <c r="C16" t="s">
        <v>22</v>
      </c>
      <c r="D16">
        <f>+Datos!D16</f>
        <v>31.333333333333336</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19.100000000000001</v>
      </c>
      <c r="E21" t="s">
        <v>30</v>
      </c>
    </row>
    <row r="22" spans="2:5" x14ac:dyDescent="0.25">
      <c r="B22" t="s">
        <v>27</v>
      </c>
      <c r="C22" t="s">
        <v>33</v>
      </c>
      <c r="D22" s="4">
        <f>+Datos!D22</f>
        <v>0.15</v>
      </c>
      <c r="E22" t="s">
        <v>30</v>
      </c>
    </row>
    <row r="23" spans="2:5" x14ac:dyDescent="0.25">
      <c r="B23" t="s">
        <v>28</v>
      </c>
      <c r="C23" t="s">
        <v>34</v>
      </c>
      <c r="D23" s="4">
        <f>+Datos!D23</f>
        <v>0</v>
      </c>
      <c r="E23" t="s">
        <v>30</v>
      </c>
    </row>
    <row r="24" spans="2:5" x14ac:dyDescent="0.25">
      <c r="B24" t="s">
        <v>29</v>
      </c>
      <c r="C24" t="s">
        <v>35</v>
      </c>
      <c r="D24" s="4">
        <f>+Datos!D24</f>
        <v>0.15</v>
      </c>
      <c r="E24" t="s">
        <v>30</v>
      </c>
    </row>
    <row r="25" spans="2:5" x14ac:dyDescent="0.25">
      <c r="B25" s="3" t="s">
        <v>40</v>
      </c>
    </row>
    <row r="26" spans="2:5" x14ac:dyDescent="0.25">
      <c r="B26" s="3"/>
      <c r="C26" t="s">
        <v>48</v>
      </c>
      <c r="D26">
        <f>+Datos!D26</f>
        <v>382</v>
      </c>
      <c r="E26" t="s">
        <v>49</v>
      </c>
    </row>
    <row r="27" spans="2:5" x14ac:dyDescent="0.25">
      <c r="C27" t="s">
        <v>50</v>
      </c>
      <c r="D27">
        <f>+Datos!D27</f>
        <v>5</v>
      </c>
      <c r="E27" t="s">
        <v>52</v>
      </c>
    </row>
    <row r="28" spans="2:5" x14ac:dyDescent="0.25">
      <c r="B28" t="s">
        <v>36</v>
      </c>
      <c r="C28" t="s">
        <v>51</v>
      </c>
      <c r="D28" s="4">
        <f>+Datos!D28</f>
        <v>31.833333333333332</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51.483333333333334</v>
      </c>
      <c r="E31" t="s">
        <v>30</v>
      </c>
    </row>
    <row r="32" spans="2:5" x14ac:dyDescent="0.25">
      <c r="C32" t="s">
        <v>43</v>
      </c>
      <c r="D32">
        <f>+Datos!D32</f>
        <v>5</v>
      </c>
      <c r="E32" t="s">
        <v>46</v>
      </c>
    </row>
    <row r="33" spans="2:12" x14ac:dyDescent="0.25">
      <c r="B33" t="s">
        <v>47</v>
      </c>
      <c r="C33" t="s">
        <v>42</v>
      </c>
      <c r="D33" s="150">
        <f>+Datos!D33</f>
        <v>2.5741666666666667</v>
      </c>
      <c r="E33" t="s">
        <v>30</v>
      </c>
    </row>
    <row r="34" spans="2:12" x14ac:dyDescent="0.25">
      <c r="B34" s="5" t="s">
        <v>53</v>
      </c>
    </row>
    <row r="35" spans="2:12" x14ac:dyDescent="0.25">
      <c r="B35" s="23" t="s">
        <v>54</v>
      </c>
      <c r="C35" s="23" t="s">
        <v>55</v>
      </c>
      <c r="D35" s="24">
        <f>+Datos!D35</f>
        <v>54.057500000000005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36568</v>
      </c>
      <c r="E39" t="s">
        <v>59</v>
      </c>
    </row>
    <row r="40" spans="2:12" x14ac:dyDescent="0.25">
      <c r="B40" t="s">
        <v>60</v>
      </c>
      <c r="C40" t="s">
        <v>61</v>
      </c>
      <c r="D40">
        <f>+Datos!D40</f>
        <v>1.06</v>
      </c>
      <c r="E40" t="s">
        <v>62</v>
      </c>
    </row>
    <row r="41" spans="2:12" x14ac:dyDescent="0.25">
      <c r="B41" t="s">
        <v>63</v>
      </c>
      <c r="C41" t="s">
        <v>64</v>
      </c>
      <c r="D41">
        <f>+Datos!D41</f>
        <v>38.762080000000005</v>
      </c>
      <c r="E41" t="s">
        <v>65</v>
      </c>
    </row>
    <row r="42" spans="2:12" x14ac:dyDescent="0.25">
      <c r="C42" t="s">
        <v>66</v>
      </c>
      <c r="D42">
        <f>+Datos!D42</f>
        <v>100</v>
      </c>
      <c r="E42" t="s">
        <v>46</v>
      </c>
    </row>
    <row r="43" spans="2:12" x14ac:dyDescent="0.25">
      <c r="B43" t="s">
        <v>67</v>
      </c>
      <c r="C43" t="s">
        <v>80</v>
      </c>
      <c r="D43">
        <f>+Datos!D43</f>
        <v>25.195352000000003</v>
      </c>
      <c r="E43" t="s">
        <v>65</v>
      </c>
    </row>
    <row r="44" spans="2:12" x14ac:dyDescent="0.25">
      <c r="B44" t="s">
        <v>68</v>
      </c>
      <c r="C44" t="s">
        <v>69</v>
      </c>
      <c r="D44">
        <f>+Datos!D44</f>
        <v>4</v>
      </c>
      <c r="E44" t="s">
        <v>70</v>
      </c>
    </row>
    <row r="45" spans="2:12" x14ac:dyDescent="0.25">
      <c r="C45" t="s">
        <v>79</v>
      </c>
      <c r="D45">
        <f>+Datos!D45</f>
        <v>2</v>
      </c>
      <c r="F45" s="36"/>
    </row>
    <row r="46" spans="2:12" ht="15.75" thickBot="1" x14ac:dyDescent="0.3">
      <c r="B46" t="s">
        <v>81</v>
      </c>
      <c r="C46" t="s">
        <v>85</v>
      </c>
      <c r="D46">
        <f>+Datos!D46</f>
        <v>50.390704000000007</v>
      </c>
      <c r="E46" t="s">
        <v>65</v>
      </c>
    </row>
    <row r="47" spans="2:12" ht="15.75" thickBot="1" x14ac:dyDescent="0.3">
      <c r="C47" t="s">
        <v>83</v>
      </c>
      <c r="D47">
        <f>+Datos!D47</f>
        <v>0.5</v>
      </c>
      <c r="E47" t="s">
        <v>84</v>
      </c>
      <c r="H47" s="839" t="s">
        <v>100</v>
      </c>
      <c r="I47" s="840"/>
      <c r="J47" s="840"/>
      <c r="K47" s="841"/>
    </row>
    <row r="48" spans="2:12" x14ac:dyDescent="0.25">
      <c r="C48" s="131" t="s">
        <v>85</v>
      </c>
      <c r="D48" s="131">
        <f>+Datos!D48</f>
        <v>100.78140800000001</v>
      </c>
      <c r="E48" s="131" t="s">
        <v>87</v>
      </c>
      <c r="H48" s="30"/>
      <c r="I48" s="31" t="s">
        <v>99</v>
      </c>
      <c r="J48" s="125">
        <v>2.0077946343855739</v>
      </c>
      <c r="K48" s="32"/>
      <c r="L48" t="s">
        <v>109</v>
      </c>
    </row>
    <row r="49" spans="1:11" ht="15.75" thickBot="1" x14ac:dyDescent="0.3">
      <c r="C49" s="23"/>
      <c r="D49" s="23"/>
      <c r="E49" s="23"/>
      <c r="H49" s="30"/>
      <c r="J49" s="7" t="s">
        <v>100</v>
      </c>
      <c r="K49" s="32"/>
    </row>
    <row r="50" spans="1:11" x14ac:dyDescent="0.25">
      <c r="B50" s="2" t="s">
        <v>88</v>
      </c>
      <c r="H50" s="30" t="s">
        <v>105</v>
      </c>
      <c r="I50" s="32">
        <f>2*D36</f>
        <v>16</v>
      </c>
      <c r="J50" s="27" t="b">
        <f>$D$64=0</f>
        <v>1</v>
      </c>
      <c r="K50" s="32"/>
    </row>
    <row r="51" spans="1:11" x14ac:dyDescent="0.25">
      <c r="B51" t="s">
        <v>90</v>
      </c>
      <c r="C51" t="s">
        <v>89</v>
      </c>
      <c r="D51" s="1">
        <v>9</v>
      </c>
      <c r="E51" t="s">
        <v>86</v>
      </c>
      <c r="H51" s="30" t="s">
        <v>106</v>
      </c>
      <c r="I51" s="32">
        <f>+D51*ROUNDUP(J48,0)</f>
        <v>27</v>
      </c>
      <c r="J51" s="28">
        <f>COUNT($J$48)</f>
        <v>1</v>
      </c>
      <c r="K51" s="32"/>
    </row>
    <row r="52" spans="1:11" x14ac:dyDescent="0.25">
      <c r="B52" t="s">
        <v>91</v>
      </c>
      <c r="C52" s="164" t="s">
        <v>727</v>
      </c>
      <c r="D52" s="285">
        <f>ROUNDUP(D48/D51,0)</f>
        <v>12</v>
      </c>
      <c r="E52" t="s">
        <v>96</v>
      </c>
      <c r="H52" s="30"/>
      <c r="I52" s="32">
        <f>+D52*I51</f>
        <v>324</v>
      </c>
      <c r="J52" s="28" t="b">
        <f>$D$55&lt;=$I$50</f>
        <v>1</v>
      </c>
      <c r="K52" s="32"/>
    </row>
    <row r="53" spans="1:11" x14ac:dyDescent="0.25">
      <c r="B53" t="s">
        <v>92</v>
      </c>
      <c r="C53" s="164" t="s">
        <v>728</v>
      </c>
      <c r="D53" s="165">
        <f>(((D20+D22+D23+D24+D29)*D52+(D21+D28)/ROUNDUP(J48,0))*(1+D32/100))/J48</f>
        <v>12.33027832761527</v>
      </c>
      <c r="E53" t="s">
        <v>30</v>
      </c>
      <c r="H53" s="30"/>
      <c r="J53" s="28">
        <f>{32767;32767;0.000001;0.01;FALSE;FALSE;FALSE;1;2;1;0.0001;TRUE}</f>
        <v>32767</v>
      </c>
      <c r="K53" s="32"/>
    </row>
    <row r="54" spans="1:11" ht="15.75" thickBot="1" x14ac:dyDescent="0.3">
      <c r="C54" t="s">
        <v>107</v>
      </c>
      <c r="D54" s="4">
        <f>+IF(D53&gt;D36,D53-D36,0)</f>
        <v>4.3302783276152699</v>
      </c>
      <c r="E54" t="s">
        <v>30</v>
      </c>
      <c r="H54" s="30"/>
      <c r="J54" s="29">
        <f>{0;0;1;100;0;FALSE;FALSE;0.075;0;0;FALSE;30}</f>
        <v>0</v>
      </c>
      <c r="K54" s="32"/>
    </row>
    <row r="55" spans="1:11" ht="15.75" thickBot="1" x14ac:dyDescent="0.3">
      <c r="C55" s="129" t="s">
        <v>94</v>
      </c>
      <c r="D55" s="130">
        <f>+IF(D53&gt;2*D36,D53-2*D36,0)</f>
        <v>0</v>
      </c>
      <c r="E55" s="129" t="s">
        <v>30</v>
      </c>
      <c r="H55" s="33"/>
      <c r="I55" s="34"/>
      <c r="J55" s="34"/>
      <c r="K55" s="35"/>
    </row>
    <row r="56" spans="1:11" x14ac:dyDescent="0.25">
      <c r="C56" t="s">
        <v>108</v>
      </c>
      <c r="D56" s="4">
        <f>+IF(D54=0,D36-D53,0)</f>
        <v>0</v>
      </c>
      <c r="E56" t="s">
        <v>30</v>
      </c>
    </row>
    <row r="57" spans="1:11" x14ac:dyDescent="0.25">
      <c r="C57" t="s">
        <v>98</v>
      </c>
      <c r="D57" s="4">
        <f>+IF(D55=0,IF((2*D36-D53)&gt;D36,8,2*D36-D53),0)</f>
        <v>3.6697216723847301</v>
      </c>
      <c r="E57" t="s">
        <v>30</v>
      </c>
    </row>
    <row r="58" spans="1:11" x14ac:dyDescent="0.25">
      <c r="C58" s="285" t="s">
        <v>182</v>
      </c>
      <c r="D58" s="538">
        <f>+D53</f>
        <v>12.33027832761527</v>
      </c>
      <c r="E58" t="s">
        <v>30</v>
      </c>
    </row>
    <row r="59" spans="1:11" x14ac:dyDescent="0.25">
      <c r="C59" s="285" t="s">
        <v>95</v>
      </c>
      <c r="D59" s="166">
        <f>ROUNDDOWN(2*D36*(D52/D66)/D53,0)</f>
        <v>5</v>
      </c>
      <c r="E59" t="s">
        <v>96</v>
      </c>
      <c r="K59" s="36"/>
    </row>
    <row r="61" spans="1:11" hidden="1" x14ac:dyDescent="0.25">
      <c r="C61" s="539" t="s">
        <v>110</v>
      </c>
      <c r="D61" s="540">
        <f>+IF((D48-D36/D58*D51)&lt;0,0,D48-D36/D58*D51)</f>
        <v>94.942123752965088</v>
      </c>
      <c r="E61" s="539" t="s">
        <v>86</v>
      </c>
    </row>
    <row r="62" spans="1:11" hidden="1" x14ac:dyDescent="0.25">
      <c r="A62" s="539" t="s">
        <v>729</v>
      </c>
      <c r="C62" s="539" t="s">
        <v>111</v>
      </c>
      <c r="D62" s="540">
        <f>+D48-D61</f>
        <v>5.8392842470349251</v>
      </c>
      <c r="E62" s="539" t="s">
        <v>86</v>
      </c>
    </row>
    <row r="63" spans="1:11" hidden="1" x14ac:dyDescent="0.25">
      <c r="C63" s="539" t="s">
        <v>148</v>
      </c>
      <c r="D63" s="540">
        <f>IF(D53&lt;=2*D36,D48,2*D36/D58*D51)</f>
        <v>100.78140800000001</v>
      </c>
      <c r="E63" s="539" t="s">
        <v>86</v>
      </c>
    </row>
    <row r="64" spans="1:11" hidden="1" x14ac:dyDescent="0.25">
      <c r="C64" s="539" t="s">
        <v>97</v>
      </c>
      <c r="D64" s="540">
        <f>+IF((D48-D63)&lt;0,0,D48-D63)</f>
        <v>0</v>
      </c>
      <c r="E64" s="539" t="s">
        <v>86</v>
      </c>
    </row>
    <row r="66" spans="3:5" x14ac:dyDescent="0.25">
      <c r="C66" s="2" t="s">
        <v>103</v>
      </c>
      <c r="D66" s="542">
        <f>ROUNDUP(J48,0)</f>
        <v>3</v>
      </c>
      <c r="E66" t="s">
        <v>101</v>
      </c>
    </row>
    <row r="67" spans="3:5" x14ac:dyDescent="0.25">
      <c r="C67" t="s">
        <v>117</v>
      </c>
      <c r="D67" s="36">
        <v>2</v>
      </c>
    </row>
    <row r="68" spans="3:5" x14ac:dyDescent="0.25">
      <c r="C68" t="s">
        <v>104</v>
      </c>
      <c r="D68" s="538">
        <f>+D59*D66*D51</f>
        <v>135</v>
      </c>
      <c r="E68" t="s">
        <v>86</v>
      </c>
    </row>
    <row r="69" spans="3:5" x14ac:dyDescent="0.25">
      <c r="C69" t="s">
        <v>102</v>
      </c>
      <c r="D69" s="26">
        <f>+(D68/D48-1)</f>
        <v>0.33953278366581241</v>
      </c>
    </row>
    <row r="70" spans="3:5" x14ac:dyDescent="0.25">
      <c r="C70" t="s">
        <v>119</v>
      </c>
      <c r="D70" s="166">
        <f>+D5+(D7+D8)*D52*2/D66+D9+D6/D66</f>
        <v>105.96666666666667</v>
      </c>
      <c r="E70" s="164" t="s">
        <v>244</v>
      </c>
    </row>
    <row r="71" spans="3:5" x14ac:dyDescent="0.25">
      <c r="C71" t="s">
        <v>118</v>
      </c>
      <c r="D71" s="141">
        <f>+D70*D66</f>
        <v>317.89999999999998</v>
      </c>
      <c r="E71" s="164" t="s">
        <v>244</v>
      </c>
    </row>
    <row r="72" spans="3:5" x14ac:dyDescent="0.25">
      <c r="C72" t="s">
        <v>123</v>
      </c>
      <c r="D72" s="165">
        <f>+D48/D66</f>
        <v>33.593802666666669</v>
      </c>
      <c r="E72" t="s">
        <v>87</v>
      </c>
    </row>
    <row r="73" spans="3:5" x14ac:dyDescent="0.25">
      <c r="C73" t="s">
        <v>123</v>
      </c>
      <c r="D73">
        <f>+D72*D47*D44*52</f>
        <v>3493.7554773333336</v>
      </c>
      <c r="E73" t="s">
        <v>124</v>
      </c>
    </row>
    <row r="74" spans="3:5" x14ac:dyDescent="0.25">
      <c r="D74" s="4"/>
    </row>
    <row r="75" spans="3:5" x14ac:dyDescent="0.25">
      <c r="D75" s="4"/>
    </row>
    <row r="76" spans="3:5" x14ac:dyDescent="0.25">
      <c r="D76" s="4"/>
    </row>
  </sheetData>
  <mergeCells count="1">
    <mergeCell ref="H47:K47"/>
  </mergeCells>
  <conditionalFormatting sqref="D64">
    <cfRule type="cellIs" dxfId="49"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Macro_2T">
                <anchor moveWithCells="1">
                  <from>
                    <xdr:col>7</xdr:col>
                    <xdr:colOff>57150</xdr:colOff>
                    <xdr:row>62</xdr:row>
                    <xdr:rowOff>57150</xdr:rowOff>
                  </from>
                  <to>
                    <xdr:col>8</xdr:col>
                    <xdr:colOff>742950</xdr:colOff>
                    <xdr:row>67</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41"/>
  <dimension ref="A1:L76"/>
  <sheetViews>
    <sheetView view="pageBreakPreview" topLeftCell="D41" zoomScale="80" zoomScaleSheetLayoutView="80" workbookViewId="0">
      <selection activeCell="H67" sqref="H67"/>
    </sheetView>
  </sheetViews>
  <sheetFormatPr baseColWidth="10" defaultRowHeight="15" x14ac:dyDescent="0.25"/>
  <cols>
    <col min="2" max="2" width="12.28515625" customWidth="1"/>
    <col min="3" max="3" width="56.42578125" bestFit="1" customWidth="1"/>
    <col min="8" max="8" width="17.140625" customWidth="1"/>
    <col min="10" max="10" width="11.85546875" bestFit="1" customWidth="1"/>
  </cols>
  <sheetData>
    <row r="1" spans="2:5" x14ac:dyDescent="0.25">
      <c r="B1" s="2" t="s">
        <v>112</v>
      </c>
    </row>
    <row r="2" spans="2:5" x14ac:dyDescent="0.25">
      <c r="B2" s="2" t="s">
        <v>113</v>
      </c>
      <c r="C2" t="str">
        <f>+Datos!C2</f>
        <v>Pehuajó</v>
      </c>
    </row>
    <row r="4" spans="2:5" x14ac:dyDescent="0.25">
      <c r="B4" s="2" t="s">
        <v>0</v>
      </c>
    </row>
    <row r="5" spans="2:5" x14ac:dyDescent="0.25">
      <c r="B5" t="s">
        <v>1</v>
      </c>
      <c r="C5" t="s">
        <v>2</v>
      </c>
      <c r="D5">
        <f>+Datos!D5</f>
        <v>0</v>
      </c>
      <c r="E5" t="s">
        <v>3</v>
      </c>
    </row>
    <row r="6" spans="2:5" x14ac:dyDescent="0.25">
      <c r="B6" t="s">
        <v>4</v>
      </c>
      <c r="C6" t="s">
        <v>5</v>
      </c>
      <c r="D6" s="150">
        <f>+Datos!D6</f>
        <v>191</v>
      </c>
      <c r="E6" t="s">
        <v>3</v>
      </c>
    </row>
    <row r="7" spans="2:5" x14ac:dyDescent="0.25">
      <c r="B7" t="s">
        <v>6</v>
      </c>
      <c r="C7" t="s">
        <v>8</v>
      </c>
      <c r="D7">
        <f>+Datos!D7</f>
        <v>4.7</v>
      </c>
      <c r="E7" t="s">
        <v>3</v>
      </c>
    </row>
    <row r="8" spans="2:5" x14ac:dyDescent="0.25">
      <c r="B8" t="s">
        <v>7</v>
      </c>
      <c r="C8" t="s">
        <v>9</v>
      </c>
      <c r="D8">
        <f>+Datos!D8</f>
        <v>0</v>
      </c>
      <c r="E8" t="s">
        <v>3</v>
      </c>
    </row>
    <row r="9" spans="2:5" x14ac:dyDescent="0.25">
      <c r="B9" t="s">
        <v>10</v>
      </c>
      <c r="C9" t="s">
        <v>11</v>
      </c>
      <c r="D9">
        <f>+Datos!D9</f>
        <v>4.7</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31.333333333333336</v>
      </c>
      <c r="E14" t="s">
        <v>23</v>
      </c>
    </row>
    <row r="15" spans="2:5" x14ac:dyDescent="0.25">
      <c r="B15" t="s">
        <v>16</v>
      </c>
      <c r="C15" t="s">
        <v>21</v>
      </c>
      <c r="D15">
        <f>+Datos!D15</f>
        <v>40</v>
      </c>
      <c r="E15" t="s">
        <v>23</v>
      </c>
    </row>
    <row r="16" spans="2:5" x14ac:dyDescent="0.25">
      <c r="B16" t="s">
        <v>17</v>
      </c>
      <c r="C16" t="s">
        <v>22</v>
      </c>
      <c r="D16">
        <f>+Datos!D16</f>
        <v>31.333333333333336</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19.100000000000001</v>
      </c>
      <c r="E21" t="s">
        <v>30</v>
      </c>
    </row>
    <row r="22" spans="2:5" x14ac:dyDescent="0.25">
      <c r="B22" t="s">
        <v>27</v>
      </c>
      <c r="C22" t="s">
        <v>33</v>
      </c>
      <c r="D22" s="4">
        <f>+Datos!D22</f>
        <v>0.15</v>
      </c>
      <c r="E22" t="s">
        <v>30</v>
      </c>
    </row>
    <row r="23" spans="2:5" x14ac:dyDescent="0.25">
      <c r="B23" t="s">
        <v>28</v>
      </c>
      <c r="C23" t="s">
        <v>34</v>
      </c>
      <c r="D23" s="4">
        <f>+Datos!D23</f>
        <v>0</v>
      </c>
      <c r="E23" t="s">
        <v>30</v>
      </c>
    </row>
    <row r="24" spans="2:5" x14ac:dyDescent="0.25">
      <c r="B24" t="s">
        <v>29</v>
      </c>
      <c r="C24" t="s">
        <v>35</v>
      </c>
      <c r="D24" s="4">
        <f>+Datos!D24</f>
        <v>0.15</v>
      </c>
      <c r="E24" t="s">
        <v>30</v>
      </c>
    </row>
    <row r="25" spans="2:5" x14ac:dyDescent="0.25">
      <c r="B25" s="3" t="s">
        <v>40</v>
      </c>
    </row>
    <row r="26" spans="2:5" x14ac:dyDescent="0.25">
      <c r="B26" s="3"/>
      <c r="C26" t="s">
        <v>48</v>
      </c>
      <c r="D26">
        <f>+Datos!D26</f>
        <v>382</v>
      </c>
      <c r="E26" t="s">
        <v>49</v>
      </c>
    </row>
    <row r="27" spans="2:5" x14ac:dyDescent="0.25">
      <c r="C27" t="s">
        <v>50</v>
      </c>
      <c r="D27">
        <f>+Datos!D27</f>
        <v>5</v>
      </c>
      <c r="E27" t="s">
        <v>52</v>
      </c>
    </row>
    <row r="28" spans="2:5" x14ac:dyDescent="0.25">
      <c r="B28" t="s">
        <v>36</v>
      </c>
      <c r="C28" t="s">
        <v>51</v>
      </c>
      <c r="D28" s="4">
        <f>+Datos!D28</f>
        <v>31.833333333333332</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51.483333333333334</v>
      </c>
      <c r="E31" t="s">
        <v>30</v>
      </c>
    </row>
    <row r="32" spans="2:5" x14ac:dyDescent="0.25">
      <c r="C32" t="s">
        <v>43</v>
      </c>
      <c r="D32">
        <f>+Datos!D32</f>
        <v>5</v>
      </c>
      <c r="E32" t="s">
        <v>46</v>
      </c>
    </row>
    <row r="33" spans="2:12" x14ac:dyDescent="0.25">
      <c r="B33" t="s">
        <v>47</v>
      </c>
      <c r="C33" t="s">
        <v>42</v>
      </c>
      <c r="D33" s="4">
        <f>+Datos!D33</f>
        <v>2.5741666666666667</v>
      </c>
      <c r="E33" t="s">
        <v>30</v>
      </c>
    </row>
    <row r="34" spans="2:12" x14ac:dyDescent="0.25">
      <c r="B34" s="5" t="s">
        <v>53</v>
      </c>
    </row>
    <row r="35" spans="2:12" x14ac:dyDescent="0.25">
      <c r="B35" s="23" t="s">
        <v>54</v>
      </c>
      <c r="C35" s="23" t="s">
        <v>55</v>
      </c>
      <c r="D35" s="24">
        <f>+Datos!D35</f>
        <v>54.057500000000005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36568</v>
      </c>
      <c r="E39" t="s">
        <v>59</v>
      </c>
    </row>
    <row r="40" spans="2:12" x14ac:dyDescent="0.25">
      <c r="B40" t="s">
        <v>60</v>
      </c>
      <c r="C40" t="s">
        <v>61</v>
      </c>
      <c r="D40">
        <f>+Datos!D40</f>
        <v>1.06</v>
      </c>
      <c r="E40" t="s">
        <v>62</v>
      </c>
    </row>
    <row r="41" spans="2:12" x14ac:dyDescent="0.25">
      <c r="B41" t="s">
        <v>63</v>
      </c>
      <c r="C41" t="s">
        <v>64</v>
      </c>
      <c r="D41">
        <f>+Datos!D41</f>
        <v>38.762080000000005</v>
      </c>
      <c r="E41" t="s">
        <v>65</v>
      </c>
    </row>
    <row r="42" spans="2:12" x14ac:dyDescent="0.25">
      <c r="C42" t="s">
        <v>66</v>
      </c>
      <c r="D42">
        <f>+Datos!D42</f>
        <v>100</v>
      </c>
      <c r="E42" t="s">
        <v>46</v>
      </c>
    </row>
    <row r="43" spans="2:12" x14ac:dyDescent="0.25">
      <c r="B43" t="s">
        <v>67</v>
      </c>
      <c r="C43" t="s">
        <v>80</v>
      </c>
      <c r="D43">
        <f>+Datos!D43</f>
        <v>25.195352000000003</v>
      </c>
      <c r="E43" t="s">
        <v>65</v>
      </c>
    </row>
    <row r="44" spans="2:12" x14ac:dyDescent="0.25">
      <c r="B44" t="s">
        <v>68</v>
      </c>
      <c r="C44" t="s">
        <v>69</v>
      </c>
      <c r="D44">
        <f>+Datos!D44</f>
        <v>4</v>
      </c>
      <c r="E44" t="s">
        <v>70</v>
      </c>
    </row>
    <row r="45" spans="2:12" x14ac:dyDescent="0.25">
      <c r="C45" t="s">
        <v>79</v>
      </c>
      <c r="D45">
        <f>+Datos!D45</f>
        <v>2</v>
      </c>
      <c r="F45" s="36"/>
    </row>
    <row r="46" spans="2:12" ht="15.75" thickBot="1" x14ac:dyDescent="0.3">
      <c r="B46" t="s">
        <v>81</v>
      </c>
      <c r="C46" t="s">
        <v>85</v>
      </c>
      <c r="D46">
        <f>+Datos!D46</f>
        <v>50.390704000000007</v>
      </c>
      <c r="E46" t="s">
        <v>65</v>
      </c>
    </row>
    <row r="47" spans="2:12" ht="15.75" thickBot="1" x14ac:dyDescent="0.3">
      <c r="C47" t="s">
        <v>83</v>
      </c>
      <c r="D47">
        <f>+Datos!D47</f>
        <v>0.5</v>
      </c>
      <c r="E47" t="s">
        <v>84</v>
      </c>
      <c r="H47" s="839" t="s">
        <v>100</v>
      </c>
      <c r="I47" s="840"/>
      <c r="J47" s="840"/>
      <c r="K47" s="841"/>
    </row>
    <row r="48" spans="2:12" x14ac:dyDescent="0.25">
      <c r="C48" s="23" t="s">
        <v>85</v>
      </c>
      <c r="D48" s="131">
        <f>+Datos!D48</f>
        <v>100.78140800000001</v>
      </c>
      <c r="E48" s="23" t="s">
        <v>87</v>
      </c>
      <c r="H48" s="30"/>
      <c r="I48" s="31" t="s">
        <v>99</v>
      </c>
      <c r="J48" s="1">
        <v>3.0276121924426413</v>
      </c>
      <c r="K48" s="32"/>
      <c r="L48" t="s">
        <v>109</v>
      </c>
    </row>
    <row r="49" spans="1:11" ht="15.75" thickBot="1" x14ac:dyDescent="0.3">
      <c r="C49" s="23"/>
      <c r="D49" s="23"/>
      <c r="E49" s="23"/>
      <c r="H49" s="30"/>
      <c r="J49" s="7" t="s">
        <v>100</v>
      </c>
      <c r="K49" s="32"/>
    </row>
    <row r="50" spans="1:11" x14ac:dyDescent="0.25">
      <c r="B50" s="2" t="s">
        <v>88</v>
      </c>
      <c r="H50" s="30" t="s">
        <v>105</v>
      </c>
      <c r="I50" s="32">
        <f>2*D36</f>
        <v>16</v>
      </c>
      <c r="J50" s="27" t="b">
        <f>$D$64=0</f>
        <v>1</v>
      </c>
      <c r="K50" s="32"/>
    </row>
    <row r="51" spans="1:11" x14ac:dyDescent="0.25">
      <c r="B51" t="s">
        <v>90</v>
      </c>
      <c r="C51" t="s">
        <v>89</v>
      </c>
      <c r="D51" s="1">
        <v>9</v>
      </c>
      <c r="E51" t="s">
        <v>86</v>
      </c>
      <c r="H51" s="30" t="s">
        <v>106</v>
      </c>
      <c r="I51" s="32">
        <f>+D51*ROUNDUP(J48,0)</f>
        <v>36</v>
      </c>
      <c r="J51" s="28">
        <f>COUNT($J$48)</f>
        <v>1</v>
      </c>
      <c r="K51" s="32"/>
    </row>
    <row r="52" spans="1:11" x14ac:dyDescent="0.25">
      <c r="B52" t="s">
        <v>91</v>
      </c>
      <c r="C52" s="164" t="s">
        <v>727</v>
      </c>
      <c r="D52" s="285">
        <f>ROUNDUP(D48/D51,0)</f>
        <v>12</v>
      </c>
      <c r="E52" t="s">
        <v>96</v>
      </c>
      <c r="H52" s="30"/>
      <c r="I52" s="32">
        <f>+D52*I51</f>
        <v>432</v>
      </c>
      <c r="J52" s="28" t="b">
        <f>$D$55&lt;=$I$50</f>
        <v>1</v>
      </c>
      <c r="K52" s="32"/>
    </row>
    <row r="53" spans="1:11" x14ac:dyDescent="0.25">
      <c r="B53" t="s">
        <v>92</v>
      </c>
      <c r="C53" s="164" t="s">
        <v>728</v>
      </c>
      <c r="D53" s="165">
        <f>(((D20+D22+D23+D24+D29)*D52+(D21+D28)/ROUNDUP(J48,0))*(1+D32/100))/J48</f>
        <v>6.704953841404043</v>
      </c>
      <c r="E53" t="s">
        <v>30</v>
      </c>
      <c r="H53" s="30"/>
      <c r="J53" s="28">
        <f>{32767;32767;0.000001;0.01;FALSE;FALSE;FALSE;1;2;1;0.0001;TRUE}</f>
        <v>32767</v>
      </c>
      <c r="K53" s="32"/>
    </row>
    <row r="54" spans="1:11" ht="15.75" thickBot="1" x14ac:dyDescent="0.3">
      <c r="C54" s="127" t="s">
        <v>107</v>
      </c>
      <c r="D54" s="128">
        <f>+IF(D53&gt;D36,D53-D36,0)</f>
        <v>0</v>
      </c>
      <c r="E54" s="127" t="s">
        <v>30</v>
      </c>
      <c r="H54" s="30"/>
      <c r="J54" s="29">
        <f>{0;0;1;100;0;FALSE;FALSE;0.075;0;0;FALSE;30}</f>
        <v>0</v>
      </c>
      <c r="K54" s="32"/>
    </row>
    <row r="55" spans="1:11" ht="15.75" thickBot="1" x14ac:dyDescent="0.3">
      <c r="C55" t="s">
        <v>94</v>
      </c>
      <c r="D55" s="4">
        <f>+IF(D53&gt;2*D36,D53-2*D36,0)</f>
        <v>0</v>
      </c>
      <c r="E55" t="s">
        <v>30</v>
      </c>
      <c r="H55" s="33"/>
      <c r="I55" s="34"/>
      <c r="J55" s="34"/>
      <c r="K55" s="35"/>
    </row>
    <row r="56" spans="1:11" x14ac:dyDescent="0.25">
      <c r="C56" t="s">
        <v>108</v>
      </c>
      <c r="D56" s="4">
        <f>+IF(D54=0,D36-D53,0)</f>
        <v>1.295046158595957</v>
      </c>
      <c r="E56" t="s">
        <v>30</v>
      </c>
    </row>
    <row r="57" spans="1:11" x14ac:dyDescent="0.25">
      <c r="C57" t="s">
        <v>98</v>
      </c>
      <c r="D57" s="4">
        <f>+IF(D55=0,IF((2*D36-D53)&gt;D36,8,2*D36-D53),0)</f>
        <v>8</v>
      </c>
      <c r="E57" t="s">
        <v>30</v>
      </c>
    </row>
    <row r="58" spans="1:11" x14ac:dyDescent="0.25">
      <c r="C58" s="285" t="s">
        <v>182</v>
      </c>
      <c r="D58" s="538">
        <f>+D53</f>
        <v>6.704953841404043</v>
      </c>
      <c r="E58" t="s">
        <v>30</v>
      </c>
    </row>
    <row r="59" spans="1:11" x14ac:dyDescent="0.25">
      <c r="C59" s="285" t="s">
        <v>95</v>
      </c>
      <c r="D59" s="166">
        <f>ROUNDDOWN(2*D36*(D52/D66)/D53,0)</f>
        <v>7</v>
      </c>
      <c r="E59" t="s">
        <v>96</v>
      </c>
      <c r="K59" s="36"/>
    </row>
    <row r="61" spans="1:11" hidden="1" x14ac:dyDescent="0.25">
      <c r="C61" s="539" t="s">
        <v>110</v>
      </c>
      <c r="D61" s="540">
        <f>+IF((D48-D36/D58*D51)&lt;0,0,D48-D36/D58*D51)</f>
        <v>90.043079041582772</v>
      </c>
      <c r="E61" s="539" t="s">
        <v>86</v>
      </c>
    </row>
    <row r="62" spans="1:11" hidden="1" x14ac:dyDescent="0.25">
      <c r="A62" s="539" t="s">
        <v>729</v>
      </c>
      <c r="C62" s="539" t="s">
        <v>111</v>
      </c>
      <c r="D62" s="540">
        <f>+D48-D61</f>
        <v>10.738328958417242</v>
      </c>
      <c r="E62" s="539" t="s">
        <v>86</v>
      </c>
    </row>
    <row r="63" spans="1:11" hidden="1" x14ac:dyDescent="0.25">
      <c r="C63" s="539" t="s">
        <v>148</v>
      </c>
      <c r="D63" s="540">
        <f>IF(D53&lt;=2*D36,D48,2*D36/D58*D51)</f>
        <v>100.78140800000001</v>
      </c>
      <c r="E63" s="539" t="s">
        <v>86</v>
      </c>
    </row>
    <row r="64" spans="1:11" hidden="1" x14ac:dyDescent="0.25">
      <c r="C64" s="539" t="s">
        <v>97</v>
      </c>
      <c r="D64" s="540">
        <f>+IF((D48-D63)&lt;0,0,D48-D63)</f>
        <v>0</v>
      </c>
      <c r="E64" s="539" t="s">
        <v>86</v>
      </c>
    </row>
    <row r="66" spans="3:5" x14ac:dyDescent="0.25">
      <c r="C66" s="2" t="s">
        <v>103</v>
      </c>
      <c r="D66" s="542">
        <f>ROUNDUP(J48,0)</f>
        <v>4</v>
      </c>
      <c r="E66" t="s">
        <v>101</v>
      </c>
    </row>
    <row r="67" spans="3:5" x14ac:dyDescent="0.25">
      <c r="C67" t="s">
        <v>117</v>
      </c>
      <c r="D67" s="36">
        <v>1</v>
      </c>
    </row>
    <row r="68" spans="3:5" x14ac:dyDescent="0.25">
      <c r="C68" t="s">
        <v>104</v>
      </c>
      <c r="D68" s="538">
        <f>+D59*D66*D51</f>
        <v>252</v>
      </c>
      <c r="E68" t="s">
        <v>86</v>
      </c>
    </row>
    <row r="69" spans="3:5" x14ac:dyDescent="0.25">
      <c r="C69" t="s">
        <v>102</v>
      </c>
      <c r="D69" s="26">
        <f>+(D68/D48-1)</f>
        <v>1.5004611961761833</v>
      </c>
    </row>
    <row r="70" spans="3:5" x14ac:dyDescent="0.25">
      <c r="C70" t="s">
        <v>119</v>
      </c>
      <c r="D70" s="166">
        <f>+D5+(D7+D8)*D52*2/D66+D9+D6/D66</f>
        <v>80.650000000000006</v>
      </c>
      <c r="E70" s="164" t="s">
        <v>244</v>
      </c>
    </row>
    <row r="71" spans="3:5" x14ac:dyDescent="0.25">
      <c r="C71" t="s">
        <v>118</v>
      </c>
      <c r="D71" s="141">
        <f>+D70*D66</f>
        <v>322.60000000000002</v>
      </c>
      <c r="E71" s="164" t="s">
        <v>244</v>
      </c>
    </row>
    <row r="72" spans="3:5" x14ac:dyDescent="0.25">
      <c r="C72" t="s">
        <v>123</v>
      </c>
      <c r="D72" s="165">
        <f>+D48/D66</f>
        <v>25.195352000000003</v>
      </c>
      <c r="E72" t="s">
        <v>87</v>
      </c>
    </row>
    <row r="73" spans="3:5" x14ac:dyDescent="0.25">
      <c r="C73" t="s">
        <v>123</v>
      </c>
      <c r="D73">
        <f>+D72*D47*D44*52</f>
        <v>2620.3166080000005</v>
      </c>
      <c r="E73" t="s">
        <v>124</v>
      </c>
    </row>
    <row r="74" spans="3:5" x14ac:dyDescent="0.25">
      <c r="D74" s="4"/>
    </row>
    <row r="75" spans="3:5" x14ac:dyDescent="0.25">
      <c r="D75" s="4"/>
    </row>
    <row r="76" spans="3:5" x14ac:dyDescent="0.25">
      <c r="D76" s="4"/>
    </row>
  </sheetData>
  <mergeCells count="1">
    <mergeCell ref="H47:K47"/>
  </mergeCells>
  <conditionalFormatting sqref="D64">
    <cfRule type="cellIs" dxfId="48"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
  <dimension ref="B1:L76"/>
  <sheetViews>
    <sheetView view="pageBreakPreview" topLeftCell="D42" zoomScale="80" zoomScaleSheetLayoutView="80" workbookViewId="0">
      <selection activeCell="H67" sqref="H67"/>
    </sheetView>
  </sheetViews>
  <sheetFormatPr baseColWidth="10" defaultRowHeight="15" x14ac:dyDescent="0.25"/>
  <cols>
    <col min="2" max="2" width="12.28515625" customWidth="1"/>
    <col min="3" max="3" width="56.42578125" bestFit="1" customWidth="1"/>
    <col min="8" max="8" width="17.140625" customWidth="1"/>
    <col min="10" max="10" width="11.85546875" bestFit="1" customWidth="1"/>
  </cols>
  <sheetData>
    <row r="1" spans="2:5" x14ac:dyDescent="0.25">
      <c r="B1" s="2" t="s">
        <v>112</v>
      </c>
    </row>
    <row r="2" spans="2:5" x14ac:dyDescent="0.25">
      <c r="B2" s="2" t="s">
        <v>113</v>
      </c>
      <c r="C2" t="str">
        <f>+Datos!C2</f>
        <v>Pehuajó</v>
      </c>
    </row>
    <row r="4" spans="2:5" x14ac:dyDescent="0.25">
      <c r="B4" s="2" t="s">
        <v>0</v>
      </c>
    </row>
    <row r="5" spans="2:5" x14ac:dyDescent="0.25">
      <c r="B5" t="s">
        <v>1</v>
      </c>
      <c r="C5" t="s">
        <v>2</v>
      </c>
      <c r="D5">
        <f>+Datos!D5</f>
        <v>0</v>
      </c>
      <c r="E5" t="s">
        <v>3</v>
      </c>
    </row>
    <row r="6" spans="2:5" x14ac:dyDescent="0.25">
      <c r="B6" t="s">
        <v>4</v>
      </c>
      <c r="C6" t="s">
        <v>5</v>
      </c>
      <c r="D6" s="150">
        <f>+Datos!D6</f>
        <v>191</v>
      </c>
      <c r="E6" t="s">
        <v>3</v>
      </c>
    </row>
    <row r="7" spans="2:5" x14ac:dyDescent="0.25">
      <c r="B7" t="s">
        <v>6</v>
      </c>
      <c r="C7" t="s">
        <v>8</v>
      </c>
      <c r="D7">
        <f>+Datos!D7</f>
        <v>4.7</v>
      </c>
      <c r="E7" t="s">
        <v>3</v>
      </c>
    </row>
    <row r="8" spans="2:5" x14ac:dyDescent="0.25">
      <c r="B8" t="s">
        <v>7</v>
      </c>
      <c r="C8" t="s">
        <v>9</v>
      </c>
      <c r="D8">
        <f>+Datos!D8</f>
        <v>0</v>
      </c>
      <c r="E8" t="s">
        <v>3</v>
      </c>
    </row>
    <row r="9" spans="2:5" x14ac:dyDescent="0.25">
      <c r="B9" t="s">
        <v>10</v>
      </c>
      <c r="C9" t="s">
        <v>11</v>
      </c>
      <c r="D9">
        <f>+Datos!D9</f>
        <v>4.7</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31.333333333333336</v>
      </c>
      <c r="E14" t="s">
        <v>23</v>
      </c>
    </row>
    <row r="15" spans="2:5" x14ac:dyDescent="0.25">
      <c r="B15" t="s">
        <v>16</v>
      </c>
      <c r="C15" t="s">
        <v>21</v>
      </c>
      <c r="D15">
        <f>+Datos!D15</f>
        <v>40</v>
      </c>
      <c r="E15" t="s">
        <v>23</v>
      </c>
    </row>
    <row r="16" spans="2:5" x14ac:dyDescent="0.25">
      <c r="B16" t="s">
        <v>17</v>
      </c>
      <c r="C16" t="s">
        <v>22</v>
      </c>
      <c r="D16">
        <f>+Datos!D16</f>
        <v>31.333333333333336</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19.100000000000001</v>
      </c>
      <c r="E21" t="s">
        <v>30</v>
      </c>
    </row>
    <row r="22" spans="2:5" x14ac:dyDescent="0.25">
      <c r="B22" t="s">
        <v>27</v>
      </c>
      <c r="C22" t="s">
        <v>33</v>
      </c>
      <c r="D22" s="4">
        <f>+Datos!D22</f>
        <v>0.15</v>
      </c>
      <c r="E22" t="s">
        <v>30</v>
      </c>
    </row>
    <row r="23" spans="2:5" x14ac:dyDescent="0.25">
      <c r="B23" t="s">
        <v>28</v>
      </c>
      <c r="C23" t="s">
        <v>34</v>
      </c>
      <c r="D23" s="4">
        <f>+Datos!D23</f>
        <v>0</v>
      </c>
      <c r="E23" t="s">
        <v>30</v>
      </c>
    </row>
    <row r="24" spans="2:5" x14ac:dyDescent="0.25">
      <c r="B24" t="s">
        <v>29</v>
      </c>
      <c r="C24" t="s">
        <v>35</v>
      </c>
      <c r="D24" s="4">
        <f>+Datos!D24</f>
        <v>0.15</v>
      </c>
      <c r="E24" t="s">
        <v>30</v>
      </c>
    </row>
    <row r="25" spans="2:5" x14ac:dyDescent="0.25">
      <c r="B25" s="3" t="s">
        <v>40</v>
      </c>
    </row>
    <row r="26" spans="2:5" x14ac:dyDescent="0.25">
      <c r="B26" s="3"/>
      <c r="C26" t="s">
        <v>48</v>
      </c>
      <c r="D26">
        <f>+Datos!D26</f>
        <v>382</v>
      </c>
      <c r="E26" t="s">
        <v>49</v>
      </c>
    </row>
    <row r="27" spans="2:5" x14ac:dyDescent="0.25">
      <c r="C27" t="s">
        <v>50</v>
      </c>
      <c r="D27">
        <f>+Datos!D27</f>
        <v>5</v>
      </c>
      <c r="E27" t="s">
        <v>52</v>
      </c>
    </row>
    <row r="28" spans="2:5" x14ac:dyDescent="0.25">
      <c r="B28" t="s">
        <v>36</v>
      </c>
      <c r="C28" t="s">
        <v>51</v>
      </c>
      <c r="D28" s="4">
        <f>+Datos!D28</f>
        <v>31.833333333333332</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51.483333333333334</v>
      </c>
      <c r="E31" t="s">
        <v>30</v>
      </c>
    </row>
    <row r="32" spans="2:5" x14ac:dyDescent="0.25">
      <c r="C32" t="s">
        <v>43</v>
      </c>
      <c r="D32">
        <f>+Datos!D32</f>
        <v>5</v>
      </c>
      <c r="E32" t="s">
        <v>46</v>
      </c>
    </row>
    <row r="33" spans="2:12" x14ac:dyDescent="0.25">
      <c r="B33" t="s">
        <v>47</v>
      </c>
      <c r="C33" t="s">
        <v>42</v>
      </c>
      <c r="D33" s="150">
        <f>+Datos!D33</f>
        <v>2.5741666666666667</v>
      </c>
      <c r="E33" t="s">
        <v>30</v>
      </c>
    </row>
    <row r="34" spans="2:12" x14ac:dyDescent="0.25">
      <c r="B34" s="5" t="s">
        <v>53</v>
      </c>
    </row>
    <row r="35" spans="2:12" x14ac:dyDescent="0.25">
      <c r="B35" s="23" t="s">
        <v>54</v>
      </c>
      <c r="C35" s="23" t="s">
        <v>55</v>
      </c>
      <c r="D35" s="24">
        <f>+Datos!D35</f>
        <v>54.057500000000005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36568</v>
      </c>
      <c r="E39" t="s">
        <v>59</v>
      </c>
    </row>
    <row r="40" spans="2:12" x14ac:dyDescent="0.25">
      <c r="B40" t="s">
        <v>60</v>
      </c>
      <c r="C40" t="s">
        <v>61</v>
      </c>
      <c r="D40">
        <f>+Datos!D40</f>
        <v>1.06</v>
      </c>
      <c r="E40" t="s">
        <v>62</v>
      </c>
    </row>
    <row r="41" spans="2:12" x14ac:dyDescent="0.25">
      <c r="B41" t="s">
        <v>63</v>
      </c>
      <c r="C41" t="s">
        <v>64</v>
      </c>
      <c r="D41">
        <f>+Datos!D41</f>
        <v>38.762080000000005</v>
      </c>
      <c r="E41" t="s">
        <v>65</v>
      </c>
    </row>
    <row r="42" spans="2:12" x14ac:dyDescent="0.25">
      <c r="C42" t="s">
        <v>66</v>
      </c>
      <c r="D42">
        <f>+Datos!D42</f>
        <v>100</v>
      </c>
      <c r="E42" t="s">
        <v>46</v>
      </c>
    </row>
    <row r="43" spans="2:12" x14ac:dyDescent="0.25">
      <c r="B43" t="s">
        <v>67</v>
      </c>
      <c r="C43" t="s">
        <v>80</v>
      </c>
      <c r="D43">
        <f>+Datos!D43</f>
        <v>25.195352000000003</v>
      </c>
      <c r="E43" t="s">
        <v>65</v>
      </c>
    </row>
    <row r="44" spans="2:12" x14ac:dyDescent="0.25">
      <c r="B44" t="s">
        <v>68</v>
      </c>
      <c r="C44" t="s">
        <v>69</v>
      </c>
      <c r="D44">
        <f>+Datos!D44</f>
        <v>4</v>
      </c>
      <c r="E44" t="s">
        <v>70</v>
      </c>
    </row>
    <row r="45" spans="2:12" x14ac:dyDescent="0.25">
      <c r="C45" t="s">
        <v>79</v>
      </c>
      <c r="D45">
        <f>+Datos!D45</f>
        <v>2</v>
      </c>
      <c r="F45" s="36"/>
    </row>
    <row r="46" spans="2:12" ht="15.75" thickBot="1" x14ac:dyDescent="0.3">
      <c r="B46" t="s">
        <v>81</v>
      </c>
      <c r="C46" t="s">
        <v>85</v>
      </c>
      <c r="D46">
        <f>+Datos!D46</f>
        <v>50.390704000000007</v>
      </c>
      <c r="E46" t="s">
        <v>65</v>
      </c>
    </row>
    <row r="47" spans="2:12" ht="15.75" thickBot="1" x14ac:dyDescent="0.3">
      <c r="C47" t="s">
        <v>83</v>
      </c>
      <c r="D47">
        <f>+Datos!D47</f>
        <v>0.5</v>
      </c>
      <c r="E47" t="s">
        <v>84</v>
      </c>
      <c r="H47" s="839" t="s">
        <v>100</v>
      </c>
      <c r="I47" s="840"/>
      <c r="J47" s="840"/>
      <c r="K47" s="841"/>
    </row>
    <row r="48" spans="2:12" x14ac:dyDescent="0.25">
      <c r="C48" s="131" t="s">
        <v>85</v>
      </c>
      <c r="D48" s="131">
        <f>+Datos!D48</f>
        <v>100.78140800000001</v>
      </c>
      <c r="E48" s="131" t="s">
        <v>87</v>
      </c>
      <c r="H48" s="30"/>
      <c r="I48" s="31" t="s">
        <v>99</v>
      </c>
      <c r="J48" s="125">
        <v>1.9960917771838724</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12</v>
      </c>
      <c r="E51" t="s">
        <v>86</v>
      </c>
      <c r="H51" s="30" t="s">
        <v>106</v>
      </c>
      <c r="I51" s="32">
        <f>+D51*ROUNDUP(J48,0)</f>
        <v>24</v>
      </c>
      <c r="J51" s="28">
        <f>COUNT($J$48)</f>
        <v>1</v>
      </c>
      <c r="K51" s="32"/>
    </row>
    <row r="52" spans="2:11" x14ac:dyDescent="0.25">
      <c r="B52" t="s">
        <v>91</v>
      </c>
      <c r="C52" s="164" t="s">
        <v>727</v>
      </c>
      <c r="D52" s="164">
        <f>ROUNDUP(D48/D51,0)</f>
        <v>9</v>
      </c>
      <c r="E52" t="s">
        <v>96</v>
      </c>
      <c r="H52" s="30"/>
      <c r="I52" s="32">
        <f>+D52*I51</f>
        <v>216</v>
      </c>
      <c r="J52" s="28" t="b">
        <f>$D$55&lt;=$I$50</f>
        <v>1</v>
      </c>
      <c r="K52" s="32"/>
    </row>
    <row r="53" spans="2:11" x14ac:dyDescent="0.25">
      <c r="B53" t="s">
        <v>92</v>
      </c>
      <c r="C53" s="164" t="s">
        <v>728</v>
      </c>
      <c r="D53" s="165">
        <f>(((D20+D22+D23+D24+D29)*D52+(D21+D28)/ROUNDUP(J48,0))*(1+D32/100))/J48</f>
        <v>16.000015813430227</v>
      </c>
      <c r="E53" t="s">
        <v>30</v>
      </c>
      <c r="H53" s="30"/>
      <c r="J53" s="28">
        <f>{32767;32767;0.000001;0.01;FALSE;FALSE;FALSE;1;2;1;0.0001;TRUE}</f>
        <v>32767</v>
      </c>
      <c r="K53" s="32"/>
    </row>
    <row r="54" spans="2:11" ht="15.75" thickBot="1" x14ac:dyDescent="0.3">
      <c r="C54" t="s">
        <v>107</v>
      </c>
      <c r="D54" s="4">
        <f>+IF(D53&gt;D36,D53-D36,0)</f>
        <v>8.0000158134302275</v>
      </c>
      <c r="E54" t="s">
        <v>30</v>
      </c>
      <c r="H54" s="30"/>
      <c r="J54" s="29">
        <f>{0;0;1;100;0;FALSE;FALSE;0.075;0;0;FALSE;30}</f>
        <v>0</v>
      </c>
      <c r="K54" s="32"/>
    </row>
    <row r="55" spans="2:11" ht="15.75" thickBot="1" x14ac:dyDescent="0.3">
      <c r="C55" s="129" t="s">
        <v>94</v>
      </c>
      <c r="D55" s="130">
        <f>+IF(D53&gt;2*D36,D53-2*D36,0)</f>
        <v>1.5813430227495928E-5</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4" t="s">
        <v>182</v>
      </c>
      <c r="D58" s="165">
        <f>+D53</f>
        <v>16.000015813430227</v>
      </c>
      <c r="E58" t="s">
        <v>30</v>
      </c>
    </row>
    <row r="59" spans="2:11" x14ac:dyDescent="0.25">
      <c r="C59" s="164" t="s">
        <v>95</v>
      </c>
      <c r="D59" s="166">
        <f>ROUNDDOWN(2*D36*(D52/D66)/D53,0)</f>
        <v>4</v>
      </c>
      <c r="E59" t="s">
        <v>96</v>
      </c>
      <c r="K59" s="36"/>
    </row>
    <row r="61" spans="2:11" hidden="1" x14ac:dyDescent="0.25">
      <c r="C61" t="s">
        <v>110</v>
      </c>
      <c r="D61" s="4">
        <f>+IF((D48-D36/D58*D51)&lt;0,0,D48-D36/D58*D51)</f>
        <v>94.781413930030482</v>
      </c>
      <c r="E61" t="s">
        <v>86</v>
      </c>
    </row>
    <row r="62" spans="2:11" hidden="1" x14ac:dyDescent="0.25">
      <c r="C62" t="s">
        <v>111</v>
      </c>
      <c r="D62" s="4">
        <f>+D48-D61</f>
        <v>5.9999940699695316</v>
      </c>
      <c r="E62" t="s">
        <v>86</v>
      </c>
    </row>
    <row r="63" spans="2:11" hidden="1" x14ac:dyDescent="0.25">
      <c r="C63" t="s">
        <v>148</v>
      </c>
      <c r="D63" s="4">
        <f>IF(D53&lt;=2*D36,D48,2*D36/D58*D51)</f>
        <v>11.999988139939051</v>
      </c>
      <c r="E63" t="s">
        <v>86</v>
      </c>
    </row>
    <row r="64" spans="2:11" hidden="1" x14ac:dyDescent="0.25">
      <c r="C64" t="s">
        <v>97</v>
      </c>
      <c r="D64" s="4">
        <f>+IF((D48-D63)&lt;0,0,D48-D63)</f>
        <v>88.781419860060964</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96</v>
      </c>
      <c r="E68" t="s">
        <v>86</v>
      </c>
    </row>
    <row r="69" spans="3:5" x14ac:dyDescent="0.25">
      <c r="C69" t="s">
        <v>102</v>
      </c>
      <c r="D69" s="26">
        <f>+(D68/D48-1)</f>
        <v>-4.744335383764442E-2</v>
      </c>
    </row>
    <row r="70" spans="3:5" x14ac:dyDescent="0.25">
      <c r="C70" t="s">
        <v>119</v>
      </c>
      <c r="D70" s="166">
        <f>+D5+(D7+D8)*D52*2/D66+D9+D6/D66</f>
        <v>142.5</v>
      </c>
      <c r="E70" s="164" t="s">
        <v>244</v>
      </c>
    </row>
    <row r="71" spans="3:5" x14ac:dyDescent="0.25">
      <c r="C71" t="s">
        <v>118</v>
      </c>
      <c r="D71" s="141">
        <f>+D70*D66</f>
        <v>285</v>
      </c>
      <c r="E71" s="164" t="s">
        <v>244</v>
      </c>
    </row>
    <row r="72" spans="3:5" x14ac:dyDescent="0.25">
      <c r="C72" t="s">
        <v>123</v>
      </c>
      <c r="D72" s="165">
        <f>+D48/D66</f>
        <v>50.390704000000007</v>
      </c>
      <c r="E72" t="s">
        <v>87</v>
      </c>
    </row>
    <row r="73" spans="3:5" x14ac:dyDescent="0.25">
      <c r="C73" t="s">
        <v>123</v>
      </c>
      <c r="D73">
        <f>+D72*D47*D44*52</f>
        <v>5240.6332160000011</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7"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4"/>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Pehuajó</v>
      </c>
    </row>
    <row r="4" spans="2:5" x14ac:dyDescent="0.25">
      <c r="B4" s="2" t="s">
        <v>0</v>
      </c>
    </row>
    <row r="5" spans="2:5" x14ac:dyDescent="0.25">
      <c r="B5" t="s">
        <v>1</v>
      </c>
      <c r="C5" t="s">
        <v>2</v>
      </c>
      <c r="D5">
        <f>+Datos!D5</f>
        <v>0</v>
      </c>
      <c r="E5" t="s">
        <v>3</v>
      </c>
    </row>
    <row r="6" spans="2:5" x14ac:dyDescent="0.25">
      <c r="B6" t="s">
        <v>4</v>
      </c>
      <c r="C6" t="s">
        <v>5</v>
      </c>
      <c r="D6" s="150">
        <f>+Datos!D6</f>
        <v>191</v>
      </c>
      <c r="E6" t="s">
        <v>3</v>
      </c>
    </row>
    <row r="7" spans="2:5" x14ac:dyDescent="0.25">
      <c r="B7" t="s">
        <v>6</v>
      </c>
      <c r="C7" t="s">
        <v>8</v>
      </c>
      <c r="D7">
        <f>+Datos!D7</f>
        <v>4.7</v>
      </c>
      <c r="E7" t="s">
        <v>3</v>
      </c>
    </row>
    <row r="8" spans="2:5" x14ac:dyDescent="0.25">
      <c r="B8" t="s">
        <v>7</v>
      </c>
      <c r="C8" t="s">
        <v>9</v>
      </c>
      <c r="D8">
        <f>+Datos!D8</f>
        <v>0</v>
      </c>
      <c r="E8" t="s">
        <v>3</v>
      </c>
    </row>
    <row r="9" spans="2:5" x14ac:dyDescent="0.25">
      <c r="B9" t="s">
        <v>10</v>
      </c>
      <c r="C9" t="s">
        <v>11</v>
      </c>
      <c r="D9">
        <f>+Datos!D9</f>
        <v>4.7</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31.333333333333336</v>
      </c>
      <c r="E14" t="s">
        <v>23</v>
      </c>
    </row>
    <row r="15" spans="2:5" x14ac:dyDescent="0.25">
      <c r="B15" t="s">
        <v>16</v>
      </c>
      <c r="C15" t="s">
        <v>21</v>
      </c>
      <c r="D15">
        <f>+Datos!D15</f>
        <v>40</v>
      </c>
      <c r="E15" t="s">
        <v>23</v>
      </c>
    </row>
    <row r="16" spans="2:5" x14ac:dyDescent="0.25">
      <c r="B16" t="s">
        <v>17</v>
      </c>
      <c r="C16" t="s">
        <v>22</v>
      </c>
      <c r="D16">
        <f>+Datos!D16</f>
        <v>31.333333333333336</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19.100000000000001</v>
      </c>
      <c r="E21" t="s">
        <v>30</v>
      </c>
    </row>
    <row r="22" spans="2:5" x14ac:dyDescent="0.25">
      <c r="B22" t="s">
        <v>27</v>
      </c>
      <c r="C22" t="s">
        <v>33</v>
      </c>
      <c r="D22" s="4">
        <f>+Datos!D22</f>
        <v>0.15</v>
      </c>
      <c r="E22" t="s">
        <v>30</v>
      </c>
    </row>
    <row r="23" spans="2:5" x14ac:dyDescent="0.25">
      <c r="B23" t="s">
        <v>28</v>
      </c>
      <c r="C23" t="s">
        <v>34</v>
      </c>
      <c r="D23" s="4">
        <f>+Datos!D23</f>
        <v>0</v>
      </c>
      <c r="E23" t="s">
        <v>30</v>
      </c>
    </row>
    <row r="24" spans="2:5" x14ac:dyDescent="0.25">
      <c r="B24" t="s">
        <v>29</v>
      </c>
      <c r="C24" t="s">
        <v>35</v>
      </c>
      <c r="D24" s="4">
        <f>+Datos!D24</f>
        <v>0.15</v>
      </c>
      <c r="E24" t="s">
        <v>30</v>
      </c>
    </row>
    <row r="25" spans="2:5" x14ac:dyDescent="0.25">
      <c r="B25" s="3" t="s">
        <v>40</v>
      </c>
    </row>
    <row r="26" spans="2:5" x14ac:dyDescent="0.25">
      <c r="B26" s="3"/>
      <c r="C26" t="s">
        <v>48</v>
      </c>
      <c r="D26">
        <f>+Datos!D26</f>
        <v>382</v>
      </c>
      <c r="E26" t="s">
        <v>49</v>
      </c>
    </row>
    <row r="27" spans="2:5" x14ac:dyDescent="0.25">
      <c r="C27" t="s">
        <v>50</v>
      </c>
      <c r="D27">
        <f>+Datos!D27</f>
        <v>5</v>
      </c>
      <c r="E27" t="s">
        <v>52</v>
      </c>
    </row>
    <row r="28" spans="2:5" x14ac:dyDescent="0.25">
      <c r="B28" t="s">
        <v>36</v>
      </c>
      <c r="C28" t="s">
        <v>51</v>
      </c>
      <c r="D28" s="4">
        <f>+Datos!D28</f>
        <v>31.833333333333332</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51.483333333333334</v>
      </c>
      <c r="E31" t="s">
        <v>30</v>
      </c>
    </row>
    <row r="32" spans="2:5" x14ac:dyDescent="0.25">
      <c r="C32" t="s">
        <v>43</v>
      </c>
      <c r="D32">
        <f>+Datos!D32</f>
        <v>5</v>
      </c>
      <c r="E32" t="s">
        <v>46</v>
      </c>
    </row>
    <row r="33" spans="2:12" x14ac:dyDescent="0.25">
      <c r="B33" t="s">
        <v>47</v>
      </c>
      <c r="C33" t="s">
        <v>42</v>
      </c>
      <c r="D33" s="4">
        <f>+Datos!D33</f>
        <v>2.5741666666666667</v>
      </c>
      <c r="E33" t="s">
        <v>30</v>
      </c>
    </row>
    <row r="34" spans="2:12" x14ac:dyDescent="0.25">
      <c r="B34" s="5" t="s">
        <v>53</v>
      </c>
    </row>
    <row r="35" spans="2:12" x14ac:dyDescent="0.25">
      <c r="B35" s="23" t="s">
        <v>54</v>
      </c>
      <c r="C35" s="23" t="s">
        <v>55</v>
      </c>
      <c r="D35" s="24">
        <f>+Datos!D35</f>
        <v>54.057500000000005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36568</v>
      </c>
      <c r="E39" t="s">
        <v>59</v>
      </c>
    </row>
    <row r="40" spans="2:12" x14ac:dyDescent="0.25">
      <c r="B40" t="s">
        <v>60</v>
      </c>
      <c r="C40" t="s">
        <v>61</v>
      </c>
      <c r="D40">
        <f>+Datos!D40</f>
        <v>1.06</v>
      </c>
      <c r="E40" t="s">
        <v>62</v>
      </c>
    </row>
    <row r="41" spans="2:12" x14ac:dyDescent="0.25">
      <c r="B41" t="s">
        <v>63</v>
      </c>
      <c r="C41" t="s">
        <v>64</v>
      </c>
      <c r="D41">
        <f>+Datos!D41</f>
        <v>38.762080000000005</v>
      </c>
      <c r="E41" t="s">
        <v>65</v>
      </c>
    </row>
    <row r="42" spans="2:12" x14ac:dyDescent="0.25">
      <c r="C42" t="s">
        <v>66</v>
      </c>
      <c r="D42">
        <f>+Datos!D42</f>
        <v>100</v>
      </c>
      <c r="E42" t="s">
        <v>46</v>
      </c>
    </row>
    <row r="43" spans="2:12" x14ac:dyDescent="0.25">
      <c r="B43" t="s">
        <v>67</v>
      </c>
      <c r="C43" t="s">
        <v>80</v>
      </c>
      <c r="D43">
        <f>+Datos!D43</f>
        <v>25.195352000000003</v>
      </c>
      <c r="E43" t="s">
        <v>65</v>
      </c>
    </row>
    <row r="44" spans="2:12" x14ac:dyDescent="0.25">
      <c r="B44" t="s">
        <v>68</v>
      </c>
      <c r="C44" t="s">
        <v>69</v>
      </c>
      <c r="D44">
        <f>+Datos!D44</f>
        <v>4</v>
      </c>
      <c r="E44" t="s">
        <v>70</v>
      </c>
    </row>
    <row r="45" spans="2:12" x14ac:dyDescent="0.25">
      <c r="C45" t="s">
        <v>79</v>
      </c>
      <c r="D45">
        <f>+Datos!D45</f>
        <v>2</v>
      </c>
      <c r="F45" s="36"/>
    </row>
    <row r="46" spans="2:12" ht="15.75" thickBot="1" x14ac:dyDescent="0.3">
      <c r="B46" t="s">
        <v>81</v>
      </c>
      <c r="C46" t="s">
        <v>85</v>
      </c>
      <c r="D46">
        <f>+Datos!D46</f>
        <v>50.390704000000007</v>
      </c>
      <c r="E46" t="s">
        <v>65</v>
      </c>
    </row>
    <row r="47" spans="2:12" ht="15.75" thickBot="1" x14ac:dyDescent="0.3">
      <c r="C47" t="s">
        <v>83</v>
      </c>
      <c r="D47">
        <f>+Datos!D47</f>
        <v>0.5</v>
      </c>
      <c r="E47" t="s">
        <v>84</v>
      </c>
      <c r="H47" s="839" t="s">
        <v>100</v>
      </c>
      <c r="I47" s="840"/>
      <c r="J47" s="840"/>
      <c r="K47" s="841"/>
    </row>
    <row r="48" spans="2:12" x14ac:dyDescent="0.25">
      <c r="C48" s="23" t="s">
        <v>85</v>
      </c>
      <c r="D48" s="131">
        <f>+Datos!D48</f>
        <v>100.78140800000001</v>
      </c>
      <c r="E48" s="23" t="s">
        <v>87</v>
      </c>
      <c r="H48" s="30"/>
      <c r="I48" s="31" t="s">
        <v>99</v>
      </c>
      <c r="J48" s="1">
        <v>2.8779319462400847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12</v>
      </c>
      <c r="E51" t="s">
        <v>86</v>
      </c>
      <c r="H51" s="30" t="s">
        <v>106</v>
      </c>
      <c r="I51" s="32">
        <f>+D51*ROUNDUP(J48,0)</f>
        <v>36</v>
      </c>
      <c r="J51" s="28">
        <f>COUNT($J$48)</f>
        <v>1</v>
      </c>
      <c r="K51" s="32"/>
    </row>
    <row r="52" spans="2:11" x14ac:dyDescent="0.25">
      <c r="B52" t="s">
        <v>91</v>
      </c>
      <c r="C52" s="164" t="s">
        <v>727</v>
      </c>
      <c r="D52" s="164">
        <f>ROUNDUP(D48/D51,0)</f>
        <v>9</v>
      </c>
      <c r="E52" t="s">
        <v>96</v>
      </c>
      <c r="H52" s="30"/>
      <c r="I52" s="32">
        <f>+D52*I51</f>
        <v>324</v>
      </c>
      <c r="J52" s="28" t="b">
        <f>$D$55&lt;=$I$50</f>
        <v>1</v>
      </c>
      <c r="K52" s="32"/>
    </row>
    <row r="53" spans="2:11" x14ac:dyDescent="0.25">
      <c r="B53" t="s">
        <v>92</v>
      </c>
      <c r="C53" s="164" t="s">
        <v>728</v>
      </c>
      <c r="D53" s="165">
        <f>(((D20+D22+D23+D24+D29)*D52+(D21+D28)/ROUNDUP(J48,0))*(1+D32/100))/J48</f>
        <v>8.000247086018458</v>
      </c>
      <c r="E53" t="s">
        <v>30</v>
      </c>
      <c r="H53" s="30"/>
      <c r="J53" s="28">
        <f>{32767;32767;0.000001;0.01;FALSE;FALSE;FALSE;1;2;1;0.0001;TRUE}</f>
        <v>32767</v>
      </c>
      <c r="K53" s="32"/>
    </row>
    <row r="54" spans="2:11" ht="15.75" thickBot="1" x14ac:dyDescent="0.3">
      <c r="C54" s="127" t="s">
        <v>107</v>
      </c>
      <c r="D54" s="128">
        <f>+IF(D53&gt;D36,D53-D36,0)</f>
        <v>2.4708601845802036E-4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v>
      </c>
      <c r="E56" t="s">
        <v>30</v>
      </c>
    </row>
    <row r="57" spans="2:11" x14ac:dyDescent="0.25">
      <c r="C57" t="s">
        <v>98</v>
      </c>
      <c r="D57" s="4">
        <f>+IF(D55=0,IF((2*D36-D53)&gt;D36,8,2*D36-D53),0)</f>
        <v>7.999752913981542</v>
      </c>
      <c r="E57" t="s">
        <v>30</v>
      </c>
    </row>
    <row r="58" spans="2:11" x14ac:dyDescent="0.25">
      <c r="C58" s="164" t="s">
        <v>182</v>
      </c>
      <c r="D58" s="165">
        <f>+D53</f>
        <v>8.000247086018458</v>
      </c>
      <c r="E58" t="s">
        <v>30</v>
      </c>
    </row>
    <row r="59" spans="2:11" x14ac:dyDescent="0.25">
      <c r="C59" s="164" t="s">
        <v>95</v>
      </c>
      <c r="D59" s="166">
        <f>ROUNDDOWN(2*D36*(D52/D66)/D53,0)</f>
        <v>5</v>
      </c>
      <c r="E59" t="s">
        <v>96</v>
      </c>
      <c r="K59" s="36"/>
    </row>
    <row r="61" spans="2:11" hidden="1" x14ac:dyDescent="0.25">
      <c r="C61" t="s">
        <v>110</v>
      </c>
      <c r="D61" s="4">
        <f>+IF((D48-D36/D58*D51)&lt;0,0,D48-D36/D58*D51)</f>
        <v>88.781778617580898</v>
      </c>
      <c r="E61" t="s">
        <v>86</v>
      </c>
    </row>
    <row r="62" spans="2:11" hidden="1" x14ac:dyDescent="0.25">
      <c r="C62" t="s">
        <v>111</v>
      </c>
      <c r="D62" s="4">
        <f>+D48-D61</f>
        <v>11.999629382419116</v>
      </c>
      <c r="E62" t="s">
        <v>86</v>
      </c>
    </row>
    <row r="63" spans="2:11" hidden="1" x14ac:dyDescent="0.25">
      <c r="C63" t="s">
        <v>148</v>
      </c>
      <c r="D63" s="4">
        <f>IF(D53&lt;=2*D36,D48,2*D36/D58*D51)</f>
        <v>100.78140800000001</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1</v>
      </c>
    </row>
    <row r="68" spans="3:5" x14ac:dyDescent="0.25">
      <c r="C68" t="s">
        <v>104</v>
      </c>
      <c r="D68" s="165">
        <f>+D59*D66*D51</f>
        <v>180</v>
      </c>
      <c r="E68" t="s">
        <v>86</v>
      </c>
    </row>
    <row r="69" spans="3:5" x14ac:dyDescent="0.25">
      <c r="C69" t="s">
        <v>102</v>
      </c>
      <c r="D69" s="26">
        <f>+(D68/D48-1)</f>
        <v>0.78604371155441655</v>
      </c>
    </row>
    <row r="70" spans="3:5" x14ac:dyDescent="0.25">
      <c r="C70" t="s">
        <v>119</v>
      </c>
      <c r="D70" s="166">
        <f>+D5+(D7+D8)*D52*2/D66+D9+D6/D66</f>
        <v>96.566666666666663</v>
      </c>
      <c r="E70" s="164" t="s">
        <v>244</v>
      </c>
    </row>
    <row r="71" spans="3:5" x14ac:dyDescent="0.25">
      <c r="C71" t="s">
        <v>118</v>
      </c>
      <c r="D71" s="141">
        <f>+D70*D66</f>
        <v>289.7</v>
      </c>
      <c r="E71" s="164" t="s">
        <v>244</v>
      </c>
    </row>
    <row r="72" spans="3:5" x14ac:dyDescent="0.25">
      <c r="C72" t="s">
        <v>123</v>
      </c>
      <c r="D72" s="165">
        <f>+D48/D66</f>
        <v>33.593802666666669</v>
      </c>
      <c r="E72" t="s">
        <v>87</v>
      </c>
    </row>
    <row r="73" spans="3:5" x14ac:dyDescent="0.25">
      <c r="C73" t="s">
        <v>123</v>
      </c>
      <c r="D73">
        <f>+D72*D47*D44*52</f>
        <v>3493.7554773333336</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6"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2"/>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Pehuajó</v>
      </c>
    </row>
    <row r="4" spans="2:5" x14ac:dyDescent="0.25">
      <c r="B4" s="2" t="s">
        <v>0</v>
      </c>
    </row>
    <row r="5" spans="2:5" x14ac:dyDescent="0.25">
      <c r="B5" t="s">
        <v>1</v>
      </c>
      <c r="C5" t="s">
        <v>2</v>
      </c>
      <c r="D5">
        <f>+Datos!D5</f>
        <v>0</v>
      </c>
      <c r="E5" t="s">
        <v>3</v>
      </c>
    </row>
    <row r="6" spans="2:5" x14ac:dyDescent="0.25">
      <c r="B6" t="s">
        <v>4</v>
      </c>
      <c r="C6" t="s">
        <v>5</v>
      </c>
      <c r="D6" s="150">
        <f>+Datos!D6</f>
        <v>191</v>
      </c>
      <c r="E6" t="s">
        <v>3</v>
      </c>
    </row>
    <row r="7" spans="2:5" x14ac:dyDescent="0.25">
      <c r="B7" t="s">
        <v>6</v>
      </c>
      <c r="C7" t="s">
        <v>8</v>
      </c>
      <c r="D7">
        <f>+Datos!D7</f>
        <v>4.7</v>
      </c>
      <c r="E7" t="s">
        <v>3</v>
      </c>
    </row>
    <row r="8" spans="2:5" x14ac:dyDescent="0.25">
      <c r="B8" t="s">
        <v>7</v>
      </c>
      <c r="C8" t="s">
        <v>9</v>
      </c>
      <c r="D8">
        <f>+Datos!D8</f>
        <v>0</v>
      </c>
      <c r="E8" t="s">
        <v>3</v>
      </c>
    </row>
    <row r="9" spans="2:5" x14ac:dyDescent="0.25">
      <c r="B9" t="s">
        <v>10</v>
      </c>
      <c r="C9" t="s">
        <v>11</v>
      </c>
      <c r="D9">
        <f>+Datos!D9</f>
        <v>4.7</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31.333333333333336</v>
      </c>
      <c r="E14" t="s">
        <v>23</v>
      </c>
    </row>
    <row r="15" spans="2:5" x14ac:dyDescent="0.25">
      <c r="B15" t="s">
        <v>16</v>
      </c>
      <c r="C15" t="s">
        <v>21</v>
      </c>
      <c r="D15">
        <f>+Datos!D15</f>
        <v>40</v>
      </c>
      <c r="E15" t="s">
        <v>23</v>
      </c>
    </row>
    <row r="16" spans="2:5" x14ac:dyDescent="0.25">
      <c r="B16" t="s">
        <v>17</v>
      </c>
      <c r="C16" t="s">
        <v>22</v>
      </c>
      <c r="D16">
        <f>+Datos!D16</f>
        <v>31.333333333333336</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19.100000000000001</v>
      </c>
      <c r="E21" t="s">
        <v>30</v>
      </c>
    </row>
    <row r="22" spans="2:5" x14ac:dyDescent="0.25">
      <c r="B22" t="s">
        <v>27</v>
      </c>
      <c r="C22" t="s">
        <v>33</v>
      </c>
      <c r="D22" s="4">
        <f>+Datos!D22</f>
        <v>0.15</v>
      </c>
      <c r="E22" t="s">
        <v>30</v>
      </c>
    </row>
    <row r="23" spans="2:5" x14ac:dyDescent="0.25">
      <c r="B23" t="s">
        <v>28</v>
      </c>
      <c r="C23" t="s">
        <v>34</v>
      </c>
      <c r="D23" s="4">
        <f>+Datos!D23</f>
        <v>0</v>
      </c>
      <c r="E23" t="s">
        <v>30</v>
      </c>
    </row>
    <row r="24" spans="2:5" x14ac:dyDescent="0.25">
      <c r="B24" t="s">
        <v>29</v>
      </c>
      <c r="C24" t="s">
        <v>35</v>
      </c>
      <c r="D24" s="4">
        <f>+Datos!D24</f>
        <v>0.15</v>
      </c>
      <c r="E24" t="s">
        <v>30</v>
      </c>
    </row>
    <row r="25" spans="2:5" x14ac:dyDescent="0.25">
      <c r="B25" s="3" t="s">
        <v>40</v>
      </c>
    </row>
    <row r="26" spans="2:5" x14ac:dyDescent="0.25">
      <c r="B26" s="3"/>
      <c r="C26" t="s">
        <v>48</v>
      </c>
      <c r="D26">
        <f>+Datos!D26</f>
        <v>382</v>
      </c>
      <c r="E26" t="s">
        <v>49</v>
      </c>
    </row>
    <row r="27" spans="2:5" x14ac:dyDescent="0.25">
      <c r="C27" t="s">
        <v>50</v>
      </c>
      <c r="D27">
        <f>+Datos!D27</f>
        <v>5</v>
      </c>
      <c r="E27" t="s">
        <v>52</v>
      </c>
    </row>
    <row r="28" spans="2:5" x14ac:dyDescent="0.25">
      <c r="B28" t="s">
        <v>36</v>
      </c>
      <c r="C28" t="s">
        <v>51</v>
      </c>
      <c r="D28" s="4">
        <f>+Datos!D28</f>
        <v>31.833333333333332</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51.483333333333334</v>
      </c>
      <c r="E31" t="s">
        <v>30</v>
      </c>
    </row>
    <row r="32" spans="2:5" x14ac:dyDescent="0.25">
      <c r="C32" t="s">
        <v>43</v>
      </c>
      <c r="D32">
        <f>+Datos!D32</f>
        <v>5</v>
      </c>
      <c r="E32" t="s">
        <v>46</v>
      </c>
    </row>
    <row r="33" spans="2:12" x14ac:dyDescent="0.25">
      <c r="B33" t="s">
        <v>47</v>
      </c>
      <c r="C33" t="s">
        <v>42</v>
      </c>
      <c r="D33" s="150">
        <f>+Datos!D33</f>
        <v>2.5741666666666667</v>
      </c>
      <c r="E33" t="s">
        <v>30</v>
      </c>
    </row>
    <row r="34" spans="2:12" x14ac:dyDescent="0.25">
      <c r="B34" s="5" t="s">
        <v>53</v>
      </c>
    </row>
    <row r="35" spans="2:12" x14ac:dyDescent="0.25">
      <c r="B35" s="23" t="s">
        <v>54</v>
      </c>
      <c r="C35" s="23" t="s">
        <v>55</v>
      </c>
      <c r="D35" s="24">
        <f>+Datos!D35</f>
        <v>54.057500000000005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36568</v>
      </c>
      <c r="E39" t="s">
        <v>59</v>
      </c>
    </row>
    <row r="40" spans="2:12" x14ac:dyDescent="0.25">
      <c r="B40" t="s">
        <v>60</v>
      </c>
      <c r="C40" t="s">
        <v>61</v>
      </c>
      <c r="D40">
        <f>+Datos!D40</f>
        <v>1.06</v>
      </c>
      <c r="E40" t="s">
        <v>62</v>
      </c>
    </row>
    <row r="41" spans="2:12" x14ac:dyDescent="0.25">
      <c r="B41" t="s">
        <v>63</v>
      </c>
      <c r="C41" t="s">
        <v>64</v>
      </c>
      <c r="D41">
        <f>+Datos!D41</f>
        <v>38.762080000000005</v>
      </c>
      <c r="E41" t="s">
        <v>65</v>
      </c>
    </row>
    <row r="42" spans="2:12" x14ac:dyDescent="0.25">
      <c r="C42" t="s">
        <v>66</v>
      </c>
      <c r="D42">
        <f>+Datos!D42</f>
        <v>100</v>
      </c>
      <c r="E42" t="s">
        <v>46</v>
      </c>
    </row>
    <row r="43" spans="2:12" x14ac:dyDescent="0.25">
      <c r="B43" t="s">
        <v>67</v>
      </c>
      <c r="C43" t="s">
        <v>80</v>
      </c>
      <c r="D43">
        <f>+Datos!D43</f>
        <v>25.195352000000003</v>
      </c>
      <c r="E43" t="s">
        <v>65</v>
      </c>
    </row>
    <row r="44" spans="2:12" x14ac:dyDescent="0.25">
      <c r="B44" t="s">
        <v>68</v>
      </c>
      <c r="C44" t="s">
        <v>69</v>
      </c>
      <c r="D44">
        <f>+Datos!D44</f>
        <v>4</v>
      </c>
      <c r="E44" t="s">
        <v>70</v>
      </c>
    </row>
    <row r="45" spans="2:12" x14ac:dyDescent="0.25">
      <c r="C45" t="s">
        <v>79</v>
      </c>
      <c r="D45">
        <f>+Datos!D45</f>
        <v>2</v>
      </c>
      <c r="F45" s="36"/>
    </row>
    <row r="46" spans="2:12" ht="15.75" thickBot="1" x14ac:dyDescent="0.3">
      <c r="B46" t="s">
        <v>81</v>
      </c>
      <c r="C46" t="s">
        <v>85</v>
      </c>
      <c r="D46">
        <f>+Datos!D46</f>
        <v>50.390704000000007</v>
      </c>
      <c r="E46" t="s">
        <v>65</v>
      </c>
    </row>
    <row r="47" spans="2:12" ht="15.75" thickBot="1" x14ac:dyDescent="0.3">
      <c r="C47" t="s">
        <v>83</v>
      </c>
      <c r="D47">
        <f>+Datos!D47</f>
        <v>0.5</v>
      </c>
      <c r="E47" t="s">
        <v>84</v>
      </c>
      <c r="H47" s="839" t="s">
        <v>100</v>
      </c>
      <c r="I47" s="840"/>
      <c r="J47" s="840"/>
      <c r="K47" s="841"/>
    </row>
    <row r="48" spans="2:12" x14ac:dyDescent="0.25">
      <c r="C48" s="131" t="s">
        <v>85</v>
      </c>
      <c r="D48" s="131">
        <f>+Datos!D48</f>
        <v>100.78140800000001</v>
      </c>
      <c r="E48" s="131" t="s">
        <v>87</v>
      </c>
      <c r="H48" s="30"/>
      <c r="I48" s="31" t="s">
        <v>99</v>
      </c>
      <c r="J48" s="125">
        <v>1.9239048697845165</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15</v>
      </c>
      <c r="E51" t="s">
        <v>86</v>
      </c>
      <c r="H51" s="30" t="s">
        <v>106</v>
      </c>
      <c r="I51" s="32">
        <f>+D51*ROUNDUP(J48,0)</f>
        <v>30</v>
      </c>
      <c r="J51" s="28">
        <f>COUNT($J$48)</f>
        <v>1</v>
      </c>
      <c r="K51" s="32"/>
    </row>
    <row r="52" spans="2:11" x14ac:dyDescent="0.25">
      <c r="B52" t="s">
        <v>91</v>
      </c>
      <c r="C52" s="164" t="s">
        <v>727</v>
      </c>
      <c r="D52" s="164">
        <f>ROUNDUP(D48/D51,0)</f>
        <v>7</v>
      </c>
      <c r="E52" t="s">
        <v>96</v>
      </c>
      <c r="H52" s="30"/>
      <c r="I52" s="32">
        <f>+D52*I51</f>
        <v>210</v>
      </c>
      <c r="J52" s="28" t="b">
        <f>$D$55&lt;=$I$50</f>
        <v>1</v>
      </c>
      <c r="K52" s="32"/>
    </row>
    <row r="53" spans="2:11" x14ac:dyDescent="0.25">
      <c r="B53" t="s">
        <v>92</v>
      </c>
      <c r="C53" s="164" t="s">
        <v>728</v>
      </c>
      <c r="D53" s="165">
        <f>(((D20+D22+D23+D24+D29)*D52+(D21+D28)/ROUNDUP(J48,0))*(1+D32/100))/J48</f>
        <v>16.000011478450983</v>
      </c>
      <c r="E53" t="s">
        <v>30</v>
      </c>
      <c r="H53" s="30"/>
      <c r="J53" s="28">
        <f>{32767;32767;0.000001;0.01;FALSE;FALSE;FALSE;1;2;1;0.0001;TRUE}</f>
        <v>32767</v>
      </c>
      <c r="K53" s="32"/>
    </row>
    <row r="54" spans="2:11" ht="15.75" thickBot="1" x14ac:dyDescent="0.3">
      <c r="C54" t="s">
        <v>107</v>
      </c>
      <c r="D54" s="4">
        <f>+IF(D53&gt;D36,D53-D36,0)</f>
        <v>8.0000114784509826</v>
      </c>
      <c r="E54" t="s">
        <v>30</v>
      </c>
      <c r="H54" s="30"/>
      <c r="J54" s="29">
        <f>{0;0;1;100;0;FALSE;FALSE;0.075;0;0;FALSE;30}</f>
        <v>0</v>
      </c>
      <c r="K54" s="32"/>
    </row>
    <row r="55" spans="2:11" ht="15.75" thickBot="1" x14ac:dyDescent="0.3">
      <c r="C55" s="129" t="s">
        <v>94</v>
      </c>
      <c r="D55" s="130">
        <f>+IF(D53&gt;2*D36,D53-2*D36,0)</f>
        <v>1.1478450982593813E-5</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4" t="s">
        <v>182</v>
      </c>
      <c r="D58" s="165">
        <f>+D53</f>
        <v>16.000011478450983</v>
      </c>
      <c r="E58" t="s">
        <v>30</v>
      </c>
    </row>
    <row r="59" spans="2:11" x14ac:dyDescent="0.25">
      <c r="C59" s="164" t="s">
        <v>95</v>
      </c>
      <c r="D59" s="166">
        <f>ROUNDDOWN(2*D36*(D52/D66)/D53,0)</f>
        <v>3</v>
      </c>
      <c r="E59" t="s">
        <v>96</v>
      </c>
      <c r="K59" s="36"/>
    </row>
    <row r="61" spans="2:11" hidden="1" x14ac:dyDescent="0.25">
      <c r="C61" t="s">
        <v>110</v>
      </c>
      <c r="D61" s="4">
        <f>+IF((D48-D36/D58*D51)&lt;0,0,D48-D36/D58*D51)</f>
        <v>93.28141338052005</v>
      </c>
      <c r="E61" t="s">
        <v>86</v>
      </c>
    </row>
    <row r="62" spans="2:11" hidden="1" x14ac:dyDescent="0.25">
      <c r="C62" t="s">
        <v>111</v>
      </c>
      <c r="D62" s="4">
        <f>+D48-D61</f>
        <v>7.4999946194799634</v>
      </c>
      <c r="E62" t="s">
        <v>86</v>
      </c>
    </row>
    <row r="63" spans="2:11" hidden="1" x14ac:dyDescent="0.25">
      <c r="C63" t="s">
        <v>148</v>
      </c>
      <c r="D63" s="4">
        <f>IF(D53&lt;=2*D36,D48,2*D36/D58*D51)</f>
        <v>14.999989238959925</v>
      </c>
      <c r="E63" t="s">
        <v>86</v>
      </c>
    </row>
    <row r="64" spans="2:11" hidden="1" x14ac:dyDescent="0.25">
      <c r="C64" t="s">
        <v>97</v>
      </c>
      <c r="D64" s="4">
        <f>+IF((D48-D63)&lt;0,0,D48-D63)</f>
        <v>85.781418761040086</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90</v>
      </c>
      <c r="E68" t="s">
        <v>86</v>
      </c>
    </row>
    <row r="69" spans="3:5" x14ac:dyDescent="0.25">
      <c r="C69" t="s">
        <v>102</v>
      </c>
      <c r="D69" s="26">
        <f>+(D68/D48-1)</f>
        <v>-0.10697814422279173</v>
      </c>
    </row>
    <row r="70" spans="3:5" x14ac:dyDescent="0.25">
      <c r="C70" t="s">
        <v>119</v>
      </c>
      <c r="D70" s="166">
        <f>+D5+(D7+D8)*D52*2/D66+D9+D6/D66</f>
        <v>133.1</v>
      </c>
      <c r="E70" s="164" t="s">
        <v>244</v>
      </c>
    </row>
    <row r="71" spans="3:5" x14ac:dyDescent="0.25">
      <c r="C71" t="s">
        <v>118</v>
      </c>
      <c r="D71" s="141">
        <f>+D70*D66</f>
        <v>266.2</v>
      </c>
      <c r="E71" s="164" t="s">
        <v>244</v>
      </c>
    </row>
    <row r="72" spans="3:5" x14ac:dyDescent="0.25">
      <c r="C72" t="s">
        <v>123</v>
      </c>
      <c r="D72" s="165">
        <f>+D48/D66</f>
        <v>50.390704000000007</v>
      </c>
      <c r="E72" t="s">
        <v>87</v>
      </c>
    </row>
    <row r="73" spans="3:5" x14ac:dyDescent="0.25">
      <c r="C73" t="s">
        <v>123</v>
      </c>
      <c r="D73">
        <f>+D72*D47*D44*52</f>
        <v>5240.6332160000011</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5"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5"/>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Pehuajó</v>
      </c>
    </row>
    <row r="4" spans="2:5" x14ac:dyDescent="0.25">
      <c r="B4" s="2" t="s">
        <v>0</v>
      </c>
    </row>
    <row r="5" spans="2:5" x14ac:dyDescent="0.25">
      <c r="B5" t="s">
        <v>1</v>
      </c>
      <c r="C5" t="s">
        <v>2</v>
      </c>
      <c r="D5">
        <f>+Datos!D5</f>
        <v>0</v>
      </c>
      <c r="E5" t="s">
        <v>3</v>
      </c>
    </row>
    <row r="6" spans="2:5" x14ac:dyDescent="0.25">
      <c r="B6" t="s">
        <v>4</v>
      </c>
      <c r="C6" t="s">
        <v>5</v>
      </c>
      <c r="D6" s="150">
        <f>+Datos!D6</f>
        <v>191</v>
      </c>
      <c r="E6" t="s">
        <v>3</v>
      </c>
    </row>
    <row r="7" spans="2:5" x14ac:dyDescent="0.25">
      <c r="B7" t="s">
        <v>6</v>
      </c>
      <c r="C7" t="s">
        <v>8</v>
      </c>
      <c r="D7">
        <f>+Datos!D7</f>
        <v>4.7</v>
      </c>
      <c r="E7" t="s">
        <v>3</v>
      </c>
    </row>
    <row r="8" spans="2:5" x14ac:dyDescent="0.25">
      <c r="B8" t="s">
        <v>7</v>
      </c>
      <c r="C8" t="s">
        <v>9</v>
      </c>
      <c r="D8">
        <f>+Datos!D8</f>
        <v>0</v>
      </c>
      <c r="E8" t="s">
        <v>3</v>
      </c>
    </row>
    <row r="9" spans="2:5" x14ac:dyDescent="0.25">
      <c r="B9" t="s">
        <v>10</v>
      </c>
      <c r="C9" t="s">
        <v>11</v>
      </c>
      <c r="D9">
        <f>+Datos!D9</f>
        <v>4.7</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31.333333333333336</v>
      </c>
      <c r="E14" t="s">
        <v>23</v>
      </c>
    </row>
    <row r="15" spans="2:5" x14ac:dyDescent="0.25">
      <c r="B15" t="s">
        <v>16</v>
      </c>
      <c r="C15" t="s">
        <v>21</v>
      </c>
      <c r="D15">
        <f>+Datos!D15</f>
        <v>40</v>
      </c>
      <c r="E15" t="s">
        <v>23</v>
      </c>
    </row>
    <row r="16" spans="2:5" x14ac:dyDescent="0.25">
      <c r="B16" t="s">
        <v>17</v>
      </c>
      <c r="C16" t="s">
        <v>22</v>
      </c>
      <c r="D16">
        <f>+Datos!D16</f>
        <v>31.333333333333336</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19.100000000000001</v>
      </c>
      <c r="E21" t="s">
        <v>30</v>
      </c>
    </row>
    <row r="22" spans="2:5" x14ac:dyDescent="0.25">
      <c r="B22" t="s">
        <v>27</v>
      </c>
      <c r="C22" t="s">
        <v>33</v>
      </c>
      <c r="D22" s="4">
        <f>+Datos!D22</f>
        <v>0.15</v>
      </c>
      <c r="E22" t="s">
        <v>30</v>
      </c>
    </row>
    <row r="23" spans="2:5" x14ac:dyDescent="0.25">
      <c r="B23" t="s">
        <v>28</v>
      </c>
      <c r="C23" t="s">
        <v>34</v>
      </c>
      <c r="D23" s="4">
        <f>+Datos!D23</f>
        <v>0</v>
      </c>
      <c r="E23" t="s">
        <v>30</v>
      </c>
    </row>
    <row r="24" spans="2:5" x14ac:dyDescent="0.25">
      <c r="B24" t="s">
        <v>29</v>
      </c>
      <c r="C24" t="s">
        <v>35</v>
      </c>
      <c r="D24" s="4">
        <f>+Datos!D24</f>
        <v>0.15</v>
      </c>
      <c r="E24" t="s">
        <v>30</v>
      </c>
    </row>
    <row r="25" spans="2:5" x14ac:dyDescent="0.25">
      <c r="B25" s="3" t="s">
        <v>40</v>
      </c>
    </row>
    <row r="26" spans="2:5" x14ac:dyDescent="0.25">
      <c r="B26" s="3"/>
      <c r="C26" t="s">
        <v>48</v>
      </c>
      <c r="D26">
        <f>+Datos!D26</f>
        <v>382</v>
      </c>
      <c r="E26" t="s">
        <v>49</v>
      </c>
    </row>
    <row r="27" spans="2:5" x14ac:dyDescent="0.25">
      <c r="C27" t="s">
        <v>50</v>
      </c>
      <c r="D27">
        <f>+Datos!D27</f>
        <v>5</v>
      </c>
      <c r="E27" t="s">
        <v>52</v>
      </c>
    </row>
    <row r="28" spans="2:5" x14ac:dyDescent="0.25">
      <c r="B28" t="s">
        <v>36</v>
      </c>
      <c r="C28" t="s">
        <v>51</v>
      </c>
      <c r="D28" s="4">
        <f>+Datos!D28</f>
        <v>31.833333333333332</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51.483333333333334</v>
      </c>
      <c r="E31" t="s">
        <v>30</v>
      </c>
    </row>
    <row r="32" spans="2:5" x14ac:dyDescent="0.25">
      <c r="C32" t="s">
        <v>43</v>
      </c>
      <c r="D32">
        <f>+Datos!D32</f>
        <v>5</v>
      </c>
      <c r="E32" t="s">
        <v>46</v>
      </c>
    </row>
    <row r="33" spans="2:12" x14ac:dyDescent="0.25">
      <c r="B33" t="s">
        <v>47</v>
      </c>
      <c r="C33" t="s">
        <v>42</v>
      </c>
      <c r="D33" s="4">
        <f>+Datos!D33</f>
        <v>2.5741666666666667</v>
      </c>
      <c r="E33" t="s">
        <v>30</v>
      </c>
    </row>
    <row r="34" spans="2:12" x14ac:dyDescent="0.25">
      <c r="B34" s="5" t="s">
        <v>53</v>
      </c>
    </row>
    <row r="35" spans="2:12" x14ac:dyDescent="0.25">
      <c r="B35" s="23" t="s">
        <v>54</v>
      </c>
      <c r="C35" s="23" t="s">
        <v>55</v>
      </c>
      <c r="D35" s="24">
        <f>+Datos!D35</f>
        <v>54.057500000000005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36568</v>
      </c>
      <c r="E39" t="s">
        <v>59</v>
      </c>
    </row>
    <row r="40" spans="2:12" x14ac:dyDescent="0.25">
      <c r="B40" t="s">
        <v>60</v>
      </c>
      <c r="C40" t="s">
        <v>61</v>
      </c>
      <c r="D40">
        <f>+Datos!D40</f>
        <v>1.06</v>
      </c>
      <c r="E40" t="s">
        <v>62</v>
      </c>
    </row>
    <row r="41" spans="2:12" x14ac:dyDescent="0.25">
      <c r="B41" t="s">
        <v>63</v>
      </c>
      <c r="C41" t="s">
        <v>64</v>
      </c>
      <c r="D41">
        <f>+Datos!D41</f>
        <v>38.762080000000005</v>
      </c>
      <c r="E41" t="s">
        <v>65</v>
      </c>
    </row>
    <row r="42" spans="2:12" x14ac:dyDescent="0.25">
      <c r="C42" t="s">
        <v>66</v>
      </c>
      <c r="D42">
        <f>+Datos!D42</f>
        <v>100</v>
      </c>
      <c r="E42" t="s">
        <v>46</v>
      </c>
    </row>
    <row r="43" spans="2:12" x14ac:dyDescent="0.25">
      <c r="B43" t="s">
        <v>67</v>
      </c>
      <c r="C43" t="s">
        <v>80</v>
      </c>
      <c r="D43">
        <f>+Datos!D43</f>
        <v>25.195352000000003</v>
      </c>
      <c r="E43" t="s">
        <v>65</v>
      </c>
    </row>
    <row r="44" spans="2:12" x14ac:dyDescent="0.25">
      <c r="B44" t="s">
        <v>68</v>
      </c>
      <c r="C44" t="s">
        <v>69</v>
      </c>
      <c r="D44">
        <f>+Datos!D44</f>
        <v>4</v>
      </c>
      <c r="E44" t="s">
        <v>70</v>
      </c>
    </row>
    <row r="45" spans="2:12" x14ac:dyDescent="0.25">
      <c r="C45" t="s">
        <v>79</v>
      </c>
      <c r="D45">
        <f>+Datos!D45</f>
        <v>2</v>
      </c>
      <c r="F45" s="36"/>
    </row>
    <row r="46" spans="2:12" ht="15.75" thickBot="1" x14ac:dyDescent="0.3">
      <c r="B46" t="s">
        <v>81</v>
      </c>
      <c r="C46" t="s">
        <v>85</v>
      </c>
      <c r="D46">
        <f>+Datos!D46</f>
        <v>50.390704000000007</v>
      </c>
      <c r="E46" t="s">
        <v>65</v>
      </c>
    </row>
    <row r="47" spans="2:12" ht="15.75" thickBot="1" x14ac:dyDescent="0.3">
      <c r="C47" t="s">
        <v>83</v>
      </c>
      <c r="D47">
        <f>+Datos!D47</f>
        <v>0.5</v>
      </c>
      <c r="E47" t="s">
        <v>84</v>
      </c>
      <c r="H47" s="839" t="s">
        <v>100</v>
      </c>
      <c r="I47" s="840"/>
      <c r="J47" s="840"/>
      <c r="K47" s="841"/>
    </row>
    <row r="48" spans="2:12" x14ac:dyDescent="0.25">
      <c r="C48" s="23" t="s">
        <v>85</v>
      </c>
      <c r="D48" s="131">
        <f>+Datos!D48</f>
        <v>100.78140800000001</v>
      </c>
      <c r="E48" s="23" t="s">
        <v>87</v>
      </c>
      <c r="H48" s="30"/>
      <c r="I48" s="31" t="s">
        <v>99</v>
      </c>
      <c r="J48" s="1">
        <v>2.7335840970920779</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15</v>
      </c>
      <c r="E51" t="s">
        <v>86</v>
      </c>
      <c r="H51" s="30" t="s">
        <v>106</v>
      </c>
      <c r="I51" s="32">
        <f>+D51*ROUNDUP(J48,0)</f>
        <v>45</v>
      </c>
      <c r="J51" s="28">
        <f>COUNT($J$48)</f>
        <v>1</v>
      </c>
      <c r="K51" s="32"/>
    </row>
    <row r="52" spans="2:11" x14ac:dyDescent="0.25">
      <c r="B52" t="s">
        <v>91</v>
      </c>
      <c r="C52" s="164" t="s">
        <v>727</v>
      </c>
      <c r="D52" s="164">
        <f>ROUNDUP(D48/D51,0)</f>
        <v>7</v>
      </c>
      <c r="E52" t="s">
        <v>96</v>
      </c>
      <c r="H52" s="30"/>
      <c r="I52" s="32">
        <f>+D52*I51</f>
        <v>315</v>
      </c>
      <c r="J52" s="28" t="b">
        <f>$D$55&lt;=$I$50</f>
        <v>1</v>
      </c>
      <c r="K52" s="32"/>
    </row>
    <row r="53" spans="2:11" x14ac:dyDescent="0.25">
      <c r="B53" t="s">
        <v>92</v>
      </c>
      <c r="C53" s="164" t="s">
        <v>728</v>
      </c>
      <c r="D53" s="165">
        <f>(((D20+D22+D23+D24+D29)*D52+(D21+D28)/ROUNDUP(J48,0))*(1+D32/100))/J48</f>
        <v>8.0001806748621966</v>
      </c>
      <c r="E53" t="s">
        <v>30</v>
      </c>
      <c r="H53" s="30"/>
      <c r="J53" s="28">
        <f>{32767;32767;0.000001;0.01;FALSE;FALSE;FALSE;1;2;1;0.0001;TRUE}</f>
        <v>32767</v>
      </c>
      <c r="K53" s="32"/>
    </row>
    <row r="54" spans="2:11" ht="15.75" thickBot="1" x14ac:dyDescent="0.3">
      <c r="C54" s="127" t="s">
        <v>107</v>
      </c>
      <c r="D54" s="128">
        <f>+IF(D53&gt;D36,D53-D36,0)</f>
        <v>1.806748621966392E-4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v>
      </c>
      <c r="E56" t="s">
        <v>30</v>
      </c>
    </row>
    <row r="57" spans="2:11" x14ac:dyDescent="0.25">
      <c r="C57" t="s">
        <v>98</v>
      </c>
      <c r="D57" s="4">
        <f>+IF(D55=0,IF((2*D36-D53)&gt;D36,8,2*D36-D53),0)</f>
        <v>7.9998193251378034</v>
      </c>
      <c r="E57" t="s">
        <v>30</v>
      </c>
    </row>
    <row r="58" spans="2:11" x14ac:dyDescent="0.25">
      <c r="C58" s="164" t="s">
        <v>182</v>
      </c>
      <c r="D58" s="165">
        <f>+D53</f>
        <v>8.0001806748621966</v>
      </c>
      <c r="E58" t="s">
        <v>30</v>
      </c>
    </row>
    <row r="59" spans="2:11" x14ac:dyDescent="0.25">
      <c r="C59" s="164" t="s">
        <v>95</v>
      </c>
      <c r="D59" s="166">
        <f>ROUNDDOWN(2*D36*(D52/D66)/D53,0)</f>
        <v>4</v>
      </c>
      <c r="E59" t="s">
        <v>96</v>
      </c>
      <c r="K59" s="36"/>
    </row>
    <row r="61" spans="2:11" hidden="1" x14ac:dyDescent="0.25">
      <c r="C61" t="s">
        <v>110</v>
      </c>
      <c r="D61" s="4">
        <f>+IF((D48-D36/D58*D51)&lt;0,0,D48-D36/D58*D51)</f>
        <v>85.781746757716007</v>
      </c>
      <c r="E61" t="s">
        <v>86</v>
      </c>
    </row>
    <row r="62" spans="2:11" hidden="1" x14ac:dyDescent="0.25">
      <c r="C62" t="s">
        <v>111</v>
      </c>
      <c r="D62" s="4">
        <f>+D48-D61</f>
        <v>14.999661242284006</v>
      </c>
      <c r="E62" t="s">
        <v>86</v>
      </c>
    </row>
    <row r="63" spans="2:11" hidden="1" x14ac:dyDescent="0.25">
      <c r="C63" t="s">
        <v>148</v>
      </c>
      <c r="D63" s="4">
        <f>IF(D53&lt;=2*D36,D48,2*D36/D58*D51)</f>
        <v>100.78140800000001</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1</v>
      </c>
    </row>
    <row r="68" spans="3:5" x14ac:dyDescent="0.25">
      <c r="C68" t="s">
        <v>104</v>
      </c>
      <c r="D68" s="165">
        <f>+D59*D66*D51</f>
        <v>180</v>
      </c>
      <c r="E68" t="s">
        <v>86</v>
      </c>
    </row>
    <row r="69" spans="3:5" x14ac:dyDescent="0.25">
      <c r="C69" t="s">
        <v>102</v>
      </c>
      <c r="D69" s="26">
        <f>+(D68/D48-1)</f>
        <v>0.78604371155441655</v>
      </c>
    </row>
    <row r="70" spans="3:5" x14ac:dyDescent="0.25">
      <c r="C70" t="s">
        <v>119</v>
      </c>
      <c r="D70" s="166">
        <f>+D5+(D7+D8)*D52*2/D66+D9+D6/D66</f>
        <v>90.3</v>
      </c>
      <c r="E70" s="164" t="s">
        <v>244</v>
      </c>
    </row>
    <row r="71" spans="3:5" x14ac:dyDescent="0.25">
      <c r="C71" t="s">
        <v>118</v>
      </c>
      <c r="D71" s="141">
        <f>+D70*D66</f>
        <v>270.89999999999998</v>
      </c>
      <c r="E71" s="164" t="s">
        <v>244</v>
      </c>
    </row>
    <row r="72" spans="3:5" x14ac:dyDescent="0.25">
      <c r="C72" t="s">
        <v>123</v>
      </c>
      <c r="D72" s="165">
        <f>+D48/D66</f>
        <v>33.593802666666669</v>
      </c>
      <c r="E72" t="s">
        <v>87</v>
      </c>
    </row>
    <row r="73" spans="3:5" x14ac:dyDescent="0.25">
      <c r="C73" t="s">
        <v>123</v>
      </c>
      <c r="D73">
        <f>+D72*D47*D44*52</f>
        <v>3493.7554773333336</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4"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4"/>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Pehuajó</v>
      </c>
    </row>
    <row r="4" spans="2:5" x14ac:dyDescent="0.25">
      <c r="B4" s="2" t="s">
        <v>0</v>
      </c>
    </row>
    <row r="5" spans="2:5" x14ac:dyDescent="0.25">
      <c r="B5" t="s">
        <v>1</v>
      </c>
      <c r="C5" t="s">
        <v>2</v>
      </c>
      <c r="D5">
        <f>+Datos!D5</f>
        <v>0</v>
      </c>
      <c r="E5" t="s">
        <v>3</v>
      </c>
    </row>
    <row r="6" spans="2:5" x14ac:dyDescent="0.25">
      <c r="B6" t="s">
        <v>4</v>
      </c>
      <c r="C6" t="s">
        <v>5</v>
      </c>
      <c r="D6" s="150">
        <f>+Datos!D6</f>
        <v>191</v>
      </c>
      <c r="E6" t="s">
        <v>3</v>
      </c>
    </row>
    <row r="7" spans="2:5" x14ac:dyDescent="0.25">
      <c r="B7" t="s">
        <v>6</v>
      </c>
      <c r="C7" t="s">
        <v>8</v>
      </c>
      <c r="D7">
        <f>+Datos!D7</f>
        <v>4.7</v>
      </c>
      <c r="E7" t="s">
        <v>3</v>
      </c>
    </row>
    <row r="8" spans="2:5" x14ac:dyDescent="0.25">
      <c r="B8" t="s">
        <v>7</v>
      </c>
      <c r="C8" t="s">
        <v>9</v>
      </c>
      <c r="D8">
        <f>+Datos!D8</f>
        <v>0</v>
      </c>
      <c r="E8" t="s">
        <v>3</v>
      </c>
    </row>
    <row r="9" spans="2:5" x14ac:dyDescent="0.25">
      <c r="B9" t="s">
        <v>10</v>
      </c>
      <c r="C9" t="s">
        <v>11</v>
      </c>
      <c r="D9">
        <f>+Datos!D9</f>
        <v>4.7</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31.333333333333336</v>
      </c>
      <c r="E14" t="s">
        <v>23</v>
      </c>
    </row>
    <row r="15" spans="2:5" x14ac:dyDescent="0.25">
      <c r="B15" t="s">
        <v>16</v>
      </c>
      <c r="C15" t="s">
        <v>21</v>
      </c>
      <c r="D15">
        <f>+Datos!D15</f>
        <v>40</v>
      </c>
      <c r="E15" t="s">
        <v>23</v>
      </c>
    </row>
    <row r="16" spans="2:5" x14ac:dyDescent="0.25">
      <c r="B16" t="s">
        <v>17</v>
      </c>
      <c r="C16" t="s">
        <v>22</v>
      </c>
      <c r="D16">
        <f>+Datos!D16</f>
        <v>31.333333333333336</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19.100000000000001</v>
      </c>
      <c r="E21" t="s">
        <v>30</v>
      </c>
    </row>
    <row r="22" spans="2:5" x14ac:dyDescent="0.25">
      <c r="B22" t="s">
        <v>27</v>
      </c>
      <c r="C22" t="s">
        <v>33</v>
      </c>
      <c r="D22" s="4">
        <f>+Datos!D22</f>
        <v>0.15</v>
      </c>
      <c r="E22" t="s">
        <v>30</v>
      </c>
    </row>
    <row r="23" spans="2:5" x14ac:dyDescent="0.25">
      <c r="B23" t="s">
        <v>28</v>
      </c>
      <c r="C23" t="s">
        <v>34</v>
      </c>
      <c r="D23" s="4">
        <f>+Datos!D23</f>
        <v>0</v>
      </c>
      <c r="E23" t="s">
        <v>30</v>
      </c>
    </row>
    <row r="24" spans="2:5" x14ac:dyDescent="0.25">
      <c r="B24" t="s">
        <v>29</v>
      </c>
      <c r="C24" t="s">
        <v>35</v>
      </c>
      <c r="D24" s="4">
        <f>+Datos!D24</f>
        <v>0.15</v>
      </c>
      <c r="E24" t="s">
        <v>30</v>
      </c>
    </row>
    <row r="25" spans="2:5" x14ac:dyDescent="0.25">
      <c r="B25" s="3" t="s">
        <v>40</v>
      </c>
    </row>
    <row r="26" spans="2:5" x14ac:dyDescent="0.25">
      <c r="B26" s="3"/>
      <c r="C26" t="s">
        <v>48</v>
      </c>
      <c r="D26">
        <f>+Datos!D26</f>
        <v>382</v>
      </c>
      <c r="E26" t="s">
        <v>49</v>
      </c>
    </row>
    <row r="27" spans="2:5" x14ac:dyDescent="0.25">
      <c r="C27" t="s">
        <v>50</v>
      </c>
      <c r="D27">
        <f>+Datos!D27</f>
        <v>5</v>
      </c>
      <c r="E27" t="s">
        <v>52</v>
      </c>
    </row>
    <row r="28" spans="2:5" x14ac:dyDescent="0.25">
      <c r="B28" t="s">
        <v>36</v>
      </c>
      <c r="C28" t="s">
        <v>51</v>
      </c>
      <c r="D28" s="4">
        <f>+Datos!D28</f>
        <v>31.833333333333332</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51.483333333333334</v>
      </c>
      <c r="E31" t="s">
        <v>30</v>
      </c>
    </row>
    <row r="32" spans="2:5" x14ac:dyDescent="0.25">
      <c r="C32" t="s">
        <v>43</v>
      </c>
      <c r="D32">
        <f>+Datos!D32</f>
        <v>5</v>
      </c>
      <c r="E32" t="s">
        <v>46</v>
      </c>
    </row>
    <row r="33" spans="2:12" x14ac:dyDescent="0.25">
      <c r="B33" t="s">
        <v>47</v>
      </c>
      <c r="C33" t="s">
        <v>42</v>
      </c>
      <c r="D33" s="150">
        <f>+Datos!D33</f>
        <v>2.5741666666666667</v>
      </c>
      <c r="E33" t="s">
        <v>30</v>
      </c>
    </row>
    <row r="34" spans="2:12" x14ac:dyDescent="0.25">
      <c r="B34" s="5" t="s">
        <v>53</v>
      </c>
    </row>
    <row r="35" spans="2:12" x14ac:dyDescent="0.25">
      <c r="B35" s="23" t="s">
        <v>54</v>
      </c>
      <c r="C35" s="23" t="s">
        <v>55</v>
      </c>
      <c r="D35" s="24">
        <f>+Datos!D35</f>
        <v>54.057500000000005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36568</v>
      </c>
      <c r="E39" t="s">
        <v>59</v>
      </c>
    </row>
    <row r="40" spans="2:12" x14ac:dyDescent="0.25">
      <c r="B40" t="s">
        <v>60</v>
      </c>
      <c r="C40" t="s">
        <v>61</v>
      </c>
      <c r="D40">
        <f>+Datos!D40</f>
        <v>1.06</v>
      </c>
      <c r="E40" t="s">
        <v>62</v>
      </c>
    </row>
    <row r="41" spans="2:12" x14ac:dyDescent="0.25">
      <c r="B41" t="s">
        <v>63</v>
      </c>
      <c r="C41" t="s">
        <v>64</v>
      </c>
      <c r="D41">
        <f>+Datos!D41</f>
        <v>38.762080000000005</v>
      </c>
      <c r="E41" t="s">
        <v>65</v>
      </c>
    </row>
    <row r="42" spans="2:12" x14ac:dyDescent="0.25">
      <c r="C42" t="s">
        <v>66</v>
      </c>
      <c r="D42">
        <f>+Datos!D42</f>
        <v>100</v>
      </c>
      <c r="E42" t="s">
        <v>46</v>
      </c>
    </row>
    <row r="43" spans="2:12" x14ac:dyDescent="0.25">
      <c r="B43" t="s">
        <v>67</v>
      </c>
      <c r="C43" t="s">
        <v>80</v>
      </c>
      <c r="D43">
        <f>+Datos!D43</f>
        <v>25.195352000000003</v>
      </c>
      <c r="E43" t="s">
        <v>65</v>
      </c>
    </row>
    <row r="44" spans="2:12" x14ac:dyDescent="0.25">
      <c r="B44" t="s">
        <v>68</v>
      </c>
      <c r="C44" t="s">
        <v>69</v>
      </c>
      <c r="D44">
        <f>+Datos!D44</f>
        <v>4</v>
      </c>
      <c r="E44" t="s">
        <v>70</v>
      </c>
    </row>
    <row r="45" spans="2:12" x14ac:dyDescent="0.25">
      <c r="C45" t="s">
        <v>79</v>
      </c>
      <c r="D45">
        <f>+Datos!D45</f>
        <v>2</v>
      </c>
      <c r="F45" s="36"/>
    </row>
    <row r="46" spans="2:12" ht="15.75" thickBot="1" x14ac:dyDescent="0.3">
      <c r="B46" t="s">
        <v>81</v>
      </c>
      <c r="C46" t="s">
        <v>85</v>
      </c>
      <c r="D46">
        <f>+Datos!D46</f>
        <v>50.390704000000007</v>
      </c>
      <c r="E46" t="s">
        <v>65</v>
      </c>
    </row>
    <row r="47" spans="2:12" ht="15.75" thickBot="1" x14ac:dyDescent="0.3">
      <c r="C47" t="s">
        <v>83</v>
      </c>
      <c r="D47">
        <f>+Datos!D47</f>
        <v>0.5</v>
      </c>
      <c r="E47" t="s">
        <v>84</v>
      </c>
      <c r="H47" s="839" t="s">
        <v>100</v>
      </c>
      <c r="I47" s="840"/>
      <c r="J47" s="840"/>
      <c r="K47" s="841"/>
    </row>
    <row r="48" spans="2:12" x14ac:dyDescent="0.25">
      <c r="C48" s="131" t="s">
        <v>85</v>
      </c>
      <c r="D48" s="131">
        <f>+Datos!D48</f>
        <v>100.78140800000001</v>
      </c>
      <c r="E48" s="131" t="s">
        <v>87</v>
      </c>
      <c r="H48" s="30"/>
      <c r="I48" s="31" t="s">
        <v>99</v>
      </c>
      <c r="J48" s="125">
        <v>1.9239048697845165</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16</v>
      </c>
      <c r="E51" t="s">
        <v>86</v>
      </c>
      <c r="H51" s="30" t="s">
        <v>106</v>
      </c>
      <c r="I51" s="32">
        <f>+D51*ROUNDUP(J48,0)</f>
        <v>32</v>
      </c>
      <c r="J51" s="28">
        <f>COUNT($J$48)</f>
        <v>1</v>
      </c>
      <c r="K51" s="32"/>
    </row>
    <row r="52" spans="2:11" x14ac:dyDescent="0.25">
      <c r="B52" t="s">
        <v>91</v>
      </c>
      <c r="C52" s="164" t="s">
        <v>727</v>
      </c>
      <c r="D52" s="164">
        <f>ROUNDUP(D48/D51,0)</f>
        <v>7</v>
      </c>
      <c r="E52" t="s">
        <v>96</v>
      </c>
      <c r="H52" s="30"/>
      <c r="I52" s="32">
        <f>+D52*I51</f>
        <v>224</v>
      </c>
      <c r="J52" s="28" t="b">
        <f>$D$55&lt;=$I$50</f>
        <v>1</v>
      </c>
      <c r="K52" s="32"/>
    </row>
    <row r="53" spans="2:11" x14ac:dyDescent="0.25">
      <c r="B53" t="s">
        <v>92</v>
      </c>
      <c r="C53" s="164" t="s">
        <v>728</v>
      </c>
      <c r="D53" s="165">
        <f>(((D20+D22+D23+D24+D29)*D52+(D21+D28)/ROUNDUP(J48,0))*(1+D32/100))/J48</f>
        <v>16.000011478450983</v>
      </c>
      <c r="E53" t="s">
        <v>30</v>
      </c>
      <c r="H53" s="30"/>
      <c r="J53" s="28">
        <f>{32767;32767;0.000001;0.01;FALSE;FALSE;FALSE;1;2;1;0.0001;TRUE}</f>
        <v>32767</v>
      </c>
      <c r="K53" s="32"/>
    </row>
    <row r="54" spans="2:11" ht="15.75" thickBot="1" x14ac:dyDescent="0.3">
      <c r="C54" t="s">
        <v>107</v>
      </c>
      <c r="D54" s="4">
        <f>+IF(D53&gt;D36,D53-D36,0)</f>
        <v>8.0000114784509826</v>
      </c>
      <c r="E54" t="s">
        <v>30</v>
      </c>
      <c r="H54" s="30"/>
      <c r="J54" s="29">
        <f>{0;0;1;100;0;FALSE;FALSE;0.075;0;0;FALSE;30}</f>
        <v>0</v>
      </c>
      <c r="K54" s="32"/>
    </row>
    <row r="55" spans="2:11" ht="15.75" thickBot="1" x14ac:dyDescent="0.3">
      <c r="C55" s="129" t="s">
        <v>94</v>
      </c>
      <c r="D55" s="130">
        <f>+IF(D53&gt;2*D36,D53-2*D36,0)</f>
        <v>1.1478450982593813E-5</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4" t="s">
        <v>182</v>
      </c>
      <c r="D58" s="165">
        <f>+D53</f>
        <v>16.000011478450983</v>
      </c>
      <c r="E58" t="s">
        <v>30</v>
      </c>
    </row>
    <row r="59" spans="2:11" x14ac:dyDescent="0.25">
      <c r="C59" s="164" t="s">
        <v>95</v>
      </c>
      <c r="D59" s="166">
        <f>ROUNDDOWN(2*D36*(D52/D66)/D53,0)</f>
        <v>3</v>
      </c>
      <c r="E59" t="s">
        <v>96</v>
      </c>
      <c r="K59" s="36"/>
    </row>
    <row r="61" spans="2:11" hidden="1" x14ac:dyDescent="0.25">
      <c r="C61" t="s">
        <v>110</v>
      </c>
      <c r="D61" s="4">
        <f>+IF((D48-D36/D58*D51)&lt;0,0,D48-D36/D58*D51)</f>
        <v>92.781413739221392</v>
      </c>
      <c r="E61" t="s">
        <v>86</v>
      </c>
    </row>
    <row r="62" spans="2:11" hidden="1" x14ac:dyDescent="0.25">
      <c r="C62" t="s">
        <v>111</v>
      </c>
      <c r="D62" s="4">
        <f>+D48-D61</f>
        <v>7.999994260778621</v>
      </c>
      <c r="E62" t="s">
        <v>86</v>
      </c>
    </row>
    <row r="63" spans="2:11" hidden="1" x14ac:dyDescent="0.25">
      <c r="C63" t="s">
        <v>148</v>
      </c>
      <c r="D63" s="4">
        <f>IF(D53&lt;=2*D36,D48,2*D36/D58*D51)</f>
        <v>15.999988521557253</v>
      </c>
      <c r="E63" t="s">
        <v>86</v>
      </c>
    </row>
    <row r="64" spans="2:11" hidden="1" x14ac:dyDescent="0.25">
      <c r="C64" t="s">
        <v>97</v>
      </c>
      <c r="D64" s="4">
        <f>+IF((D48-D63)&lt;0,0,D48-D63)</f>
        <v>84.781419478442757</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96</v>
      </c>
      <c r="E68" t="s">
        <v>86</v>
      </c>
    </row>
    <row r="69" spans="3:5" x14ac:dyDescent="0.25">
      <c r="C69" t="s">
        <v>102</v>
      </c>
      <c r="D69" s="26">
        <f>+(D68/D48-1)</f>
        <v>-4.744335383764442E-2</v>
      </c>
    </row>
    <row r="70" spans="3:5" x14ac:dyDescent="0.25">
      <c r="C70" t="s">
        <v>119</v>
      </c>
      <c r="D70" s="166">
        <f>+D5+(D7+D8)*D52*2/D66+D9+D6/D66</f>
        <v>133.1</v>
      </c>
      <c r="E70" s="164" t="s">
        <v>244</v>
      </c>
    </row>
    <row r="71" spans="3:5" x14ac:dyDescent="0.25">
      <c r="C71" t="s">
        <v>118</v>
      </c>
      <c r="D71" s="141">
        <f>+D70*D66</f>
        <v>266.2</v>
      </c>
      <c r="E71" s="164" t="s">
        <v>244</v>
      </c>
    </row>
    <row r="72" spans="3:5" x14ac:dyDescent="0.25">
      <c r="C72" t="s">
        <v>123</v>
      </c>
      <c r="D72" s="165">
        <f>+D48/D66</f>
        <v>50.390704000000007</v>
      </c>
      <c r="E72" t="s">
        <v>87</v>
      </c>
    </row>
    <row r="73" spans="3:5" x14ac:dyDescent="0.25">
      <c r="C73" t="s">
        <v>123</v>
      </c>
      <c r="D73">
        <f>+D72*D47*D44*52</f>
        <v>5240.6332160000011</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3"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0"/>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Pehuajó</v>
      </c>
    </row>
    <row r="4" spans="2:5" x14ac:dyDescent="0.25">
      <c r="B4" s="2" t="s">
        <v>0</v>
      </c>
    </row>
    <row r="5" spans="2:5" x14ac:dyDescent="0.25">
      <c r="B5" t="s">
        <v>1</v>
      </c>
      <c r="C5" t="s">
        <v>2</v>
      </c>
      <c r="D5">
        <f>+Datos!D5</f>
        <v>0</v>
      </c>
      <c r="E5" t="s">
        <v>3</v>
      </c>
    </row>
    <row r="6" spans="2:5" x14ac:dyDescent="0.25">
      <c r="B6" t="s">
        <v>4</v>
      </c>
      <c r="C6" t="s">
        <v>5</v>
      </c>
      <c r="D6" s="150">
        <f>+Datos!D6</f>
        <v>191</v>
      </c>
      <c r="E6" t="s">
        <v>3</v>
      </c>
    </row>
    <row r="7" spans="2:5" x14ac:dyDescent="0.25">
      <c r="B7" t="s">
        <v>6</v>
      </c>
      <c r="C7" t="s">
        <v>8</v>
      </c>
      <c r="D7">
        <f>+Datos!D7</f>
        <v>4.7</v>
      </c>
      <c r="E7" t="s">
        <v>3</v>
      </c>
    </row>
    <row r="8" spans="2:5" x14ac:dyDescent="0.25">
      <c r="B8" t="s">
        <v>7</v>
      </c>
      <c r="C8" t="s">
        <v>9</v>
      </c>
      <c r="D8">
        <f>+Datos!D8</f>
        <v>0</v>
      </c>
      <c r="E8" t="s">
        <v>3</v>
      </c>
    </row>
    <row r="9" spans="2:5" x14ac:dyDescent="0.25">
      <c r="B9" t="s">
        <v>10</v>
      </c>
      <c r="C9" t="s">
        <v>11</v>
      </c>
      <c r="D9">
        <f>+Datos!D9</f>
        <v>4.7</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31.333333333333336</v>
      </c>
      <c r="E14" t="s">
        <v>23</v>
      </c>
    </row>
    <row r="15" spans="2:5" x14ac:dyDescent="0.25">
      <c r="B15" t="s">
        <v>16</v>
      </c>
      <c r="C15" t="s">
        <v>21</v>
      </c>
      <c r="D15">
        <f>+Datos!D15</f>
        <v>40</v>
      </c>
      <c r="E15" t="s">
        <v>23</v>
      </c>
    </row>
    <row r="16" spans="2:5" x14ac:dyDescent="0.25">
      <c r="B16" t="s">
        <v>17</v>
      </c>
      <c r="C16" t="s">
        <v>22</v>
      </c>
      <c r="D16">
        <f>+Datos!D16</f>
        <v>31.333333333333336</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19.100000000000001</v>
      </c>
      <c r="E21" t="s">
        <v>30</v>
      </c>
    </row>
    <row r="22" spans="2:5" x14ac:dyDescent="0.25">
      <c r="B22" t="s">
        <v>27</v>
      </c>
      <c r="C22" t="s">
        <v>33</v>
      </c>
      <c r="D22" s="4">
        <f>+Datos!D22</f>
        <v>0.15</v>
      </c>
      <c r="E22" t="s">
        <v>30</v>
      </c>
    </row>
    <row r="23" spans="2:5" x14ac:dyDescent="0.25">
      <c r="B23" t="s">
        <v>28</v>
      </c>
      <c r="C23" t="s">
        <v>34</v>
      </c>
      <c r="D23" s="4">
        <f>+Datos!D23</f>
        <v>0</v>
      </c>
      <c r="E23" t="s">
        <v>30</v>
      </c>
    </row>
    <row r="24" spans="2:5" x14ac:dyDescent="0.25">
      <c r="B24" t="s">
        <v>29</v>
      </c>
      <c r="C24" t="s">
        <v>35</v>
      </c>
      <c r="D24" s="4">
        <f>+Datos!D24</f>
        <v>0.15</v>
      </c>
      <c r="E24" t="s">
        <v>30</v>
      </c>
    </row>
    <row r="25" spans="2:5" x14ac:dyDescent="0.25">
      <c r="B25" s="3" t="s">
        <v>40</v>
      </c>
    </row>
    <row r="26" spans="2:5" x14ac:dyDescent="0.25">
      <c r="B26" s="3"/>
      <c r="C26" t="s">
        <v>48</v>
      </c>
      <c r="D26">
        <f>+Datos!D26</f>
        <v>382</v>
      </c>
      <c r="E26" t="s">
        <v>49</v>
      </c>
    </row>
    <row r="27" spans="2:5" x14ac:dyDescent="0.25">
      <c r="C27" t="s">
        <v>50</v>
      </c>
      <c r="D27">
        <f>+Datos!D27</f>
        <v>5</v>
      </c>
      <c r="E27" t="s">
        <v>52</v>
      </c>
    </row>
    <row r="28" spans="2:5" x14ac:dyDescent="0.25">
      <c r="B28" t="s">
        <v>36</v>
      </c>
      <c r="C28" t="s">
        <v>51</v>
      </c>
      <c r="D28" s="4">
        <f>+Datos!D28</f>
        <v>31.833333333333332</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51.483333333333334</v>
      </c>
      <c r="E31" t="s">
        <v>30</v>
      </c>
    </row>
    <row r="32" spans="2:5" x14ac:dyDescent="0.25">
      <c r="C32" t="s">
        <v>43</v>
      </c>
      <c r="D32">
        <f>+Datos!D32</f>
        <v>5</v>
      </c>
      <c r="E32" t="s">
        <v>46</v>
      </c>
    </row>
    <row r="33" spans="2:12" x14ac:dyDescent="0.25">
      <c r="B33" t="s">
        <v>47</v>
      </c>
      <c r="C33" t="s">
        <v>42</v>
      </c>
      <c r="D33" s="4">
        <f>+Datos!D33</f>
        <v>2.5741666666666667</v>
      </c>
      <c r="E33" t="s">
        <v>30</v>
      </c>
    </row>
    <row r="34" spans="2:12" x14ac:dyDescent="0.25">
      <c r="B34" s="5" t="s">
        <v>53</v>
      </c>
    </row>
    <row r="35" spans="2:12" x14ac:dyDescent="0.25">
      <c r="B35" s="23" t="s">
        <v>54</v>
      </c>
      <c r="C35" s="23" t="s">
        <v>55</v>
      </c>
      <c r="D35" s="24">
        <f>+Datos!D35</f>
        <v>54.057500000000005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36568</v>
      </c>
      <c r="E39" t="s">
        <v>59</v>
      </c>
    </row>
    <row r="40" spans="2:12" x14ac:dyDescent="0.25">
      <c r="B40" t="s">
        <v>60</v>
      </c>
      <c r="C40" t="s">
        <v>61</v>
      </c>
      <c r="D40">
        <f>+Datos!D40</f>
        <v>1.06</v>
      </c>
      <c r="E40" t="s">
        <v>62</v>
      </c>
    </row>
    <row r="41" spans="2:12" x14ac:dyDescent="0.25">
      <c r="B41" t="s">
        <v>63</v>
      </c>
      <c r="C41" t="s">
        <v>64</v>
      </c>
      <c r="D41">
        <f>+Datos!D41</f>
        <v>38.762080000000005</v>
      </c>
      <c r="E41" t="s">
        <v>65</v>
      </c>
    </row>
    <row r="42" spans="2:12" x14ac:dyDescent="0.25">
      <c r="C42" t="s">
        <v>66</v>
      </c>
      <c r="D42">
        <f>+Datos!D42</f>
        <v>100</v>
      </c>
      <c r="E42" t="s">
        <v>46</v>
      </c>
    </row>
    <row r="43" spans="2:12" x14ac:dyDescent="0.25">
      <c r="B43" t="s">
        <v>67</v>
      </c>
      <c r="C43" t="s">
        <v>80</v>
      </c>
      <c r="D43">
        <f>+Datos!D43</f>
        <v>25.195352000000003</v>
      </c>
      <c r="E43" t="s">
        <v>65</v>
      </c>
    </row>
    <row r="44" spans="2:12" x14ac:dyDescent="0.25">
      <c r="B44" t="s">
        <v>68</v>
      </c>
      <c r="C44" t="s">
        <v>69</v>
      </c>
      <c r="D44">
        <f>+Datos!D44</f>
        <v>4</v>
      </c>
      <c r="E44" t="s">
        <v>70</v>
      </c>
    </row>
    <row r="45" spans="2:12" x14ac:dyDescent="0.25">
      <c r="C45" t="s">
        <v>79</v>
      </c>
      <c r="D45">
        <f>+Datos!D45</f>
        <v>2</v>
      </c>
      <c r="F45" s="36"/>
    </row>
    <row r="46" spans="2:12" ht="15.75" thickBot="1" x14ac:dyDescent="0.3">
      <c r="B46" t="s">
        <v>81</v>
      </c>
      <c r="C46" t="s">
        <v>85</v>
      </c>
      <c r="D46">
        <f>+Datos!D46</f>
        <v>50.390704000000007</v>
      </c>
      <c r="E46" t="s">
        <v>65</v>
      </c>
    </row>
    <row r="47" spans="2:12" ht="15.75" thickBot="1" x14ac:dyDescent="0.3">
      <c r="C47" t="s">
        <v>83</v>
      </c>
      <c r="D47">
        <f>+Datos!D47</f>
        <v>0.5</v>
      </c>
      <c r="E47" t="s">
        <v>84</v>
      </c>
      <c r="H47" s="839" t="s">
        <v>100</v>
      </c>
      <c r="I47" s="840"/>
      <c r="J47" s="840"/>
      <c r="K47" s="841"/>
    </row>
    <row r="48" spans="2:12" x14ac:dyDescent="0.25">
      <c r="C48" s="23" t="s">
        <v>85</v>
      </c>
      <c r="D48" s="131">
        <f>+Datos!D48</f>
        <v>100.78140800000001</v>
      </c>
      <c r="E48" s="23" t="s">
        <v>87</v>
      </c>
      <c r="H48" s="30"/>
      <c r="I48" s="31" t="s">
        <v>99</v>
      </c>
      <c r="J48" s="1">
        <v>2.7335840970920779</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16</v>
      </c>
      <c r="E51" t="s">
        <v>86</v>
      </c>
      <c r="H51" s="30" t="s">
        <v>106</v>
      </c>
      <c r="I51" s="32">
        <f>+D51*ROUNDUP(J48,0)</f>
        <v>48</v>
      </c>
      <c r="J51" s="28">
        <f>COUNT($J$48)</f>
        <v>1</v>
      </c>
      <c r="K51" s="32"/>
    </row>
    <row r="52" spans="2:11" x14ac:dyDescent="0.25">
      <c r="B52" t="s">
        <v>91</v>
      </c>
      <c r="C52" s="164" t="s">
        <v>727</v>
      </c>
      <c r="D52" s="164">
        <f>ROUNDUP(D48/D51,0)</f>
        <v>7</v>
      </c>
      <c r="E52" t="s">
        <v>96</v>
      </c>
      <c r="H52" s="30"/>
      <c r="I52" s="32">
        <f>+D52*I51</f>
        <v>336</v>
      </c>
      <c r="J52" s="28" t="b">
        <f>$D$55&lt;=$I$50</f>
        <v>1</v>
      </c>
      <c r="K52" s="32"/>
    </row>
    <row r="53" spans="2:11" x14ac:dyDescent="0.25">
      <c r="B53" t="s">
        <v>92</v>
      </c>
      <c r="C53" s="164" t="s">
        <v>728</v>
      </c>
      <c r="D53" s="165">
        <f>(((D20+D22+D23+D24+D29)*D52+(D21+D28)/ROUNDUP(J48,0))*(1+D32/100))/J48</f>
        <v>8.0001806748621966</v>
      </c>
      <c r="E53" t="s">
        <v>30</v>
      </c>
      <c r="H53" s="30"/>
      <c r="J53" s="28">
        <f>{32767;32767;0.000001;0.01;FALSE;FALSE;FALSE;1;2;1;0.0001;TRUE}</f>
        <v>32767</v>
      </c>
      <c r="K53" s="32"/>
    </row>
    <row r="54" spans="2:11" ht="15.75" thickBot="1" x14ac:dyDescent="0.3">
      <c r="C54" s="127" t="s">
        <v>107</v>
      </c>
      <c r="D54" s="128">
        <f>+IF(D53&gt;D36,D53-D36,0)</f>
        <v>1.806748621966392E-4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v>
      </c>
      <c r="E56" t="s">
        <v>30</v>
      </c>
    </row>
    <row r="57" spans="2:11" x14ac:dyDescent="0.25">
      <c r="C57" t="s">
        <v>98</v>
      </c>
      <c r="D57" s="4">
        <f>+IF(D55=0,IF((2*D36-D53)&gt;D36,8,2*D36-D53),0)</f>
        <v>7.9998193251378034</v>
      </c>
      <c r="E57" t="s">
        <v>30</v>
      </c>
    </row>
    <row r="58" spans="2:11" x14ac:dyDescent="0.25">
      <c r="C58" s="164" t="s">
        <v>182</v>
      </c>
      <c r="D58" s="165">
        <f>+D53</f>
        <v>8.0001806748621966</v>
      </c>
      <c r="E58" t="s">
        <v>30</v>
      </c>
    </row>
    <row r="59" spans="2:11" x14ac:dyDescent="0.25">
      <c r="C59" s="164" t="s">
        <v>95</v>
      </c>
      <c r="D59" s="166">
        <f>ROUNDDOWN(2*D36*(D52/D66)/D53,0)</f>
        <v>4</v>
      </c>
      <c r="E59" t="s">
        <v>96</v>
      </c>
      <c r="K59" s="36"/>
    </row>
    <row r="61" spans="2:11" hidden="1" x14ac:dyDescent="0.25">
      <c r="C61" t="s">
        <v>110</v>
      </c>
      <c r="D61" s="4">
        <f>+IF((D48-D36/D58*D51)&lt;0,0,D48-D36/D58*D51)</f>
        <v>84.781769341563745</v>
      </c>
      <c r="E61" t="s">
        <v>86</v>
      </c>
    </row>
    <row r="62" spans="2:11" hidden="1" x14ac:dyDescent="0.25">
      <c r="C62" t="s">
        <v>111</v>
      </c>
      <c r="D62" s="4">
        <f>+D48-D61</f>
        <v>15.999638658436268</v>
      </c>
      <c r="E62" t="s">
        <v>86</v>
      </c>
    </row>
    <row r="63" spans="2:11" hidden="1" x14ac:dyDescent="0.25">
      <c r="C63" t="s">
        <v>148</v>
      </c>
      <c r="D63" s="4">
        <f>IF(D53&lt;=2*D36,D48,2*D36/D58*D51)</f>
        <v>100.78140800000001</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1</v>
      </c>
    </row>
    <row r="68" spans="3:5" x14ac:dyDescent="0.25">
      <c r="C68" t="s">
        <v>104</v>
      </c>
      <c r="D68" s="165">
        <f>+D59*D66*D51</f>
        <v>192</v>
      </c>
      <c r="E68" t="s">
        <v>86</v>
      </c>
    </row>
    <row r="69" spans="3:5" x14ac:dyDescent="0.25">
      <c r="C69" t="s">
        <v>102</v>
      </c>
      <c r="D69" s="26">
        <f>+(D68/D48-1)</f>
        <v>0.90511329232471116</v>
      </c>
    </row>
    <row r="70" spans="3:5" x14ac:dyDescent="0.25">
      <c r="C70" t="s">
        <v>119</v>
      </c>
      <c r="D70" s="166">
        <f>+D5+(D7+D8)*D52*2/D66+D9+D6/D66</f>
        <v>90.3</v>
      </c>
      <c r="E70" s="164" t="s">
        <v>244</v>
      </c>
    </row>
    <row r="71" spans="3:5" x14ac:dyDescent="0.25">
      <c r="C71" t="s">
        <v>118</v>
      </c>
      <c r="D71" s="141">
        <f>+D70*D66</f>
        <v>270.89999999999998</v>
      </c>
      <c r="E71" s="164" t="s">
        <v>244</v>
      </c>
    </row>
    <row r="72" spans="3:5" x14ac:dyDescent="0.25">
      <c r="C72" t="s">
        <v>123</v>
      </c>
      <c r="D72" s="165">
        <f>+D48/D66</f>
        <v>33.593802666666669</v>
      </c>
      <c r="E72" t="s">
        <v>87</v>
      </c>
    </row>
    <row r="73" spans="3:5" x14ac:dyDescent="0.25">
      <c r="C73" t="s">
        <v>123</v>
      </c>
      <c r="D73">
        <f>+D72*D47*D44*52</f>
        <v>3493.7554773333336</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2"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4"/>
  <dimension ref="B1:L76"/>
  <sheetViews>
    <sheetView view="pageBreakPreview" topLeftCell="D4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Pehuajó</v>
      </c>
    </row>
    <row r="4" spans="2:5" x14ac:dyDescent="0.25">
      <c r="B4" s="2" t="s">
        <v>0</v>
      </c>
    </row>
    <row r="5" spans="2:5" x14ac:dyDescent="0.25">
      <c r="B5" t="s">
        <v>1</v>
      </c>
      <c r="C5" t="s">
        <v>2</v>
      </c>
      <c r="D5">
        <f>+Datos!D5</f>
        <v>0</v>
      </c>
      <c r="E5" t="s">
        <v>3</v>
      </c>
    </row>
    <row r="6" spans="2:5" x14ac:dyDescent="0.25">
      <c r="B6" t="s">
        <v>4</v>
      </c>
      <c r="C6" t="s">
        <v>5</v>
      </c>
      <c r="D6" s="150">
        <f>+Datos!D6</f>
        <v>191</v>
      </c>
      <c r="E6" t="s">
        <v>3</v>
      </c>
    </row>
    <row r="7" spans="2:5" x14ac:dyDescent="0.25">
      <c r="B7" t="s">
        <v>6</v>
      </c>
      <c r="C7" t="s">
        <v>8</v>
      </c>
      <c r="D7">
        <f>+Datos!D7</f>
        <v>4.7</v>
      </c>
      <c r="E7" t="s">
        <v>3</v>
      </c>
    </row>
    <row r="8" spans="2:5" x14ac:dyDescent="0.25">
      <c r="B8" t="s">
        <v>7</v>
      </c>
      <c r="C8" t="s">
        <v>9</v>
      </c>
      <c r="D8">
        <f>+Datos!D8</f>
        <v>0</v>
      </c>
      <c r="E8" t="s">
        <v>3</v>
      </c>
    </row>
    <row r="9" spans="2:5" x14ac:dyDescent="0.25">
      <c r="B9" t="s">
        <v>10</v>
      </c>
      <c r="C9" t="s">
        <v>11</v>
      </c>
      <c r="D9">
        <f>+Datos!D9</f>
        <v>4.7</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31.333333333333336</v>
      </c>
      <c r="E14" t="s">
        <v>23</v>
      </c>
    </row>
    <row r="15" spans="2:5" x14ac:dyDescent="0.25">
      <c r="B15" t="s">
        <v>16</v>
      </c>
      <c r="C15" t="s">
        <v>21</v>
      </c>
      <c r="D15">
        <f>+Datos!D15</f>
        <v>40</v>
      </c>
      <c r="E15" t="s">
        <v>23</v>
      </c>
    </row>
    <row r="16" spans="2:5" x14ac:dyDescent="0.25">
      <c r="B16" t="s">
        <v>17</v>
      </c>
      <c r="C16" t="s">
        <v>22</v>
      </c>
      <c r="D16">
        <f>+Datos!D16</f>
        <v>31.333333333333336</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19.100000000000001</v>
      </c>
      <c r="E21" t="s">
        <v>30</v>
      </c>
    </row>
    <row r="22" spans="2:5" x14ac:dyDescent="0.25">
      <c r="B22" t="s">
        <v>27</v>
      </c>
      <c r="C22" t="s">
        <v>33</v>
      </c>
      <c r="D22" s="4">
        <f>+Datos!D22</f>
        <v>0.15</v>
      </c>
      <c r="E22" t="s">
        <v>30</v>
      </c>
    </row>
    <row r="23" spans="2:5" x14ac:dyDescent="0.25">
      <c r="B23" t="s">
        <v>28</v>
      </c>
      <c r="C23" t="s">
        <v>34</v>
      </c>
      <c r="D23" s="4">
        <f>+Datos!D23</f>
        <v>0</v>
      </c>
      <c r="E23" t="s">
        <v>30</v>
      </c>
    </row>
    <row r="24" spans="2:5" x14ac:dyDescent="0.25">
      <c r="B24" t="s">
        <v>29</v>
      </c>
      <c r="C24" t="s">
        <v>35</v>
      </c>
      <c r="D24" s="4">
        <f>+Datos!D24</f>
        <v>0.15</v>
      </c>
      <c r="E24" t="s">
        <v>30</v>
      </c>
    </row>
    <row r="25" spans="2:5" x14ac:dyDescent="0.25">
      <c r="B25" s="3" t="s">
        <v>40</v>
      </c>
    </row>
    <row r="26" spans="2:5" x14ac:dyDescent="0.25">
      <c r="B26" s="3"/>
      <c r="C26" t="s">
        <v>48</v>
      </c>
      <c r="D26">
        <f>+Datos!D26</f>
        <v>382</v>
      </c>
      <c r="E26" t="s">
        <v>49</v>
      </c>
    </row>
    <row r="27" spans="2:5" x14ac:dyDescent="0.25">
      <c r="C27" t="s">
        <v>50</v>
      </c>
      <c r="D27">
        <f>+Datos!D27</f>
        <v>5</v>
      </c>
      <c r="E27" t="s">
        <v>52</v>
      </c>
    </row>
    <row r="28" spans="2:5" x14ac:dyDescent="0.25">
      <c r="B28" t="s">
        <v>36</v>
      </c>
      <c r="C28" t="s">
        <v>51</v>
      </c>
      <c r="D28" s="4">
        <f>+Datos!D28</f>
        <v>31.833333333333332</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51.483333333333334</v>
      </c>
      <c r="E31" t="s">
        <v>30</v>
      </c>
    </row>
    <row r="32" spans="2:5" x14ac:dyDescent="0.25">
      <c r="C32" t="s">
        <v>43</v>
      </c>
      <c r="D32">
        <f>+Datos!D32</f>
        <v>5</v>
      </c>
      <c r="E32" t="s">
        <v>46</v>
      </c>
    </row>
    <row r="33" spans="2:12" x14ac:dyDescent="0.25">
      <c r="B33" t="s">
        <v>47</v>
      </c>
      <c r="C33" t="s">
        <v>42</v>
      </c>
      <c r="D33" s="150">
        <f>+Datos!D33</f>
        <v>2.5741666666666667</v>
      </c>
      <c r="E33" t="s">
        <v>30</v>
      </c>
    </row>
    <row r="34" spans="2:12" x14ac:dyDescent="0.25">
      <c r="B34" s="5" t="s">
        <v>53</v>
      </c>
    </row>
    <row r="35" spans="2:12" x14ac:dyDescent="0.25">
      <c r="B35" s="23" t="s">
        <v>54</v>
      </c>
      <c r="C35" s="23" t="s">
        <v>55</v>
      </c>
      <c r="D35" s="24">
        <f>+Datos!D35</f>
        <v>54.057500000000005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36568</v>
      </c>
      <c r="E39" t="s">
        <v>59</v>
      </c>
    </row>
    <row r="40" spans="2:12" x14ac:dyDescent="0.25">
      <c r="B40" t="s">
        <v>60</v>
      </c>
      <c r="C40" t="s">
        <v>61</v>
      </c>
      <c r="D40">
        <f>+Datos!D40</f>
        <v>1.06</v>
      </c>
      <c r="E40" t="s">
        <v>62</v>
      </c>
    </row>
    <row r="41" spans="2:12" x14ac:dyDescent="0.25">
      <c r="B41" t="s">
        <v>63</v>
      </c>
      <c r="C41" t="s">
        <v>64</v>
      </c>
      <c r="D41">
        <f>+Datos!D41</f>
        <v>38.762080000000005</v>
      </c>
      <c r="E41" t="s">
        <v>65</v>
      </c>
    </row>
    <row r="42" spans="2:12" x14ac:dyDescent="0.25">
      <c r="C42" t="s">
        <v>66</v>
      </c>
      <c r="D42">
        <f>+Datos!D42</f>
        <v>100</v>
      </c>
      <c r="E42" t="s">
        <v>46</v>
      </c>
    </row>
    <row r="43" spans="2:12" x14ac:dyDescent="0.25">
      <c r="B43" t="s">
        <v>67</v>
      </c>
      <c r="C43" t="s">
        <v>80</v>
      </c>
      <c r="D43">
        <f>+Datos!D43</f>
        <v>25.195352000000003</v>
      </c>
      <c r="E43" t="s">
        <v>65</v>
      </c>
    </row>
    <row r="44" spans="2:12" x14ac:dyDescent="0.25">
      <c r="B44" t="s">
        <v>68</v>
      </c>
      <c r="C44" t="s">
        <v>69</v>
      </c>
      <c r="D44">
        <f>+Datos!D44</f>
        <v>4</v>
      </c>
      <c r="E44" t="s">
        <v>70</v>
      </c>
    </row>
    <row r="45" spans="2:12" x14ac:dyDescent="0.25">
      <c r="C45" t="s">
        <v>79</v>
      </c>
      <c r="D45">
        <f>+Datos!D45</f>
        <v>2</v>
      </c>
      <c r="F45" s="36"/>
    </row>
    <row r="46" spans="2:12" ht="15.75" thickBot="1" x14ac:dyDescent="0.3">
      <c r="B46" t="s">
        <v>81</v>
      </c>
      <c r="C46" t="s">
        <v>85</v>
      </c>
      <c r="D46">
        <f>+Datos!D46</f>
        <v>50.390704000000007</v>
      </c>
      <c r="E46" t="s">
        <v>65</v>
      </c>
    </row>
    <row r="47" spans="2:12" ht="15.75" thickBot="1" x14ac:dyDescent="0.3">
      <c r="C47" t="s">
        <v>83</v>
      </c>
      <c r="D47">
        <f>+Datos!D47</f>
        <v>0.5</v>
      </c>
      <c r="E47" t="s">
        <v>84</v>
      </c>
      <c r="H47" s="839" t="s">
        <v>100</v>
      </c>
      <c r="I47" s="840"/>
      <c r="J47" s="840"/>
      <c r="K47" s="841"/>
    </row>
    <row r="48" spans="2:12" x14ac:dyDescent="0.25">
      <c r="C48" s="131" t="s">
        <v>85</v>
      </c>
      <c r="D48" s="131">
        <f>+Datos!D48</f>
        <v>100.78140800000001</v>
      </c>
      <c r="E48" s="131" t="s">
        <v>87</v>
      </c>
      <c r="H48" s="30"/>
      <c r="I48" s="31" t="s">
        <v>99</v>
      </c>
      <c r="J48" s="125">
        <v>1.8878113623001267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17</v>
      </c>
      <c r="E51" t="s">
        <v>86</v>
      </c>
      <c r="H51" s="30" t="s">
        <v>106</v>
      </c>
      <c r="I51" s="32">
        <f>+D51*ROUNDUP(J48,0)</f>
        <v>34</v>
      </c>
      <c r="J51" s="28">
        <f>COUNT($J$48)</f>
        <v>1</v>
      </c>
      <c r="K51" s="32"/>
    </row>
    <row r="52" spans="2:11" x14ac:dyDescent="0.25">
      <c r="B52" t="s">
        <v>91</v>
      </c>
      <c r="C52" s="164" t="s">
        <v>727</v>
      </c>
      <c r="D52" s="164">
        <f>ROUNDUP(D48/D51,0)</f>
        <v>6</v>
      </c>
      <c r="E52" t="s">
        <v>96</v>
      </c>
      <c r="H52" s="30"/>
      <c r="I52" s="32">
        <f>+D52*I51</f>
        <v>204</v>
      </c>
      <c r="J52" s="28" t="b">
        <f>$D$55&lt;=$I$50</f>
        <v>1</v>
      </c>
      <c r="K52" s="32"/>
    </row>
    <row r="53" spans="2:11" x14ac:dyDescent="0.25">
      <c r="B53" t="s">
        <v>92</v>
      </c>
      <c r="C53" s="164" t="s">
        <v>728</v>
      </c>
      <c r="D53" s="165">
        <f>(((D20+D22+D23+D24+D29)*D52+(D21+D28)/ROUNDUP(J48,0))*(1+D32/100))/J48</f>
        <v>16.000009642487772</v>
      </c>
      <c r="E53" t="s">
        <v>30</v>
      </c>
      <c r="H53" s="30"/>
      <c r="J53" s="28">
        <f>{32767;32767;0.000001;0.01;FALSE;FALSE;FALSE;1;2;1;0.0001;TRUE}</f>
        <v>32767</v>
      </c>
      <c r="K53" s="32"/>
    </row>
    <row r="54" spans="2:11" ht="15.75" thickBot="1" x14ac:dyDescent="0.3">
      <c r="C54" t="s">
        <v>107</v>
      </c>
      <c r="D54" s="4">
        <f>+IF(D53&gt;D36,D53-D36,0)</f>
        <v>8.0000096424877718</v>
      </c>
      <c r="E54" t="s">
        <v>30</v>
      </c>
      <c r="H54" s="30"/>
      <c r="J54" s="29">
        <f>{0;0;1;100;0;FALSE;FALSE;0.075;0;0;FALSE;30}</f>
        <v>0</v>
      </c>
      <c r="K54" s="32"/>
    </row>
    <row r="55" spans="2:11" ht="15.75" thickBot="1" x14ac:dyDescent="0.3">
      <c r="C55" s="129" t="s">
        <v>94</v>
      </c>
      <c r="D55" s="130">
        <f>+IF(D53&gt;2*D36,D53-2*D36,0)</f>
        <v>9.642487771799324E-6</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4" t="s">
        <v>182</v>
      </c>
      <c r="D58" s="165">
        <f>+D53</f>
        <v>16.000009642487772</v>
      </c>
      <c r="E58" t="s">
        <v>30</v>
      </c>
    </row>
    <row r="59" spans="2:11" x14ac:dyDescent="0.25">
      <c r="C59" s="164" t="s">
        <v>95</v>
      </c>
      <c r="D59" s="166">
        <f>ROUNDDOWN(2*D36*(D52/D66)/D53,0)</f>
        <v>2</v>
      </c>
      <c r="E59" t="s">
        <v>96</v>
      </c>
      <c r="K59" s="36"/>
    </row>
    <row r="61" spans="2:11" hidden="1" x14ac:dyDescent="0.25">
      <c r="C61" t="s">
        <v>110</v>
      </c>
      <c r="D61" s="4">
        <f>+IF((D48-D36/D58*D51)&lt;0,0,D48-D36/D58*D51)</f>
        <v>92.281413122568551</v>
      </c>
      <c r="E61" t="s">
        <v>86</v>
      </c>
    </row>
    <row r="62" spans="2:11" hidden="1" x14ac:dyDescent="0.25">
      <c r="C62" t="s">
        <v>111</v>
      </c>
      <c r="D62" s="4">
        <f>+D48-D61</f>
        <v>8.4999948774314618</v>
      </c>
      <c r="E62" t="s">
        <v>86</v>
      </c>
    </row>
    <row r="63" spans="2:11" hidden="1" x14ac:dyDescent="0.25">
      <c r="C63" t="s">
        <v>148</v>
      </c>
      <c r="D63" s="4">
        <f>IF(D53&lt;=2*D36,D48,2*D36/D58*D51)</f>
        <v>16.999989754862916</v>
      </c>
      <c r="E63" t="s">
        <v>86</v>
      </c>
    </row>
    <row r="64" spans="2:11" hidden="1" x14ac:dyDescent="0.25">
      <c r="C64" t="s">
        <v>97</v>
      </c>
      <c r="D64" s="4">
        <f>+IF((D48-D63)&lt;0,0,D48-D63)</f>
        <v>83.781418245137104</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68</v>
      </c>
      <c r="E68" t="s">
        <v>86</v>
      </c>
    </row>
    <row r="69" spans="3:5" x14ac:dyDescent="0.25">
      <c r="C69" t="s">
        <v>102</v>
      </c>
      <c r="D69" s="26">
        <f>+(D68/D48-1)</f>
        <v>-0.32527237563499811</v>
      </c>
    </row>
    <row r="70" spans="3:5" x14ac:dyDescent="0.25">
      <c r="C70" t="s">
        <v>119</v>
      </c>
      <c r="D70" s="166">
        <f>+D5+(D7+D8)*D52*2/D66+D9+D6/D66</f>
        <v>128.4</v>
      </c>
      <c r="E70" s="164" t="s">
        <v>244</v>
      </c>
    </row>
    <row r="71" spans="3:5" x14ac:dyDescent="0.25">
      <c r="C71" t="s">
        <v>118</v>
      </c>
      <c r="D71" s="141">
        <f>+D70*D66</f>
        <v>256.8</v>
      </c>
      <c r="E71" s="164" t="s">
        <v>244</v>
      </c>
    </row>
    <row r="72" spans="3:5" x14ac:dyDescent="0.25">
      <c r="C72" t="s">
        <v>123</v>
      </c>
      <c r="D72" s="165">
        <f>+D48/D66</f>
        <v>50.390704000000007</v>
      </c>
      <c r="E72" t="s">
        <v>87</v>
      </c>
    </row>
    <row r="73" spans="3:5" x14ac:dyDescent="0.25">
      <c r="C73" t="s">
        <v>123</v>
      </c>
      <c r="D73">
        <f>+D72*D47*D44*52</f>
        <v>5240.6332160000011</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1"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5"/>
  <dimension ref="B1:L76"/>
  <sheetViews>
    <sheetView view="pageBreakPreview" topLeftCell="A52" zoomScale="95" zoomScaleNormal="100" zoomScaleSheetLayoutView="95"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Pehuajó</v>
      </c>
    </row>
    <row r="4" spans="2:5" x14ac:dyDescent="0.25">
      <c r="B4" s="2" t="s">
        <v>0</v>
      </c>
    </row>
    <row r="5" spans="2:5" x14ac:dyDescent="0.25">
      <c r="B5" t="s">
        <v>1</v>
      </c>
      <c r="C5" t="s">
        <v>2</v>
      </c>
      <c r="D5">
        <f>+Datos!D5</f>
        <v>0</v>
      </c>
      <c r="E5" t="s">
        <v>3</v>
      </c>
    </row>
    <row r="6" spans="2:5" x14ac:dyDescent="0.25">
      <c r="B6" t="s">
        <v>4</v>
      </c>
      <c r="C6" t="s">
        <v>5</v>
      </c>
      <c r="D6" s="150">
        <f>+Datos!D6</f>
        <v>191</v>
      </c>
      <c r="E6" t="s">
        <v>3</v>
      </c>
    </row>
    <row r="7" spans="2:5" x14ac:dyDescent="0.25">
      <c r="B7" t="s">
        <v>6</v>
      </c>
      <c r="C7" t="s">
        <v>8</v>
      </c>
      <c r="D7">
        <f>+Datos!D7</f>
        <v>4.7</v>
      </c>
      <c r="E7" t="s">
        <v>3</v>
      </c>
    </row>
    <row r="8" spans="2:5" x14ac:dyDescent="0.25">
      <c r="B8" t="s">
        <v>7</v>
      </c>
      <c r="C8" t="s">
        <v>9</v>
      </c>
      <c r="D8">
        <f>+Datos!D8</f>
        <v>0</v>
      </c>
      <c r="E8" t="s">
        <v>3</v>
      </c>
    </row>
    <row r="9" spans="2:5" x14ac:dyDescent="0.25">
      <c r="B9" t="s">
        <v>10</v>
      </c>
      <c r="C9" t="s">
        <v>11</v>
      </c>
      <c r="D9">
        <f>+Datos!D9</f>
        <v>4.7</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31.333333333333336</v>
      </c>
      <c r="E14" t="s">
        <v>23</v>
      </c>
    </row>
    <row r="15" spans="2:5" x14ac:dyDescent="0.25">
      <c r="B15" t="s">
        <v>16</v>
      </c>
      <c r="C15" t="s">
        <v>21</v>
      </c>
      <c r="D15">
        <f>+Datos!D15</f>
        <v>40</v>
      </c>
      <c r="E15" t="s">
        <v>23</v>
      </c>
    </row>
    <row r="16" spans="2:5" x14ac:dyDescent="0.25">
      <c r="B16" t="s">
        <v>17</v>
      </c>
      <c r="C16" t="s">
        <v>22</v>
      </c>
      <c r="D16">
        <f>+Datos!D16</f>
        <v>31.333333333333336</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19.100000000000001</v>
      </c>
      <c r="E21" t="s">
        <v>30</v>
      </c>
    </row>
    <row r="22" spans="2:5" x14ac:dyDescent="0.25">
      <c r="B22" t="s">
        <v>27</v>
      </c>
      <c r="C22" t="s">
        <v>33</v>
      </c>
      <c r="D22" s="4">
        <f>+Datos!D22</f>
        <v>0.15</v>
      </c>
      <c r="E22" t="s">
        <v>30</v>
      </c>
    </row>
    <row r="23" spans="2:5" x14ac:dyDescent="0.25">
      <c r="B23" t="s">
        <v>28</v>
      </c>
      <c r="C23" t="s">
        <v>34</v>
      </c>
      <c r="D23" s="4">
        <f>+Datos!D23</f>
        <v>0</v>
      </c>
      <c r="E23" t="s">
        <v>30</v>
      </c>
    </row>
    <row r="24" spans="2:5" x14ac:dyDescent="0.25">
      <c r="B24" t="s">
        <v>29</v>
      </c>
      <c r="C24" t="s">
        <v>35</v>
      </c>
      <c r="D24" s="4">
        <f>+Datos!D24</f>
        <v>0.15</v>
      </c>
      <c r="E24" t="s">
        <v>30</v>
      </c>
    </row>
    <row r="25" spans="2:5" x14ac:dyDescent="0.25">
      <c r="B25" s="3" t="s">
        <v>40</v>
      </c>
    </row>
    <row r="26" spans="2:5" x14ac:dyDescent="0.25">
      <c r="B26" s="3"/>
      <c r="C26" t="s">
        <v>48</v>
      </c>
      <c r="D26">
        <f>+Datos!D26</f>
        <v>382</v>
      </c>
      <c r="E26" t="s">
        <v>49</v>
      </c>
    </row>
    <row r="27" spans="2:5" x14ac:dyDescent="0.25">
      <c r="C27" t="s">
        <v>50</v>
      </c>
      <c r="D27">
        <f>+Datos!D27</f>
        <v>5</v>
      </c>
      <c r="E27" t="s">
        <v>52</v>
      </c>
    </row>
    <row r="28" spans="2:5" x14ac:dyDescent="0.25">
      <c r="B28" t="s">
        <v>36</v>
      </c>
      <c r="C28" t="s">
        <v>51</v>
      </c>
      <c r="D28" s="4">
        <f>+Datos!D28</f>
        <v>31.833333333333332</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51.483333333333334</v>
      </c>
      <c r="E31" t="s">
        <v>30</v>
      </c>
    </row>
    <row r="32" spans="2:5" x14ac:dyDescent="0.25">
      <c r="C32" t="s">
        <v>43</v>
      </c>
      <c r="D32">
        <f>+Datos!D32</f>
        <v>5</v>
      </c>
      <c r="E32" t="s">
        <v>46</v>
      </c>
    </row>
    <row r="33" spans="2:12" x14ac:dyDescent="0.25">
      <c r="B33" t="s">
        <v>47</v>
      </c>
      <c r="C33" t="s">
        <v>42</v>
      </c>
      <c r="D33" s="4">
        <f>+Datos!D33</f>
        <v>2.5741666666666667</v>
      </c>
      <c r="E33" t="s">
        <v>30</v>
      </c>
    </row>
    <row r="34" spans="2:12" x14ac:dyDescent="0.25">
      <c r="B34" s="5" t="s">
        <v>53</v>
      </c>
    </row>
    <row r="35" spans="2:12" x14ac:dyDescent="0.25">
      <c r="B35" s="23" t="s">
        <v>54</v>
      </c>
      <c r="C35" s="23" t="s">
        <v>55</v>
      </c>
      <c r="D35" s="24">
        <f>+Datos!D35</f>
        <v>54.057500000000005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36568</v>
      </c>
      <c r="E39" t="s">
        <v>59</v>
      </c>
    </row>
    <row r="40" spans="2:12" x14ac:dyDescent="0.25">
      <c r="B40" t="s">
        <v>60</v>
      </c>
      <c r="C40" t="s">
        <v>61</v>
      </c>
      <c r="D40">
        <f>+Datos!D40</f>
        <v>1.06</v>
      </c>
      <c r="E40" t="s">
        <v>62</v>
      </c>
    </row>
    <row r="41" spans="2:12" x14ac:dyDescent="0.25">
      <c r="B41" t="s">
        <v>63</v>
      </c>
      <c r="C41" t="s">
        <v>64</v>
      </c>
      <c r="D41">
        <f>+Datos!D41</f>
        <v>38.762080000000005</v>
      </c>
      <c r="E41" t="s">
        <v>65</v>
      </c>
    </row>
    <row r="42" spans="2:12" x14ac:dyDescent="0.25">
      <c r="C42" t="s">
        <v>66</v>
      </c>
      <c r="D42">
        <f>+Datos!D42</f>
        <v>100</v>
      </c>
      <c r="E42" t="s">
        <v>46</v>
      </c>
    </row>
    <row r="43" spans="2:12" x14ac:dyDescent="0.25">
      <c r="B43" t="s">
        <v>67</v>
      </c>
      <c r="C43" t="s">
        <v>80</v>
      </c>
      <c r="D43">
        <f>+Datos!D43</f>
        <v>25.195352000000003</v>
      </c>
      <c r="E43" t="s">
        <v>65</v>
      </c>
    </row>
    <row r="44" spans="2:12" x14ac:dyDescent="0.25">
      <c r="B44" t="s">
        <v>68</v>
      </c>
      <c r="C44" t="s">
        <v>69</v>
      </c>
      <c r="D44">
        <f>+Datos!D44</f>
        <v>4</v>
      </c>
      <c r="E44" t="s">
        <v>70</v>
      </c>
    </row>
    <row r="45" spans="2:12" x14ac:dyDescent="0.25">
      <c r="C45" t="s">
        <v>79</v>
      </c>
      <c r="D45">
        <f>+Datos!D45</f>
        <v>2</v>
      </c>
      <c r="F45" s="36"/>
    </row>
    <row r="46" spans="2:12" ht="15.75" thickBot="1" x14ac:dyDescent="0.3">
      <c r="B46" t="s">
        <v>81</v>
      </c>
      <c r="C46" t="s">
        <v>85</v>
      </c>
      <c r="D46">
        <f>+Datos!D46</f>
        <v>50.390704000000007</v>
      </c>
      <c r="E46" t="s">
        <v>65</v>
      </c>
    </row>
    <row r="47" spans="2:12" ht="15.75" thickBot="1" x14ac:dyDescent="0.3">
      <c r="C47" t="s">
        <v>83</v>
      </c>
      <c r="D47">
        <f>+Datos!D47</f>
        <v>0.5</v>
      </c>
      <c r="E47" t="s">
        <v>84</v>
      </c>
      <c r="H47" s="839" t="s">
        <v>100</v>
      </c>
      <c r="I47" s="840"/>
      <c r="J47" s="840"/>
      <c r="K47" s="841"/>
    </row>
    <row r="48" spans="2:12" x14ac:dyDescent="0.25">
      <c r="C48" s="23" t="s">
        <v>85</v>
      </c>
      <c r="D48" s="131">
        <f>+Datos!D48</f>
        <v>100.78140800000001</v>
      </c>
      <c r="E48" s="23" t="s">
        <v>87</v>
      </c>
      <c r="H48" s="30"/>
      <c r="I48" s="31" t="s">
        <v>99</v>
      </c>
      <c r="J48" s="1">
        <v>2.661408203406483</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17</v>
      </c>
      <c r="E51" t="s">
        <v>86</v>
      </c>
      <c r="H51" s="30" t="s">
        <v>106</v>
      </c>
      <c r="I51" s="32">
        <f>+D51*ROUNDUP(J48,0)</f>
        <v>51</v>
      </c>
      <c r="J51" s="28">
        <f>COUNT($J$48)</f>
        <v>1</v>
      </c>
      <c r="K51" s="32"/>
    </row>
    <row r="52" spans="2:11" x14ac:dyDescent="0.25">
      <c r="B52" t="s">
        <v>91</v>
      </c>
      <c r="C52" s="164" t="s">
        <v>727</v>
      </c>
      <c r="D52" s="164">
        <f>ROUNDUP(D48/D51,0)</f>
        <v>6</v>
      </c>
      <c r="E52" t="s">
        <v>96</v>
      </c>
      <c r="H52" s="30"/>
      <c r="I52" s="32">
        <f>+D52*I51</f>
        <v>306</v>
      </c>
      <c r="J52" s="28" t="b">
        <f>$D$55&lt;=$I$50</f>
        <v>1</v>
      </c>
      <c r="K52" s="32"/>
    </row>
    <row r="53" spans="2:11" x14ac:dyDescent="0.25">
      <c r="B53" t="s">
        <v>92</v>
      </c>
      <c r="C53" s="164" t="s">
        <v>728</v>
      </c>
      <c r="D53" s="165">
        <f>(((D20+D22+D23+D24+D29)*D52+(D21+D28)/ROUNDUP(J48,0))*(1+D32/100))/J48</f>
        <v>8.0001506869236714</v>
      </c>
      <c r="E53" t="s">
        <v>30</v>
      </c>
      <c r="H53" s="30"/>
      <c r="J53" s="28">
        <f>{32767;32767;0.000001;0.01;FALSE;FALSE;FALSE;1;2;1;0.0001;TRUE}</f>
        <v>32767</v>
      </c>
      <c r="K53" s="32"/>
    </row>
    <row r="54" spans="2:11" ht="15.75" thickBot="1" x14ac:dyDescent="0.3">
      <c r="C54" s="127" t="s">
        <v>107</v>
      </c>
      <c r="D54" s="128">
        <f>+IF(D53&gt;D36,D53-D36,0)</f>
        <v>1.506869236713726E-4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v>
      </c>
      <c r="E56" t="s">
        <v>30</v>
      </c>
    </row>
    <row r="57" spans="2:11" x14ac:dyDescent="0.25">
      <c r="C57" t="s">
        <v>98</v>
      </c>
      <c r="D57" s="4">
        <f>+IF(D55=0,IF((2*D36-D53)&gt;D36,8,2*D36-D53),0)</f>
        <v>7.9998493130763286</v>
      </c>
      <c r="E57" t="s">
        <v>30</v>
      </c>
    </row>
    <row r="58" spans="2:11" x14ac:dyDescent="0.25">
      <c r="C58" s="164" t="s">
        <v>182</v>
      </c>
      <c r="D58" s="165">
        <f>+D53</f>
        <v>8.0001506869236714</v>
      </c>
      <c r="E58" t="s">
        <v>30</v>
      </c>
    </row>
    <row r="59" spans="2:11" x14ac:dyDescent="0.25">
      <c r="C59" s="164" t="s">
        <v>95</v>
      </c>
      <c r="D59" s="166">
        <f>ROUNDDOWN(2*D36*(D52/D66)/D53,0)</f>
        <v>3</v>
      </c>
      <c r="E59" t="s">
        <v>96</v>
      </c>
      <c r="K59" s="36"/>
    </row>
    <row r="61" spans="2:11" hidden="1" x14ac:dyDescent="0.25">
      <c r="C61" t="s">
        <v>110</v>
      </c>
      <c r="D61" s="4">
        <f>+IF((D48-D36/D58*D51)&lt;0,0,D48-D36/D58*D51)</f>
        <v>83.781728203681496</v>
      </c>
      <c r="E61" t="s">
        <v>86</v>
      </c>
    </row>
    <row r="62" spans="2:11" hidden="1" x14ac:dyDescent="0.25">
      <c r="C62" t="s">
        <v>111</v>
      </c>
      <c r="D62" s="4">
        <f>+D48-D61</f>
        <v>16.999679796318517</v>
      </c>
      <c r="E62" t="s">
        <v>86</v>
      </c>
    </row>
    <row r="63" spans="2:11" hidden="1" x14ac:dyDescent="0.25">
      <c r="C63" t="s">
        <v>148</v>
      </c>
      <c r="D63" s="4">
        <f>IF(D53&lt;=2*D36,D48,2*D36/D58*D51)</f>
        <v>100.78140800000001</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1</v>
      </c>
    </row>
    <row r="68" spans="3:5" x14ac:dyDescent="0.25">
      <c r="C68" t="s">
        <v>104</v>
      </c>
      <c r="D68" s="165">
        <f>+D59*D66*D51</f>
        <v>153</v>
      </c>
      <c r="E68" t="s">
        <v>86</v>
      </c>
    </row>
    <row r="69" spans="3:5" x14ac:dyDescent="0.25">
      <c r="C69" t="s">
        <v>102</v>
      </c>
      <c r="D69" s="26">
        <f>+(D68/D48-1)</f>
        <v>0.51813715482125411</v>
      </c>
    </row>
    <row r="70" spans="3:5" x14ac:dyDescent="0.25">
      <c r="C70" t="s">
        <v>119</v>
      </c>
      <c r="D70" s="166">
        <f>+D5+(D7+D8)*D52*2/D66+D9+D6/D66</f>
        <v>87.166666666666657</v>
      </c>
      <c r="E70" s="164" t="s">
        <v>244</v>
      </c>
    </row>
    <row r="71" spans="3:5" x14ac:dyDescent="0.25">
      <c r="C71" t="s">
        <v>118</v>
      </c>
      <c r="D71" s="141">
        <f>+D70*D66</f>
        <v>261.5</v>
      </c>
      <c r="E71" s="164" t="s">
        <v>244</v>
      </c>
    </row>
    <row r="72" spans="3:5" x14ac:dyDescent="0.25">
      <c r="C72" t="s">
        <v>123</v>
      </c>
      <c r="D72" s="165">
        <f>+D48/D66</f>
        <v>33.593802666666669</v>
      </c>
      <c r="E72" t="s">
        <v>87</v>
      </c>
    </row>
    <row r="73" spans="3:5" x14ac:dyDescent="0.25">
      <c r="C73" t="s">
        <v>123</v>
      </c>
      <c r="D73">
        <f>+D72*D47*D44*52</f>
        <v>3493.7554773333336</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40"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7890"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7"/>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Pehuajó</v>
      </c>
    </row>
    <row r="4" spans="2:5" x14ac:dyDescent="0.25">
      <c r="B4" s="2" t="s">
        <v>0</v>
      </c>
    </row>
    <row r="5" spans="2:5" x14ac:dyDescent="0.25">
      <c r="B5" t="s">
        <v>1</v>
      </c>
      <c r="C5" t="s">
        <v>2</v>
      </c>
      <c r="D5">
        <f>+Datos!D5</f>
        <v>0</v>
      </c>
      <c r="E5" t="s">
        <v>3</v>
      </c>
    </row>
    <row r="6" spans="2:5" x14ac:dyDescent="0.25">
      <c r="B6" t="s">
        <v>4</v>
      </c>
      <c r="C6" t="s">
        <v>5</v>
      </c>
      <c r="D6" s="150">
        <f>+Datos!D6</f>
        <v>191</v>
      </c>
      <c r="E6" t="s">
        <v>3</v>
      </c>
    </row>
    <row r="7" spans="2:5" x14ac:dyDescent="0.25">
      <c r="B7" t="s">
        <v>6</v>
      </c>
      <c r="C7" t="s">
        <v>8</v>
      </c>
      <c r="D7">
        <f>+Datos!D7</f>
        <v>4.7</v>
      </c>
      <c r="E7" t="s">
        <v>3</v>
      </c>
    </row>
    <row r="8" spans="2:5" x14ac:dyDescent="0.25">
      <c r="B8" t="s">
        <v>7</v>
      </c>
      <c r="C8" t="s">
        <v>9</v>
      </c>
      <c r="D8">
        <f>+Datos!D8</f>
        <v>0</v>
      </c>
      <c r="E8" t="s">
        <v>3</v>
      </c>
    </row>
    <row r="9" spans="2:5" x14ac:dyDescent="0.25">
      <c r="B9" t="s">
        <v>10</v>
      </c>
      <c r="C9" t="s">
        <v>11</v>
      </c>
      <c r="D9">
        <f>+Datos!D9</f>
        <v>4.7</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31.333333333333336</v>
      </c>
      <c r="E14" t="s">
        <v>23</v>
      </c>
    </row>
    <row r="15" spans="2:5" x14ac:dyDescent="0.25">
      <c r="B15" t="s">
        <v>16</v>
      </c>
      <c r="C15" t="s">
        <v>21</v>
      </c>
      <c r="D15">
        <f>+Datos!D15</f>
        <v>40</v>
      </c>
      <c r="E15" t="s">
        <v>23</v>
      </c>
    </row>
    <row r="16" spans="2:5" x14ac:dyDescent="0.25">
      <c r="B16" t="s">
        <v>17</v>
      </c>
      <c r="C16" t="s">
        <v>22</v>
      </c>
      <c r="D16">
        <f>+Datos!D16</f>
        <v>31.333333333333336</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19.100000000000001</v>
      </c>
      <c r="E21" t="s">
        <v>30</v>
      </c>
    </row>
    <row r="22" spans="2:5" x14ac:dyDescent="0.25">
      <c r="B22" t="s">
        <v>27</v>
      </c>
      <c r="C22" t="s">
        <v>33</v>
      </c>
      <c r="D22" s="4">
        <f>+Datos!D22</f>
        <v>0.15</v>
      </c>
      <c r="E22" t="s">
        <v>30</v>
      </c>
    </row>
    <row r="23" spans="2:5" x14ac:dyDescent="0.25">
      <c r="B23" t="s">
        <v>28</v>
      </c>
      <c r="C23" t="s">
        <v>34</v>
      </c>
      <c r="D23" s="4">
        <f>+Datos!D23</f>
        <v>0</v>
      </c>
      <c r="E23" t="s">
        <v>30</v>
      </c>
    </row>
    <row r="24" spans="2:5" x14ac:dyDescent="0.25">
      <c r="B24" t="s">
        <v>29</v>
      </c>
      <c r="C24" t="s">
        <v>35</v>
      </c>
      <c r="D24" s="4">
        <f>+Datos!D24</f>
        <v>0.15</v>
      </c>
      <c r="E24" t="s">
        <v>30</v>
      </c>
    </row>
    <row r="25" spans="2:5" x14ac:dyDescent="0.25">
      <c r="B25" s="3" t="s">
        <v>40</v>
      </c>
    </row>
    <row r="26" spans="2:5" x14ac:dyDescent="0.25">
      <c r="B26" s="3"/>
      <c r="C26" t="s">
        <v>48</v>
      </c>
      <c r="D26">
        <f>+Datos!D26</f>
        <v>382</v>
      </c>
      <c r="E26" t="s">
        <v>49</v>
      </c>
    </row>
    <row r="27" spans="2:5" x14ac:dyDescent="0.25">
      <c r="C27" t="s">
        <v>50</v>
      </c>
      <c r="D27">
        <f>+Datos!D27</f>
        <v>5</v>
      </c>
      <c r="E27" t="s">
        <v>52</v>
      </c>
    </row>
    <row r="28" spans="2:5" x14ac:dyDescent="0.25">
      <c r="B28" t="s">
        <v>36</v>
      </c>
      <c r="C28" t="s">
        <v>51</v>
      </c>
      <c r="D28" s="4">
        <f>+Datos!D28</f>
        <v>31.833333333333332</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51.483333333333334</v>
      </c>
      <c r="E31" t="s">
        <v>30</v>
      </c>
    </row>
    <row r="32" spans="2:5" x14ac:dyDescent="0.25">
      <c r="C32" t="s">
        <v>43</v>
      </c>
      <c r="D32">
        <f>+Datos!D32</f>
        <v>5</v>
      </c>
      <c r="E32" t="s">
        <v>46</v>
      </c>
    </row>
    <row r="33" spans="2:12" x14ac:dyDescent="0.25">
      <c r="B33" t="s">
        <v>47</v>
      </c>
      <c r="C33" t="s">
        <v>42</v>
      </c>
      <c r="D33" s="150">
        <f>+Datos!D33</f>
        <v>2.5741666666666667</v>
      </c>
      <c r="E33" t="s">
        <v>30</v>
      </c>
    </row>
    <row r="34" spans="2:12" x14ac:dyDescent="0.25">
      <c r="B34" s="5" t="s">
        <v>53</v>
      </c>
    </row>
    <row r="35" spans="2:12" x14ac:dyDescent="0.25">
      <c r="B35" s="23" t="s">
        <v>54</v>
      </c>
      <c r="C35" s="23" t="s">
        <v>55</v>
      </c>
      <c r="D35" s="24">
        <f>+Datos!D35</f>
        <v>54.057500000000005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36568</v>
      </c>
      <c r="E39" t="s">
        <v>59</v>
      </c>
    </row>
    <row r="40" spans="2:12" x14ac:dyDescent="0.25">
      <c r="B40" t="s">
        <v>60</v>
      </c>
      <c r="C40" t="s">
        <v>61</v>
      </c>
      <c r="D40">
        <f>+Datos!D40</f>
        <v>1.06</v>
      </c>
      <c r="E40" t="s">
        <v>62</v>
      </c>
    </row>
    <row r="41" spans="2:12" x14ac:dyDescent="0.25">
      <c r="B41" t="s">
        <v>63</v>
      </c>
      <c r="C41" t="s">
        <v>64</v>
      </c>
      <c r="D41">
        <f>+Datos!D41</f>
        <v>38.762080000000005</v>
      </c>
      <c r="E41" t="s">
        <v>65</v>
      </c>
    </row>
    <row r="42" spans="2:12" x14ac:dyDescent="0.25">
      <c r="C42" t="s">
        <v>66</v>
      </c>
      <c r="D42">
        <f>+Datos!D42</f>
        <v>100</v>
      </c>
      <c r="E42" t="s">
        <v>46</v>
      </c>
    </row>
    <row r="43" spans="2:12" x14ac:dyDescent="0.25">
      <c r="B43" t="s">
        <v>67</v>
      </c>
      <c r="C43" t="s">
        <v>80</v>
      </c>
      <c r="D43">
        <f>+Datos!D43</f>
        <v>25.195352000000003</v>
      </c>
      <c r="E43" t="s">
        <v>65</v>
      </c>
    </row>
    <row r="44" spans="2:12" x14ac:dyDescent="0.25">
      <c r="B44" t="s">
        <v>68</v>
      </c>
      <c r="C44" t="s">
        <v>69</v>
      </c>
      <c r="D44">
        <f>+Datos!D44</f>
        <v>4</v>
      </c>
      <c r="E44" t="s">
        <v>70</v>
      </c>
    </row>
    <row r="45" spans="2:12" x14ac:dyDescent="0.25">
      <c r="C45" t="s">
        <v>79</v>
      </c>
      <c r="D45">
        <f>+Datos!D45</f>
        <v>2</v>
      </c>
      <c r="F45" s="36"/>
    </row>
    <row r="46" spans="2:12" ht="15.75" thickBot="1" x14ac:dyDescent="0.3">
      <c r="B46" t="s">
        <v>81</v>
      </c>
      <c r="C46" t="s">
        <v>85</v>
      </c>
      <c r="D46">
        <f>+Datos!D46</f>
        <v>50.390704000000007</v>
      </c>
      <c r="E46" t="s">
        <v>65</v>
      </c>
    </row>
    <row r="47" spans="2:12" ht="15.75" thickBot="1" x14ac:dyDescent="0.3">
      <c r="C47" t="s">
        <v>83</v>
      </c>
      <c r="D47">
        <f>+Datos!D47</f>
        <v>0.5</v>
      </c>
      <c r="E47" t="s">
        <v>84</v>
      </c>
      <c r="H47" s="839" t="s">
        <v>100</v>
      </c>
      <c r="I47" s="840"/>
      <c r="J47" s="840"/>
      <c r="K47" s="841"/>
    </row>
    <row r="48" spans="2:12" x14ac:dyDescent="0.25">
      <c r="C48" s="23" t="s">
        <v>85</v>
      </c>
      <c r="D48" s="131">
        <f>+Datos!D48</f>
        <v>100.78140800000001</v>
      </c>
      <c r="E48" s="23" t="s">
        <v>87</v>
      </c>
      <c r="H48" s="30"/>
      <c r="I48" s="31" t="s">
        <v>99</v>
      </c>
      <c r="J48" s="125">
        <v>1.8878113623001267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18</v>
      </c>
      <c r="E51" t="s">
        <v>86</v>
      </c>
      <c r="H51" s="30" t="s">
        <v>106</v>
      </c>
      <c r="I51" s="32">
        <f>+D51*ROUNDUP(J48,0)</f>
        <v>36</v>
      </c>
      <c r="J51" s="28">
        <f>COUNT($J$48)</f>
        <v>1</v>
      </c>
      <c r="K51" s="32"/>
    </row>
    <row r="52" spans="2:11" x14ac:dyDescent="0.25">
      <c r="B52" t="s">
        <v>91</v>
      </c>
      <c r="C52" s="164" t="s">
        <v>727</v>
      </c>
      <c r="D52" s="164">
        <f>ROUNDUP(D48/D51,0)</f>
        <v>6</v>
      </c>
      <c r="E52" t="s">
        <v>96</v>
      </c>
      <c r="H52" s="30"/>
      <c r="I52" s="32">
        <f>+D52*I51</f>
        <v>216</v>
      </c>
      <c r="J52" s="28" t="b">
        <f>$D$55&lt;=$I$50</f>
        <v>1</v>
      </c>
      <c r="K52" s="32"/>
    </row>
    <row r="53" spans="2:11" x14ac:dyDescent="0.25">
      <c r="B53" t="s">
        <v>92</v>
      </c>
      <c r="C53" s="164" t="s">
        <v>728</v>
      </c>
      <c r="D53" s="165">
        <f>(((D20+D22+D23+D24+D29)*D52+(D21+D28)/ROUNDUP(J48,0))*(1+D32/100))/J48</f>
        <v>16.000009642487772</v>
      </c>
      <c r="E53" t="s">
        <v>30</v>
      </c>
      <c r="H53" s="30"/>
      <c r="J53" s="28">
        <f>{32767;32767;0.000001;0.01;FALSE;FALSE;FALSE;1;2;1;0.0001;TRUE}</f>
        <v>32767</v>
      </c>
      <c r="K53" s="32"/>
    </row>
    <row r="54" spans="2:11" ht="15.75" thickBot="1" x14ac:dyDescent="0.3">
      <c r="C54" t="s">
        <v>107</v>
      </c>
      <c r="D54" s="4">
        <f>+IF(D53&gt;D36,D53-D36,0)</f>
        <v>8.0000096424877718</v>
      </c>
      <c r="E54" t="s">
        <v>30</v>
      </c>
      <c r="H54" s="30"/>
      <c r="J54" s="29">
        <f>{0;0;1;100;0;FALSE;FALSE;0.075;0;0;FALSE;30}</f>
        <v>0</v>
      </c>
      <c r="K54" s="32"/>
    </row>
    <row r="55" spans="2:11" ht="15.75" thickBot="1" x14ac:dyDescent="0.3">
      <c r="C55" s="129" t="s">
        <v>94</v>
      </c>
      <c r="D55" s="130">
        <f>+IF(D53&gt;2*D36,D53-2*D36,0)</f>
        <v>9.642487771799324E-6</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4" t="s">
        <v>182</v>
      </c>
      <c r="D58" s="165">
        <f>+D53</f>
        <v>16.000009642487772</v>
      </c>
      <c r="E58" t="s">
        <v>30</v>
      </c>
    </row>
    <row r="59" spans="2:11" x14ac:dyDescent="0.25">
      <c r="C59" s="164" t="s">
        <v>95</v>
      </c>
      <c r="D59" s="166">
        <f>ROUNDDOWN(2*D36*(D52/D66)/D53,0)</f>
        <v>2</v>
      </c>
      <c r="E59" t="s">
        <v>96</v>
      </c>
      <c r="K59" s="36"/>
    </row>
    <row r="61" spans="2:11" hidden="1" x14ac:dyDescent="0.25">
      <c r="C61" t="s">
        <v>110</v>
      </c>
      <c r="D61" s="4">
        <f>+IF((D48-D36/D58*D51)&lt;0,0,D48-D36/D58*D51)</f>
        <v>91.781413423896112</v>
      </c>
      <c r="E61" t="s">
        <v>86</v>
      </c>
    </row>
    <row r="62" spans="2:11" hidden="1" x14ac:dyDescent="0.25">
      <c r="C62" t="s">
        <v>111</v>
      </c>
      <c r="D62" s="4">
        <f>+D48-D61</f>
        <v>8.9999945761039015</v>
      </c>
      <c r="E62" t="s">
        <v>86</v>
      </c>
    </row>
    <row r="63" spans="2:11" hidden="1" x14ac:dyDescent="0.25">
      <c r="C63" t="s">
        <v>148</v>
      </c>
      <c r="D63" s="4">
        <f>IF(D53&lt;=2*D36,D48,2*D36/D58*D51)</f>
        <v>17.999989152207792</v>
      </c>
      <c r="E63" t="s">
        <v>86</v>
      </c>
    </row>
    <row r="64" spans="2:11" hidden="1" x14ac:dyDescent="0.25">
      <c r="C64" t="s">
        <v>97</v>
      </c>
      <c r="D64" s="4">
        <f>+IF((D48-D63)&lt;0,0,D48-D63)</f>
        <v>82.781418847792224</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72</v>
      </c>
      <c r="E68" t="s">
        <v>86</v>
      </c>
    </row>
    <row r="69" spans="3:5" x14ac:dyDescent="0.25">
      <c r="C69" t="s">
        <v>102</v>
      </c>
      <c r="D69" s="26">
        <f>+(D68/D48-1)</f>
        <v>-0.28558251537823331</v>
      </c>
    </row>
    <row r="70" spans="3:5" x14ac:dyDescent="0.25">
      <c r="C70" t="s">
        <v>119</v>
      </c>
      <c r="D70" s="166">
        <f>+D5+(D7+D8)*D52*2/D66+D9+D6/D66</f>
        <v>128.4</v>
      </c>
      <c r="E70" s="164" t="s">
        <v>244</v>
      </c>
    </row>
    <row r="71" spans="3:5" x14ac:dyDescent="0.25">
      <c r="C71" t="s">
        <v>118</v>
      </c>
      <c r="D71" s="141">
        <f>+D70*D66</f>
        <v>256.8</v>
      </c>
      <c r="E71" s="164" t="s">
        <v>244</v>
      </c>
    </row>
    <row r="72" spans="3:5" x14ac:dyDescent="0.25">
      <c r="C72" t="s">
        <v>123</v>
      </c>
      <c r="D72" s="165">
        <f>+D48/D66</f>
        <v>50.390704000000007</v>
      </c>
      <c r="E72" t="s">
        <v>87</v>
      </c>
    </row>
    <row r="73" spans="3:5" x14ac:dyDescent="0.25">
      <c r="C73" t="s">
        <v>123</v>
      </c>
      <c r="D73">
        <f>+D72*D47*D44*52</f>
        <v>5240.6332160000011</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9"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8"/>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Pehuajó</v>
      </c>
    </row>
    <row r="4" spans="2:5" x14ac:dyDescent="0.25">
      <c r="B4" s="2" t="s">
        <v>0</v>
      </c>
    </row>
    <row r="5" spans="2:5" x14ac:dyDescent="0.25">
      <c r="B5" t="s">
        <v>1</v>
      </c>
      <c r="C5" t="s">
        <v>2</v>
      </c>
      <c r="D5">
        <f>+Datos!D5</f>
        <v>0</v>
      </c>
      <c r="E5" t="s">
        <v>3</v>
      </c>
    </row>
    <row r="6" spans="2:5" x14ac:dyDescent="0.25">
      <c r="B6" t="s">
        <v>4</v>
      </c>
      <c r="C6" t="s">
        <v>5</v>
      </c>
      <c r="D6" s="150">
        <f>+Datos!D6</f>
        <v>191</v>
      </c>
      <c r="E6" t="s">
        <v>3</v>
      </c>
    </row>
    <row r="7" spans="2:5" x14ac:dyDescent="0.25">
      <c r="B7" t="s">
        <v>6</v>
      </c>
      <c r="C7" t="s">
        <v>8</v>
      </c>
      <c r="D7">
        <f>+Datos!D7</f>
        <v>4.7</v>
      </c>
      <c r="E7" t="s">
        <v>3</v>
      </c>
    </row>
    <row r="8" spans="2:5" x14ac:dyDescent="0.25">
      <c r="B8" t="s">
        <v>7</v>
      </c>
      <c r="C8" t="s">
        <v>9</v>
      </c>
      <c r="D8">
        <f>+Datos!D8</f>
        <v>0</v>
      </c>
      <c r="E8" t="s">
        <v>3</v>
      </c>
    </row>
    <row r="9" spans="2:5" x14ac:dyDescent="0.25">
      <c r="B9" t="s">
        <v>10</v>
      </c>
      <c r="C9" t="s">
        <v>11</v>
      </c>
      <c r="D9">
        <f>+Datos!D9</f>
        <v>4.7</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31.333333333333336</v>
      </c>
      <c r="E14" t="s">
        <v>23</v>
      </c>
    </row>
    <row r="15" spans="2:5" x14ac:dyDescent="0.25">
      <c r="B15" t="s">
        <v>16</v>
      </c>
      <c r="C15" t="s">
        <v>21</v>
      </c>
      <c r="D15">
        <f>+Datos!D15</f>
        <v>40</v>
      </c>
      <c r="E15" t="s">
        <v>23</v>
      </c>
    </row>
    <row r="16" spans="2:5" x14ac:dyDescent="0.25">
      <c r="B16" t="s">
        <v>17</v>
      </c>
      <c r="C16" t="s">
        <v>22</v>
      </c>
      <c r="D16">
        <f>+Datos!D16</f>
        <v>31.333333333333336</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19.100000000000001</v>
      </c>
      <c r="E21" t="s">
        <v>30</v>
      </c>
    </row>
    <row r="22" spans="2:5" x14ac:dyDescent="0.25">
      <c r="B22" t="s">
        <v>27</v>
      </c>
      <c r="C22" t="s">
        <v>33</v>
      </c>
      <c r="D22" s="4">
        <f>+Datos!D22</f>
        <v>0.15</v>
      </c>
      <c r="E22" t="s">
        <v>30</v>
      </c>
    </row>
    <row r="23" spans="2:5" x14ac:dyDescent="0.25">
      <c r="B23" t="s">
        <v>28</v>
      </c>
      <c r="C23" t="s">
        <v>34</v>
      </c>
      <c r="D23" s="4">
        <f>+Datos!D23</f>
        <v>0</v>
      </c>
      <c r="E23" t="s">
        <v>30</v>
      </c>
    </row>
    <row r="24" spans="2:5" x14ac:dyDescent="0.25">
      <c r="B24" t="s">
        <v>29</v>
      </c>
      <c r="C24" t="s">
        <v>35</v>
      </c>
      <c r="D24" s="4">
        <f>+Datos!D24</f>
        <v>0.15</v>
      </c>
      <c r="E24" t="s">
        <v>30</v>
      </c>
    </row>
    <row r="25" spans="2:5" x14ac:dyDescent="0.25">
      <c r="B25" s="3" t="s">
        <v>40</v>
      </c>
    </row>
    <row r="26" spans="2:5" x14ac:dyDescent="0.25">
      <c r="B26" s="3"/>
      <c r="C26" t="s">
        <v>48</v>
      </c>
      <c r="D26">
        <f>+Datos!D26</f>
        <v>382</v>
      </c>
      <c r="E26" t="s">
        <v>49</v>
      </c>
    </row>
    <row r="27" spans="2:5" x14ac:dyDescent="0.25">
      <c r="C27" t="s">
        <v>50</v>
      </c>
      <c r="D27">
        <f>+Datos!D27</f>
        <v>5</v>
      </c>
      <c r="E27" t="s">
        <v>52</v>
      </c>
    </row>
    <row r="28" spans="2:5" x14ac:dyDescent="0.25">
      <c r="B28" t="s">
        <v>36</v>
      </c>
      <c r="C28" t="s">
        <v>51</v>
      </c>
      <c r="D28" s="4">
        <f>+Datos!D28</f>
        <v>31.833333333333332</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51.483333333333334</v>
      </c>
      <c r="E31" t="s">
        <v>30</v>
      </c>
    </row>
    <row r="32" spans="2:5" x14ac:dyDescent="0.25">
      <c r="C32" t="s">
        <v>43</v>
      </c>
      <c r="D32">
        <f>+Datos!D32</f>
        <v>5</v>
      </c>
      <c r="E32" t="s">
        <v>46</v>
      </c>
    </row>
    <row r="33" spans="2:12" x14ac:dyDescent="0.25">
      <c r="B33" t="s">
        <v>47</v>
      </c>
      <c r="C33" t="s">
        <v>42</v>
      </c>
      <c r="D33" s="4">
        <f>+Datos!D33</f>
        <v>2.5741666666666667</v>
      </c>
      <c r="E33" t="s">
        <v>30</v>
      </c>
    </row>
    <row r="34" spans="2:12" x14ac:dyDescent="0.25">
      <c r="B34" s="5" t="s">
        <v>53</v>
      </c>
    </row>
    <row r="35" spans="2:12" x14ac:dyDescent="0.25">
      <c r="B35" s="23" t="s">
        <v>54</v>
      </c>
      <c r="C35" s="23" t="s">
        <v>55</v>
      </c>
      <c r="D35" s="24">
        <f>+Datos!D35</f>
        <v>54.057500000000005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36568</v>
      </c>
      <c r="E39" t="s">
        <v>59</v>
      </c>
    </row>
    <row r="40" spans="2:12" x14ac:dyDescent="0.25">
      <c r="B40" t="s">
        <v>60</v>
      </c>
      <c r="C40" t="s">
        <v>61</v>
      </c>
      <c r="D40">
        <f>+Datos!D40</f>
        <v>1.06</v>
      </c>
      <c r="E40" t="s">
        <v>62</v>
      </c>
    </row>
    <row r="41" spans="2:12" x14ac:dyDescent="0.25">
      <c r="B41" t="s">
        <v>63</v>
      </c>
      <c r="C41" t="s">
        <v>64</v>
      </c>
      <c r="D41">
        <f>+Datos!D41</f>
        <v>38.762080000000005</v>
      </c>
      <c r="E41" t="s">
        <v>65</v>
      </c>
    </row>
    <row r="42" spans="2:12" x14ac:dyDescent="0.25">
      <c r="C42" t="s">
        <v>66</v>
      </c>
      <c r="D42">
        <f>+Datos!D42</f>
        <v>100</v>
      </c>
      <c r="E42" t="s">
        <v>46</v>
      </c>
    </row>
    <row r="43" spans="2:12" x14ac:dyDescent="0.25">
      <c r="B43" t="s">
        <v>67</v>
      </c>
      <c r="C43" t="s">
        <v>80</v>
      </c>
      <c r="D43">
        <f>+Datos!D43</f>
        <v>25.195352000000003</v>
      </c>
      <c r="E43" t="s">
        <v>65</v>
      </c>
    </row>
    <row r="44" spans="2:12" x14ac:dyDescent="0.25">
      <c r="B44" t="s">
        <v>68</v>
      </c>
      <c r="C44" t="s">
        <v>69</v>
      </c>
      <c r="D44">
        <f>+Datos!D44</f>
        <v>4</v>
      </c>
      <c r="E44" t="s">
        <v>70</v>
      </c>
    </row>
    <row r="45" spans="2:12" x14ac:dyDescent="0.25">
      <c r="C45" t="s">
        <v>79</v>
      </c>
      <c r="D45">
        <f>+Datos!D45</f>
        <v>2</v>
      </c>
      <c r="F45" s="36"/>
    </row>
    <row r="46" spans="2:12" ht="15.75" thickBot="1" x14ac:dyDescent="0.3">
      <c r="B46" t="s">
        <v>81</v>
      </c>
      <c r="C46" t="s">
        <v>85</v>
      </c>
      <c r="D46">
        <f>+Datos!D46</f>
        <v>50.390704000000007</v>
      </c>
      <c r="E46" t="s">
        <v>65</v>
      </c>
    </row>
    <row r="47" spans="2:12" ht="15.75" thickBot="1" x14ac:dyDescent="0.3">
      <c r="C47" t="s">
        <v>83</v>
      </c>
      <c r="D47">
        <f>+Datos!D47</f>
        <v>0.5</v>
      </c>
      <c r="E47" t="s">
        <v>84</v>
      </c>
      <c r="H47" s="839" t="s">
        <v>100</v>
      </c>
      <c r="I47" s="840"/>
      <c r="J47" s="840"/>
      <c r="K47" s="841"/>
    </row>
    <row r="48" spans="2:12" x14ac:dyDescent="0.25">
      <c r="C48" s="23" t="s">
        <v>85</v>
      </c>
      <c r="D48" s="131">
        <f>+Datos!D48</f>
        <v>100.78140800000001</v>
      </c>
      <c r="E48" s="23" t="s">
        <v>87</v>
      </c>
      <c r="H48" s="30"/>
      <c r="I48" s="31" t="s">
        <v>99</v>
      </c>
      <c r="J48" s="1">
        <v>2.661408203406483</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18</v>
      </c>
      <c r="E51" t="s">
        <v>86</v>
      </c>
      <c r="H51" s="30" t="s">
        <v>106</v>
      </c>
      <c r="I51" s="32">
        <f>+D51*ROUNDUP(J48,0)</f>
        <v>54</v>
      </c>
      <c r="J51" s="28">
        <f>COUNT($J$48)</f>
        <v>1</v>
      </c>
      <c r="K51" s="32"/>
    </row>
    <row r="52" spans="2:11" x14ac:dyDescent="0.25">
      <c r="B52" t="s">
        <v>91</v>
      </c>
      <c r="C52" s="164" t="s">
        <v>727</v>
      </c>
      <c r="D52" s="164">
        <f>ROUNDUP(D48/D51,0)</f>
        <v>6</v>
      </c>
      <c r="E52" t="s">
        <v>96</v>
      </c>
      <c r="H52" s="30"/>
      <c r="I52" s="32">
        <f>+D52*I51</f>
        <v>324</v>
      </c>
      <c r="J52" s="28" t="b">
        <f>$D$55&lt;=$I$50</f>
        <v>1</v>
      </c>
      <c r="K52" s="32"/>
    </row>
    <row r="53" spans="2:11" x14ac:dyDescent="0.25">
      <c r="B53" t="s">
        <v>92</v>
      </c>
      <c r="C53" s="164" t="s">
        <v>728</v>
      </c>
      <c r="D53" s="165">
        <f>(((D20+D22+D23+D24+D29)*D52+(D21+D28)/ROUNDUP(J48,0))*(1+D32/100))/J48</f>
        <v>8.0001506869236714</v>
      </c>
      <c r="E53" t="s">
        <v>30</v>
      </c>
      <c r="H53" s="30"/>
      <c r="J53" s="28">
        <f>{32767;32767;0.000001;0.01;FALSE;FALSE;FALSE;1;2;1;0.0001;TRUE}</f>
        <v>32767</v>
      </c>
      <c r="K53" s="32"/>
    </row>
    <row r="54" spans="2:11" ht="15.75" thickBot="1" x14ac:dyDescent="0.3">
      <c r="C54" s="127" t="s">
        <v>107</v>
      </c>
      <c r="D54" s="128">
        <f>+IF(D53&gt;D36,D53-D36,0)</f>
        <v>1.506869236713726E-4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v>
      </c>
      <c r="E56" t="s">
        <v>30</v>
      </c>
    </row>
    <row r="57" spans="2:11" x14ac:dyDescent="0.25">
      <c r="C57" t="s">
        <v>98</v>
      </c>
      <c r="D57" s="4">
        <f>+IF(D55=0,IF((2*D36-D53)&gt;D36,8,2*D36-D53),0)</f>
        <v>7.9998493130763286</v>
      </c>
      <c r="E57" t="s">
        <v>30</v>
      </c>
    </row>
    <row r="58" spans="2:11" x14ac:dyDescent="0.25">
      <c r="C58" s="164" t="s">
        <v>182</v>
      </c>
      <c r="D58" s="165">
        <f>+D53</f>
        <v>8.0001506869236714</v>
      </c>
      <c r="E58" t="s">
        <v>30</v>
      </c>
    </row>
    <row r="59" spans="2:11" x14ac:dyDescent="0.25">
      <c r="C59" s="164" t="s">
        <v>95</v>
      </c>
      <c r="D59" s="166">
        <f>ROUNDDOWN(2*D36*(D52/D66)/D53,0)</f>
        <v>3</v>
      </c>
      <c r="E59" t="s">
        <v>96</v>
      </c>
      <c r="K59" s="36"/>
    </row>
    <row r="61" spans="2:11" hidden="1" x14ac:dyDescent="0.25">
      <c r="C61" t="s">
        <v>110</v>
      </c>
      <c r="D61" s="4">
        <f>+IF((D48-D36/D58*D51)&lt;0,0,D48-D36/D58*D51)</f>
        <v>82.781747039192183</v>
      </c>
      <c r="E61" t="s">
        <v>86</v>
      </c>
    </row>
    <row r="62" spans="2:11" hidden="1" x14ac:dyDescent="0.25">
      <c r="C62" t="s">
        <v>111</v>
      </c>
      <c r="D62" s="4">
        <f>+D48-D61</f>
        <v>17.99966096080783</v>
      </c>
      <c r="E62" t="s">
        <v>86</v>
      </c>
    </row>
    <row r="63" spans="2:11" hidden="1" x14ac:dyDescent="0.25">
      <c r="C63" t="s">
        <v>148</v>
      </c>
      <c r="D63" s="4">
        <f>IF(D53&lt;=2*D36,D48,2*D36/D58*D51)</f>
        <v>100.78140800000001</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1</v>
      </c>
    </row>
    <row r="68" spans="3:5" x14ac:dyDescent="0.25">
      <c r="C68" t="s">
        <v>104</v>
      </c>
      <c r="D68" s="165">
        <f>+D59*D66*D51</f>
        <v>162</v>
      </c>
      <c r="E68" t="s">
        <v>86</v>
      </c>
    </row>
    <row r="69" spans="3:5" x14ac:dyDescent="0.25">
      <c r="C69" t="s">
        <v>102</v>
      </c>
      <c r="D69" s="26">
        <f>+(D68/D48-1)</f>
        <v>0.60743934039897507</v>
      </c>
    </row>
    <row r="70" spans="3:5" x14ac:dyDescent="0.25">
      <c r="C70" t="s">
        <v>119</v>
      </c>
      <c r="D70" s="166">
        <f>+D5+(D7+D8)*D52*2/D66+D9+D6/D66</f>
        <v>87.166666666666657</v>
      </c>
      <c r="E70" s="164" t="s">
        <v>244</v>
      </c>
    </row>
    <row r="71" spans="3:5" x14ac:dyDescent="0.25">
      <c r="C71" t="s">
        <v>118</v>
      </c>
      <c r="D71" s="141">
        <f>+D70*D66</f>
        <v>261.5</v>
      </c>
      <c r="E71" s="164" t="s">
        <v>244</v>
      </c>
    </row>
    <row r="72" spans="3:5" x14ac:dyDescent="0.25">
      <c r="C72" t="s">
        <v>123</v>
      </c>
      <c r="D72" s="165">
        <f>+D48/D66</f>
        <v>33.593802666666669</v>
      </c>
      <c r="E72" t="s">
        <v>87</v>
      </c>
    </row>
    <row r="73" spans="3:5" x14ac:dyDescent="0.25">
      <c r="C73" t="s">
        <v>123</v>
      </c>
      <c r="D73">
        <f>+D72*D47*D44*52</f>
        <v>3493.7554773333336</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8"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8" r:id="rId4" name="Button 4">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8"/>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Pehuajó</v>
      </c>
    </row>
    <row r="4" spans="2:5" x14ac:dyDescent="0.25">
      <c r="B4" s="2" t="s">
        <v>0</v>
      </c>
    </row>
    <row r="5" spans="2:5" x14ac:dyDescent="0.25">
      <c r="B5" t="s">
        <v>1</v>
      </c>
      <c r="C5" t="s">
        <v>2</v>
      </c>
      <c r="D5">
        <f>+Datos!D5</f>
        <v>0</v>
      </c>
      <c r="E5" t="s">
        <v>3</v>
      </c>
    </row>
    <row r="6" spans="2:5" x14ac:dyDescent="0.25">
      <c r="B6" t="s">
        <v>4</v>
      </c>
      <c r="C6" t="s">
        <v>5</v>
      </c>
      <c r="D6" s="150">
        <f>+Datos!D6</f>
        <v>191</v>
      </c>
      <c r="E6" t="s">
        <v>3</v>
      </c>
    </row>
    <row r="7" spans="2:5" x14ac:dyDescent="0.25">
      <c r="B7" t="s">
        <v>6</v>
      </c>
      <c r="C7" t="s">
        <v>8</v>
      </c>
      <c r="D7">
        <f>+Datos!D7</f>
        <v>4.7</v>
      </c>
      <c r="E7" t="s">
        <v>3</v>
      </c>
    </row>
    <row r="8" spans="2:5" x14ac:dyDescent="0.25">
      <c r="B8" t="s">
        <v>7</v>
      </c>
      <c r="C8" t="s">
        <v>9</v>
      </c>
      <c r="D8">
        <f>+Datos!D8</f>
        <v>0</v>
      </c>
      <c r="E8" t="s">
        <v>3</v>
      </c>
    </row>
    <row r="9" spans="2:5" x14ac:dyDescent="0.25">
      <c r="B9" t="s">
        <v>10</v>
      </c>
      <c r="C9" t="s">
        <v>11</v>
      </c>
      <c r="D9">
        <f>+Datos!D9</f>
        <v>4.7</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31.333333333333336</v>
      </c>
      <c r="E14" t="s">
        <v>23</v>
      </c>
    </row>
    <row r="15" spans="2:5" x14ac:dyDescent="0.25">
      <c r="B15" t="s">
        <v>16</v>
      </c>
      <c r="C15" t="s">
        <v>21</v>
      </c>
      <c r="D15">
        <f>+Datos!D15</f>
        <v>40</v>
      </c>
      <c r="E15" t="s">
        <v>23</v>
      </c>
    </row>
    <row r="16" spans="2:5" x14ac:dyDescent="0.25">
      <c r="B16" t="s">
        <v>17</v>
      </c>
      <c r="C16" t="s">
        <v>22</v>
      </c>
      <c r="D16">
        <f>+Datos!D16</f>
        <v>31.333333333333336</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19.100000000000001</v>
      </c>
      <c r="E21" t="s">
        <v>30</v>
      </c>
    </row>
    <row r="22" spans="2:5" x14ac:dyDescent="0.25">
      <c r="B22" t="s">
        <v>27</v>
      </c>
      <c r="C22" t="s">
        <v>33</v>
      </c>
      <c r="D22" s="4">
        <f>+Datos!D22</f>
        <v>0.15</v>
      </c>
      <c r="E22" t="s">
        <v>30</v>
      </c>
    </row>
    <row r="23" spans="2:5" x14ac:dyDescent="0.25">
      <c r="B23" t="s">
        <v>28</v>
      </c>
      <c r="C23" t="s">
        <v>34</v>
      </c>
      <c r="D23" s="4">
        <f>+Datos!D23</f>
        <v>0</v>
      </c>
      <c r="E23" t="s">
        <v>30</v>
      </c>
    </row>
    <row r="24" spans="2:5" x14ac:dyDescent="0.25">
      <c r="B24" t="s">
        <v>29</v>
      </c>
      <c r="C24" t="s">
        <v>35</v>
      </c>
      <c r="D24" s="4">
        <f>+Datos!D24</f>
        <v>0.15</v>
      </c>
      <c r="E24" t="s">
        <v>30</v>
      </c>
    </row>
    <row r="25" spans="2:5" x14ac:dyDescent="0.25">
      <c r="B25" s="3" t="s">
        <v>40</v>
      </c>
    </row>
    <row r="26" spans="2:5" x14ac:dyDescent="0.25">
      <c r="B26" s="3"/>
      <c r="C26" t="s">
        <v>48</v>
      </c>
      <c r="D26">
        <f>+Datos!D26</f>
        <v>382</v>
      </c>
      <c r="E26" t="s">
        <v>49</v>
      </c>
    </row>
    <row r="27" spans="2:5" x14ac:dyDescent="0.25">
      <c r="C27" t="s">
        <v>50</v>
      </c>
      <c r="D27">
        <f>+Datos!D27</f>
        <v>5</v>
      </c>
      <c r="E27" t="s">
        <v>52</v>
      </c>
    </row>
    <row r="28" spans="2:5" x14ac:dyDescent="0.25">
      <c r="B28" t="s">
        <v>36</v>
      </c>
      <c r="C28" t="s">
        <v>51</v>
      </c>
      <c r="D28" s="4">
        <f>+Datos!D28</f>
        <v>31.833333333333332</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51.483333333333334</v>
      </c>
      <c r="E31" t="s">
        <v>30</v>
      </c>
    </row>
    <row r="32" spans="2:5" x14ac:dyDescent="0.25">
      <c r="C32" t="s">
        <v>43</v>
      </c>
      <c r="D32">
        <f>+Datos!D32</f>
        <v>5</v>
      </c>
      <c r="E32" t="s">
        <v>46</v>
      </c>
    </row>
    <row r="33" spans="2:12" x14ac:dyDescent="0.25">
      <c r="B33" t="s">
        <v>47</v>
      </c>
      <c r="C33" t="s">
        <v>42</v>
      </c>
      <c r="D33" s="150">
        <f>+Datos!D33</f>
        <v>2.5741666666666667</v>
      </c>
      <c r="E33" t="s">
        <v>30</v>
      </c>
    </row>
    <row r="34" spans="2:12" x14ac:dyDescent="0.25">
      <c r="B34" s="5" t="s">
        <v>53</v>
      </c>
    </row>
    <row r="35" spans="2:12" x14ac:dyDescent="0.25">
      <c r="B35" s="23" t="s">
        <v>54</v>
      </c>
      <c r="C35" s="23" t="s">
        <v>55</v>
      </c>
      <c r="D35" s="24">
        <f>+Datos!D35</f>
        <v>54.057500000000005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36568</v>
      </c>
      <c r="E39" t="s">
        <v>59</v>
      </c>
    </row>
    <row r="40" spans="2:12" x14ac:dyDescent="0.25">
      <c r="B40" t="s">
        <v>60</v>
      </c>
      <c r="C40" t="s">
        <v>61</v>
      </c>
      <c r="D40">
        <f>+Datos!D40</f>
        <v>1.06</v>
      </c>
      <c r="E40" t="s">
        <v>62</v>
      </c>
    </row>
    <row r="41" spans="2:12" x14ac:dyDescent="0.25">
      <c r="B41" t="s">
        <v>63</v>
      </c>
      <c r="C41" t="s">
        <v>64</v>
      </c>
      <c r="D41">
        <f>+Datos!D41</f>
        <v>38.762080000000005</v>
      </c>
      <c r="E41" t="s">
        <v>65</v>
      </c>
    </row>
    <row r="42" spans="2:12" x14ac:dyDescent="0.25">
      <c r="C42" t="s">
        <v>66</v>
      </c>
      <c r="D42">
        <f>+Datos!D42</f>
        <v>100</v>
      </c>
      <c r="E42" t="s">
        <v>46</v>
      </c>
    </row>
    <row r="43" spans="2:12" x14ac:dyDescent="0.25">
      <c r="B43" t="s">
        <v>67</v>
      </c>
      <c r="C43" t="s">
        <v>80</v>
      </c>
      <c r="D43">
        <f>+Datos!D43</f>
        <v>25.195352000000003</v>
      </c>
      <c r="E43" t="s">
        <v>65</v>
      </c>
    </row>
    <row r="44" spans="2:12" x14ac:dyDescent="0.25">
      <c r="B44" t="s">
        <v>68</v>
      </c>
      <c r="C44" t="s">
        <v>69</v>
      </c>
      <c r="D44">
        <f>+Datos!D44</f>
        <v>4</v>
      </c>
      <c r="E44" t="s">
        <v>70</v>
      </c>
    </row>
    <row r="45" spans="2:12" x14ac:dyDescent="0.25">
      <c r="C45" t="s">
        <v>79</v>
      </c>
      <c r="D45">
        <f>+Datos!D45</f>
        <v>2</v>
      </c>
      <c r="F45" s="36"/>
    </row>
    <row r="46" spans="2:12" ht="15.75" thickBot="1" x14ac:dyDescent="0.3">
      <c r="B46" t="s">
        <v>81</v>
      </c>
      <c r="C46" t="s">
        <v>85</v>
      </c>
      <c r="D46">
        <f>+Datos!D46</f>
        <v>50.390704000000007</v>
      </c>
      <c r="E46" t="s">
        <v>65</v>
      </c>
    </row>
    <row r="47" spans="2:12" ht="15.75" thickBot="1" x14ac:dyDescent="0.3">
      <c r="C47" t="s">
        <v>83</v>
      </c>
      <c r="D47">
        <f>+Datos!D47</f>
        <v>0.5</v>
      </c>
      <c r="E47" t="s">
        <v>84</v>
      </c>
      <c r="H47" s="839" t="s">
        <v>100</v>
      </c>
      <c r="I47" s="840"/>
      <c r="J47" s="840"/>
      <c r="K47" s="841"/>
    </row>
    <row r="48" spans="2:12" x14ac:dyDescent="0.25">
      <c r="C48" s="23" t="s">
        <v>85</v>
      </c>
      <c r="D48" s="131">
        <f>+Datos!D48</f>
        <v>100.78140800000001</v>
      </c>
      <c r="E48" s="23" t="s">
        <v>87</v>
      </c>
      <c r="H48" s="30"/>
      <c r="I48" s="31" t="s">
        <v>99</v>
      </c>
      <c r="J48" s="125">
        <v>1.8878113623001267</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19</v>
      </c>
      <c r="E51" t="s">
        <v>86</v>
      </c>
      <c r="H51" s="30" t="s">
        <v>106</v>
      </c>
      <c r="I51" s="32">
        <f>+D51*ROUNDUP(J48,0)</f>
        <v>38</v>
      </c>
      <c r="J51" s="28">
        <f>COUNT($J$48)</f>
        <v>1</v>
      </c>
      <c r="K51" s="32"/>
    </row>
    <row r="52" spans="2:11" x14ac:dyDescent="0.25">
      <c r="B52" t="s">
        <v>91</v>
      </c>
      <c r="C52" s="164" t="s">
        <v>727</v>
      </c>
      <c r="D52" s="164">
        <f>ROUNDUP(D48/D51,0)</f>
        <v>6</v>
      </c>
      <c r="E52" t="s">
        <v>96</v>
      </c>
      <c r="H52" s="30"/>
      <c r="I52" s="32">
        <f>+D52*I51</f>
        <v>228</v>
      </c>
      <c r="J52" s="28" t="b">
        <f>$D$55&lt;=$I$50</f>
        <v>1</v>
      </c>
      <c r="K52" s="32"/>
    </row>
    <row r="53" spans="2:11" x14ac:dyDescent="0.25">
      <c r="B53" t="s">
        <v>92</v>
      </c>
      <c r="C53" s="164" t="s">
        <v>728</v>
      </c>
      <c r="D53" s="165">
        <f>(((D20+D22+D23+D24+D29)*D52+(D21+D28)/ROUNDUP(J48,0))*(1+D32/100))/J48</f>
        <v>16.000009642487772</v>
      </c>
      <c r="E53" t="s">
        <v>30</v>
      </c>
      <c r="H53" s="30"/>
      <c r="J53" s="28">
        <f>{32767;32767;0.000001;0.01;FALSE;FALSE;FALSE;1;2;1;0.0001;TRUE}</f>
        <v>32767</v>
      </c>
      <c r="K53" s="32"/>
    </row>
    <row r="54" spans="2:11" ht="15.75" thickBot="1" x14ac:dyDescent="0.3">
      <c r="C54" t="s">
        <v>107</v>
      </c>
      <c r="D54" s="4">
        <f>+IF(D53&gt;D36,D53-D36,0)</f>
        <v>8.0000096424877718</v>
      </c>
      <c r="E54" t="s">
        <v>30</v>
      </c>
      <c r="H54" s="30"/>
      <c r="J54" s="29">
        <f>{0;0;1;100;0;FALSE;FALSE;0.075;0;0;FALSE;30}</f>
        <v>0</v>
      </c>
      <c r="K54" s="32"/>
    </row>
    <row r="55" spans="2:11" ht="15.75" thickBot="1" x14ac:dyDescent="0.3">
      <c r="C55" s="129" t="s">
        <v>94</v>
      </c>
      <c r="D55" s="130">
        <f>+IF(D53&gt;2*D36,D53-2*D36,0)</f>
        <v>9.642487771799324E-6</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4" t="s">
        <v>182</v>
      </c>
      <c r="D58" s="165">
        <f>+D53</f>
        <v>16.000009642487772</v>
      </c>
      <c r="E58" t="s">
        <v>30</v>
      </c>
    </row>
    <row r="59" spans="2:11" x14ac:dyDescent="0.25">
      <c r="C59" s="164" t="s">
        <v>95</v>
      </c>
      <c r="D59" s="166">
        <f>ROUNDDOWN(2*D36*(D52/D66)/D53,0)</f>
        <v>2</v>
      </c>
      <c r="E59" t="s">
        <v>96</v>
      </c>
      <c r="K59" s="36"/>
    </row>
    <row r="61" spans="2:11" hidden="1" x14ac:dyDescent="0.25">
      <c r="C61" t="s">
        <v>110</v>
      </c>
      <c r="D61" s="4">
        <f>+IF((D48-D36/D58*D51)&lt;0,0,D48-D36/D58*D51)</f>
        <v>91.281413725223672</v>
      </c>
      <c r="E61" t="s">
        <v>86</v>
      </c>
    </row>
    <row r="62" spans="2:11" hidden="1" x14ac:dyDescent="0.25">
      <c r="C62" t="s">
        <v>111</v>
      </c>
      <c r="D62" s="4">
        <f>+D48-D61</f>
        <v>9.4999942747763413</v>
      </c>
      <c r="E62" t="s">
        <v>86</v>
      </c>
    </row>
    <row r="63" spans="2:11" hidden="1" x14ac:dyDescent="0.25">
      <c r="C63" t="s">
        <v>148</v>
      </c>
      <c r="D63" s="4">
        <f>IF(D53&lt;=2*D36,D48,2*D36/D58*D51)</f>
        <v>18.999988549552672</v>
      </c>
      <c r="E63" t="s">
        <v>86</v>
      </c>
    </row>
    <row r="64" spans="2:11" hidden="1" x14ac:dyDescent="0.25">
      <c r="C64" t="s">
        <v>97</v>
      </c>
      <c r="D64" s="4">
        <f>+IF((D48-D63)&lt;0,0,D48-D63)</f>
        <v>81.781419450447345</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76</v>
      </c>
      <c r="E68" t="s">
        <v>86</v>
      </c>
    </row>
    <row r="69" spans="3:5" x14ac:dyDescent="0.25">
      <c r="C69" t="s">
        <v>102</v>
      </c>
      <c r="D69" s="26">
        <f>+(D68/D48-1)</f>
        <v>-0.24589265512146852</v>
      </c>
    </row>
    <row r="70" spans="3:5" x14ac:dyDescent="0.25">
      <c r="C70" t="s">
        <v>119</v>
      </c>
      <c r="D70" s="166">
        <f>+D5+(D7+D8)*D52*2/D66+D9+D6/D66</f>
        <v>128.4</v>
      </c>
      <c r="E70" s="164" t="s">
        <v>244</v>
      </c>
    </row>
    <row r="71" spans="3:5" x14ac:dyDescent="0.25">
      <c r="C71" t="s">
        <v>118</v>
      </c>
      <c r="D71" s="141">
        <f>+D70*D66</f>
        <v>256.8</v>
      </c>
      <c r="E71" s="164" t="s">
        <v>244</v>
      </c>
    </row>
    <row r="72" spans="3:5" x14ac:dyDescent="0.25">
      <c r="C72" t="s">
        <v>123</v>
      </c>
      <c r="D72" s="165">
        <f>+D48/D66</f>
        <v>50.390704000000007</v>
      </c>
      <c r="E72" t="s">
        <v>87</v>
      </c>
    </row>
    <row r="73" spans="3:5" x14ac:dyDescent="0.25">
      <c r="C73" t="s">
        <v>123</v>
      </c>
      <c r="D73">
        <f>+D72*D47*D44*52</f>
        <v>5240.6332160000011</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7"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62"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9"/>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Pehuajó</v>
      </c>
    </row>
    <row r="4" spans="2:5" x14ac:dyDescent="0.25">
      <c r="B4" s="2" t="s">
        <v>0</v>
      </c>
    </row>
    <row r="5" spans="2:5" x14ac:dyDescent="0.25">
      <c r="B5" t="s">
        <v>1</v>
      </c>
      <c r="C5" t="s">
        <v>2</v>
      </c>
      <c r="D5">
        <f>+Datos!D5</f>
        <v>0</v>
      </c>
      <c r="E5" t="s">
        <v>3</v>
      </c>
    </row>
    <row r="6" spans="2:5" x14ac:dyDescent="0.25">
      <c r="B6" t="s">
        <v>4</v>
      </c>
      <c r="C6" t="s">
        <v>5</v>
      </c>
      <c r="D6" s="150">
        <f>+Datos!D6</f>
        <v>191</v>
      </c>
      <c r="E6" t="s">
        <v>3</v>
      </c>
    </row>
    <row r="7" spans="2:5" x14ac:dyDescent="0.25">
      <c r="B7" t="s">
        <v>6</v>
      </c>
      <c r="C7" t="s">
        <v>8</v>
      </c>
      <c r="D7">
        <f>+Datos!D7</f>
        <v>4.7</v>
      </c>
      <c r="E7" t="s">
        <v>3</v>
      </c>
    </row>
    <row r="8" spans="2:5" x14ac:dyDescent="0.25">
      <c r="B8" t="s">
        <v>7</v>
      </c>
      <c r="C8" t="s">
        <v>9</v>
      </c>
      <c r="D8">
        <f>+Datos!D8</f>
        <v>0</v>
      </c>
      <c r="E8" t="s">
        <v>3</v>
      </c>
    </row>
    <row r="9" spans="2:5" x14ac:dyDescent="0.25">
      <c r="B9" t="s">
        <v>10</v>
      </c>
      <c r="C9" t="s">
        <v>11</v>
      </c>
      <c r="D9">
        <f>+Datos!D9</f>
        <v>4.7</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31.333333333333336</v>
      </c>
      <c r="E14" t="s">
        <v>23</v>
      </c>
    </row>
    <row r="15" spans="2:5" x14ac:dyDescent="0.25">
      <c r="B15" t="s">
        <v>16</v>
      </c>
      <c r="C15" t="s">
        <v>21</v>
      </c>
      <c r="D15">
        <f>+Datos!D15</f>
        <v>40</v>
      </c>
      <c r="E15" t="s">
        <v>23</v>
      </c>
    </row>
    <row r="16" spans="2:5" x14ac:dyDescent="0.25">
      <c r="B16" t="s">
        <v>17</v>
      </c>
      <c r="C16" t="s">
        <v>22</v>
      </c>
      <c r="D16">
        <f>+Datos!D16</f>
        <v>31.333333333333336</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19.100000000000001</v>
      </c>
      <c r="E21" t="s">
        <v>30</v>
      </c>
    </row>
    <row r="22" spans="2:5" x14ac:dyDescent="0.25">
      <c r="B22" t="s">
        <v>27</v>
      </c>
      <c r="C22" t="s">
        <v>33</v>
      </c>
      <c r="D22" s="4">
        <f>+Datos!D22</f>
        <v>0.15</v>
      </c>
      <c r="E22" t="s">
        <v>30</v>
      </c>
    </row>
    <row r="23" spans="2:5" x14ac:dyDescent="0.25">
      <c r="B23" t="s">
        <v>28</v>
      </c>
      <c r="C23" t="s">
        <v>34</v>
      </c>
      <c r="D23" s="4">
        <f>+Datos!D23</f>
        <v>0</v>
      </c>
      <c r="E23" t="s">
        <v>30</v>
      </c>
    </row>
    <row r="24" spans="2:5" x14ac:dyDescent="0.25">
      <c r="B24" t="s">
        <v>29</v>
      </c>
      <c r="C24" t="s">
        <v>35</v>
      </c>
      <c r="D24" s="4">
        <f>+Datos!D24</f>
        <v>0.15</v>
      </c>
      <c r="E24" t="s">
        <v>30</v>
      </c>
    </row>
    <row r="25" spans="2:5" x14ac:dyDescent="0.25">
      <c r="B25" s="3" t="s">
        <v>40</v>
      </c>
    </row>
    <row r="26" spans="2:5" x14ac:dyDescent="0.25">
      <c r="B26" s="3"/>
      <c r="C26" t="s">
        <v>48</v>
      </c>
      <c r="D26">
        <f>+Datos!D26</f>
        <v>382</v>
      </c>
      <c r="E26" t="s">
        <v>49</v>
      </c>
    </row>
    <row r="27" spans="2:5" x14ac:dyDescent="0.25">
      <c r="C27" t="s">
        <v>50</v>
      </c>
      <c r="D27">
        <f>+Datos!D27</f>
        <v>5</v>
      </c>
      <c r="E27" t="s">
        <v>52</v>
      </c>
    </row>
    <row r="28" spans="2:5" x14ac:dyDescent="0.25">
      <c r="B28" t="s">
        <v>36</v>
      </c>
      <c r="C28" t="s">
        <v>51</v>
      </c>
      <c r="D28" s="4">
        <f>+Datos!D28</f>
        <v>31.833333333333332</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51.483333333333334</v>
      </c>
      <c r="E31" t="s">
        <v>30</v>
      </c>
    </row>
    <row r="32" spans="2:5" x14ac:dyDescent="0.25">
      <c r="C32" t="s">
        <v>43</v>
      </c>
      <c r="D32">
        <f>+Datos!D32</f>
        <v>5</v>
      </c>
      <c r="E32" t="s">
        <v>46</v>
      </c>
    </row>
    <row r="33" spans="2:12" x14ac:dyDescent="0.25">
      <c r="B33" t="s">
        <v>47</v>
      </c>
      <c r="C33" t="s">
        <v>42</v>
      </c>
      <c r="D33" s="4">
        <f>+Datos!D33</f>
        <v>2.5741666666666667</v>
      </c>
      <c r="E33" t="s">
        <v>30</v>
      </c>
    </row>
    <row r="34" spans="2:12" x14ac:dyDescent="0.25">
      <c r="B34" s="5" t="s">
        <v>53</v>
      </c>
    </row>
    <row r="35" spans="2:12" x14ac:dyDescent="0.25">
      <c r="B35" s="23" t="s">
        <v>54</v>
      </c>
      <c r="C35" s="23" t="s">
        <v>55</v>
      </c>
      <c r="D35" s="24">
        <f>+Datos!D35</f>
        <v>54.057500000000005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36568</v>
      </c>
      <c r="E39" t="s">
        <v>59</v>
      </c>
    </row>
    <row r="40" spans="2:12" x14ac:dyDescent="0.25">
      <c r="B40" t="s">
        <v>60</v>
      </c>
      <c r="C40" t="s">
        <v>61</v>
      </c>
      <c r="D40">
        <f>+Datos!D40</f>
        <v>1.06</v>
      </c>
      <c r="E40" t="s">
        <v>62</v>
      </c>
    </row>
    <row r="41" spans="2:12" x14ac:dyDescent="0.25">
      <c r="B41" t="s">
        <v>63</v>
      </c>
      <c r="C41" t="s">
        <v>64</v>
      </c>
      <c r="D41">
        <f>+Datos!D41</f>
        <v>38.762080000000005</v>
      </c>
      <c r="E41" t="s">
        <v>65</v>
      </c>
    </row>
    <row r="42" spans="2:12" x14ac:dyDescent="0.25">
      <c r="C42" t="s">
        <v>66</v>
      </c>
      <c r="D42">
        <f>+Datos!D42</f>
        <v>100</v>
      </c>
      <c r="E42" t="s">
        <v>46</v>
      </c>
    </row>
    <row r="43" spans="2:12" x14ac:dyDescent="0.25">
      <c r="B43" t="s">
        <v>67</v>
      </c>
      <c r="C43" t="s">
        <v>80</v>
      </c>
      <c r="D43">
        <f>+Datos!D43</f>
        <v>25.195352000000003</v>
      </c>
      <c r="E43" t="s">
        <v>65</v>
      </c>
    </row>
    <row r="44" spans="2:12" x14ac:dyDescent="0.25">
      <c r="B44" t="s">
        <v>68</v>
      </c>
      <c r="C44" t="s">
        <v>69</v>
      </c>
      <c r="D44">
        <f>+Datos!D44</f>
        <v>4</v>
      </c>
      <c r="E44" t="s">
        <v>70</v>
      </c>
    </row>
    <row r="45" spans="2:12" x14ac:dyDescent="0.25">
      <c r="C45" t="s">
        <v>79</v>
      </c>
      <c r="D45">
        <f>+Datos!D45</f>
        <v>2</v>
      </c>
      <c r="F45" s="36"/>
    </row>
    <row r="46" spans="2:12" ht="15.75" thickBot="1" x14ac:dyDescent="0.3">
      <c r="B46" t="s">
        <v>81</v>
      </c>
      <c r="C46" t="s">
        <v>85</v>
      </c>
      <c r="D46">
        <f>+Datos!D46</f>
        <v>50.390704000000007</v>
      </c>
      <c r="E46" t="s">
        <v>65</v>
      </c>
    </row>
    <row r="47" spans="2:12" ht="15.75" thickBot="1" x14ac:dyDescent="0.3">
      <c r="C47" t="s">
        <v>83</v>
      </c>
      <c r="D47">
        <f>+Datos!D47</f>
        <v>0.5</v>
      </c>
      <c r="E47" t="s">
        <v>84</v>
      </c>
      <c r="H47" s="839" t="s">
        <v>100</v>
      </c>
      <c r="I47" s="840"/>
      <c r="J47" s="840"/>
      <c r="K47" s="841"/>
    </row>
    <row r="48" spans="2:12" x14ac:dyDescent="0.25">
      <c r="C48" s="23" t="s">
        <v>85</v>
      </c>
      <c r="D48" s="131">
        <f>+Datos!D48</f>
        <v>100.78140800000001</v>
      </c>
      <c r="E48" s="23" t="s">
        <v>87</v>
      </c>
      <c r="H48" s="30"/>
      <c r="I48" s="31" t="s">
        <v>99</v>
      </c>
      <c r="J48" s="1">
        <v>2.661408203406483</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19</v>
      </c>
      <c r="E51" t="s">
        <v>86</v>
      </c>
      <c r="H51" s="30" t="s">
        <v>106</v>
      </c>
      <c r="I51" s="32">
        <f>+D51*ROUNDUP(J48,0)</f>
        <v>57</v>
      </c>
      <c r="J51" s="28">
        <f>COUNT($J$48)</f>
        <v>1</v>
      </c>
      <c r="K51" s="32"/>
    </row>
    <row r="52" spans="2:11" x14ac:dyDescent="0.25">
      <c r="B52" t="s">
        <v>91</v>
      </c>
      <c r="C52" s="164" t="s">
        <v>727</v>
      </c>
      <c r="D52" s="164">
        <f>ROUNDUP(D48/D51,0)</f>
        <v>6</v>
      </c>
      <c r="E52" t="s">
        <v>96</v>
      </c>
      <c r="H52" s="30"/>
      <c r="I52" s="32">
        <f>+D52*I51</f>
        <v>342</v>
      </c>
      <c r="J52" s="28" t="b">
        <f>$D$55&lt;=$I$50</f>
        <v>1</v>
      </c>
      <c r="K52" s="32"/>
    </row>
    <row r="53" spans="2:11" x14ac:dyDescent="0.25">
      <c r="B53" t="s">
        <v>92</v>
      </c>
      <c r="C53" s="164" t="s">
        <v>728</v>
      </c>
      <c r="D53" s="165">
        <f>(((D20+D22+D23+D24+D29)*D52+(D21+D28)/ROUNDUP(J48,0))*(1+D32/100))/J48</f>
        <v>8.0001506869236714</v>
      </c>
      <c r="E53" t="s">
        <v>30</v>
      </c>
      <c r="H53" s="30"/>
      <c r="J53" s="28">
        <f>{32767;32767;0.000001;0.01;FALSE;FALSE;FALSE;1;2;1;0.0001;TRUE}</f>
        <v>32767</v>
      </c>
      <c r="K53" s="32"/>
    </row>
    <row r="54" spans="2:11" ht="15.75" thickBot="1" x14ac:dyDescent="0.3">
      <c r="C54" s="127" t="s">
        <v>107</v>
      </c>
      <c r="D54" s="128">
        <f>+IF(D53&gt;D36,D53-D36,0)</f>
        <v>1.506869236713726E-4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v>
      </c>
      <c r="E56" t="s">
        <v>30</v>
      </c>
    </row>
    <row r="57" spans="2:11" x14ac:dyDescent="0.25">
      <c r="C57" t="s">
        <v>98</v>
      </c>
      <c r="D57" s="4">
        <f>+IF(D55=0,IF((2*D36-D53)&gt;D36,8,2*D36-D53),0)</f>
        <v>7.9998493130763286</v>
      </c>
      <c r="E57" t="s">
        <v>30</v>
      </c>
    </row>
    <row r="58" spans="2:11" x14ac:dyDescent="0.25">
      <c r="C58" s="164" t="s">
        <v>182</v>
      </c>
      <c r="D58" s="165">
        <f>+D53</f>
        <v>8.0001506869236714</v>
      </c>
      <c r="E58" t="s">
        <v>30</v>
      </c>
    </row>
    <row r="59" spans="2:11" x14ac:dyDescent="0.25">
      <c r="C59" s="164" t="s">
        <v>95</v>
      </c>
      <c r="D59" s="166">
        <f>ROUNDDOWN(2*D36*(D52/D66)/D53,0)</f>
        <v>3</v>
      </c>
      <c r="E59" t="s">
        <v>96</v>
      </c>
      <c r="K59" s="36"/>
    </row>
    <row r="61" spans="2:11" hidden="1" x14ac:dyDescent="0.25">
      <c r="C61" t="s">
        <v>110</v>
      </c>
      <c r="D61" s="4">
        <f>+IF((D48-D36/D58*D51)&lt;0,0,D48-D36/D58*D51)</f>
        <v>81.781765874702856</v>
      </c>
      <c r="E61" t="s">
        <v>86</v>
      </c>
    </row>
    <row r="62" spans="2:11" hidden="1" x14ac:dyDescent="0.25">
      <c r="C62" t="s">
        <v>111</v>
      </c>
      <c r="D62" s="4">
        <f>+D48-D61</f>
        <v>18.999642125297157</v>
      </c>
      <c r="E62" t="s">
        <v>86</v>
      </c>
    </row>
    <row r="63" spans="2:11" hidden="1" x14ac:dyDescent="0.25">
      <c r="C63" t="s">
        <v>148</v>
      </c>
      <c r="D63" s="4">
        <f>IF(D53&lt;=2*D36,D48,2*D36/D58*D51)</f>
        <v>100.78140800000001</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1</v>
      </c>
    </row>
    <row r="68" spans="3:5" x14ac:dyDescent="0.25">
      <c r="C68" t="s">
        <v>104</v>
      </c>
      <c r="D68" s="165">
        <f>+D59*D66*D51</f>
        <v>171</v>
      </c>
      <c r="E68" t="s">
        <v>86</v>
      </c>
    </row>
    <row r="69" spans="3:5" x14ac:dyDescent="0.25">
      <c r="C69" t="s">
        <v>102</v>
      </c>
      <c r="D69" s="26">
        <f>+(D68/D48-1)</f>
        <v>0.69674152597669581</v>
      </c>
    </row>
    <row r="70" spans="3:5" x14ac:dyDescent="0.25">
      <c r="C70" t="s">
        <v>119</v>
      </c>
      <c r="D70" s="166">
        <f>+D5+(D7+D8)*D52*2/D66+D9+D6/D66</f>
        <v>87.166666666666657</v>
      </c>
      <c r="E70" s="164" t="s">
        <v>244</v>
      </c>
    </row>
    <row r="71" spans="3:5" x14ac:dyDescent="0.25">
      <c r="C71" t="s">
        <v>118</v>
      </c>
      <c r="D71" s="141">
        <f>+D70*D66</f>
        <v>261.5</v>
      </c>
      <c r="E71" s="164" t="s">
        <v>244</v>
      </c>
    </row>
    <row r="72" spans="3:5" x14ac:dyDescent="0.25">
      <c r="C72" t="s">
        <v>123</v>
      </c>
      <c r="D72" s="165">
        <f>+D48/D66</f>
        <v>33.593802666666669</v>
      </c>
      <c r="E72" t="s">
        <v>87</v>
      </c>
    </row>
    <row r="73" spans="3:5" x14ac:dyDescent="0.25">
      <c r="C73" t="s">
        <v>123</v>
      </c>
      <c r="D73">
        <f>+D72*D47*D44*52</f>
        <v>3493.7554773333336</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6"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32"/>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Pehuajó</v>
      </c>
    </row>
    <row r="4" spans="2:5" x14ac:dyDescent="0.25">
      <c r="B4" s="2" t="s">
        <v>0</v>
      </c>
    </row>
    <row r="5" spans="2:5" x14ac:dyDescent="0.25">
      <c r="B5" t="s">
        <v>1</v>
      </c>
      <c r="C5" t="s">
        <v>2</v>
      </c>
      <c r="D5">
        <f>+Datos!D5</f>
        <v>0</v>
      </c>
      <c r="E5" t="s">
        <v>3</v>
      </c>
    </row>
    <row r="6" spans="2:5" x14ac:dyDescent="0.25">
      <c r="B6" t="s">
        <v>4</v>
      </c>
      <c r="C6" t="s">
        <v>5</v>
      </c>
      <c r="D6" s="150">
        <f>+Datos!D6</f>
        <v>191</v>
      </c>
      <c r="E6" t="s">
        <v>3</v>
      </c>
    </row>
    <row r="7" spans="2:5" x14ac:dyDescent="0.25">
      <c r="B7" t="s">
        <v>6</v>
      </c>
      <c r="C7" t="s">
        <v>8</v>
      </c>
      <c r="D7">
        <f>+Datos!D7</f>
        <v>4.7</v>
      </c>
      <c r="E7" t="s">
        <v>3</v>
      </c>
    </row>
    <row r="8" spans="2:5" x14ac:dyDescent="0.25">
      <c r="B8" t="s">
        <v>7</v>
      </c>
      <c r="C8" t="s">
        <v>9</v>
      </c>
      <c r="D8">
        <f>+Datos!D8</f>
        <v>0</v>
      </c>
      <c r="E8" t="s">
        <v>3</v>
      </c>
    </row>
    <row r="9" spans="2:5" x14ac:dyDescent="0.25">
      <c r="B9" t="s">
        <v>10</v>
      </c>
      <c r="C9" t="s">
        <v>11</v>
      </c>
      <c r="D9">
        <f>+Datos!D9</f>
        <v>4.7</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31.333333333333336</v>
      </c>
      <c r="E14" t="s">
        <v>23</v>
      </c>
    </row>
    <row r="15" spans="2:5" x14ac:dyDescent="0.25">
      <c r="B15" t="s">
        <v>16</v>
      </c>
      <c r="C15" t="s">
        <v>21</v>
      </c>
      <c r="D15">
        <f>+Datos!D15</f>
        <v>40</v>
      </c>
      <c r="E15" t="s">
        <v>23</v>
      </c>
    </row>
    <row r="16" spans="2:5" x14ac:dyDescent="0.25">
      <c r="B16" t="s">
        <v>17</v>
      </c>
      <c r="C16" t="s">
        <v>22</v>
      </c>
      <c r="D16">
        <f>+Datos!D16</f>
        <v>31.333333333333336</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19.100000000000001</v>
      </c>
      <c r="E21" t="s">
        <v>30</v>
      </c>
    </row>
    <row r="22" spans="2:5" x14ac:dyDescent="0.25">
      <c r="B22" t="s">
        <v>27</v>
      </c>
      <c r="C22" t="s">
        <v>33</v>
      </c>
      <c r="D22" s="4">
        <f>+Datos!D22</f>
        <v>0.15</v>
      </c>
      <c r="E22" t="s">
        <v>30</v>
      </c>
    </row>
    <row r="23" spans="2:5" x14ac:dyDescent="0.25">
      <c r="B23" t="s">
        <v>28</v>
      </c>
      <c r="C23" t="s">
        <v>34</v>
      </c>
      <c r="D23" s="4">
        <f>+Datos!D23</f>
        <v>0</v>
      </c>
      <c r="E23" t="s">
        <v>30</v>
      </c>
    </row>
    <row r="24" spans="2:5" x14ac:dyDescent="0.25">
      <c r="B24" t="s">
        <v>29</v>
      </c>
      <c r="C24" t="s">
        <v>35</v>
      </c>
      <c r="D24" s="4">
        <f>+Datos!D24</f>
        <v>0.15</v>
      </c>
      <c r="E24" t="s">
        <v>30</v>
      </c>
    </row>
    <row r="25" spans="2:5" x14ac:dyDescent="0.25">
      <c r="B25" s="3" t="s">
        <v>40</v>
      </c>
    </row>
    <row r="26" spans="2:5" x14ac:dyDescent="0.25">
      <c r="B26" s="3"/>
      <c r="C26" t="s">
        <v>48</v>
      </c>
      <c r="D26">
        <f>+Datos!D26</f>
        <v>382</v>
      </c>
      <c r="E26" t="s">
        <v>49</v>
      </c>
    </row>
    <row r="27" spans="2:5" x14ac:dyDescent="0.25">
      <c r="C27" t="s">
        <v>50</v>
      </c>
      <c r="D27">
        <f>+Datos!D27</f>
        <v>5</v>
      </c>
      <c r="E27" t="s">
        <v>52</v>
      </c>
    </row>
    <row r="28" spans="2:5" x14ac:dyDescent="0.25">
      <c r="B28" t="s">
        <v>36</v>
      </c>
      <c r="C28" t="s">
        <v>51</v>
      </c>
      <c r="D28" s="4">
        <f>+Datos!D28</f>
        <v>31.833333333333332</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51.483333333333334</v>
      </c>
      <c r="E31" t="s">
        <v>30</v>
      </c>
    </row>
    <row r="32" spans="2:5" x14ac:dyDescent="0.25">
      <c r="C32" t="s">
        <v>43</v>
      </c>
      <c r="D32">
        <f>+Datos!D32</f>
        <v>5</v>
      </c>
      <c r="E32" t="s">
        <v>46</v>
      </c>
    </row>
    <row r="33" spans="2:12" x14ac:dyDescent="0.25">
      <c r="B33" t="s">
        <v>47</v>
      </c>
      <c r="C33" t="s">
        <v>42</v>
      </c>
      <c r="D33" s="150">
        <f>+Datos!D33</f>
        <v>2.5741666666666667</v>
      </c>
      <c r="E33" t="s">
        <v>30</v>
      </c>
    </row>
    <row r="34" spans="2:12" x14ac:dyDescent="0.25">
      <c r="B34" s="5" t="s">
        <v>53</v>
      </c>
    </row>
    <row r="35" spans="2:12" x14ac:dyDescent="0.25">
      <c r="B35" s="23" t="s">
        <v>54</v>
      </c>
      <c r="C35" s="23" t="s">
        <v>55</v>
      </c>
      <c r="D35" s="24">
        <f>+Datos!D35</f>
        <v>54.057500000000005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36568</v>
      </c>
      <c r="E39" t="s">
        <v>59</v>
      </c>
    </row>
    <row r="40" spans="2:12" x14ac:dyDescent="0.25">
      <c r="B40" t="s">
        <v>60</v>
      </c>
      <c r="C40" t="s">
        <v>61</v>
      </c>
      <c r="D40">
        <f>+Datos!D40</f>
        <v>1.06</v>
      </c>
      <c r="E40" t="s">
        <v>62</v>
      </c>
    </row>
    <row r="41" spans="2:12" x14ac:dyDescent="0.25">
      <c r="B41" t="s">
        <v>63</v>
      </c>
      <c r="C41" t="s">
        <v>64</v>
      </c>
      <c r="D41">
        <f>+Datos!D41</f>
        <v>38.762080000000005</v>
      </c>
      <c r="E41" t="s">
        <v>65</v>
      </c>
    </row>
    <row r="42" spans="2:12" x14ac:dyDescent="0.25">
      <c r="C42" t="s">
        <v>66</v>
      </c>
      <c r="D42">
        <f>+Datos!D42</f>
        <v>100</v>
      </c>
      <c r="E42" t="s">
        <v>46</v>
      </c>
    </row>
    <row r="43" spans="2:12" x14ac:dyDescent="0.25">
      <c r="B43" t="s">
        <v>67</v>
      </c>
      <c r="C43" t="s">
        <v>80</v>
      </c>
      <c r="D43">
        <f>+Datos!D43</f>
        <v>25.195352000000003</v>
      </c>
      <c r="E43" t="s">
        <v>65</v>
      </c>
    </row>
    <row r="44" spans="2:12" x14ac:dyDescent="0.25">
      <c r="B44" t="s">
        <v>68</v>
      </c>
      <c r="C44" t="s">
        <v>69</v>
      </c>
      <c r="D44">
        <f>+Datos!D44</f>
        <v>4</v>
      </c>
      <c r="E44" t="s">
        <v>70</v>
      </c>
    </row>
    <row r="45" spans="2:12" x14ac:dyDescent="0.25">
      <c r="C45" t="s">
        <v>79</v>
      </c>
      <c r="D45">
        <f>+Datos!D45</f>
        <v>2</v>
      </c>
      <c r="F45" s="36"/>
    </row>
    <row r="46" spans="2:12" ht="15.75" thickBot="1" x14ac:dyDescent="0.3">
      <c r="B46" t="s">
        <v>81</v>
      </c>
      <c r="C46" t="s">
        <v>85</v>
      </c>
      <c r="D46">
        <f>+Datos!D46</f>
        <v>50.390704000000007</v>
      </c>
      <c r="E46" t="s">
        <v>65</v>
      </c>
    </row>
    <row r="47" spans="2:12" ht="15.75" thickBot="1" x14ac:dyDescent="0.3">
      <c r="C47" t="s">
        <v>83</v>
      </c>
      <c r="D47">
        <f>+Datos!D47</f>
        <v>0.5</v>
      </c>
      <c r="E47" t="s">
        <v>84</v>
      </c>
      <c r="H47" s="839" t="s">
        <v>100</v>
      </c>
      <c r="I47" s="840"/>
      <c r="J47" s="840"/>
      <c r="K47" s="841"/>
    </row>
    <row r="48" spans="2:12" x14ac:dyDescent="0.25">
      <c r="C48" s="23" t="s">
        <v>85</v>
      </c>
      <c r="D48" s="131">
        <f>+Datos!D48</f>
        <v>100.78140800000001</v>
      </c>
      <c r="E48" s="23" t="s">
        <v>87</v>
      </c>
      <c r="H48" s="30"/>
      <c r="I48" s="31" t="s">
        <v>99</v>
      </c>
      <c r="J48" s="125">
        <v>1.8517178224452266</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21</v>
      </c>
      <c r="E51" t="s">
        <v>86</v>
      </c>
      <c r="H51" s="30" t="s">
        <v>106</v>
      </c>
      <c r="I51" s="32">
        <f>+D51*ROUNDUP(J48,0)</f>
        <v>42</v>
      </c>
      <c r="J51" s="28">
        <f>COUNT($J$48)</f>
        <v>1</v>
      </c>
      <c r="K51" s="32"/>
    </row>
    <row r="52" spans="2:11" x14ac:dyDescent="0.25">
      <c r="B52" t="s">
        <v>91</v>
      </c>
      <c r="C52" s="164" t="s">
        <v>727</v>
      </c>
      <c r="D52" s="164">
        <f>ROUNDUP(D48/D51,0)</f>
        <v>5</v>
      </c>
      <c r="E52" t="s">
        <v>96</v>
      </c>
      <c r="H52" s="30"/>
      <c r="I52" s="32">
        <f>+D52*I51</f>
        <v>210</v>
      </c>
      <c r="J52" s="28" t="b">
        <f>$D$55&lt;=$I$50</f>
        <v>1</v>
      </c>
      <c r="K52" s="32"/>
    </row>
    <row r="53" spans="2:11" x14ac:dyDescent="0.25">
      <c r="B53" t="s">
        <v>92</v>
      </c>
      <c r="C53" s="164" t="s">
        <v>728</v>
      </c>
      <c r="D53" s="165">
        <f>(((D20+D22+D23+D24+D29)*D52+(D21+D28)/ROUNDUP(J48,0))*(1+D32/100))/J48</f>
        <v>16.000008014653311</v>
      </c>
      <c r="E53" t="s">
        <v>30</v>
      </c>
      <c r="H53" s="30"/>
      <c r="J53" s="28">
        <f>{32767;32767;0.000001;0.01;FALSE;FALSE;FALSE;1;2;1;0.0001;TRUE}</f>
        <v>32767</v>
      </c>
      <c r="K53" s="32"/>
    </row>
    <row r="54" spans="2:11" ht="15.75" thickBot="1" x14ac:dyDescent="0.3">
      <c r="C54" t="s">
        <v>107</v>
      </c>
      <c r="D54" s="4">
        <f>+IF(D53&gt;D36,D53-D36,0)</f>
        <v>8.0000080146533108</v>
      </c>
      <c r="E54" t="s">
        <v>30</v>
      </c>
      <c r="H54" s="30"/>
      <c r="J54" s="29">
        <f>{0;0;1;100;0;FALSE;FALSE;0.075;0;0;FALSE;30}</f>
        <v>0</v>
      </c>
      <c r="K54" s="32"/>
    </row>
    <row r="55" spans="2:11" ht="15.75" thickBot="1" x14ac:dyDescent="0.3">
      <c r="C55" s="129" t="s">
        <v>94</v>
      </c>
      <c r="D55" s="130">
        <f>+IF(D53&gt;2*D36,D53-2*D36,0)</f>
        <v>8.0146533107949836E-6</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4" t="s">
        <v>182</v>
      </c>
      <c r="D58" s="165">
        <f>+D53</f>
        <v>16.000008014653311</v>
      </c>
      <c r="E58" t="s">
        <v>30</v>
      </c>
    </row>
    <row r="59" spans="2:11" x14ac:dyDescent="0.25">
      <c r="C59" s="164" t="s">
        <v>95</v>
      </c>
      <c r="D59" s="166">
        <f>ROUNDDOWN(2*D36*(D52/D66)/D53,0)</f>
        <v>2</v>
      </c>
      <c r="E59" t="s">
        <v>96</v>
      </c>
      <c r="K59" s="36"/>
    </row>
    <row r="61" spans="2:11" hidden="1" x14ac:dyDescent="0.25">
      <c r="C61" t="s">
        <v>110</v>
      </c>
      <c r="D61" s="4">
        <f>+IF((D48-D36/D58*D51)&lt;0,0,D48-D36/D58*D51)</f>
        <v>90.281413259613615</v>
      </c>
      <c r="E61" t="s">
        <v>86</v>
      </c>
    </row>
    <row r="62" spans="2:11" hidden="1" x14ac:dyDescent="0.25">
      <c r="C62" t="s">
        <v>111</v>
      </c>
      <c r="D62" s="4">
        <f>+D48-D61</f>
        <v>10.499994740386398</v>
      </c>
      <c r="E62" t="s">
        <v>86</v>
      </c>
    </row>
    <row r="63" spans="2:11" hidden="1" x14ac:dyDescent="0.25">
      <c r="C63" t="s">
        <v>148</v>
      </c>
      <c r="D63" s="4">
        <f>IF(D53&lt;=2*D36,D48,2*D36/D58*D51)</f>
        <v>20.999989480772797</v>
      </c>
      <c r="E63" t="s">
        <v>86</v>
      </c>
    </row>
    <row r="64" spans="2:11" hidden="1" x14ac:dyDescent="0.25">
      <c r="C64" t="s">
        <v>97</v>
      </c>
      <c r="D64" s="4">
        <f>+IF((D48-D63)&lt;0,0,D48-D63)</f>
        <v>79.781418519227216</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84</v>
      </c>
      <c r="E68" t="s">
        <v>86</v>
      </c>
    </row>
    <row r="69" spans="3:5" x14ac:dyDescent="0.25">
      <c r="C69" t="s">
        <v>102</v>
      </c>
      <c r="D69" s="26">
        <f>+(D68/D48-1)</f>
        <v>-0.16651293460793892</v>
      </c>
    </row>
    <row r="70" spans="3:5" x14ac:dyDescent="0.25">
      <c r="C70" t="s">
        <v>119</v>
      </c>
      <c r="D70" s="166">
        <f>+D5+(D7+D8)*D52*2/D66+D9+D6/D66</f>
        <v>123.7</v>
      </c>
      <c r="E70" s="164" t="s">
        <v>244</v>
      </c>
    </row>
    <row r="71" spans="3:5" x14ac:dyDescent="0.25">
      <c r="C71" t="s">
        <v>118</v>
      </c>
      <c r="D71" s="141">
        <f>+D70*D66</f>
        <v>247.4</v>
      </c>
      <c r="E71" s="164" t="s">
        <v>244</v>
      </c>
    </row>
    <row r="72" spans="3:5" x14ac:dyDescent="0.25">
      <c r="C72" t="s">
        <v>123</v>
      </c>
      <c r="D72" s="165">
        <f>+D48/D66</f>
        <v>50.390704000000007</v>
      </c>
      <c r="E72" t="s">
        <v>87</v>
      </c>
    </row>
    <row r="73" spans="3:5" x14ac:dyDescent="0.25">
      <c r="C73" t="s">
        <v>123</v>
      </c>
      <c r="D73">
        <f>+D72*D47*D44*52</f>
        <v>5240.6332160000011</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5"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058" r:id="rId4" name="Button 2">
              <controlPr defaultSize="0" print="0" autoFill="0" autoPict="0" macro="[0]!Macro_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33"/>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Pehuajó</v>
      </c>
    </row>
    <row r="4" spans="2:5" x14ac:dyDescent="0.25">
      <c r="B4" s="2" t="s">
        <v>0</v>
      </c>
    </row>
    <row r="5" spans="2:5" x14ac:dyDescent="0.25">
      <c r="B5" t="s">
        <v>1</v>
      </c>
      <c r="C5" t="s">
        <v>2</v>
      </c>
      <c r="D5">
        <f>+Datos!D5</f>
        <v>0</v>
      </c>
      <c r="E5" t="s">
        <v>3</v>
      </c>
    </row>
    <row r="6" spans="2:5" x14ac:dyDescent="0.25">
      <c r="B6" t="s">
        <v>4</v>
      </c>
      <c r="C6" t="s">
        <v>5</v>
      </c>
      <c r="D6" s="150">
        <f>+Datos!D6</f>
        <v>191</v>
      </c>
      <c r="E6" t="s">
        <v>3</v>
      </c>
    </row>
    <row r="7" spans="2:5" x14ac:dyDescent="0.25">
      <c r="B7" t="s">
        <v>6</v>
      </c>
      <c r="C7" t="s">
        <v>8</v>
      </c>
      <c r="D7">
        <f>+Datos!D7</f>
        <v>4.7</v>
      </c>
      <c r="E7" t="s">
        <v>3</v>
      </c>
    </row>
    <row r="8" spans="2:5" x14ac:dyDescent="0.25">
      <c r="B8" t="s">
        <v>7</v>
      </c>
      <c r="C8" t="s">
        <v>9</v>
      </c>
      <c r="D8">
        <f>+Datos!D8</f>
        <v>0</v>
      </c>
      <c r="E8" t="s">
        <v>3</v>
      </c>
    </row>
    <row r="9" spans="2:5" x14ac:dyDescent="0.25">
      <c r="B9" t="s">
        <v>10</v>
      </c>
      <c r="C9" t="s">
        <v>11</v>
      </c>
      <c r="D9">
        <f>+Datos!D9</f>
        <v>4.7</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31.333333333333336</v>
      </c>
      <c r="E14" t="s">
        <v>23</v>
      </c>
    </row>
    <row r="15" spans="2:5" x14ac:dyDescent="0.25">
      <c r="B15" t="s">
        <v>16</v>
      </c>
      <c r="C15" t="s">
        <v>21</v>
      </c>
      <c r="D15">
        <f>+Datos!D15</f>
        <v>40</v>
      </c>
      <c r="E15" t="s">
        <v>23</v>
      </c>
    </row>
    <row r="16" spans="2:5" x14ac:dyDescent="0.25">
      <c r="B16" t="s">
        <v>17</v>
      </c>
      <c r="C16" t="s">
        <v>22</v>
      </c>
      <c r="D16">
        <f>+Datos!D16</f>
        <v>31.333333333333336</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19.100000000000001</v>
      </c>
      <c r="E21" t="s">
        <v>30</v>
      </c>
    </row>
    <row r="22" spans="2:5" x14ac:dyDescent="0.25">
      <c r="B22" t="s">
        <v>27</v>
      </c>
      <c r="C22" t="s">
        <v>33</v>
      </c>
      <c r="D22" s="4">
        <f>+Datos!D22</f>
        <v>0.15</v>
      </c>
      <c r="E22" t="s">
        <v>30</v>
      </c>
    </row>
    <row r="23" spans="2:5" x14ac:dyDescent="0.25">
      <c r="B23" t="s">
        <v>28</v>
      </c>
      <c r="C23" t="s">
        <v>34</v>
      </c>
      <c r="D23" s="4">
        <f>+Datos!D23</f>
        <v>0</v>
      </c>
      <c r="E23" t="s">
        <v>30</v>
      </c>
    </row>
    <row r="24" spans="2:5" x14ac:dyDescent="0.25">
      <c r="B24" t="s">
        <v>29</v>
      </c>
      <c r="C24" t="s">
        <v>35</v>
      </c>
      <c r="D24" s="4">
        <f>+Datos!D24</f>
        <v>0.15</v>
      </c>
      <c r="E24" t="s">
        <v>30</v>
      </c>
    </row>
    <row r="25" spans="2:5" x14ac:dyDescent="0.25">
      <c r="B25" s="3" t="s">
        <v>40</v>
      </c>
    </row>
    <row r="26" spans="2:5" x14ac:dyDescent="0.25">
      <c r="B26" s="3"/>
      <c r="C26" t="s">
        <v>48</v>
      </c>
      <c r="D26">
        <f>+Datos!D26</f>
        <v>382</v>
      </c>
      <c r="E26" t="s">
        <v>49</v>
      </c>
    </row>
    <row r="27" spans="2:5" x14ac:dyDescent="0.25">
      <c r="C27" t="s">
        <v>50</v>
      </c>
      <c r="D27">
        <f>+Datos!D27</f>
        <v>5</v>
      </c>
      <c r="E27" t="s">
        <v>52</v>
      </c>
    </row>
    <row r="28" spans="2:5" x14ac:dyDescent="0.25">
      <c r="B28" t="s">
        <v>36</v>
      </c>
      <c r="C28" t="s">
        <v>51</v>
      </c>
      <c r="D28" s="4">
        <f>+Datos!D28</f>
        <v>31.833333333333332</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51.483333333333334</v>
      </c>
      <c r="E31" t="s">
        <v>30</v>
      </c>
    </row>
    <row r="32" spans="2:5" x14ac:dyDescent="0.25">
      <c r="C32" t="s">
        <v>43</v>
      </c>
      <c r="D32">
        <f>+Datos!D32</f>
        <v>5</v>
      </c>
      <c r="E32" t="s">
        <v>46</v>
      </c>
    </row>
    <row r="33" spans="2:12" x14ac:dyDescent="0.25">
      <c r="B33" t="s">
        <v>47</v>
      </c>
      <c r="C33" t="s">
        <v>42</v>
      </c>
      <c r="D33" s="4">
        <f>+Datos!D33</f>
        <v>2.5741666666666667</v>
      </c>
      <c r="E33" t="s">
        <v>30</v>
      </c>
    </row>
    <row r="34" spans="2:12" x14ac:dyDescent="0.25">
      <c r="B34" s="5" t="s">
        <v>53</v>
      </c>
    </row>
    <row r="35" spans="2:12" x14ac:dyDescent="0.25">
      <c r="B35" s="23" t="s">
        <v>54</v>
      </c>
      <c r="C35" s="23" t="s">
        <v>55</v>
      </c>
      <c r="D35" s="24">
        <f>+Datos!D35</f>
        <v>54.057500000000005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36568</v>
      </c>
      <c r="E39" t="s">
        <v>59</v>
      </c>
    </row>
    <row r="40" spans="2:12" x14ac:dyDescent="0.25">
      <c r="B40" t="s">
        <v>60</v>
      </c>
      <c r="C40" t="s">
        <v>61</v>
      </c>
      <c r="D40">
        <f>+Datos!D40</f>
        <v>1.06</v>
      </c>
      <c r="E40" t="s">
        <v>62</v>
      </c>
    </row>
    <row r="41" spans="2:12" x14ac:dyDescent="0.25">
      <c r="B41" t="s">
        <v>63</v>
      </c>
      <c r="C41" t="s">
        <v>64</v>
      </c>
      <c r="D41">
        <f>+Datos!D41</f>
        <v>38.762080000000005</v>
      </c>
      <c r="E41" t="s">
        <v>65</v>
      </c>
    </row>
    <row r="42" spans="2:12" x14ac:dyDescent="0.25">
      <c r="C42" t="s">
        <v>66</v>
      </c>
      <c r="D42">
        <f>+Datos!D42</f>
        <v>100</v>
      </c>
      <c r="E42" t="s">
        <v>46</v>
      </c>
    </row>
    <row r="43" spans="2:12" x14ac:dyDescent="0.25">
      <c r="B43" t="s">
        <v>67</v>
      </c>
      <c r="C43" t="s">
        <v>80</v>
      </c>
      <c r="D43">
        <f>+Datos!D43</f>
        <v>25.195352000000003</v>
      </c>
      <c r="E43" t="s">
        <v>65</v>
      </c>
    </row>
    <row r="44" spans="2:12" x14ac:dyDescent="0.25">
      <c r="B44" t="s">
        <v>68</v>
      </c>
      <c r="C44" t="s">
        <v>69</v>
      </c>
      <c r="D44">
        <f>+Datos!D44</f>
        <v>4</v>
      </c>
      <c r="E44" t="s">
        <v>70</v>
      </c>
    </row>
    <row r="45" spans="2:12" x14ac:dyDescent="0.25">
      <c r="C45" t="s">
        <v>79</v>
      </c>
      <c r="D45">
        <f>+Datos!D45</f>
        <v>2</v>
      </c>
      <c r="F45" s="36"/>
    </row>
    <row r="46" spans="2:12" ht="15.75" thickBot="1" x14ac:dyDescent="0.3">
      <c r="B46" t="s">
        <v>81</v>
      </c>
      <c r="C46" t="s">
        <v>85</v>
      </c>
      <c r="D46">
        <f>+Datos!D46</f>
        <v>50.390704000000007</v>
      </c>
      <c r="E46" t="s">
        <v>65</v>
      </c>
    </row>
    <row r="47" spans="2:12" ht="15.75" thickBot="1" x14ac:dyDescent="0.3">
      <c r="C47" t="s">
        <v>83</v>
      </c>
      <c r="D47">
        <f>+Datos!D47</f>
        <v>0.5</v>
      </c>
      <c r="E47" t="s">
        <v>84</v>
      </c>
      <c r="H47" s="839" t="s">
        <v>100</v>
      </c>
      <c r="I47" s="840"/>
      <c r="J47" s="840"/>
      <c r="K47" s="841"/>
    </row>
    <row r="48" spans="2:12" x14ac:dyDescent="0.25">
      <c r="C48" s="23" t="s">
        <v>85</v>
      </c>
      <c r="D48" s="131">
        <f>+Datos!D48</f>
        <v>100.78140800000001</v>
      </c>
      <c r="E48" s="23" t="s">
        <v>87</v>
      </c>
      <c r="H48" s="30"/>
      <c r="I48" s="31" t="s">
        <v>99</v>
      </c>
      <c r="J48" s="1">
        <v>2.58923099362302</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21</v>
      </c>
      <c r="E51" t="s">
        <v>86</v>
      </c>
      <c r="H51" s="30" t="s">
        <v>106</v>
      </c>
      <c r="I51" s="32">
        <f>+D51*ROUNDUP(J48,0)</f>
        <v>63</v>
      </c>
      <c r="J51" s="28">
        <f>COUNT($J$48)</f>
        <v>1</v>
      </c>
      <c r="K51" s="32"/>
    </row>
    <row r="52" spans="2:11" x14ac:dyDescent="0.25">
      <c r="B52" t="s">
        <v>91</v>
      </c>
      <c r="C52" s="164" t="s">
        <v>727</v>
      </c>
      <c r="D52" s="164">
        <f>ROUNDUP(D48/D51,0)</f>
        <v>5</v>
      </c>
      <c r="E52" t="s">
        <v>96</v>
      </c>
      <c r="H52" s="30"/>
      <c r="I52" s="32">
        <f>+D52*I51</f>
        <v>315</v>
      </c>
      <c r="J52" s="28" t="b">
        <f>$D$55&lt;=$I$50</f>
        <v>1</v>
      </c>
      <c r="K52" s="32"/>
    </row>
    <row r="53" spans="2:11" x14ac:dyDescent="0.25">
      <c r="B53" t="s">
        <v>92</v>
      </c>
      <c r="C53" s="164" t="s">
        <v>728</v>
      </c>
      <c r="D53" s="165">
        <f>(((D20+D22+D23+D24+D29)*D52+(D21+D28)/ROUNDUP(J48,0))*(1+D32/100))/J48</f>
        <v>8.0001230935684351</v>
      </c>
      <c r="E53" t="s">
        <v>30</v>
      </c>
      <c r="H53" s="30"/>
      <c r="J53" s="28">
        <f>{32767;32767;0.000001;0.01;FALSE;FALSE;FALSE;1;2;1;0.0001;TRUE}</f>
        <v>32767</v>
      </c>
      <c r="K53" s="32"/>
    </row>
    <row r="54" spans="2:11" ht="15.75" thickBot="1" x14ac:dyDescent="0.3">
      <c r="C54" s="127" t="s">
        <v>107</v>
      </c>
      <c r="D54" s="128">
        <f>+IF(D53&gt;D36,D53-D36,0)</f>
        <v>1.2309356843509534E-4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v>
      </c>
      <c r="E56" t="s">
        <v>30</v>
      </c>
    </row>
    <row r="57" spans="2:11" x14ac:dyDescent="0.25">
      <c r="C57" t="s">
        <v>98</v>
      </c>
      <c r="D57" s="4">
        <f>+IF(D55=0,IF((2*D36-D53)&gt;D36,8,2*D36-D53),0)</f>
        <v>7.9998769064315649</v>
      </c>
      <c r="E57" t="s">
        <v>30</v>
      </c>
    </row>
    <row r="58" spans="2:11" x14ac:dyDescent="0.25">
      <c r="C58" s="164" t="s">
        <v>182</v>
      </c>
      <c r="D58" s="165">
        <f>+D53</f>
        <v>8.0001230935684351</v>
      </c>
      <c r="E58" t="s">
        <v>30</v>
      </c>
    </row>
    <row r="59" spans="2:11" x14ac:dyDescent="0.25">
      <c r="C59" s="164" t="s">
        <v>95</v>
      </c>
      <c r="D59" s="166">
        <f>ROUNDDOWN(2*D36*(D52/D66)/D53,0)</f>
        <v>3</v>
      </c>
      <c r="E59" t="s">
        <v>96</v>
      </c>
      <c r="K59" s="36"/>
    </row>
    <row r="61" spans="2:11" hidden="1" x14ac:dyDescent="0.25">
      <c r="C61" t="s">
        <v>110</v>
      </c>
      <c r="D61" s="4">
        <f>+IF((D48-D36/D58*D51)&lt;0,0,D48-D36/D58*D51)</f>
        <v>79.781731115645471</v>
      </c>
      <c r="E61" t="s">
        <v>86</v>
      </c>
    </row>
    <row r="62" spans="2:11" hidden="1" x14ac:dyDescent="0.25">
      <c r="C62" t="s">
        <v>111</v>
      </c>
      <c r="D62" s="4">
        <f>+D48-D61</f>
        <v>20.999676884354542</v>
      </c>
      <c r="E62" t="s">
        <v>86</v>
      </c>
    </row>
    <row r="63" spans="2:11" hidden="1" x14ac:dyDescent="0.25">
      <c r="C63" t="s">
        <v>148</v>
      </c>
      <c r="D63" s="4">
        <f>IF(D53&lt;=2*D36,D48,2*D36/D58*D51)</f>
        <v>100.78140800000001</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1</v>
      </c>
    </row>
    <row r="68" spans="3:5" x14ac:dyDescent="0.25">
      <c r="C68" t="s">
        <v>104</v>
      </c>
      <c r="D68" s="165">
        <f>+D59*D66*D51</f>
        <v>189</v>
      </c>
      <c r="E68" t="s">
        <v>86</v>
      </c>
    </row>
    <row r="69" spans="3:5" x14ac:dyDescent="0.25">
      <c r="C69" t="s">
        <v>102</v>
      </c>
      <c r="D69" s="26">
        <f>+(D68/D48-1)</f>
        <v>0.87534589713213751</v>
      </c>
    </row>
    <row r="70" spans="3:5" x14ac:dyDescent="0.25">
      <c r="C70" t="s">
        <v>119</v>
      </c>
      <c r="D70" s="166">
        <f>+D5+(D7+D8)*D52*2/D66+D9+D6/D66</f>
        <v>84.033333333333331</v>
      </c>
      <c r="E70" s="164" t="s">
        <v>244</v>
      </c>
    </row>
    <row r="71" spans="3:5" x14ac:dyDescent="0.25">
      <c r="C71" t="s">
        <v>118</v>
      </c>
      <c r="D71" s="141">
        <f>+D70*D66</f>
        <v>252.1</v>
      </c>
      <c r="E71" s="164" t="s">
        <v>244</v>
      </c>
    </row>
    <row r="72" spans="3:5" x14ac:dyDescent="0.25">
      <c r="C72" t="s">
        <v>123</v>
      </c>
      <c r="D72" s="165">
        <f>+D48/D66</f>
        <v>33.593802666666669</v>
      </c>
      <c r="E72" t="s">
        <v>87</v>
      </c>
    </row>
    <row r="73" spans="3:5" x14ac:dyDescent="0.25">
      <c r="C73" t="s">
        <v>123</v>
      </c>
      <c r="D73">
        <f>+D72*D47*D44*52</f>
        <v>3493.7554773333336</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4"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6082" r:id="rId4" name="Button 2">
              <controlPr defaultSize="0" print="0" autoFill="0" autoPict="0" macro="[0]!Macro_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5"/>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Pehuajó</v>
      </c>
    </row>
    <row r="4" spans="2:5" x14ac:dyDescent="0.25">
      <c r="B4" s="2" t="s">
        <v>0</v>
      </c>
    </row>
    <row r="5" spans="2:5" x14ac:dyDescent="0.25">
      <c r="B5" t="s">
        <v>1</v>
      </c>
      <c r="C5" t="s">
        <v>2</v>
      </c>
      <c r="D5">
        <f>+Datos!D5</f>
        <v>0</v>
      </c>
      <c r="E5" t="s">
        <v>3</v>
      </c>
    </row>
    <row r="6" spans="2:5" x14ac:dyDescent="0.25">
      <c r="B6" t="s">
        <v>4</v>
      </c>
      <c r="C6" t="s">
        <v>5</v>
      </c>
      <c r="D6" s="150">
        <f>+Datos!D6</f>
        <v>191</v>
      </c>
      <c r="E6" t="s">
        <v>3</v>
      </c>
    </row>
    <row r="7" spans="2:5" x14ac:dyDescent="0.25">
      <c r="B7" t="s">
        <v>6</v>
      </c>
      <c r="C7" t="s">
        <v>8</v>
      </c>
      <c r="D7">
        <f>+Datos!D7</f>
        <v>4.7</v>
      </c>
      <c r="E7" t="s">
        <v>3</v>
      </c>
    </row>
    <row r="8" spans="2:5" x14ac:dyDescent="0.25">
      <c r="B8" t="s">
        <v>7</v>
      </c>
      <c r="C8" t="s">
        <v>9</v>
      </c>
      <c r="D8">
        <f>+Datos!D8</f>
        <v>0</v>
      </c>
      <c r="E8" t="s">
        <v>3</v>
      </c>
    </row>
    <row r="9" spans="2:5" x14ac:dyDescent="0.25">
      <c r="B9" t="s">
        <v>10</v>
      </c>
      <c r="C9" t="s">
        <v>11</v>
      </c>
      <c r="D9">
        <f>+Datos!D9</f>
        <v>4.7</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31.333333333333336</v>
      </c>
      <c r="E14" t="s">
        <v>23</v>
      </c>
    </row>
    <row r="15" spans="2:5" x14ac:dyDescent="0.25">
      <c r="B15" t="s">
        <v>16</v>
      </c>
      <c r="C15" t="s">
        <v>21</v>
      </c>
      <c r="D15">
        <f>+Datos!D15</f>
        <v>40</v>
      </c>
      <c r="E15" t="s">
        <v>23</v>
      </c>
    </row>
    <row r="16" spans="2:5" x14ac:dyDescent="0.25">
      <c r="B16" t="s">
        <v>17</v>
      </c>
      <c r="C16" t="s">
        <v>22</v>
      </c>
      <c r="D16">
        <f>+Datos!D16</f>
        <v>31.333333333333336</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19.100000000000001</v>
      </c>
      <c r="E21" t="s">
        <v>30</v>
      </c>
    </row>
    <row r="22" spans="2:5" x14ac:dyDescent="0.25">
      <c r="B22" t="s">
        <v>27</v>
      </c>
      <c r="C22" t="s">
        <v>33</v>
      </c>
      <c r="D22" s="4">
        <f>+Datos!D22</f>
        <v>0.15</v>
      </c>
      <c r="E22" t="s">
        <v>30</v>
      </c>
    </row>
    <row r="23" spans="2:5" x14ac:dyDescent="0.25">
      <c r="B23" t="s">
        <v>28</v>
      </c>
      <c r="C23" t="s">
        <v>34</v>
      </c>
      <c r="D23" s="4">
        <f>+Datos!D23</f>
        <v>0</v>
      </c>
      <c r="E23" t="s">
        <v>30</v>
      </c>
    </row>
    <row r="24" spans="2:5" x14ac:dyDescent="0.25">
      <c r="B24" t="s">
        <v>29</v>
      </c>
      <c r="C24" t="s">
        <v>35</v>
      </c>
      <c r="D24" s="4">
        <f>+Datos!D24</f>
        <v>0.15</v>
      </c>
      <c r="E24" t="s">
        <v>30</v>
      </c>
    </row>
    <row r="25" spans="2:5" x14ac:dyDescent="0.25">
      <c r="B25" s="3" t="s">
        <v>40</v>
      </c>
    </row>
    <row r="26" spans="2:5" x14ac:dyDescent="0.25">
      <c r="B26" s="3"/>
      <c r="C26" t="s">
        <v>48</v>
      </c>
      <c r="D26">
        <f>+Datos!D26</f>
        <v>382</v>
      </c>
      <c r="E26" t="s">
        <v>49</v>
      </c>
    </row>
    <row r="27" spans="2:5" x14ac:dyDescent="0.25">
      <c r="C27" t="s">
        <v>50</v>
      </c>
      <c r="D27">
        <f>+Datos!D27</f>
        <v>5</v>
      </c>
      <c r="E27" t="s">
        <v>52</v>
      </c>
    </row>
    <row r="28" spans="2:5" x14ac:dyDescent="0.25">
      <c r="B28" t="s">
        <v>36</v>
      </c>
      <c r="C28" t="s">
        <v>51</v>
      </c>
      <c r="D28" s="4">
        <f>+Datos!D28</f>
        <v>31.833333333333332</v>
      </c>
      <c r="E28" t="s">
        <v>30</v>
      </c>
    </row>
    <row r="29" spans="2:5" x14ac:dyDescent="0.25">
      <c r="B29" t="s">
        <v>38</v>
      </c>
      <c r="C29" t="s">
        <v>37</v>
      </c>
      <c r="D29">
        <f>+Datos!D29</f>
        <v>0.25</v>
      </c>
      <c r="E29" t="s">
        <v>52</v>
      </c>
    </row>
    <row r="30" spans="2:5" x14ac:dyDescent="0.25">
      <c r="B30" s="3" t="s">
        <v>44</v>
      </c>
    </row>
    <row r="31" spans="2:5" x14ac:dyDescent="0.25">
      <c r="B31" t="s">
        <v>41</v>
      </c>
      <c r="C31" t="s">
        <v>45</v>
      </c>
      <c r="D31" s="150">
        <f>+Datos!D31</f>
        <v>51.483333333333334</v>
      </c>
      <c r="E31" t="s">
        <v>30</v>
      </c>
    </row>
    <row r="32" spans="2:5" x14ac:dyDescent="0.25">
      <c r="C32" t="s">
        <v>43</v>
      </c>
      <c r="D32">
        <f>+Datos!D32</f>
        <v>5</v>
      </c>
      <c r="E32" t="s">
        <v>46</v>
      </c>
    </row>
    <row r="33" spans="2:12" x14ac:dyDescent="0.25">
      <c r="B33" t="s">
        <v>47</v>
      </c>
      <c r="C33" t="s">
        <v>42</v>
      </c>
      <c r="D33" s="150">
        <f>+Datos!D33</f>
        <v>2.5741666666666667</v>
      </c>
      <c r="E33" t="s">
        <v>30</v>
      </c>
    </row>
    <row r="34" spans="2:12" x14ac:dyDescent="0.25">
      <c r="B34" s="5" t="s">
        <v>53</v>
      </c>
    </row>
    <row r="35" spans="2:12" x14ac:dyDescent="0.25">
      <c r="B35" s="23" t="s">
        <v>54</v>
      </c>
      <c r="C35" s="23" t="s">
        <v>55</v>
      </c>
      <c r="D35" s="24">
        <f>+Datos!D35</f>
        <v>54.057500000000005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36568</v>
      </c>
      <c r="E39" t="s">
        <v>59</v>
      </c>
    </row>
    <row r="40" spans="2:12" x14ac:dyDescent="0.25">
      <c r="B40" t="s">
        <v>60</v>
      </c>
      <c r="C40" t="s">
        <v>61</v>
      </c>
      <c r="D40">
        <f>+Datos!D40</f>
        <v>1.06</v>
      </c>
      <c r="E40" t="s">
        <v>62</v>
      </c>
    </row>
    <row r="41" spans="2:12" x14ac:dyDescent="0.25">
      <c r="B41" t="s">
        <v>63</v>
      </c>
      <c r="C41" t="s">
        <v>64</v>
      </c>
      <c r="D41">
        <f>+Datos!D41</f>
        <v>38.762080000000005</v>
      </c>
      <c r="E41" t="s">
        <v>65</v>
      </c>
    </row>
    <row r="42" spans="2:12" x14ac:dyDescent="0.25">
      <c r="C42" t="s">
        <v>66</v>
      </c>
      <c r="D42">
        <f>+Datos!D42</f>
        <v>100</v>
      </c>
      <c r="E42" t="s">
        <v>46</v>
      </c>
    </row>
    <row r="43" spans="2:12" x14ac:dyDescent="0.25">
      <c r="B43" t="s">
        <v>67</v>
      </c>
      <c r="C43" t="s">
        <v>80</v>
      </c>
      <c r="D43">
        <f>+Datos!D43</f>
        <v>25.195352000000003</v>
      </c>
      <c r="E43" t="s">
        <v>65</v>
      </c>
    </row>
    <row r="44" spans="2:12" x14ac:dyDescent="0.25">
      <c r="B44" t="s">
        <v>68</v>
      </c>
      <c r="C44" t="s">
        <v>69</v>
      </c>
      <c r="D44">
        <f>+Datos!D44</f>
        <v>4</v>
      </c>
      <c r="E44" t="s">
        <v>70</v>
      </c>
    </row>
    <row r="45" spans="2:12" x14ac:dyDescent="0.25">
      <c r="C45" t="s">
        <v>79</v>
      </c>
      <c r="D45">
        <f>+Datos!D45</f>
        <v>2</v>
      </c>
      <c r="F45" s="36"/>
    </row>
    <row r="46" spans="2:12" ht="15.75" thickBot="1" x14ac:dyDescent="0.3">
      <c r="B46" t="s">
        <v>81</v>
      </c>
      <c r="C46" t="s">
        <v>85</v>
      </c>
      <c r="D46">
        <f>+Datos!D46</f>
        <v>50.390704000000007</v>
      </c>
      <c r="E46" t="s">
        <v>65</v>
      </c>
    </row>
    <row r="47" spans="2:12" ht="15.75" thickBot="1" x14ac:dyDescent="0.3">
      <c r="C47" t="s">
        <v>83</v>
      </c>
      <c r="D47">
        <f>+Datos!D47</f>
        <v>0.5</v>
      </c>
      <c r="E47" t="s">
        <v>84</v>
      </c>
      <c r="H47" s="839" t="s">
        <v>100</v>
      </c>
      <c r="I47" s="840"/>
      <c r="J47" s="840"/>
      <c r="K47" s="841"/>
    </row>
    <row r="48" spans="2:12" x14ac:dyDescent="0.25">
      <c r="C48" s="23" t="s">
        <v>85</v>
      </c>
      <c r="D48" s="131">
        <f>+Datos!D48</f>
        <v>100.78140800000001</v>
      </c>
      <c r="E48" s="23" t="s">
        <v>87</v>
      </c>
      <c r="H48" s="30"/>
      <c r="I48" s="31" t="s">
        <v>99</v>
      </c>
      <c r="J48" s="125">
        <v>1.8517178224452266</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24</v>
      </c>
      <c r="E51" t="s">
        <v>86</v>
      </c>
      <c r="H51" s="30" t="s">
        <v>106</v>
      </c>
      <c r="I51" s="32">
        <f>+D51*ROUNDUP(J48,0)</f>
        <v>48</v>
      </c>
      <c r="J51" s="28">
        <f>COUNT($J$48)</f>
        <v>1</v>
      </c>
      <c r="K51" s="32"/>
    </row>
    <row r="52" spans="2:11" x14ac:dyDescent="0.25">
      <c r="B52" t="s">
        <v>91</v>
      </c>
      <c r="C52" s="164" t="s">
        <v>727</v>
      </c>
      <c r="D52" s="164">
        <f>ROUNDUP(D48/D51,0)</f>
        <v>5</v>
      </c>
      <c r="E52" t="s">
        <v>96</v>
      </c>
      <c r="H52" s="30"/>
      <c r="I52" s="32">
        <f>+D52*I51</f>
        <v>240</v>
      </c>
      <c r="J52" s="28" t="b">
        <f>$D$55&lt;=$I$50</f>
        <v>1</v>
      </c>
      <c r="K52" s="32"/>
    </row>
    <row r="53" spans="2:11" x14ac:dyDescent="0.25">
      <c r="B53" t="s">
        <v>92</v>
      </c>
      <c r="C53" s="164" t="s">
        <v>728</v>
      </c>
      <c r="D53" s="165">
        <f>(((D20+D22+D23+D24+D29)*D52+(D21+D28)/ROUNDUP(J48,0))*(1+D32/100))/J48</f>
        <v>16.000008014653311</v>
      </c>
      <c r="E53" t="s">
        <v>30</v>
      </c>
      <c r="H53" s="30"/>
      <c r="J53" s="28">
        <f>{32767;32767;0.000001;0.01;FALSE;FALSE;FALSE;1;2;1;0.0001;TRUE}</f>
        <v>32767</v>
      </c>
      <c r="K53" s="32"/>
    </row>
    <row r="54" spans="2:11" ht="15.75" thickBot="1" x14ac:dyDescent="0.3">
      <c r="C54" t="s">
        <v>107</v>
      </c>
      <c r="D54" s="4">
        <f>+IF(D53&gt;D36,D53-D36,0)</f>
        <v>8.0000080146533108</v>
      </c>
      <c r="E54" t="s">
        <v>30</v>
      </c>
      <c r="H54" s="30"/>
      <c r="J54" s="29">
        <f>{0;0;1;100;0;FALSE;FALSE;0.075;0;0;FALSE;30}</f>
        <v>0</v>
      </c>
      <c r="K54" s="32"/>
    </row>
    <row r="55" spans="2:11" ht="15.75" thickBot="1" x14ac:dyDescent="0.3">
      <c r="C55" s="129" t="s">
        <v>94</v>
      </c>
      <c r="D55" s="130">
        <f>+IF(D53&gt;2*D36,D53-2*D36,0)</f>
        <v>8.0146533107949836E-6</v>
      </c>
      <c r="E55" s="129" t="s">
        <v>30</v>
      </c>
      <c r="H55" s="33"/>
      <c r="I55" s="34"/>
      <c r="J55" s="34"/>
      <c r="K55" s="35"/>
    </row>
    <row r="56" spans="2:11" x14ac:dyDescent="0.25">
      <c r="C56" t="s">
        <v>108</v>
      </c>
      <c r="D56" s="4">
        <f>+IF(D54=0,D36-D53,0)</f>
        <v>0</v>
      </c>
      <c r="E56" t="s">
        <v>30</v>
      </c>
    </row>
    <row r="57" spans="2:11" x14ac:dyDescent="0.25">
      <c r="C57" t="s">
        <v>98</v>
      </c>
      <c r="D57" s="4">
        <f>+IF(D55=0,IF((2*D36-D53)&gt;D36,8,2*D36-D53),0)</f>
        <v>0</v>
      </c>
      <c r="E57" t="s">
        <v>30</v>
      </c>
    </row>
    <row r="58" spans="2:11" x14ac:dyDescent="0.25">
      <c r="C58" s="164" t="s">
        <v>182</v>
      </c>
      <c r="D58" s="165">
        <f>+D53</f>
        <v>16.000008014653311</v>
      </c>
      <c r="E58" t="s">
        <v>30</v>
      </c>
    </row>
    <row r="59" spans="2:11" x14ac:dyDescent="0.25">
      <c r="C59" s="164" t="s">
        <v>95</v>
      </c>
      <c r="D59" s="166">
        <f>ROUNDDOWN(2*D36*(D52/D66)/D53,0)</f>
        <v>2</v>
      </c>
      <c r="E59" t="s">
        <v>96</v>
      </c>
      <c r="K59" s="36"/>
    </row>
    <row r="61" spans="2:11" hidden="1" x14ac:dyDescent="0.25">
      <c r="C61" t="s">
        <v>110</v>
      </c>
      <c r="D61" s="4">
        <f>+IF((D48-D36/D58*D51)&lt;0,0,D48-D36/D58*D51)</f>
        <v>88.781414010986992</v>
      </c>
      <c r="E61" t="s">
        <v>86</v>
      </c>
    </row>
    <row r="62" spans="2:11" hidden="1" x14ac:dyDescent="0.25">
      <c r="C62" t="s">
        <v>111</v>
      </c>
      <c r="D62" s="4">
        <f>+D48-D61</f>
        <v>11.999993989013021</v>
      </c>
      <c r="E62" t="s">
        <v>86</v>
      </c>
    </row>
    <row r="63" spans="2:11" hidden="1" x14ac:dyDescent="0.25">
      <c r="C63" t="s">
        <v>148</v>
      </c>
      <c r="D63" s="4">
        <f>IF(D53&lt;=2*D36,D48,2*D36/D58*D51)</f>
        <v>23.999987978026056</v>
      </c>
      <c r="E63" t="s">
        <v>86</v>
      </c>
    </row>
    <row r="64" spans="2:11" hidden="1" x14ac:dyDescent="0.25">
      <c r="C64" t="s">
        <v>97</v>
      </c>
      <c r="D64" s="4">
        <f>+IF((D48-D63)&lt;0,0,D48-D63)</f>
        <v>76.781420021973958</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96</v>
      </c>
      <c r="E68" t="s">
        <v>86</v>
      </c>
    </row>
    <row r="69" spans="3:5" x14ac:dyDescent="0.25">
      <c r="C69" t="s">
        <v>102</v>
      </c>
      <c r="D69" s="26">
        <f>+(D68/D48-1)</f>
        <v>-4.744335383764442E-2</v>
      </c>
    </row>
    <row r="70" spans="3:5" x14ac:dyDescent="0.25">
      <c r="C70" t="s">
        <v>119</v>
      </c>
      <c r="D70" s="166">
        <f>+D5+(D7+D8)*D52*2/D66+D9+D6/D66</f>
        <v>123.7</v>
      </c>
      <c r="E70" s="164" t="s">
        <v>244</v>
      </c>
    </row>
    <row r="71" spans="3:5" x14ac:dyDescent="0.25">
      <c r="C71" t="s">
        <v>118</v>
      </c>
      <c r="D71" s="141">
        <f>+D70*D66</f>
        <v>247.4</v>
      </c>
      <c r="E71" s="164" t="s">
        <v>244</v>
      </c>
    </row>
    <row r="72" spans="3:5" x14ac:dyDescent="0.25">
      <c r="C72" t="s">
        <v>123</v>
      </c>
      <c r="D72" s="165">
        <f>+D48/D66</f>
        <v>50.390704000000007</v>
      </c>
      <c r="E72" t="s">
        <v>87</v>
      </c>
    </row>
    <row r="73" spans="3:5" x14ac:dyDescent="0.25">
      <c r="C73" t="s">
        <v>123</v>
      </c>
      <c r="D73">
        <f>+D72*D47*D44*52</f>
        <v>5240.6332160000011</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3"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Macro_2T">
                <anchor moveWithCells="1" sizeWithCells="1">
                  <from>
                    <xdr:col>7</xdr:col>
                    <xdr:colOff>57150</xdr:colOff>
                    <xdr:row>62</xdr:row>
                    <xdr:rowOff>57150</xdr:rowOff>
                  </from>
                  <to>
                    <xdr:col>8</xdr:col>
                    <xdr:colOff>733425</xdr:colOff>
                    <xdr:row>65</xdr:row>
                    <xdr:rowOff>114300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6"/>
  <dimension ref="B1:L76"/>
  <sheetViews>
    <sheetView view="pageBreakPreview" topLeftCell="D4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112</v>
      </c>
    </row>
    <row r="2" spans="2:5" x14ac:dyDescent="0.25">
      <c r="B2" s="2" t="s">
        <v>113</v>
      </c>
      <c r="C2" t="str">
        <f>+Datos!C2</f>
        <v>Pehuajó</v>
      </c>
    </row>
    <row r="4" spans="2:5" x14ac:dyDescent="0.25">
      <c r="B4" s="2" t="s">
        <v>0</v>
      </c>
    </row>
    <row r="5" spans="2:5" x14ac:dyDescent="0.25">
      <c r="B5" t="s">
        <v>1</v>
      </c>
      <c r="C5" t="s">
        <v>2</v>
      </c>
      <c r="D5">
        <f>+Datos!D5</f>
        <v>0</v>
      </c>
      <c r="E5" t="s">
        <v>3</v>
      </c>
    </row>
    <row r="6" spans="2:5" x14ac:dyDescent="0.25">
      <c r="B6" t="s">
        <v>4</v>
      </c>
      <c r="C6" t="s">
        <v>5</v>
      </c>
      <c r="D6" s="150">
        <f>+Datos!D6</f>
        <v>191</v>
      </c>
      <c r="E6" t="s">
        <v>3</v>
      </c>
    </row>
    <row r="7" spans="2:5" x14ac:dyDescent="0.25">
      <c r="B7" t="s">
        <v>6</v>
      </c>
      <c r="C7" t="s">
        <v>8</v>
      </c>
      <c r="D7">
        <f>+Datos!D7</f>
        <v>4.7</v>
      </c>
      <c r="E7" t="s">
        <v>3</v>
      </c>
    </row>
    <row r="8" spans="2:5" x14ac:dyDescent="0.25">
      <c r="B8" t="s">
        <v>7</v>
      </c>
      <c r="C8" t="s">
        <v>9</v>
      </c>
      <c r="D8">
        <f>+Datos!D8</f>
        <v>0</v>
      </c>
      <c r="E8" t="s">
        <v>3</v>
      </c>
    </row>
    <row r="9" spans="2:5" x14ac:dyDescent="0.25">
      <c r="B9" t="s">
        <v>10</v>
      </c>
      <c r="C9" t="s">
        <v>11</v>
      </c>
      <c r="D9">
        <f>+Datos!D9</f>
        <v>4.7</v>
      </c>
      <c r="E9" t="s">
        <v>3</v>
      </c>
    </row>
    <row r="11" spans="2:5" x14ac:dyDescent="0.25">
      <c r="B11" s="2" t="s">
        <v>12</v>
      </c>
    </row>
    <row r="12" spans="2:5" x14ac:dyDescent="0.25">
      <c r="B12" t="s">
        <v>13</v>
      </c>
      <c r="C12" t="s">
        <v>18</v>
      </c>
      <c r="D12">
        <f>+Datos!D12</f>
        <v>50</v>
      </c>
      <c r="E12" t="s">
        <v>23</v>
      </c>
    </row>
    <row r="13" spans="2:5" x14ac:dyDescent="0.25">
      <c r="B13" t="s">
        <v>14</v>
      </c>
      <c r="C13" t="s">
        <v>19</v>
      </c>
      <c r="D13">
        <f>+Datos!D13</f>
        <v>10</v>
      </c>
      <c r="E13" t="s">
        <v>23</v>
      </c>
    </row>
    <row r="14" spans="2:5" x14ac:dyDescent="0.25">
      <c r="B14" t="s">
        <v>15</v>
      </c>
      <c r="C14" t="s">
        <v>20</v>
      </c>
      <c r="D14">
        <f>+Datos!D14</f>
        <v>31.333333333333336</v>
      </c>
      <c r="E14" t="s">
        <v>23</v>
      </c>
    </row>
    <row r="15" spans="2:5" x14ac:dyDescent="0.25">
      <c r="B15" t="s">
        <v>16</v>
      </c>
      <c r="C15" t="s">
        <v>21</v>
      </c>
      <c r="D15">
        <f>+Datos!D15</f>
        <v>40</v>
      </c>
      <c r="E15" t="s">
        <v>23</v>
      </c>
    </row>
    <row r="16" spans="2:5" x14ac:dyDescent="0.25">
      <c r="B16" t="s">
        <v>17</v>
      </c>
      <c r="C16" t="s">
        <v>22</v>
      </c>
      <c r="D16">
        <f>+Datos!D16</f>
        <v>31.333333333333336</v>
      </c>
      <c r="E16" t="s">
        <v>23</v>
      </c>
    </row>
    <row r="18" spans="2:5" x14ac:dyDescent="0.25">
      <c r="B18" s="2" t="s">
        <v>24</v>
      </c>
    </row>
    <row r="19" spans="2:5" x14ac:dyDescent="0.25">
      <c r="B19" s="3" t="s">
        <v>39</v>
      </c>
    </row>
    <row r="20" spans="2:5" x14ac:dyDescent="0.25">
      <c r="B20" t="s">
        <v>25</v>
      </c>
      <c r="C20" t="s">
        <v>31</v>
      </c>
      <c r="D20" s="4">
        <f>+Datos!D20</f>
        <v>0</v>
      </c>
      <c r="E20" t="s">
        <v>30</v>
      </c>
    </row>
    <row r="21" spans="2:5" x14ac:dyDescent="0.25">
      <c r="B21" t="s">
        <v>26</v>
      </c>
      <c r="C21" t="s">
        <v>32</v>
      </c>
      <c r="D21" s="4">
        <f>+Datos!D21</f>
        <v>19.100000000000001</v>
      </c>
      <c r="E21" t="s">
        <v>30</v>
      </c>
    </row>
    <row r="22" spans="2:5" x14ac:dyDescent="0.25">
      <c r="B22" t="s">
        <v>27</v>
      </c>
      <c r="C22" t="s">
        <v>33</v>
      </c>
      <c r="D22" s="4">
        <f>+Datos!D22</f>
        <v>0.15</v>
      </c>
      <c r="E22" t="s">
        <v>30</v>
      </c>
    </row>
    <row r="23" spans="2:5" x14ac:dyDescent="0.25">
      <c r="B23" t="s">
        <v>28</v>
      </c>
      <c r="C23" t="s">
        <v>34</v>
      </c>
      <c r="D23" s="4">
        <f>+Datos!D23</f>
        <v>0</v>
      </c>
      <c r="E23" t="s">
        <v>30</v>
      </c>
    </row>
    <row r="24" spans="2:5" x14ac:dyDescent="0.25">
      <c r="B24" t="s">
        <v>29</v>
      </c>
      <c r="C24" t="s">
        <v>35</v>
      </c>
      <c r="D24" s="4">
        <f>+Datos!D24</f>
        <v>0.15</v>
      </c>
      <c r="E24" t="s">
        <v>30</v>
      </c>
    </row>
    <row r="25" spans="2:5" x14ac:dyDescent="0.25">
      <c r="B25" s="3" t="s">
        <v>40</v>
      </c>
    </row>
    <row r="26" spans="2:5" x14ac:dyDescent="0.25">
      <c r="B26" s="3"/>
      <c r="C26" t="s">
        <v>48</v>
      </c>
      <c r="D26">
        <f>+Datos!D26</f>
        <v>382</v>
      </c>
      <c r="E26" t="s">
        <v>49</v>
      </c>
    </row>
    <row r="27" spans="2:5" x14ac:dyDescent="0.25">
      <c r="C27" t="s">
        <v>50</v>
      </c>
      <c r="D27">
        <f>+Datos!D27</f>
        <v>5</v>
      </c>
      <c r="E27" t="s">
        <v>52</v>
      </c>
    </row>
    <row r="28" spans="2:5" x14ac:dyDescent="0.25">
      <c r="B28" t="s">
        <v>36</v>
      </c>
      <c r="C28" t="s">
        <v>51</v>
      </c>
      <c r="D28" s="4">
        <f>+Datos!D28</f>
        <v>31.833333333333332</v>
      </c>
      <c r="E28" t="s">
        <v>30</v>
      </c>
    </row>
    <row r="29" spans="2:5" x14ac:dyDescent="0.25">
      <c r="B29" t="s">
        <v>38</v>
      </c>
      <c r="C29" t="s">
        <v>37</v>
      </c>
      <c r="D29">
        <f>+Datos!D29</f>
        <v>0.25</v>
      </c>
      <c r="E29" t="s">
        <v>52</v>
      </c>
    </row>
    <row r="30" spans="2:5" x14ac:dyDescent="0.25">
      <c r="B30" s="3" t="s">
        <v>44</v>
      </c>
    </row>
    <row r="31" spans="2:5" x14ac:dyDescent="0.25">
      <c r="B31" t="s">
        <v>41</v>
      </c>
      <c r="C31" t="s">
        <v>45</v>
      </c>
      <c r="D31" s="4">
        <f>+Datos!D31</f>
        <v>51.483333333333334</v>
      </c>
      <c r="E31" t="s">
        <v>30</v>
      </c>
    </row>
    <row r="32" spans="2:5" x14ac:dyDescent="0.25">
      <c r="C32" t="s">
        <v>43</v>
      </c>
      <c r="D32">
        <f>+Datos!D32</f>
        <v>5</v>
      </c>
      <c r="E32" t="s">
        <v>46</v>
      </c>
    </row>
    <row r="33" spans="2:12" x14ac:dyDescent="0.25">
      <c r="B33" t="s">
        <v>47</v>
      </c>
      <c r="C33" t="s">
        <v>42</v>
      </c>
      <c r="D33" s="4">
        <f>+Datos!D33</f>
        <v>2.5741666666666667</v>
      </c>
      <c r="E33" t="s">
        <v>30</v>
      </c>
    </row>
    <row r="34" spans="2:12" x14ac:dyDescent="0.25">
      <c r="B34" s="5" t="s">
        <v>53</v>
      </c>
    </row>
    <row r="35" spans="2:12" x14ac:dyDescent="0.25">
      <c r="B35" s="23" t="s">
        <v>54</v>
      </c>
      <c r="C35" s="23" t="s">
        <v>55</v>
      </c>
      <c r="D35" s="24">
        <f>+Datos!D35</f>
        <v>54.057500000000005</v>
      </c>
      <c r="E35" s="23" t="s">
        <v>30</v>
      </c>
    </row>
    <row r="36" spans="2:12" x14ac:dyDescent="0.25">
      <c r="B36" s="23"/>
      <c r="C36" t="s">
        <v>93</v>
      </c>
      <c r="D36">
        <f>+Datos!D36</f>
        <v>8</v>
      </c>
      <c r="E36" t="s">
        <v>30</v>
      </c>
    </row>
    <row r="38" spans="2:12" x14ac:dyDescent="0.25">
      <c r="B38" s="2" t="s">
        <v>56</v>
      </c>
    </row>
    <row r="39" spans="2:12" x14ac:dyDescent="0.25">
      <c r="B39" t="s">
        <v>57</v>
      </c>
      <c r="C39" t="s">
        <v>58</v>
      </c>
      <c r="D39" s="140">
        <f>+Datos!D39</f>
        <v>36568</v>
      </c>
      <c r="E39" t="s">
        <v>59</v>
      </c>
    </row>
    <row r="40" spans="2:12" x14ac:dyDescent="0.25">
      <c r="B40" t="s">
        <v>60</v>
      </c>
      <c r="C40" t="s">
        <v>61</v>
      </c>
      <c r="D40">
        <f>+Datos!D40</f>
        <v>1.06</v>
      </c>
      <c r="E40" t="s">
        <v>62</v>
      </c>
    </row>
    <row r="41" spans="2:12" x14ac:dyDescent="0.25">
      <c r="B41" t="s">
        <v>63</v>
      </c>
      <c r="C41" t="s">
        <v>64</v>
      </c>
      <c r="D41">
        <f>+Datos!D41</f>
        <v>38.762080000000005</v>
      </c>
      <c r="E41" t="s">
        <v>65</v>
      </c>
    </row>
    <row r="42" spans="2:12" x14ac:dyDescent="0.25">
      <c r="C42" t="s">
        <v>66</v>
      </c>
      <c r="D42">
        <f>+Datos!D42</f>
        <v>100</v>
      </c>
      <c r="E42" t="s">
        <v>46</v>
      </c>
    </row>
    <row r="43" spans="2:12" x14ac:dyDescent="0.25">
      <c r="B43" t="s">
        <v>67</v>
      </c>
      <c r="C43" t="s">
        <v>80</v>
      </c>
      <c r="D43">
        <f>+Datos!D43</f>
        <v>25.195352000000003</v>
      </c>
      <c r="E43" t="s">
        <v>65</v>
      </c>
    </row>
    <row r="44" spans="2:12" x14ac:dyDescent="0.25">
      <c r="B44" t="s">
        <v>68</v>
      </c>
      <c r="C44" t="s">
        <v>69</v>
      </c>
      <c r="D44">
        <f>+Datos!D44</f>
        <v>4</v>
      </c>
      <c r="E44" t="s">
        <v>70</v>
      </c>
    </row>
    <row r="45" spans="2:12" x14ac:dyDescent="0.25">
      <c r="C45" t="s">
        <v>79</v>
      </c>
      <c r="D45">
        <f>+Datos!D45</f>
        <v>2</v>
      </c>
      <c r="F45" s="36"/>
    </row>
    <row r="46" spans="2:12" ht="15.75" thickBot="1" x14ac:dyDescent="0.3">
      <c r="B46" t="s">
        <v>81</v>
      </c>
      <c r="C46" t="s">
        <v>85</v>
      </c>
      <c r="D46">
        <f>+Datos!D46</f>
        <v>50.390704000000007</v>
      </c>
      <c r="E46" t="s">
        <v>65</v>
      </c>
    </row>
    <row r="47" spans="2:12" ht="15.75" thickBot="1" x14ac:dyDescent="0.3">
      <c r="C47" t="s">
        <v>83</v>
      </c>
      <c r="D47">
        <f>+Datos!D47</f>
        <v>0.5</v>
      </c>
      <c r="E47" t="s">
        <v>84</v>
      </c>
      <c r="H47" s="839" t="s">
        <v>100</v>
      </c>
      <c r="I47" s="840"/>
      <c r="J47" s="840"/>
      <c r="K47" s="841"/>
    </row>
    <row r="48" spans="2:12" x14ac:dyDescent="0.25">
      <c r="C48" s="23" t="s">
        <v>85</v>
      </c>
      <c r="D48" s="131">
        <f>+Datos!D48</f>
        <v>100.78140800000001</v>
      </c>
      <c r="E48" s="23" t="s">
        <v>87</v>
      </c>
      <c r="H48" s="30"/>
      <c r="I48" s="31" t="s">
        <v>99</v>
      </c>
      <c r="J48" s="1">
        <v>2.58923099362302</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24</v>
      </c>
      <c r="E51" t="s">
        <v>86</v>
      </c>
      <c r="H51" s="30" t="s">
        <v>106</v>
      </c>
      <c r="I51" s="32">
        <f>+D51*ROUNDUP(J48,0)</f>
        <v>72</v>
      </c>
      <c r="J51" s="28">
        <f>COUNT($J$48)</f>
        <v>1</v>
      </c>
      <c r="K51" s="32"/>
    </row>
    <row r="52" spans="2:11" x14ac:dyDescent="0.25">
      <c r="B52" t="s">
        <v>91</v>
      </c>
      <c r="C52" s="164" t="s">
        <v>727</v>
      </c>
      <c r="D52" s="164">
        <f>ROUNDUP(D48/D51,0)</f>
        <v>5</v>
      </c>
      <c r="E52" t="s">
        <v>96</v>
      </c>
      <c r="H52" s="30"/>
      <c r="I52" s="32">
        <f>+D52*I51</f>
        <v>360</v>
      </c>
      <c r="J52" s="28" t="b">
        <f>$D$55&lt;=$I$50</f>
        <v>1</v>
      </c>
      <c r="K52" s="32"/>
    </row>
    <row r="53" spans="2:11" x14ac:dyDescent="0.25">
      <c r="B53" t="s">
        <v>92</v>
      </c>
      <c r="C53" s="164" t="s">
        <v>728</v>
      </c>
      <c r="D53" s="165">
        <f>(((D20+D22+D23+D24+D29)*D52+(D21+D28)/ROUNDUP(J48,0))*(1+D32/100))/J48</f>
        <v>8.0001230935684351</v>
      </c>
      <c r="E53" t="s">
        <v>30</v>
      </c>
      <c r="H53" s="30"/>
      <c r="J53" s="28">
        <f>{32767;32767;0.000001;0.01;FALSE;FALSE;FALSE;1;2;1;0.0001;TRUE}</f>
        <v>32767</v>
      </c>
      <c r="K53" s="32"/>
    </row>
    <row r="54" spans="2:11" ht="15.75" thickBot="1" x14ac:dyDescent="0.3">
      <c r="C54" s="127" t="s">
        <v>107</v>
      </c>
      <c r="D54" s="128">
        <f>+IF(D53&gt;D36,D53-D36,0)</f>
        <v>1.2309356843509534E-4</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x14ac:dyDescent="0.25">
      <c r="C56" t="s">
        <v>108</v>
      </c>
      <c r="D56" s="4">
        <f>+IF(D54=0,D36-D53,0)</f>
        <v>0</v>
      </c>
      <c r="E56" t="s">
        <v>30</v>
      </c>
    </row>
    <row r="57" spans="2:11" x14ac:dyDescent="0.25">
      <c r="C57" t="s">
        <v>98</v>
      </c>
      <c r="D57" s="4">
        <f>+IF(D55=0,IF((2*D36-D53)&gt;D36,8,2*D36-D53),0)</f>
        <v>7.9998769064315649</v>
      </c>
      <c r="E57" t="s">
        <v>30</v>
      </c>
    </row>
    <row r="58" spans="2:11" x14ac:dyDescent="0.25">
      <c r="C58" s="164" t="s">
        <v>182</v>
      </c>
      <c r="D58" s="165">
        <f>+D53</f>
        <v>8.0001230935684351</v>
      </c>
      <c r="E58" t="s">
        <v>30</v>
      </c>
    </row>
    <row r="59" spans="2:11" x14ac:dyDescent="0.25">
      <c r="C59" s="164" t="s">
        <v>95</v>
      </c>
      <c r="D59" s="166">
        <f>ROUNDDOWN(2*D36*(D52/D66)/D53,0)</f>
        <v>3</v>
      </c>
      <c r="E59" t="s">
        <v>96</v>
      </c>
      <c r="K59" s="36"/>
    </row>
    <row r="61" spans="2:11" hidden="1" x14ac:dyDescent="0.25">
      <c r="C61" t="s">
        <v>110</v>
      </c>
      <c r="D61" s="4">
        <f>+IF((D48-D36/D58*D51)&lt;0,0,D48-D36/D58*D51)</f>
        <v>76.781777275023401</v>
      </c>
      <c r="E61" t="s">
        <v>86</v>
      </c>
    </row>
    <row r="62" spans="2:11" hidden="1" x14ac:dyDescent="0.25">
      <c r="C62" t="s">
        <v>111</v>
      </c>
      <c r="D62" s="4">
        <f>+D48-D61</f>
        <v>23.999630724976612</v>
      </c>
      <c r="E62" t="s">
        <v>86</v>
      </c>
    </row>
    <row r="63" spans="2:11" hidden="1" x14ac:dyDescent="0.25">
      <c r="C63" t="s">
        <v>148</v>
      </c>
      <c r="D63" s="4">
        <f>IF(D53&lt;=2*D36,D48,2*D36/D58*D51)</f>
        <v>100.78140800000001</v>
      </c>
      <c r="E63" t="s">
        <v>86</v>
      </c>
    </row>
    <row r="64" spans="2:11" hidden="1" x14ac:dyDescent="0.25">
      <c r="C64" t="s">
        <v>97</v>
      </c>
      <c r="D64" s="4">
        <f>+IF((D48-D63)&lt;0,0,D48-D63)</f>
        <v>0</v>
      </c>
      <c r="E64" t="s">
        <v>86</v>
      </c>
    </row>
    <row r="66" spans="3:5" x14ac:dyDescent="0.25">
      <c r="C66" s="2" t="s">
        <v>103</v>
      </c>
      <c r="D66" s="542">
        <f>ROUNDUP(J48,0)</f>
        <v>3</v>
      </c>
      <c r="E66" t="s">
        <v>101</v>
      </c>
    </row>
    <row r="67" spans="3:5" x14ac:dyDescent="0.25">
      <c r="C67" t="s">
        <v>117</v>
      </c>
      <c r="D67" s="36">
        <v>1</v>
      </c>
    </row>
    <row r="68" spans="3:5" x14ac:dyDescent="0.25">
      <c r="C68" t="s">
        <v>104</v>
      </c>
      <c r="D68" s="165">
        <f>+D59*D66*D51</f>
        <v>216</v>
      </c>
      <c r="E68" t="s">
        <v>86</v>
      </c>
    </row>
    <row r="69" spans="3:5" x14ac:dyDescent="0.25">
      <c r="C69" t="s">
        <v>102</v>
      </c>
      <c r="D69" s="26">
        <f>+(D68/D48-1)</f>
        <v>1.1432524538652999</v>
      </c>
    </row>
    <row r="70" spans="3:5" x14ac:dyDescent="0.25">
      <c r="C70" t="s">
        <v>119</v>
      </c>
      <c r="D70" s="166">
        <f>+D5+(D7+D8)*D52*2/D66+D9+D6/D66</f>
        <v>84.033333333333331</v>
      </c>
      <c r="E70" s="164" t="s">
        <v>244</v>
      </c>
    </row>
    <row r="71" spans="3:5" x14ac:dyDescent="0.25">
      <c r="C71" t="s">
        <v>118</v>
      </c>
      <c r="D71" s="141">
        <f>+D70*D66</f>
        <v>252.1</v>
      </c>
      <c r="E71" s="164" t="s">
        <v>244</v>
      </c>
    </row>
    <row r="72" spans="3:5" x14ac:dyDescent="0.25">
      <c r="C72" t="s">
        <v>123</v>
      </c>
      <c r="D72" s="165">
        <f>+D48/D66</f>
        <v>33.593802666666669</v>
      </c>
      <c r="E72" t="s">
        <v>87</v>
      </c>
    </row>
    <row r="73" spans="3:5" x14ac:dyDescent="0.25">
      <c r="C73" t="s">
        <v>123</v>
      </c>
      <c r="D73">
        <f>+D72*D47*D44*52</f>
        <v>3493.7554773333336</v>
      </c>
      <c r="E73" t="s">
        <v>124</v>
      </c>
    </row>
    <row r="74" spans="3:5" x14ac:dyDescent="0.25">
      <c r="D74" s="4"/>
    </row>
    <row r="75" spans="3:5" x14ac:dyDescent="0.25">
      <c r="D75" s="4"/>
    </row>
    <row r="76" spans="3:5" x14ac:dyDescent="0.25">
      <c r="D76" s="4"/>
    </row>
  </sheetData>
  <scenarios current="1">
    <scenario name="Número camiones v1" count="1" user="Revisor A" comment="Creado por Revisor A el 3/16/2014">
      <inputCells r="J48" val="9.8"/>
    </scenario>
    <scenario name="Número camiones v2" count="1" user="Revisor A" comment="Creado por Revisor A el 3/16/2014">
      <inputCells r="J48" val="9.8"/>
    </scenario>
  </scenarios>
  <mergeCells count="1">
    <mergeCell ref="H47:K47"/>
  </mergeCells>
  <conditionalFormatting sqref="D64">
    <cfRule type="cellIs" dxfId="32"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92" r:id="rId4" name="Button 4">
              <controlPr defaultSize="0" print="0" autoFill="0" autoPict="0" macro="[0]!Macro_1T">
                <anchor moveWithCells="1">
                  <from>
                    <xdr:col>7</xdr:col>
                    <xdr:colOff>57150</xdr:colOff>
                    <xdr:row>63</xdr:row>
                    <xdr:rowOff>57150</xdr:rowOff>
                  </from>
                  <to>
                    <xdr:col>8</xdr:col>
                    <xdr:colOff>733425</xdr:colOff>
                    <xdr:row>67</xdr:row>
                    <xdr:rowOff>57150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2"/>
  <dimension ref="A1:I20"/>
  <sheetViews>
    <sheetView workbookViewId="0">
      <selection activeCell="C9" sqref="C9:F9"/>
    </sheetView>
  </sheetViews>
  <sheetFormatPr baseColWidth="10" defaultRowHeight="15" x14ac:dyDescent="0.25"/>
  <sheetData>
    <row r="1" spans="1:9" x14ac:dyDescent="0.25">
      <c r="A1" s="2" t="s">
        <v>78</v>
      </c>
    </row>
    <row r="2" spans="1:9" ht="15.75" thickBot="1" x14ac:dyDescent="0.3"/>
    <row r="3" spans="1:9" ht="45.75" thickBot="1" x14ac:dyDescent="0.3">
      <c r="A3" s="10" t="s">
        <v>68</v>
      </c>
      <c r="B3" s="10" t="s">
        <v>71</v>
      </c>
      <c r="C3" s="11" t="s">
        <v>72</v>
      </c>
      <c r="D3" s="11" t="s">
        <v>72</v>
      </c>
      <c r="E3" s="11" t="s">
        <v>73</v>
      </c>
      <c r="F3" s="11" t="s">
        <v>74</v>
      </c>
      <c r="G3" s="11" t="s">
        <v>75</v>
      </c>
      <c r="H3" s="12" t="s">
        <v>76</v>
      </c>
      <c r="I3" s="9" t="s">
        <v>82</v>
      </c>
    </row>
    <row r="4" spans="1:9" x14ac:dyDescent="0.25">
      <c r="A4" s="7">
        <v>7</v>
      </c>
      <c r="B4" s="13" t="s">
        <v>77</v>
      </c>
      <c r="C4" s="14" t="s">
        <v>77</v>
      </c>
      <c r="D4" s="14" t="s">
        <v>77</v>
      </c>
      <c r="E4" s="14" t="s">
        <v>77</v>
      </c>
      <c r="F4" s="14" t="s">
        <v>77</v>
      </c>
      <c r="G4" s="14" t="s">
        <v>77</v>
      </c>
      <c r="H4" s="15" t="s">
        <v>77</v>
      </c>
      <c r="I4" s="8">
        <v>1</v>
      </c>
    </row>
    <row r="5" spans="1:9" x14ac:dyDescent="0.25">
      <c r="A5" s="7">
        <v>6</v>
      </c>
      <c r="B5" s="13" t="s">
        <v>77</v>
      </c>
      <c r="C5" s="14" t="s">
        <v>77</v>
      </c>
      <c r="D5" s="14" t="s">
        <v>77</v>
      </c>
      <c r="E5" s="14" t="s">
        <v>77</v>
      </c>
      <c r="F5" s="14" t="s">
        <v>77</v>
      </c>
      <c r="G5" s="14" t="s">
        <v>77</v>
      </c>
      <c r="H5" s="16"/>
      <c r="I5" s="8">
        <v>2</v>
      </c>
    </row>
    <row r="6" spans="1:9" x14ac:dyDescent="0.25">
      <c r="A6" s="7">
        <v>5</v>
      </c>
      <c r="B6" s="13" t="s">
        <v>77</v>
      </c>
      <c r="C6" s="17"/>
      <c r="D6" s="14" t="s">
        <v>77</v>
      </c>
      <c r="E6" s="14" t="s">
        <v>77</v>
      </c>
      <c r="F6" s="14" t="s">
        <v>77</v>
      </c>
      <c r="G6" s="14" t="s">
        <v>77</v>
      </c>
      <c r="H6" s="16"/>
      <c r="I6" s="8">
        <v>2</v>
      </c>
    </row>
    <row r="7" spans="1:9" x14ac:dyDescent="0.25">
      <c r="A7" s="7">
        <v>4</v>
      </c>
      <c r="B7" s="13" t="s">
        <v>77</v>
      </c>
      <c r="C7" s="17"/>
      <c r="D7" s="14" t="s">
        <v>77</v>
      </c>
      <c r="E7" s="17"/>
      <c r="F7" s="14" t="s">
        <v>77</v>
      </c>
      <c r="G7" s="14" t="s">
        <v>77</v>
      </c>
      <c r="H7" s="16"/>
      <c r="I7" s="8">
        <v>2</v>
      </c>
    </row>
    <row r="8" spans="1:9" x14ac:dyDescent="0.25">
      <c r="A8" s="7">
        <v>3</v>
      </c>
      <c r="B8" s="13" t="s">
        <v>77</v>
      </c>
      <c r="C8" s="17"/>
      <c r="D8" s="14" t="s">
        <v>77</v>
      </c>
      <c r="E8" s="17"/>
      <c r="F8" s="14" t="s">
        <v>77</v>
      </c>
      <c r="G8" s="17"/>
      <c r="H8" s="16"/>
      <c r="I8" s="8">
        <v>3</v>
      </c>
    </row>
    <row r="9" spans="1:9" x14ac:dyDescent="0.25">
      <c r="A9" s="7">
        <v>2</v>
      </c>
      <c r="B9" s="18"/>
      <c r="C9" s="14" t="s">
        <v>77</v>
      </c>
      <c r="D9" s="17"/>
      <c r="E9" s="17"/>
      <c r="F9" s="14" t="s">
        <v>77</v>
      </c>
      <c r="G9" s="17"/>
      <c r="H9" s="16"/>
      <c r="I9" s="8">
        <v>4</v>
      </c>
    </row>
    <row r="10" spans="1:9" ht="15.75" thickBot="1" x14ac:dyDescent="0.3">
      <c r="A10" s="7">
        <v>1</v>
      </c>
      <c r="B10" s="19"/>
      <c r="C10" s="20"/>
      <c r="D10" s="20"/>
      <c r="E10" s="20"/>
      <c r="F10" s="21" t="s">
        <v>77</v>
      </c>
      <c r="G10" s="20"/>
      <c r="H10" s="22"/>
      <c r="I10" s="8">
        <v>7</v>
      </c>
    </row>
    <row r="13" spans="1:9" ht="15.75" thickBot="1" x14ac:dyDescent="0.3">
      <c r="A13" s="2" t="s">
        <v>171</v>
      </c>
    </row>
    <row r="14" spans="1:9" x14ac:dyDescent="0.25">
      <c r="A14" s="152">
        <v>1</v>
      </c>
      <c r="B14" s="153">
        <f>+I10</f>
        <v>7</v>
      </c>
    </row>
    <row r="15" spans="1:9" x14ac:dyDescent="0.25">
      <c r="A15" s="30">
        <v>2</v>
      </c>
      <c r="B15" s="32">
        <f>+I9</f>
        <v>4</v>
      </c>
    </row>
    <row r="16" spans="1:9" x14ac:dyDescent="0.25">
      <c r="A16" s="30">
        <v>3</v>
      </c>
      <c r="B16" s="32">
        <f>+I8</f>
        <v>3</v>
      </c>
    </row>
    <row r="17" spans="1:2" x14ac:dyDescent="0.25">
      <c r="A17" s="30">
        <v>4</v>
      </c>
      <c r="B17" s="32">
        <f>+I7</f>
        <v>2</v>
      </c>
    </row>
    <row r="18" spans="1:2" x14ac:dyDescent="0.25">
      <c r="A18" s="30">
        <v>5</v>
      </c>
      <c r="B18" s="32">
        <f>+I6</f>
        <v>2</v>
      </c>
    </row>
    <row r="19" spans="1:2" x14ac:dyDescent="0.25">
      <c r="A19" s="30">
        <v>6</v>
      </c>
      <c r="B19" s="32">
        <f>+I5</f>
        <v>2</v>
      </c>
    </row>
    <row r="20" spans="1:2" ht="15.75" thickBot="1" x14ac:dyDescent="0.3">
      <c r="A20" s="33">
        <v>7</v>
      </c>
      <c r="B20" s="35">
        <f>+I4</f>
        <v>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42"/>
  <dimension ref="A1:G55"/>
  <sheetViews>
    <sheetView view="pageBreakPreview" zoomScale="90" zoomScaleNormal="10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5.7109375" style="38" customWidth="1"/>
    <col min="4" max="4" width="10.42578125" style="38" customWidth="1"/>
    <col min="5" max="5" width="12.7109375" style="38" bestFit="1" customWidth="1"/>
    <col min="6" max="6" width="10.28515625" style="38" customWidth="1"/>
    <col min="7" max="257" width="9.140625" style="38" customWidth="1"/>
    <col min="258" max="258" width="40.85546875" style="38" bestFit="1" customWidth="1"/>
    <col min="259" max="513" width="9.140625" style="38" customWidth="1"/>
    <col min="514" max="514" width="40.85546875" style="38" bestFit="1" customWidth="1"/>
    <col min="515" max="769" width="9.140625" style="38" customWidth="1"/>
    <col min="770" max="770" width="40.85546875" style="38" bestFit="1" customWidth="1"/>
    <col min="771" max="1025" width="9.140625" style="38" customWidth="1"/>
    <col min="1026" max="1026" width="40.85546875" style="38" bestFit="1" customWidth="1"/>
    <col min="1027" max="1281" width="9.140625" style="38" customWidth="1"/>
    <col min="1282" max="1282" width="40.85546875" style="38" bestFit="1" customWidth="1"/>
    <col min="1283" max="1537" width="9.140625" style="38" customWidth="1"/>
    <col min="1538" max="1538" width="40.85546875" style="38" bestFit="1" customWidth="1"/>
    <col min="1539" max="1793" width="9.140625" style="38" customWidth="1"/>
    <col min="1794" max="1794" width="40.85546875" style="38" bestFit="1" customWidth="1"/>
    <col min="1795" max="2049" width="9.140625" style="38" customWidth="1"/>
    <col min="2050" max="2050" width="40.85546875" style="38" bestFit="1" customWidth="1"/>
    <col min="2051" max="2305" width="9.140625" style="38" customWidth="1"/>
    <col min="2306" max="2306" width="40.85546875" style="38" bestFit="1" customWidth="1"/>
    <col min="2307" max="2561" width="9.140625" style="38" customWidth="1"/>
    <col min="2562" max="2562" width="40.85546875" style="38" bestFit="1" customWidth="1"/>
    <col min="2563" max="2817" width="9.140625" style="38" customWidth="1"/>
    <col min="2818" max="2818" width="40.85546875" style="38" bestFit="1" customWidth="1"/>
    <col min="2819" max="3073" width="9.140625" style="38" customWidth="1"/>
    <col min="3074" max="3074" width="40.85546875" style="38" bestFit="1" customWidth="1"/>
    <col min="3075" max="3329" width="9.140625" style="38" customWidth="1"/>
    <col min="3330" max="3330" width="40.85546875" style="38" bestFit="1" customWidth="1"/>
    <col min="3331" max="3585" width="9.140625" style="38" customWidth="1"/>
    <col min="3586" max="3586" width="40.85546875" style="38" bestFit="1" customWidth="1"/>
    <col min="3587" max="3841" width="9.140625" style="38" customWidth="1"/>
    <col min="3842" max="3842" width="40.85546875" style="38" bestFit="1" customWidth="1"/>
    <col min="3843" max="4097" width="9.140625" style="38" customWidth="1"/>
    <col min="4098" max="4098" width="40.85546875" style="38" bestFit="1" customWidth="1"/>
    <col min="4099" max="4353" width="9.140625" style="38" customWidth="1"/>
    <col min="4354" max="4354" width="40.85546875" style="38" bestFit="1" customWidth="1"/>
    <col min="4355" max="4609" width="9.140625" style="38" customWidth="1"/>
    <col min="4610" max="4610" width="40.85546875" style="38" bestFit="1" customWidth="1"/>
    <col min="4611" max="4865" width="9.140625" style="38" customWidth="1"/>
    <col min="4866" max="4866" width="40.85546875" style="38" bestFit="1" customWidth="1"/>
    <col min="4867" max="5121" width="9.140625" style="38" customWidth="1"/>
    <col min="5122" max="5122" width="40.85546875" style="38" bestFit="1" customWidth="1"/>
    <col min="5123" max="5377" width="9.140625" style="38" customWidth="1"/>
    <col min="5378" max="5378" width="40.85546875" style="38" bestFit="1" customWidth="1"/>
    <col min="5379" max="5633" width="9.140625" style="38" customWidth="1"/>
    <col min="5634" max="5634" width="40.85546875" style="38" bestFit="1" customWidth="1"/>
    <col min="5635" max="5889" width="9.140625" style="38" customWidth="1"/>
    <col min="5890" max="5890" width="40.85546875" style="38" bestFit="1" customWidth="1"/>
    <col min="5891" max="6145" width="9.140625" style="38" customWidth="1"/>
    <col min="6146" max="6146" width="40.85546875" style="38" bestFit="1" customWidth="1"/>
    <col min="6147" max="6401" width="9.140625" style="38" customWidth="1"/>
    <col min="6402" max="6402" width="40.85546875" style="38" bestFit="1" customWidth="1"/>
    <col min="6403" max="6657" width="9.140625" style="38" customWidth="1"/>
    <col min="6658" max="6658" width="40.85546875" style="38" bestFit="1" customWidth="1"/>
    <col min="6659" max="6913" width="9.140625" style="38" customWidth="1"/>
    <col min="6914" max="6914" width="40.85546875" style="38" bestFit="1" customWidth="1"/>
    <col min="6915" max="7169" width="9.140625" style="38" customWidth="1"/>
    <col min="7170" max="7170" width="40.85546875" style="38" bestFit="1" customWidth="1"/>
    <col min="7171" max="7425" width="9.140625" style="38" customWidth="1"/>
    <col min="7426" max="7426" width="40.85546875" style="38" bestFit="1" customWidth="1"/>
    <col min="7427" max="7681" width="9.140625" style="38" customWidth="1"/>
    <col min="7682" max="7682" width="40.85546875" style="38" bestFit="1" customWidth="1"/>
    <col min="7683" max="7937" width="9.140625" style="38" customWidth="1"/>
    <col min="7938" max="7938" width="40.85546875" style="38" bestFit="1" customWidth="1"/>
    <col min="7939" max="8193" width="9.140625" style="38" customWidth="1"/>
    <col min="8194" max="8194" width="40.85546875" style="38" bestFit="1" customWidth="1"/>
    <col min="8195" max="8449" width="9.140625" style="38" customWidth="1"/>
    <col min="8450" max="8450" width="40.85546875" style="38" bestFit="1" customWidth="1"/>
    <col min="8451" max="8705" width="9.140625" style="38" customWidth="1"/>
    <col min="8706" max="8706" width="40.85546875" style="38" bestFit="1" customWidth="1"/>
    <col min="8707" max="8961" width="9.140625" style="38" customWidth="1"/>
    <col min="8962" max="8962" width="40.85546875" style="38" bestFit="1" customWidth="1"/>
    <col min="8963" max="9217" width="9.140625" style="38" customWidth="1"/>
    <col min="9218" max="9218" width="40.85546875" style="38" bestFit="1" customWidth="1"/>
    <col min="9219" max="9473" width="9.140625" style="38" customWidth="1"/>
    <col min="9474" max="9474" width="40.85546875" style="38" bestFit="1" customWidth="1"/>
    <col min="9475" max="9729" width="9.140625" style="38" customWidth="1"/>
    <col min="9730" max="9730" width="40.85546875" style="38" bestFit="1" customWidth="1"/>
    <col min="9731" max="9985" width="9.140625" style="38" customWidth="1"/>
    <col min="9986" max="9986" width="40.85546875" style="38" bestFit="1" customWidth="1"/>
    <col min="9987" max="10241" width="9.140625" style="38" customWidth="1"/>
    <col min="10242" max="10242" width="40.85546875" style="38" bestFit="1" customWidth="1"/>
    <col min="10243" max="10497" width="9.140625" style="38" customWidth="1"/>
    <col min="10498" max="10498" width="40.85546875" style="38" bestFit="1" customWidth="1"/>
    <col min="10499" max="10753" width="9.140625" style="38" customWidth="1"/>
    <col min="10754" max="10754" width="40.85546875" style="38" bestFit="1" customWidth="1"/>
    <col min="10755" max="11009" width="9.140625" style="38" customWidth="1"/>
    <col min="11010" max="11010" width="40.85546875" style="38" bestFit="1" customWidth="1"/>
    <col min="11011" max="11265" width="9.140625" style="38" customWidth="1"/>
    <col min="11266" max="11266" width="40.85546875" style="38" bestFit="1" customWidth="1"/>
    <col min="11267" max="11521" width="9.140625" style="38" customWidth="1"/>
    <col min="11522" max="11522" width="40.85546875" style="38" bestFit="1" customWidth="1"/>
    <col min="11523" max="11777" width="9.140625" style="38" customWidth="1"/>
    <col min="11778" max="11778" width="40.85546875" style="38" bestFit="1" customWidth="1"/>
    <col min="11779" max="12033" width="9.140625" style="38" customWidth="1"/>
    <col min="12034" max="12034" width="40.85546875" style="38" bestFit="1" customWidth="1"/>
    <col min="12035" max="12289" width="9.140625" style="38" customWidth="1"/>
    <col min="12290" max="12290" width="40.85546875" style="38" bestFit="1" customWidth="1"/>
    <col min="12291" max="12545" width="9.140625" style="38" customWidth="1"/>
    <col min="12546" max="12546" width="40.85546875" style="38" bestFit="1" customWidth="1"/>
    <col min="12547" max="12801" width="9.140625" style="38" customWidth="1"/>
    <col min="12802" max="12802" width="40.85546875" style="38" bestFit="1" customWidth="1"/>
    <col min="12803" max="13057" width="9.140625" style="38" customWidth="1"/>
    <col min="13058" max="13058" width="40.85546875" style="38" bestFit="1" customWidth="1"/>
    <col min="13059" max="13313" width="9.140625" style="38" customWidth="1"/>
    <col min="13314" max="13314" width="40.85546875" style="38" bestFit="1" customWidth="1"/>
    <col min="13315" max="13569" width="9.140625" style="38" customWidth="1"/>
    <col min="13570" max="13570" width="40.85546875" style="38" bestFit="1" customWidth="1"/>
    <col min="13571" max="13825" width="9.140625" style="38" customWidth="1"/>
    <col min="13826" max="13826" width="40.85546875" style="38" bestFit="1" customWidth="1"/>
    <col min="13827" max="14081" width="9.140625" style="38" customWidth="1"/>
    <col min="14082" max="14082" width="40.85546875" style="38" bestFit="1" customWidth="1"/>
    <col min="14083" max="14337" width="9.140625" style="38" customWidth="1"/>
    <col min="14338" max="14338" width="40.85546875" style="38" bestFit="1" customWidth="1"/>
    <col min="14339" max="14593" width="9.140625" style="38" customWidth="1"/>
    <col min="14594" max="14594" width="40.85546875" style="38" bestFit="1" customWidth="1"/>
    <col min="14595" max="14849" width="9.140625" style="38" customWidth="1"/>
    <col min="14850" max="14850" width="40.85546875" style="38" bestFit="1" customWidth="1"/>
    <col min="14851" max="15105" width="9.140625" style="38" customWidth="1"/>
    <col min="15106" max="15106" width="40.85546875" style="38" bestFit="1" customWidth="1"/>
    <col min="15107" max="15361" width="9.140625" style="38" customWidth="1"/>
    <col min="15362" max="15362" width="40.85546875" style="38" bestFit="1" customWidth="1"/>
    <col min="15363" max="15617" width="9.140625" style="38" customWidth="1"/>
    <col min="15618" max="15618" width="40.85546875" style="38" bestFit="1" customWidth="1"/>
    <col min="15619" max="15873" width="9.140625" style="38" customWidth="1"/>
    <col min="15874" max="15874" width="40.85546875" style="38" bestFit="1" customWidth="1"/>
    <col min="15875" max="16129" width="9.140625" style="38" customWidth="1"/>
    <col min="16130" max="16130" width="40.85546875" style="38" bestFit="1" customWidth="1"/>
    <col min="16131" max="16384" width="9.140625" style="38" customWidth="1"/>
  </cols>
  <sheetData>
    <row r="1" spans="1:6" ht="20.25" x14ac:dyDescent="0.3">
      <c r="A1" s="37" t="s">
        <v>183</v>
      </c>
    </row>
    <row r="3" spans="1:6" x14ac:dyDescent="0.2">
      <c r="A3" s="39" t="s">
        <v>181</v>
      </c>
      <c r="B3" s="40"/>
      <c r="C3" s="40"/>
      <c r="D3" s="40"/>
    </row>
    <row r="4" spans="1:6" ht="15.75" x14ac:dyDescent="0.25">
      <c r="B4" s="41"/>
      <c r="C4" s="41"/>
      <c r="D4" s="41"/>
      <c r="E4" s="41"/>
      <c r="F4" s="41"/>
    </row>
    <row r="5" spans="1:6" x14ac:dyDescent="0.2">
      <c r="A5" s="42" t="s">
        <v>184</v>
      </c>
      <c r="B5" s="43" t="s">
        <v>210</v>
      </c>
      <c r="C5" s="44"/>
      <c r="D5" s="44"/>
    </row>
    <row r="6" spans="1:6" x14ac:dyDescent="0.2">
      <c r="A6" s="45" t="s">
        <v>197</v>
      </c>
      <c r="B6" s="115">
        <f>+Datos!D81</f>
        <v>258426.39549109797</v>
      </c>
      <c r="C6" s="47"/>
      <c r="D6" s="47"/>
    </row>
    <row r="7" spans="1:6" x14ac:dyDescent="0.2">
      <c r="A7" s="45" t="s">
        <v>198</v>
      </c>
      <c r="B7" s="48">
        <f>+Datos!D73</f>
        <v>10</v>
      </c>
      <c r="C7" s="38" t="s">
        <v>211</v>
      </c>
    </row>
    <row r="8" spans="1:6" x14ac:dyDescent="0.2">
      <c r="A8" s="45" t="s">
        <v>199</v>
      </c>
      <c r="B8" s="118">
        <f>(Datos!D77/100)*$B$6</f>
        <v>25842.639549109797</v>
      </c>
      <c r="C8" s="47"/>
      <c r="D8" s="47"/>
    </row>
    <row r="9" spans="1:6" x14ac:dyDescent="0.2">
      <c r="A9" s="45" t="s">
        <v>185</v>
      </c>
      <c r="B9" s="118">
        <f>0.05*B6</f>
        <v>12921.319774554899</v>
      </c>
      <c r="C9" s="49"/>
      <c r="D9" s="49"/>
      <c r="E9" s="49"/>
    </row>
    <row r="10" spans="1:6" x14ac:dyDescent="0.2">
      <c r="A10" s="45" t="s">
        <v>186</v>
      </c>
      <c r="B10" s="50">
        <v>6</v>
      </c>
      <c r="C10" s="51"/>
      <c r="D10" s="51"/>
    </row>
    <row r="11" spans="1:6" x14ac:dyDescent="0.2">
      <c r="A11" s="45" t="s">
        <v>187</v>
      </c>
      <c r="B11" s="116">
        <f>+Datos!D74</f>
        <v>945.63</v>
      </c>
      <c r="C11" s="53"/>
      <c r="D11" s="53"/>
    </row>
    <row r="12" spans="1:6" x14ac:dyDescent="0.2">
      <c r="A12" s="45" t="s">
        <v>188</v>
      </c>
      <c r="B12" s="48">
        <f>+Datos!D75</f>
        <v>50000</v>
      </c>
      <c r="C12" s="38" t="s">
        <v>3</v>
      </c>
    </row>
    <row r="13" spans="1:6" x14ac:dyDescent="0.2">
      <c r="A13" s="45" t="s">
        <v>214</v>
      </c>
      <c r="B13" s="117">
        <f>+'Evaluacion Economica'!F7*365</f>
        <v>38677.833333333336</v>
      </c>
      <c r="C13" s="38" t="s">
        <v>3</v>
      </c>
    </row>
    <row r="14" spans="1:6" x14ac:dyDescent="0.2">
      <c r="A14" s="45" t="s">
        <v>189</v>
      </c>
      <c r="B14" s="119">
        <f>+'Evaluacion Economica'!G7</f>
        <v>3493.7554773333336</v>
      </c>
      <c r="C14" s="38" t="s">
        <v>212</v>
      </c>
    </row>
    <row r="15" spans="1:6" x14ac:dyDescent="0.2">
      <c r="A15" s="45" t="s">
        <v>190</v>
      </c>
      <c r="B15" s="54"/>
    </row>
    <row r="16" spans="1:6" x14ac:dyDescent="0.2">
      <c r="A16" s="45" t="s">
        <v>191</v>
      </c>
      <c r="B16" s="120">
        <f>+Datos!D68</f>
        <v>0.54</v>
      </c>
      <c r="C16" s="38" t="s">
        <v>125</v>
      </c>
    </row>
    <row r="17" spans="1:5" x14ac:dyDescent="0.2">
      <c r="A17" s="45" t="s">
        <v>215</v>
      </c>
      <c r="B17" s="55">
        <f>+Datos!D76</f>
        <v>6</v>
      </c>
      <c r="C17" s="38" t="s">
        <v>126</v>
      </c>
    </row>
    <row r="18" spans="1:5" x14ac:dyDescent="0.2">
      <c r="A18" s="45" t="s">
        <v>192</v>
      </c>
      <c r="B18" s="156">
        <f>+Datos!D69</f>
        <v>11.000665335994681</v>
      </c>
      <c r="C18" s="38" t="s">
        <v>23</v>
      </c>
    </row>
    <row r="19" spans="1:5" hidden="1" x14ac:dyDescent="0.2">
      <c r="A19" s="45" t="s">
        <v>194</v>
      </c>
      <c r="B19" s="46"/>
    </row>
    <row r="20" spans="1:5" x14ac:dyDescent="0.2">
      <c r="A20" s="45" t="s">
        <v>193</v>
      </c>
      <c r="B20" s="118">
        <f>0.05*B6</f>
        <v>12921.319774554899</v>
      </c>
    </row>
    <row r="21" spans="1:5" x14ac:dyDescent="0.2">
      <c r="A21" s="45" t="s">
        <v>195</v>
      </c>
      <c r="B21" s="120">
        <f>+'Mano de Obra'!B49*2</f>
        <v>52.578229166666667</v>
      </c>
      <c r="C21" s="38" t="s">
        <v>213</v>
      </c>
    </row>
    <row r="23" spans="1:5" hidden="1" x14ac:dyDescent="0.2"/>
    <row r="24" spans="1:5" hidden="1" x14ac:dyDescent="0.2">
      <c r="A24" s="42" t="s">
        <v>196</v>
      </c>
      <c r="B24" s="43" t="s">
        <v>210</v>
      </c>
      <c r="C24" s="40"/>
      <c r="D24" s="40"/>
    </row>
    <row r="25" spans="1:5" hidden="1" x14ac:dyDescent="0.2">
      <c r="A25" s="45" t="s">
        <v>197</v>
      </c>
      <c r="B25" s="46"/>
    </row>
    <row r="26" spans="1:5" hidden="1" x14ac:dyDescent="0.2">
      <c r="A26" s="45" t="s">
        <v>198</v>
      </c>
      <c r="B26" s="48"/>
      <c r="C26" s="38" t="s">
        <v>211</v>
      </c>
    </row>
    <row r="27" spans="1:5" hidden="1" x14ac:dyDescent="0.2">
      <c r="A27" s="45" t="s">
        <v>199</v>
      </c>
      <c r="B27" s="52"/>
    </row>
    <row r="28" spans="1:5" hidden="1" x14ac:dyDescent="0.2">
      <c r="A28" s="45" t="s">
        <v>185</v>
      </c>
      <c r="B28" s="52"/>
    </row>
    <row r="29" spans="1:5" hidden="1" x14ac:dyDescent="0.2">
      <c r="A29" s="45" t="s">
        <v>186</v>
      </c>
      <c r="B29" s="48"/>
    </row>
    <row r="30" spans="1:5" hidden="1" x14ac:dyDescent="0.2">
      <c r="A30" s="45" t="s">
        <v>187</v>
      </c>
      <c r="B30" s="52"/>
    </row>
    <row r="31" spans="1:5" hidden="1" x14ac:dyDescent="0.2">
      <c r="A31" s="45" t="s">
        <v>188</v>
      </c>
      <c r="B31" s="48"/>
      <c r="C31" s="38" t="s">
        <v>3</v>
      </c>
    </row>
    <row r="32" spans="1:5" ht="13.5" thickBot="1" x14ac:dyDescent="0.25">
      <c r="A32" s="45"/>
      <c r="B32" s="56"/>
      <c r="E32" s="56"/>
    </row>
    <row r="33" spans="1:7" x14ac:dyDescent="0.2">
      <c r="A33" s="57"/>
      <c r="B33" s="58"/>
      <c r="C33" s="58"/>
      <c r="D33" s="174"/>
      <c r="E33" s="842"/>
      <c r="F33" s="842"/>
      <c r="G33" s="842"/>
    </row>
    <row r="34" spans="1:7" x14ac:dyDescent="0.2">
      <c r="A34" s="59" t="s">
        <v>200</v>
      </c>
      <c r="B34" s="60" t="s">
        <v>142</v>
      </c>
      <c r="C34" s="60" t="s">
        <v>121</v>
      </c>
      <c r="D34" s="175" t="s">
        <v>146</v>
      </c>
      <c r="E34" s="61"/>
      <c r="F34" s="61"/>
      <c r="G34" s="61"/>
    </row>
    <row r="35" spans="1:7" x14ac:dyDescent="0.2">
      <c r="A35" s="62" t="s">
        <v>201</v>
      </c>
      <c r="B35" s="63">
        <f>IF(B7&gt;0,PMT(B15,B7,-(B6-B8))+B15*B8,0)</f>
        <v>23258.375594198817</v>
      </c>
      <c r="C35" s="176">
        <f>IF(B$14&gt;0,B35/B$14,0)</f>
        <v>6.6571274793252435</v>
      </c>
      <c r="D35" s="177">
        <f>IF(B$13&gt;0,B35/B$13,0)</f>
        <v>0.60133605193841821</v>
      </c>
      <c r="E35" s="49"/>
      <c r="F35" s="64"/>
      <c r="G35" s="64"/>
    </row>
    <row r="36" spans="1:7" x14ac:dyDescent="0.2">
      <c r="A36" s="62" t="s">
        <v>202</v>
      </c>
      <c r="B36" s="65">
        <f>B19+B20</f>
        <v>12921.319774554899</v>
      </c>
      <c r="C36" s="178">
        <f>IF(B$14&gt;0,B36/B$14,0)</f>
        <v>3.698404155180691</v>
      </c>
      <c r="D36" s="177">
        <f>IF(B$13&gt;0,B36/B$13,0)</f>
        <v>0.33407558441023233</v>
      </c>
      <c r="E36" s="66"/>
      <c r="F36" s="67"/>
      <c r="G36" s="67"/>
    </row>
    <row r="37" spans="1:7" x14ac:dyDescent="0.2">
      <c r="A37" s="62" t="s">
        <v>209</v>
      </c>
      <c r="B37" s="63">
        <f>SUM(B35:B36)</f>
        <v>36179.695368753717</v>
      </c>
      <c r="C37" s="176">
        <f>SUM(C35:C36)</f>
        <v>10.355531634505935</v>
      </c>
      <c r="D37" s="179">
        <f>SUM(D35:D36)</f>
        <v>0.93541163634865054</v>
      </c>
      <c r="E37" s="49"/>
      <c r="F37" s="64"/>
      <c r="G37" s="64"/>
    </row>
    <row r="38" spans="1:7" x14ac:dyDescent="0.2">
      <c r="A38" s="62"/>
      <c r="B38" s="68"/>
      <c r="C38" s="151"/>
      <c r="D38" s="180"/>
      <c r="E38" s="47"/>
      <c r="G38" s="170"/>
    </row>
    <row r="39" spans="1:7" x14ac:dyDescent="0.2">
      <c r="A39" s="59" t="s">
        <v>203</v>
      </c>
      <c r="B39" s="68"/>
      <c r="C39" s="151"/>
      <c r="D39" s="180"/>
      <c r="E39" s="47"/>
      <c r="G39" s="170"/>
    </row>
    <row r="40" spans="1:7" x14ac:dyDescent="0.2">
      <c r="A40" s="62" t="s">
        <v>204</v>
      </c>
      <c r="B40" s="63">
        <f>B9</f>
        <v>12921.319774554899</v>
      </c>
      <c r="C40" s="176">
        <f t="shared" ref="C40:C43" si="0">IF(B$14&gt;0,B40/B$14,0)</f>
        <v>3.698404155180691</v>
      </c>
      <c r="D40" s="177">
        <f t="shared" ref="D40:D43" si="1">IF(B$13&gt;0,B40/B$13,0)</f>
        <v>0.33407558441023233</v>
      </c>
      <c r="E40" s="69"/>
      <c r="F40" s="64"/>
      <c r="G40" s="64"/>
    </row>
    <row r="41" spans="1:7" x14ac:dyDescent="0.2">
      <c r="A41" s="62" t="s">
        <v>205</v>
      </c>
      <c r="B41" s="70">
        <f>IF(B12&gt;0,B10*B11*B13/B12,0)</f>
        <v>4388.9903442000004</v>
      </c>
      <c r="C41" s="176">
        <f t="shared" si="0"/>
        <v>1.2562385583864528</v>
      </c>
      <c r="D41" s="177">
        <f t="shared" si="1"/>
        <v>0.11347560000000001</v>
      </c>
      <c r="E41" s="71"/>
      <c r="F41" s="64"/>
      <c r="G41" s="64"/>
    </row>
    <row r="42" spans="1:7" x14ac:dyDescent="0.2">
      <c r="A42" s="62" t="s">
        <v>206</v>
      </c>
      <c r="B42" s="72">
        <f>IF(B16&gt;0,(B13/B17)*B16*1.1,0)</f>
        <v>3829.1055000000006</v>
      </c>
      <c r="C42" s="176">
        <f t="shared" si="0"/>
        <v>1.0959855447361269</v>
      </c>
      <c r="D42" s="177">
        <f t="shared" si="1"/>
        <v>9.9000000000000005E-2</v>
      </c>
      <c r="E42" s="71"/>
      <c r="F42" s="64"/>
      <c r="G42" s="64"/>
    </row>
    <row r="43" spans="1:7" x14ac:dyDescent="0.2">
      <c r="A43" s="62" t="s">
        <v>217</v>
      </c>
      <c r="B43" s="65">
        <f>+'9m3-2T'!D53*B21*312</f>
        <v>202270.91027461941</v>
      </c>
      <c r="C43" s="176">
        <f t="shared" si="0"/>
        <v>57.894981943328794</v>
      </c>
      <c r="D43" s="177">
        <f t="shared" si="1"/>
        <v>5.2296339490221202</v>
      </c>
      <c r="E43" s="73"/>
      <c r="F43" s="67"/>
      <c r="G43" s="67"/>
    </row>
    <row r="44" spans="1:7" x14ac:dyDescent="0.2">
      <c r="A44" s="62" t="s">
        <v>207</v>
      </c>
      <c r="B44" s="63">
        <f>SUM(B40:B43)</f>
        <v>223410.32589337431</v>
      </c>
      <c r="C44" s="176">
        <f>SUM(C40:C43)</f>
        <v>63.945610201632064</v>
      </c>
      <c r="D44" s="179">
        <f>SUM(D40:D43)</f>
        <v>5.7761851334323522</v>
      </c>
      <c r="E44" s="69"/>
      <c r="F44" s="64"/>
      <c r="G44" s="64"/>
    </row>
    <row r="45" spans="1:7" x14ac:dyDescent="0.2">
      <c r="A45" s="62"/>
      <c r="B45" s="68"/>
      <c r="C45" s="181"/>
      <c r="D45" s="182"/>
      <c r="E45" s="74"/>
      <c r="F45" s="75"/>
      <c r="G45" s="171"/>
    </row>
    <row r="46" spans="1:7" ht="13.5" thickBot="1" x14ac:dyDescent="0.25">
      <c r="A46" s="76" t="s">
        <v>208</v>
      </c>
      <c r="B46" s="77">
        <f>B37+B44</f>
        <v>259590.02126212802</v>
      </c>
      <c r="C46" s="183">
        <f>C37+C44</f>
        <v>74.301141836138001</v>
      </c>
      <c r="D46" s="184">
        <f>D37+D44</f>
        <v>6.7115967697810026</v>
      </c>
      <c r="E46" s="172"/>
      <c r="F46" s="173"/>
      <c r="G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-2663620.3188499012</v>
      </c>
    </row>
  </sheetData>
  <mergeCells count="1">
    <mergeCell ref="E33:G33"/>
  </mergeCells>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ignoredErrors>
    <ignoredError sqref="B9 B13:B16 B18:B20" unlockedFormula="1"/>
  </ignoredError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43">
    <tabColor theme="9" tint="0.39997558519241921"/>
  </sheetPr>
  <dimension ref="A1:F55"/>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4.28515625" style="38" customWidth="1"/>
    <col min="4" max="4" width="10.710937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181</v>
      </c>
      <c r="B3" s="40"/>
      <c r="C3" s="40"/>
    </row>
    <row r="4" spans="1:5" ht="15.75" x14ac:dyDescent="0.25">
      <c r="B4" s="41"/>
      <c r="C4" s="41"/>
      <c r="D4" s="41"/>
      <c r="E4" s="41"/>
    </row>
    <row r="5" spans="1:5" x14ac:dyDescent="0.2">
      <c r="A5" s="42" t="s">
        <v>184</v>
      </c>
      <c r="B5" s="43" t="s">
        <v>210</v>
      </c>
      <c r="C5" s="44"/>
    </row>
    <row r="6" spans="1:5" x14ac:dyDescent="0.2">
      <c r="A6" s="45" t="s">
        <v>197</v>
      </c>
      <c r="B6" s="115">
        <f>+Datos!D81</f>
        <v>258426.39549109797</v>
      </c>
      <c r="C6" s="47"/>
    </row>
    <row r="7" spans="1:5" x14ac:dyDescent="0.2">
      <c r="A7" s="45" t="s">
        <v>198</v>
      </c>
      <c r="B7" s="48">
        <f>+Datos!D73</f>
        <v>10</v>
      </c>
      <c r="C7" s="38" t="s">
        <v>211</v>
      </c>
    </row>
    <row r="8" spans="1:5" x14ac:dyDescent="0.2">
      <c r="A8" s="45" t="s">
        <v>199</v>
      </c>
      <c r="B8" s="118">
        <f>(Datos!D77/100)*$B$6</f>
        <v>25842.639549109797</v>
      </c>
      <c r="C8" s="47"/>
    </row>
    <row r="9" spans="1:5" x14ac:dyDescent="0.2">
      <c r="A9" s="45" t="s">
        <v>185</v>
      </c>
      <c r="B9" s="118">
        <f>0.05*B6</f>
        <v>12921.319774554899</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Economica'!F8*365</f>
        <v>29437.250000000004</v>
      </c>
      <c r="C13" s="38" t="s">
        <v>3</v>
      </c>
    </row>
    <row r="14" spans="1:5" x14ac:dyDescent="0.2">
      <c r="A14" s="45" t="s">
        <v>189</v>
      </c>
      <c r="B14" s="119">
        <f>+'Evaluacion Economica'!G8</f>
        <v>2620.3166080000005</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11.000665335994681</v>
      </c>
      <c r="C18" s="38" t="s">
        <v>23</v>
      </c>
    </row>
    <row r="19" spans="1:4" hidden="1" x14ac:dyDescent="0.2">
      <c r="A19" s="45" t="s">
        <v>194</v>
      </c>
      <c r="B19" s="46"/>
    </row>
    <row r="20" spans="1:4" x14ac:dyDescent="0.2">
      <c r="A20" s="45" t="s">
        <v>193</v>
      </c>
      <c r="B20" s="118">
        <f>0.05*B6</f>
        <v>12921.319774554899</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23258.375594198817</v>
      </c>
      <c r="C35" s="176">
        <f>IF(B$14&gt;0,B35/B$14,0)</f>
        <v>8.8761699724336562</v>
      </c>
      <c r="D35" s="177">
        <f>IF(B$13&gt;0,B35/B$13,0)</f>
        <v>0.79010014842415011</v>
      </c>
      <c r="E35" s="188"/>
      <c r="F35" s="64"/>
    </row>
    <row r="36" spans="1:6" ht="12.75" customHeight="1" x14ac:dyDescent="0.2">
      <c r="A36" s="62" t="s">
        <v>202</v>
      </c>
      <c r="B36" s="65">
        <f>B19+B20</f>
        <v>12921.319774554899</v>
      </c>
      <c r="C36" s="178">
        <f>IF(B$14&gt;0,B36/B$14,0)</f>
        <v>4.9312055402409207</v>
      </c>
      <c r="D36" s="177">
        <f>IF(B$13&gt;0,B36/B$13,0)</f>
        <v>0.43894452690230568</v>
      </c>
      <c r="E36" s="189"/>
      <c r="F36" s="67"/>
    </row>
    <row r="37" spans="1:6" ht="12.75" customHeight="1" x14ac:dyDescent="0.2">
      <c r="A37" s="62" t="s">
        <v>209</v>
      </c>
      <c r="B37" s="63">
        <f>SUM(B35:B36)</f>
        <v>36179.695368753717</v>
      </c>
      <c r="C37" s="176">
        <f>SUM(C35:C36)</f>
        <v>13.807375512674577</v>
      </c>
      <c r="D37" s="179">
        <f>SUM(D35:D36)</f>
        <v>1.2290446753264557</v>
      </c>
      <c r="E37" s="188"/>
      <c r="F37" s="64"/>
    </row>
    <row r="38" spans="1:6" ht="12.75" customHeight="1" x14ac:dyDescent="0.2">
      <c r="A38" s="62"/>
      <c r="B38" s="68"/>
      <c r="C38" s="151"/>
      <c r="D38" s="180"/>
      <c r="E38" s="62"/>
      <c r="F38" s="170"/>
    </row>
    <row r="39" spans="1:6" ht="12.75" customHeight="1" x14ac:dyDescent="0.2">
      <c r="A39" s="59" t="s">
        <v>203</v>
      </c>
      <c r="B39" s="68"/>
      <c r="C39" s="151"/>
      <c r="D39" s="180"/>
      <c r="E39" s="62"/>
      <c r="F39" s="170"/>
    </row>
    <row r="40" spans="1:6" ht="12.75" customHeight="1" x14ac:dyDescent="0.2">
      <c r="A40" s="62" t="s">
        <v>204</v>
      </c>
      <c r="B40" s="63">
        <f>B9</f>
        <v>12921.319774554899</v>
      </c>
      <c r="C40" s="176">
        <f t="shared" ref="C40:C43" si="0">IF(B$14&gt;0,B40/B$14,0)</f>
        <v>4.9312055402409207</v>
      </c>
      <c r="D40" s="177">
        <f>IF(B$13&gt;0,B40/B$13,0)</f>
        <v>0.43894452690230568</v>
      </c>
      <c r="E40" s="188"/>
      <c r="F40" s="64"/>
    </row>
    <row r="41" spans="1:6" ht="12.75" customHeight="1" x14ac:dyDescent="0.2">
      <c r="A41" s="62" t="s">
        <v>205</v>
      </c>
      <c r="B41" s="70">
        <f>IF(B12&gt;0,B10*B11*B13/B12,0)</f>
        <v>3340.4096061</v>
      </c>
      <c r="C41" s="176">
        <f t="shared" si="0"/>
        <v>1.274811446792921</v>
      </c>
      <c r="D41" s="177">
        <f t="shared" ref="D41:D43" si="1">IF(B$13&gt;0,B41/B$13,0)</f>
        <v>0.11347559999999998</v>
      </c>
      <c r="E41" s="188"/>
      <c r="F41" s="64"/>
    </row>
    <row r="42" spans="1:6" ht="12.75" customHeight="1" x14ac:dyDescent="0.2">
      <c r="A42" s="62" t="s">
        <v>206</v>
      </c>
      <c r="B42" s="72">
        <f>IF(B16&gt;0,(B13/B17)*B16*1.1,0)</f>
        <v>2914.2877500000009</v>
      </c>
      <c r="C42" s="176">
        <f t="shared" si="0"/>
        <v>1.112189168706746</v>
      </c>
      <c r="D42" s="177">
        <f t="shared" si="1"/>
        <v>9.9000000000000019E-2</v>
      </c>
      <c r="E42" s="188"/>
      <c r="F42" s="64"/>
    </row>
    <row r="43" spans="1:6" ht="12.75" customHeight="1" x14ac:dyDescent="0.2">
      <c r="A43" s="62" t="s">
        <v>217</v>
      </c>
      <c r="B43" s="65">
        <f>+'9m3-1T'!D53*B21*312</f>
        <v>54995.397541541148</v>
      </c>
      <c r="C43" s="176">
        <f t="shared" si="0"/>
        <v>20.988073492201877</v>
      </c>
      <c r="D43" s="177">
        <f t="shared" si="1"/>
        <v>1.8682246997101</v>
      </c>
      <c r="E43" s="189"/>
      <c r="F43" s="67"/>
    </row>
    <row r="44" spans="1:6" ht="12.75" customHeight="1" x14ac:dyDescent="0.2">
      <c r="A44" s="62" t="s">
        <v>207</v>
      </c>
      <c r="B44" s="63">
        <f>SUM(B40:B43)</f>
        <v>74171.414672196042</v>
      </c>
      <c r="C44" s="176">
        <f>SUM(C40:C43)</f>
        <v>28.306279647942464</v>
      </c>
      <c r="D44" s="179">
        <f>SUM(D40:D43)</f>
        <v>2.5196448266124056</v>
      </c>
      <c r="E44" s="188"/>
      <c r="F44" s="64"/>
    </row>
    <row r="45" spans="1:6" ht="12.75" customHeight="1" x14ac:dyDescent="0.2">
      <c r="A45" s="62"/>
      <c r="B45" s="68"/>
      <c r="C45" s="181"/>
      <c r="D45" s="182"/>
      <c r="E45" s="190"/>
      <c r="F45" s="171"/>
    </row>
    <row r="46" spans="1:6" ht="12.75" customHeight="1" thickBot="1" x14ac:dyDescent="0.25">
      <c r="A46" s="76" t="s">
        <v>208</v>
      </c>
      <c r="B46" s="77">
        <f>B37+B44</f>
        <v>110351.11004094976</v>
      </c>
      <c r="C46" s="183">
        <f>C37+C44</f>
        <v>42.113655160617043</v>
      </c>
      <c r="D46" s="184">
        <f>D37+D44</f>
        <v>3.7486895019388613</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-677511.43072175176</v>
      </c>
    </row>
    <row r="55" spans="1:2" ht="13.5" thickBot="1" x14ac:dyDescent="0.25">
      <c r="A55" s="670"/>
      <c r="B55" s="671"/>
    </row>
  </sheetData>
  <pageMargins left="0.74803149606299213" right="0.74803149606299213" top="0.98425196850393704" bottom="0.98425196850393704" header="0.51181102362204722" footer="0.51181102362204722"/>
  <pageSetup paperSize="9" scale="84"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10"/>
  <dimension ref="A1:F55"/>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1.855468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122</v>
      </c>
      <c r="B3" s="40"/>
      <c r="C3" s="40"/>
    </row>
    <row r="4" spans="1:5" ht="15.75" x14ac:dyDescent="0.25">
      <c r="B4" s="41"/>
      <c r="C4" s="41"/>
      <c r="D4" s="41"/>
      <c r="E4" s="41"/>
    </row>
    <row r="5" spans="1:5" x14ac:dyDescent="0.2">
      <c r="A5" s="42" t="s">
        <v>184</v>
      </c>
      <c r="B5" s="43" t="s">
        <v>210</v>
      </c>
      <c r="C5" s="44"/>
    </row>
    <row r="6" spans="1:5" x14ac:dyDescent="0.2">
      <c r="A6" s="45" t="s">
        <v>197</v>
      </c>
      <c r="B6" s="115">
        <f>+Datos!D82</f>
        <v>268012.51263976813</v>
      </c>
      <c r="C6" s="47"/>
    </row>
    <row r="7" spans="1:5" x14ac:dyDescent="0.2">
      <c r="A7" s="45" t="s">
        <v>198</v>
      </c>
      <c r="B7" s="48">
        <f>+Datos!D73</f>
        <v>10</v>
      </c>
      <c r="C7" s="38" t="s">
        <v>211</v>
      </c>
    </row>
    <row r="8" spans="1:5" x14ac:dyDescent="0.2">
      <c r="A8" s="45" t="s">
        <v>199</v>
      </c>
      <c r="B8" s="118">
        <f>(Datos!D77/100)*$B$6</f>
        <v>26801.251263976814</v>
      </c>
      <c r="C8" s="47"/>
    </row>
    <row r="9" spans="1:5" x14ac:dyDescent="0.2">
      <c r="A9" s="45" t="s">
        <v>185</v>
      </c>
      <c r="B9" s="118">
        <f>0.05*B6</f>
        <v>13400.625631988407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Economica'!F9*365</f>
        <v>52012.5</v>
      </c>
      <c r="C13" s="38" t="s">
        <v>3</v>
      </c>
    </row>
    <row r="14" spans="1:5" x14ac:dyDescent="0.2">
      <c r="A14" s="45" t="s">
        <v>189</v>
      </c>
      <c r="B14" s="119">
        <f>+'Evaluacion Economica'!G9</f>
        <v>5240.6332160000011</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11.000665335994681</v>
      </c>
      <c r="C18" s="38" t="s">
        <v>23</v>
      </c>
    </row>
    <row r="19" spans="1:4" hidden="1" x14ac:dyDescent="0.2">
      <c r="A19" s="45" t="s">
        <v>194</v>
      </c>
      <c r="B19" s="46"/>
    </row>
    <row r="20" spans="1:4" x14ac:dyDescent="0.2">
      <c r="A20" s="45" t="s">
        <v>193</v>
      </c>
      <c r="B20" s="118">
        <f>0.05*B6</f>
        <v>13400.625631988407</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ht="12.75" customHeight="1" x14ac:dyDescent="0.2">
      <c r="A33" s="57"/>
      <c r="B33" s="58"/>
      <c r="C33" s="58"/>
      <c r="D33" s="174"/>
      <c r="E33" s="185"/>
      <c r="F33" s="186"/>
    </row>
    <row r="34" spans="1:6" ht="12.75" customHeight="1" x14ac:dyDescent="0.2">
      <c r="A34" s="59" t="s">
        <v>200</v>
      </c>
      <c r="B34" s="60" t="s">
        <v>142</v>
      </c>
      <c r="C34" s="60" t="s">
        <v>121</v>
      </c>
      <c r="D34" s="175" t="s">
        <v>146</v>
      </c>
      <c r="E34" s="187"/>
      <c r="F34" s="61"/>
    </row>
    <row r="35" spans="1:6" ht="12.75" customHeight="1" x14ac:dyDescent="0.2">
      <c r="A35" s="62" t="s">
        <v>201</v>
      </c>
      <c r="B35" s="63">
        <f>IF(B7&gt;0,PMT(B15,B7,-(B6-B8))+B15*B8,0)</f>
        <v>24121.126137579129</v>
      </c>
      <c r="C35" s="176">
        <f>IF(B$14&gt;0,B35/B$14,0)</f>
        <v>4.6027121424822726</v>
      </c>
      <c r="D35" s="177">
        <f>IF(B$13&gt;0,B35/B$13,0)</f>
        <v>0.46375633045093256</v>
      </c>
      <c r="E35" s="188"/>
      <c r="F35" s="64"/>
    </row>
    <row r="36" spans="1:6" ht="12.75" customHeight="1" x14ac:dyDescent="0.2">
      <c r="A36" s="62" t="s">
        <v>202</v>
      </c>
      <c r="B36" s="65">
        <f>B19+B20</f>
        <v>13400.625631988407</v>
      </c>
      <c r="C36" s="178">
        <f>IF(B$14&gt;0,B36/B$14,0)</f>
        <v>2.557062301379041</v>
      </c>
      <c r="D36" s="177">
        <f>IF(B$13&gt;0,B36/B$13,0)</f>
        <v>0.25764240580607367</v>
      </c>
      <c r="E36" s="189"/>
      <c r="F36" s="67"/>
    </row>
    <row r="37" spans="1:6" ht="12.75" customHeight="1" x14ac:dyDescent="0.2">
      <c r="A37" s="62" t="s">
        <v>209</v>
      </c>
      <c r="B37" s="63">
        <f>SUM(B35:B36)</f>
        <v>37521.751769567534</v>
      </c>
      <c r="C37" s="176">
        <f>SUM(C35:C36)</f>
        <v>7.1597744438613136</v>
      </c>
      <c r="D37" s="179">
        <f>SUM(D35:D36)</f>
        <v>0.72139873625700623</v>
      </c>
      <c r="E37" s="188"/>
      <c r="F37" s="64"/>
    </row>
    <row r="38" spans="1:6" ht="12.75" customHeight="1" x14ac:dyDescent="0.2">
      <c r="A38" s="62"/>
      <c r="B38" s="68"/>
      <c r="C38" s="151"/>
      <c r="D38" s="180"/>
      <c r="E38" s="62"/>
      <c r="F38" s="170"/>
    </row>
    <row r="39" spans="1:6" ht="12.75" customHeight="1" x14ac:dyDescent="0.2">
      <c r="A39" s="59" t="s">
        <v>203</v>
      </c>
      <c r="B39" s="68"/>
      <c r="C39" s="151"/>
      <c r="D39" s="180"/>
      <c r="E39" s="62"/>
      <c r="F39" s="170"/>
    </row>
    <row r="40" spans="1:6" ht="12.75" customHeight="1" x14ac:dyDescent="0.2">
      <c r="A40" s="62" t="s">
        <v>204</v>
      </c>
      <c r="B40" s="63">
        <f>B9</f>
        <v>13400.625631988407</v>
      </c>
      <c r="C40" s="176">
        <f t="shared" ref="C40:C43" si="0">IF(B$14&gt;0,B40/B$14,0)</f>
        <v>2.557062301379041</v>
      </c>
      <c r="D40" s="177">
        <f t="shared" ref="D40:D43" si="1">IF(B$13&gt;0,B40/B$13,0)</f>
        <v>0.25764240580607367</v>
      </c>
      <c r="E40" s="188"/>
      <c r="F40" s="64"/>
    </row>
    <row r="41" spans="1:6" ht="12.75" customHeight="1" x14ac:dyDescent="0.2">
      <c r="A41" s="62" t="s">
        <v>205</v>
      </c>
      <c r="B41" s="70">
        <f>IF(B12&gt;0,B10*B11*B13/B12,0)</f>
        <v>5902.1496450000004</v>
      </c>
      <c r="C41" s="176">
        <f t="shared" si="0"/>
        <v>1.1262283395411734</v>
      </c>
      <c r="D41" s="177">
        <f t="shared" si="1"/>
        <v>0.11347560000000001</v>
      </c>
      <c r="E41" s="188"/>
      <c r="F41" s="64"/>
    </row>
    <row r="42" spans="1:6" ht="12.75" customHeight="1" x14ac:dyDescent="0.2">
      <c r="A42" s="62" t="s">
        <v>206</v>
      </c>
      <c r="B42" s="72">
        <f>IF(B16&gt;0,(B13/B17)*B16*1.1,0)</f>
        <v>5149.2375000000002</v>
      </c>
      <c r="C42" s="176">
        <f t="shared" si="0"/>
        <v>0.98256017694179332</v>
      </c>
      <c r="D42" s="177">
        <f t="shared" si="1"/>
        <v>9.9000000000000005E-2</v>
      </c>
      <c r="E42" s="188"/>
      <c r="F42" s="64"/>
    </row>
    <row r="43" spans="1:6" ht="12.75" customHeight="1" x14ac:dyDescent="0.2">
      <c r="A43" s="62" t="s">
        <v>217</v>
      </c>
      <c r="B43" s="65">
        <f>+'12m3-2T'!D53*B21*312</f>
        <v>262470.77940995345</v>
      </c>
      <c r="C43" s="176">
        <f t="shared" si="0"/>
        <v>50.083791135890358</v>
      </c>
      <c r="D43" s="177">
        <f t="shared" si="1"/>
        <v>5.0463019353031182</v>
      </c>
      <c r="E43" s="189"/>
      <c r="F43" s="67"/>
    </row>
    <row r="44" spans="1:6" ht="12.75" customHeight="1" x14ac:dyDescent="0.2">
      <c r="A44" s="62" t="s">
        <v>207</v>
      </c>
      <c r="B44" s="63">
        <f>SUM(B40:B43)</f>
        <v>286922.79218694184</v>
      </c>
      <c r="C44" s="176">
        <f>SUM(C40:C43)</f>
        <v>54.749641953752366</v>
      </c>
      <c r="D44" s="179">
        <f>SUM(D40:D43)</f>
        <v>5.5164199411091914</v>
      </c>
      <c r="E44" s="188"/>
      <c r="F44" s="64"/>
    </row>
    <row r="45" spans="1:6" x14ac:dyDescent="0.2">
      <c r="A45" s="62"/>
      <c r="B45" s="68"/>
      <c r="C45" s="181"/>
      <c r="D45" s="182"/>
      <c r="E45" s="190"/>
      <c r="F45" s="171"/>
    </row>
    <row r="46" spans="1:6" ht="13.5" thickBot="1" x14ac:dyDescent="0.25">
      <c r="A46" s="76" t="s">
        <v>208</v>
      </c>
      <c r="B46" s="77">
        <f>B37+B44</f>
        <v>324444.54395650938</v>
      </c>
      <c r="C46" s="183">
        <f>C37+C44</f>
        <v>61.909416397613683</v>
      </c>
      <c r="D46" s="184">
        <f>D37+D44</f>
        <v>6.2378186773661977</v>
      </c>
      <c r="E46" s="191"/>
      <c r="F46" s="173"/>
    </row>
    <row r="50" spans="1:3" x14ac:dyDescent="0.2">
      <c r="A50" s="78" t="s">
        <v>216</v>
      </c>
    </row>
    <row r="52" spans="1:3" ht="13.5" thickBot="1" x14ac:dyDescent="0.25"/>
    <row r="53" spans="1:3" ht="13.5" thickBot="1" x14ac:dyDescent="0.25">
      <c r="A53" s="124" t="s">
        <v>143</v>
      </c>
    </row>
    <row r="54" spans="1:3" ht="13.5" thickBot="1" x14ac:dyDescent="0.25">
      <c r="A54" s="122"/>
      <c r="B54" s="669"/>
      <c r="C54" s="193"/>
    </row>
    <row r="55" spans="1:3" ht="13.5" thickBot="1" x14ac:dyDescent="0.25">
      <c r="A55" s="123" t="s">
        <v>145</v>
      </c>
      <c r="B55" s="79">
        <f>+PV(Datos!D110,B7,B44+B43)-B6</f>
        <v>-3372208.7225374402</v>
      </c>
      <c r="C55" s="192"/>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17"/>
  <dimension ref="A1:F55"/>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122</v>
      </c>
      <c r="B3" s="40"/>
      <c r="C3" s="40"/>
    </row>
    <row r="4" spans="1:5" ht="15.75" x14ac:dyDescent="0.25">
      <c r="B4" s="41"/>
      <c r="C4" s="41"/>
      <c r="D4" s="41"/>
      <c r="E4" s="41"/>
    </row>
    <row r="5" spans="1:5" x14ac:dyDescent="0.2">
      <c r="A5" s="42" t="s">
        <v>184</v>
      </c>
      <c r="B5" s="43" t="s">
        <v>210</v>
      </c>
      <c r="C5" s="44"/>
    </row>
    <row r="6" spans="1:5" x14ac:dyDescent="0.2">
      <c r="A6" s="45" t="s">
        <v>197</v>
      </c>
      <c r="B6" s="115">
        <f>+Datos!D82</f>
        <v>268012.51263976813</v>
      </c>
      <c r="C6" s="47"/>
    </row>
    <row r="7" spans="1:5" x14ac:dyDescent="0.2">
      <c r="A7" s="45" t="s">
        <v>198</v>
      </c>
      <c r="B7" s="48">
        <f>+Datos!D73</f>
        <v>10</v>
      </c>
      <c r="C7" s="38" t="s">
        <v>211</v>
      </c>
    </row>
    <row r="8" spans="1:5" x14ac:dyDescent="0.2">
      <c r="A8" s="45" t="s">
        <v>199</v>
      </c>
      <c r="B8" s="118">
        <f>(Datos!D77/100)*$B$6</f>
        <v>26801.251263976814</v>
      </c>
      <c r="C8" s="47"/>
    </row>
    <row r="9" spans="1:5" x14ac:dyDescent="0.2">
      <c r="A9" s="45" t="s">
        <v>185</v>
      </c>
      <c r="B9" s="118">
        <f>0.05*B6</f>
        <v>13400.625631988407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Economica'!F10*365</f>
        <v>35246.833333333328</v>
      </c>
      <c r="C13" s="38" t="s">
        <v>3</v>
      </c>
    </row>
    <row r="14" spans="1:5" x14ac:dyDescent="0.2">
      <c r="A14" s="45" t="s">
        <v>189</v>
      </c>
      <c r="B14" s="119">
        <f>+'Evaluacion Economica'!G10</f>
        <v>3493.7554773333336</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11.000665335994681</v>
      </c>
      <c r="C18" s="38" t="s">
        <v>23</v>
      </c>
    </row>
    <row r="19" spans="1:4" hidden="1" x14ac:dyDescent="0.2">
      <c r="A19" s="45" t="s">
        <v>194</v>
      </c>
      <c r="B19" s="46"/>
    </row>
    <row r="20" spans="1:4" x14ac:dyDescent="0.2">
      <c r="A20" s="45" t="s">
        <v>193</v>
      </c>
      <c r="B20" s="118">
        <f>0.05*B6</f>
        <v>13400.625631988407</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24121.126137579129</v>
      </c>
      <c r="C35" s="176">
        <f>IF(B$14&gt;0,B35/B$14,0)</f>
        <v>6.9040682137234102</v>
      </c>
      <c r="D35" s="177">
        <f>IF(B$13&gt;0,B35/B$13,0)</f>
        <v>0.68434874445210114</v>
      </c>
      <c r="E35" s="188"/>
      <c r="F35" s="64"/>
    </row>
    <row r="36" spans="1:6" x14ac:dyDescent="0.2">
      <c r="A36" s="62" t="s">
        <v>202</v>
      </c>
      <c r="B36" s="65">
        <f>B19+B20</f>
        <v>13400.625631988407</v>
      </c>
      <c r="C36" s="178">
        <f>IF(B$14&gt;0,B36/B$14,0)</f>
        <v>3.8355934520685619</v>
      </c>
      <c r="D36" s="177">
        <f>IF(B$13&gt;0,B36/B$13,0)</f>
        <v>0.38019374691783397</v>
      </c>
      <c r="E36" s="189"/>
      <c r="F36" s="67"/>
    </row>
    <row r="37" spans="1:6" x14ac:dyDescent="0.2">
      <c r="A37" s="62" t="s">
        <v>209</v>
      </c>
      <c r="B37" s="63">
        <f>SUM(B35:B36)</f>
        <v>37521.751769567534</v>
      </c>
      <c r="C37" s="176">
        <f>SUM(C35:C36)</f>
        <v>10.739661665791973</v>
      </c>
      <c r="D37" s="179">
        <f>SUM(D35:D36)</f>
        <v>1.0645424913699351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13400.625631988407</v>
      </c>
      <c r="C40" s="176">
        <f t="shared" ref="C40:C43" si="0">IF(B$14&gt;0,B40/B$14,0)</f>
        <v>3.8355934520685619</v>
      </c>
      <c r="D40" s="177">
        <f t="shared" ref="D40:D43" si="1">IF(B$13&gt;0,B40/B$13,0)</f>
        <v>0.38019374691783397</v>
      </c>
      <c r="E40" s="188"/>
      <c r="F40" s="64"/>
    </row>
    <row r="41" spans="1:6" x14ac:dyDescent="0.2">
      <c r="A41" s="62" t="s">
        <v>205</v>
      </c>
      <c r="B41" s="70">
        <f>IF(B12&gt;0,B10*B11*B13/B12,0)</f>
        <v>3999.6555605999993</v>
      </c>
      <c r="C41" s="176">
        <f t="shared" si="0"/>
        <v>1.1448012279476416</v>
      </c>
      <c r="D41" s="177">
        <f t="shared" si="1"/>
        <v>0.1134756</v>
      </c>
      <c r="E41" s="188"/>
      <c r="F41" s="64"/>
    </row>
    <row r="42" spans="1:6" x14ac:dyDescent="0.2">
      <c r="A42" s="62" t="s">
        <v>206</v>
      </c>
      <c r="B42" s="72">
        <f>IF(B16&gt;0,(B13/B17)*B16*1.1,0)</f>
        <v>3489.4365000000003</v>
      </c>
      <c r="C42" s="176">
        <f t="shared" si="0"/>
        <v>0.99876380091241246</v>
      </c>
      <c r="D42" s="177">
        <f t="shared" si="1"/>
        <v>9.9000000000000019E-2</v>
      </c>
      <c r="E42" s="188"/>
      <c r="F42" s="64"/>
    </row>
    <row r="43" spans="1:6" x14ac:dyDescent="0.2">
      <c r="A43" s="62" t="s">
        <v>217</v>
      </c>
      <c r="B43" s="65">
        <f>+'12m3-1T'!D53*B21*312</f>
        <v>65619.65664986716</v>
      </c>
      <c r="C43" s="176">
        <f t="shared" si="0"/>
        <v>18.781983191322951</v>
      </c>
      <c r="D43" s="177">
        <f t="shared" si="1"/>
        <v>1.8617177897740365</v>
      </c>
      <c r="E43" s="189"/>
      <c r="F43" s="67"/>
    </row>
    <row r="44" spans="1:6" x14ac:dyDescent="0.2">
      <c r="A44" s="62" t="s">
        <v>207</v>
      </c>
      <c r="B44" s="63">
        <f>SUM(B40:B43)</f>
        <v>86509.374342455558</v>
      </c>
      <c r="C44" s="176">
        <f>SUM(C40:C43)</f>
        <v>24.761141672251568</v>
      </c>
      <c r="D44" s="179">
        <f>SUM(D40:D43)</f>
        <v>2.4543871366918704</v>
      </c>
      <c r="E44" s="188"/>
      <c r="F44" s="64"/>
    </row>
    <row r="45" spans="1:6" x14ac:dyDescent="0.2">
      <c r="A45" s="62"/>
      <c r="B45" s="68"/>
      <c r="C45" s="181"/>
      <c r="D45" s="182"/>
      <c r="E45" s="190"/>
      <c r="F45" s="171"/>
    </row>
    <row r="46" spans="1:6" ht="13.5" thickBot="1" x14ac:dyDescent="0.25">
      <c r="A46" s="76" t="s">
        <v>208</v>
      </c>
      <c r="B46" s="77">
        <f>B37+B44</f>
        <v>124031.12611202309</v>
      </c>
      <c r="C46" s="183">
        <f>C37+C44</f>
        <v>35.500803338043539</v>
      </c>
      <c r="D46" s="184">
        <f>D37+D44</f>
        <v>3.5189296280618052</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-756809.77172292676</v>
      </c>
    </row>
    <row r="55" spans="1:2" ht="13.5" thickBot="1" x14ac:dyDescent="0.25">
      <c r="A55" s="670"/>
      <c r="B55" s="671"/>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16"/>
  <dimension ref="A1:F55"/>
  <sheetViews>
    <sheetView view="pageBreakPreview" zoomScale="90" zoomScaleNormal="90" zoomScaleSheetLayoutView="90" workbookViewId="0">
      <selection activeCell="B8" sqref="B8"/>
    </sheetView>
  </sheetViews>
  <sheetFormatPr baseColWidth="10" defaultRowHeight="12.75" x14ac:dyDescent="0.2"/>
  <cols>
    <col min="1" max="1" width="51" style="38" customWidth="1"/>
    <col min="2" max="2" width="16.7109375" style="38" customWidth="1"/>
    <col min="3" max="3" width="11.5703125" style="38" bestFit="1" customWidth="1"/>
    <col min="4" max="4" width="11.285156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163</v>
      </c>
      <c r="B3" s="40"/>
      <c r="C3" s="40"/>
    </row>
    <row r="4" spans="1:5" ht="15.75" x14ac:dyDescent="0.25">
      <c r="B4" s="41"/>
      <c r="C4" s="41"/>
      <c r="D4" s="41"/>
      <c r="E4" s="41"/>
    </row>
    <row r="5" spans="1:5" x14ac:dyDescent="0.2">
      <c r="A5" s="42" t="s">
        <v>184</v>
      </c>
      <c r="B5" s="43" t="s">
        <v>210</v>
      </c>
      <c r="C5" s="44"/>
    </row>
    <row r="6" spans="1:5" x14ac:dyDescent="0.2">
      <c r="A6" s="45" t="s">
        <v>197</v>
      </c>
      <c r="B6" s="115">
        <f>+Datos!D83</f>
        <v>277598.62978843832</v>
      </c>
      <c r="C6" s="47"/>
    </row>
    <row r="7" spans="1:5" x14ac:dyDescent="0.2">
      <c r="A7" s="45" t="s">
        <v>198</v>
      </c>
      <c r="B7" s="48">
        <f>+Datos!D73</f>
        <v>10</v>
      </c>
      <c r="C7" s="38" t="s">
        <v>211</v>
      </c>
    </row>
    <row r="8" spans="1:5" x14ac:dyDescent="0.2">
      <c r="A8" s="45" t="s">
        <v>199</v>
      </c>
      <c r="B8" s="118">
        <f>(Datos!D77/100)*$B$6</f>
        <v>27759.862978843834</v>
      </c>
      <c r="C8" s="47"/>
    </row>
    <row r="9" spans="1:5" x14ac:dyDescent="0.2">
      <c r="A9" s="45" t="s">
        <v>185</v>
      </c>
      <c r="B9" s="118">
        <f>0.05*B6</f>
        <v>13879.931489421917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Economica'!F11*365</f>
        <v>48581.5</v>
      </c>
      <c r="C13" s="38" t="s">
        <v>3</v>
      </c>
    </row>
    <row r="14" spans="1:5" x14ac:dyDescent="0.2">
      <c r="A14" s="45" t="s">
        <v>189</v>
      </c>
      <c r="B14" s="119">
        <f>+'Evaluacion Economica'!G11</f>
        <v>5240.6332160000011</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11.000665335994681</v>
      </c>
      <c r="C18" s="38" t="s">
        <v>23</v>
      </c>
    </row>
    <row r="19" spans="1:4" hidden="1" x14ac:dyDescent="0.2">
      <c r="A19" s="45" t="s">
        <v>194</v>
      </c>
      <c r="B19" s="46"/>
    </row>
    <row r="20" spans="1:4" x14ac:dyDescent="0.2">
      <c r="A20" s="45" t="s">
        <v>193</v>
      </c>
      <c r="B20" s="118">
        <f>0.05*B6</f>
        <v>13879.931489421917</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24983.876680959449</v>
      </c>
      <c r="C35" s="176">
        <f>IF(B$14&gt;0,B35/B$14,0)</f>
        <v>4.7673392987477188</v>
      </c>
      <c r="D35" s="177">
        <f>IF(B$13&gt;0,B35/B$13,0)</f>
        <v>0.51426729683026351</v>
      </c>
      <c r="E35" s="188"/>
      <c r="F35" s="64"/>
    </row>
    <row r="36" spans="1:6" x14ac:dyDescent="0.2">
      <c r="A36" s="62" t="s">
        <v>202</v>
      </c>
      <c r="B36" s="65">
        <f>B19+B20</f>
        <v>13879.931489421917</v>
      </c>
      <c r="C36" s="178">
        <f>IF(B$14&gt;0,B36/B$14,0)</f>
        <v>2.6485218326376221</v>
      </c>
      <c r="D36" s="177">
        <f>IF(B$13&gt;0,B36/B$13,0)</f>
        <v>0.28570405379459091</v>
      </c>
      <c r="E36" s="189"/>
      <c r="F36" s="67"/>
    </row>
    <row r="37" spans="1:6" x14ac:dyDescent="0.2">
      <c r="A37" s="62" t="s">
        <v>209</v>
      </c>
      <c r="B37" s="63">
        <f>SUM(B35:B36)</f>
        <v>38863.808170381366</v>
      </c>
      <c r="C37" s="176">
        <f>SUM(C35:C36)</f>
        <v>7.4158611313853413</v>
      </c>
      <c r="D37" s="179">
        <f>SUM(D35:D36)</f>
        <v>0.79997135062485447</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13879.931489421917</v>
      </c>
      <c r="C40" s="176">
        <f t="shared" ref="C40:C43" si="0">IF(B$14&gt;0,B40/B$14,0)</f>
        <v>2.6485218326376221</v>
      </c>
      <c r="D40" s="177">
        <f t="shared" ref="D40:D43" si="1">IF(B$13&gt;0,B40/B$13,0)</f>
        <v>0.28570405379459091</v>
      </c>
      <c r="E40" s="188"/>
      <c r="F40" s="64"/>
    </row>
    <row r="41" spans="1:6" x14ac:dyDescent="0.2">
      <c r="A41" s="62" t="s">
        <v>205</v>
      </c>
      <c r="B41" s="70">
        <f>IF(B12&gt;0,B10*B11*B13/B12,0)</f>
        <v>5512.8148614000002</v>
      </c>
      <c r="C41" s="176">
        <f t="shared" si="0"/>
        <v>1.0519367859152995</v>
      </c>
      <c r="D41" s="177">
        <f t="shared" si="1"/>
        <v>0.11347560000000001</v>
      </c>
      <c r="E41" s="188"/>
      <c r="F41" s="64"/>
    </row>
    <row r="42" spans="1:6" x14ac:dyDescent="0.2">
      <c r="A42" s="62" t="s">
        <v>206</v>
      </c>
      <c r="B42" s="72">
        <f>IF(B16&gt;0,(B13/B17)*B16*1.1,0)</f>
        <v>4809.5685000000003</v>
      </c>
      <c r="C42" s="176">
        <f t="shared" si="0"/>
        <v>0.91774568105931709</v>
      </c>
      <c r="D42" s="177">
        <f t="shared" si="1"/>
        <v>9.9000000000000005E-2</v>
      </c>
      <c r="E42" s="188"/>
      <c r="F42" s="64"/>
    </row>
    <row r="43" spans="1:6" x14ac:dyDescent="0.2">
      <c r="A43" s="62" t="s">
        <v>217</v>
      </c>
      <c r="B43" s="65">
        <f>+'15m3-2T'!D53*B21*312</f>
        <v>262470.7082971874</v>
      </c>
      <c r="C43" s="176">
        <f t="shared" si="0"/>
        <v>50.083777566391575</v>
      </c>
      <c r="D43" s="177">
        <f t="shared" si="1"/>
        <v>5.4026884368985604</v>
      </c>
      <c r="E43" s="189"/>
      <c r="F43" s="67"/>
    </row>
    <row r="44" spans="1:6" x14ac:dyDescent="0.2">
      <c r="A44" s="62" t="s">
        <v>207</v>
      </c>
      <c r="B44" s="63">
        <f>SUM(B40:B43)</f>
        <v>286673.02314800932</v>
      </c>
      <c r="C44" s="176">
        <f>SUM(C40:C43)</f>
        <v>54.701981866003813</v>
      </c>
      <c r="D44" s="179">
        <f>SUM(D40:D43)</f>
        <v>5.9008680906931517</v>
      </c>
      <c r="E44" s="188"/>
      <c r="F44" s="64"/>
    </row>
    <row r="45" spans="1:6" x14ac:dyDescent="0.2">
      <c r="A45" s="62"/>
      <c r="B45" s="68"/>
      <c r="C45" s="181"/>
      <c r="D45" s="182"/>
      <c r="E45" s="190"/>
      <c r="F45" s="171"/>
    </row>
    <row r="46" spans="1:6" ht="13.5" thickBot="1" x14ac:dyDescent="0.25">
      <c r="A46" s="76" t="s">
        <v>208</v>
      </c>
      <c r="B46" s="77">
        <f>B37+B44</f>
        <v>325536.83131839067</v>
      </c>
      <c r="C46" s="183">
        <f>C37+C44</f>
        <v>62.117842997389154</v>
      </c>
      <c r="D46" s="184">
        <f>D37+D44</f>
        <v>6.7008394413180064</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-3380383.1871075621</v>
      </c>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18"/>
  <dimension ref="A1:F63"/>
  <sheetViews>
    <sheetView view="pageBreakPreview" zoomScale="90" zoomScaleNormal="90" zoomScaleSheetLayoutView="90" workbookViewId="0">
      <selection activeCell="D13" sqref="D13"/>
    </sheetView>
  </sheetViews>
  <sheetFormatPr baseColWidth="10" defaultRowHeight="12.75" x14ac:dyDescent="0.2"/>
  <cols>
    <col min="1" max="1" width="51" style="38" customWidth="1"/>
    <col min="2" max="2" width="16.7109375" style="38" customWidth="1"/>
    <col min="3" max="3" width="11.5703125" style="38" bestFit="1" customWidth="1"/>
    <col min="4" max="4" width="12"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163</v>
      </c>
      <c r="B3" s="40"/>
      <c r="C3" s="40"/>
    </row>
    <row r="4" spans="1:5" ht="15.75" x14ac:dyDescent="0.25">
      <c r="B4" s="41"/>
      <c r="C4" s="41"/>
      <c r="D4" s="41"/>
      <c r="E4" s="41"/>
    </row>
    <row r="5" spans="1:5" x14ac:dyDescent="0.2">
      <c r="A5" s="42" t="s">
        <v>184</v>
      </c>
      <c r="B5" s="43" t="s">
        <v>210</v>
      </c>
      <c r="C5" s="44"/>
    </row>
    <row r="6" spans="1:5" x14ac:dyDescent="0.2">
      <c r="A6" s="45" t="s">
        <v>197</v>
      </c>
      <c r="B6" s="115">
        <f>+Datos!D83</f>
        <v>277598.62978843832</v>
      </c>
      <c r="C6" s="47"/>
    </row>
    <row r="7" spans="1:5" x14ac:dyDescent="0.2">
      <c r="A7" s="45" t="s">
        <v>198</v>
      </c>
      <c r="B7" s="48">
        <f>+Datos!D73</f>
        <v>10</v>
      </c>
      <c r="C7" s="38" t="s">
        <v>211</v>
      </c>
    </row>
    <row r="8" spans="1:5" x14ac:dyDescent="0.2">
      <c r="A8" s="45" t="s">
        <v>199</v>
      </c>
      <c r="B8" s="118">
        <f>(Datos!D77/100)*$B$6</f>
        <v>27759.862978843834</v>
      </c>
      <c r="C8" s="47"/>
    </row>
    <row r="9" spans="1:5" x14ac:dyDescent="0.2">
      <c r="A9" s="45" t="s">
        <v>185</v>
      </c>
      <c r="B9" s="118">
        <f>0.05*B6</f>
        <v>13879.931489421917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Economica'!F12*365</f>
        <v>32959.5</v>
      </c>
      <c r="C13" s="38" t="s">
        <v>3</v>
      </c>
    </row>
    <row r="14" spans="1:5" x14ac:dyDescent="0.2">
      <c r="A14" s="45" t="s">
        <v>189</v>
      </c>
      <c r="B14" s="119">
        <f>+'Evaluacion Economica'!G12</f>
        <v>3493.7554773333336</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11.000665335994681</v>
      </c>
      <c r="C18" s="38" t="s">
        <v>23</v>
      </c>
    </row>
    <row r="19" spans="1:4" hidden="1" x14ac:dyDescent="0.2">
      <c r="A19" s="45" t="s">
        <v>194</v>
      </c>
      <c r="B19" s="46"/>
    </row>
    <row r="20" spans="1:4" x14ac:dyDescent="0.2">
      <c r="A20" s="45" t="s">
        <v>193</v>
      </c>
      <c r="B20" s="118">
        <f>0.05*B6</f>
        <v>13879.931489421917</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24983.876680959449</v>
      </c>
      <c r="C35" s="176">
        <f>IF(B$14&gt;0,B35/B$14,0)</f>
        <v>7.1510089481215795</v>
      </c>
      <c r="D35" s="177">
        <f>IF(B$13&gt;0,B35/B$13,0)</f>
        <v>0.75801746631348921</v>
      </c>
      <c r="E35" s="188"/>
      <c r="F35" s="64"/>
    </row>
    <row r="36" spans="1:6" x14ac:dyDescent="0.2">
      <c r="A36" s="62" t="s">
        <v>202</v>
      </c>
      <c r="B36" s="65">
        <f>B19+B20</f>
        <v>13879.931489421917</v>
      </c>
      <c r="C36" s="178">
        <f>IF(B$14&gt;0,B36/B$14,0)</f>
        <v>3.9727827489564334</v>
      </c>
      <c r="D36" s="177">
        <f>IF(B$13&gt;0,B36/B$13,0)</f>
        <v>0.42112081461860518</v>
      </c>
      <c r="E36" s="189"/>
      <c r="F36" s="67"/>
    </row>
    <row r="37" spans="1:6" x14ac:dyDescent="0.2">
      <c r="A37" s="62" t="s">
        <v>209</v>
      </c>
      <c r="B37" s="63">
        <f>SUM(B35:B36)</f>
        <v>38863.808170381366</v>
      </c>
      <c r="C37" s="176">
        <f>SUM(C35:C36)</f>
        <v>11.123791697078012</v>
      </c>
      <c r="D37" s="179">
        <f>SUM(D35:D36)</f>
        <v>1.1791382809320945</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13879.931489421917</v>
      </c>
      <c r="C40" s="176">
        <f t="shared" ref="C40:C43" si="0">IF(B$14&gt;0,B40/B$14,0)</f>
        <v>3.9727827489564334</v>
      </c>
      <c r="D40" s="177">
        <f t="shared" ref="D40:D43" si="1">IF(B$13&gt;0,B40/B$13,0)</f>
        <v>0.42112081461860518</v>
      </c>
      <c r="E40" s="188"/>
      <c r="F40" s="64"/>
    </row>
    <row r="41" spans="1:6" x14ac:dyDescent="0.2">
      <c r="A41" s="62" t="s">
        <v>205</v>
      </c>
      <c r="B41" s="70">
        <f>IF(B12&gt;0,B10*B11*B13/B12,0)</f>
        <v>3740.0990382</v>
      </c>
      <c r="C41" s="176">
        <f t="shared" si="0"/>
        <v>1.0705096743217679</v>
      </c>
      <c r="D41" s="177">
        <f t="shared" si="1"/>
        <v>0.1134756</v>
      </c>
      <c r="E41" s="188"/>
      <c r="F41" s="64"/>
    </row>
    <row r="42" spans="1:6" x14ac:dyDescent="0.2">
      <c r="A42" s="62" t="s">
        <v>206</v>
      </c>
      <c r="B42" s="72">
        <f>IF(B16&gt;0,(B13/B17)*B16*1.1,0)</f>
        <v>3262.9905000000003</v>
      </c>
      <c r="C42" s="176">
        <f t="shared" si="0"/>
        <v>0.93394930502993634</v>
      </c>
      <c r="D42" s="177">
        <f t="shared" si="1"/>
        <v>9.9000000000000005E-2</v>
      </c>
      <c r="E42" s="188"/>
      <c r="F42" s="64"/>
    </row>
    <row r="43" spans="1:6" x14ac:dyDescent="0.2">
      <c r="A43" s="62" t="s">
        <v>217</v>
      </c>
      <c r="B43" s="65">
        <f>+'15m3-1T'!D53*B21*312</f>
        <v>65619.111932032247</v>
      </c>
      <c r="C43" s="176">
        <f t="shared" si="0"/>
        <v>18.781827279485832</v>
      </c>
      <c r="D43" s="177">
        <f t="shared" si="1"/>
        <v>1.9909013162224016</v>
      </c>
      <c r="E43" s="189"/>
      <c r="F43" s="67"/>
    </row>
    <row r="44" spans="1:6" x14ac:dyDescent="0.2">
      <c r="A44" s="62" t="s">
        <v>207</v>
      </c>
      <c r="B44" s="63">
        <f>SUM(B40:B43)</f>
        <v>86502.132959654162</v>
      </c>
      <c r="C44" s="176">
        <f>SUM(C40:C43)</f>
        <v>24.759069007793968</v>
      </c>
      <c r="D44" s="179">
        <f>SUM(D40:D43)</f>
        <v>2.6244977308410067</v>
      </c>
      <c r="E44" s="188"/>
      <c r="F44" s="64"/>
    </row>
    <row r="45" spans="1:6" x14ac:dyDescent="0.2">
      <c r="A45" s="62"/>
      <c r="B45" s="68"/>
      <c r="C45" s="181"/>
      <c r="D45" s="182"/>
      <c r="E45" s="190"/>
      <c r="F45" s="171"/>
    </row>
    <row r="46" spans="1:6" ht="13.5" thickBot="1" x14ac:dyDescent="0.25">
      <c r="A46" s="76" t="s">
        <v>208</v>
      </c>
      <c r="B46" s="77">
        <f>B37+B44</f>
        <v>125365.94113003553</v>
      </c>
      <c r="C46" s="183">
        <f>C37+C44</f>
        <v>35.88286070487198</v>
      </c>
      <c r="D46" s="184">
        <f>D37+D44</f>
        <v>3.8036360117731012</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-766354.97344373493</v>
      </c>
    </row>
    <row r="55" spans="1:2" ht="13.5" thickBot="1" x14ac:dyDescent="0.25">
      <c r="A55" s="670"/>
      <c r="B55" s="671"/>
    </row>
    <row r="62" spans="1:2" x14ac:dyDescent="0.2">
      <c r="B62" s="192"/>
    </row>
    <row r="63" spans="1:2" x14ac:dyDescent="0.2">
      <c r="B63" s="192"/>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21"/>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1.2851562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167</v>
      </c>
      <c r="B3" s="40"/>
      <c r="C3" s="40"/>
    </row>
    <row r="4" spans="1:5" ht="15.75" x14ac:dyDescent="0.25">
      <c r="B4" s="41"/>
      <c r="C4" s="41"/>
      <c r="D4" s="41"/>
      <c r="E4" s="41"/>
    </row>
    <row r="5" spans="1:5" x14ac:dyDescent="0.2">
      <c r="A5" s="42" t="s">
        <v>184</v>
      </c>
      <c r="B5" s="43" t="s">
        <v>210</v>
      </c>
      <c r="C5" s="44"/>
    </row>
    <row r="6" spans="1:5" x14ac:dyDescent="0.2">
      <c r="A6" s="45" t="s">
        <v>197</v>
      </c>
      <c r="B6" s="115">
        <f>+Datos!D84</f>
        <v>280794.00217132841</v>
      </c>
      <c r="C6" s="47"/>
    </row>
    <row r="7" spans="1:5" x14ac:dyDescent="0.2">
      <c r="A7" s="45" t="s">
        <v>198</v>
      </c>
      <c r="B7" s="48">
        <f>+Datos!D73</f>
        <v>10</v>
      </c>
      <c r="C7" s="38" t="s">
        <v>211</v>
      </c>
    </row>
    <row r="8" spans="1:5" x14ac:dyDescent="0.2">
      <c r="A8" s="45" t="s">
        <v>199</v>
      </c>
      <c r="B8" s="118">
        <f>(Datos!D77/100)*$B$6</f>
        <v>28079.400217132843</v>
      </c>
      <c r="C8" s="47"/>
    </row>
    <row r="9" spans="1:5" x14ac:dyDescent="0.2">
      <c r="A9" s="45" t="s">
        <v>185</v>
      </c>
      <c r="B9" s="118">
        <f>0.05*B6</f>
        <v>14039.700108566421</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Economica'!F13*365</f>
        <v>48581.5</v>
      </c>
      <c r="C13" s="38" t="s">
        <v>3</v>
      </c>
    </row>
    <row r="14" spans="1:5" x14ac:dyDescent="0.2">
      <c r="A14" s="45" t="s">
        <v>189</v>
      </c>
      <c r="B14" s="119">
        <f>+'Evaluacion Economica'!G13</f>
        <v>5240.6332160000011</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11.000665335994681</v>
      </c>
      <c r="C18" s="38" t="s">
        <v>23</v>
      </c>
    </row>
    <row r="19" spans="1:4" hidden="1" x14ac:dyDescent="0.2">
      <c r="A19" s="45" t="s">
        <v>194</v>
      </c>
      <c r="B19" s="46"/>
    </row>
    <row r="20" spans="1:4" x14ac:dyDescent="0.2">
      <c r="A20" s="45" t="s">
        <v>193</v>
      </c>
      <c r="B20" s="118">
        <f>0.05*B6</f>
        <v>14039.700108566421</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25271.460195419557</v>
      </c>
      <c r="C35" s="176">
        <f>IF(B$14&gt;0,B35/B$14,0)</f>
        <v>4.8222150175028684</v>
      </c>
      <c r="D35" s="177">
        <f>IF(B$13&gt;0,B35/B$13,0)</f>
        <v>0.5201869064442135</v>
      </c>
      <c r="E35" s="188"/>
      <c r="F35" s="64"/>
    </row>
    <row r="36" spans="1:6" x14ac:dyDescent="0.2">
      <c r="A36" s="62" t="s">
        <v>202</v>
      </c>
      <c r="B36" s="65">
        <f>B19+B20</f>
        <v>14039.700108566421</v>
      </c>
      <c r="C36" s="178">
        <f>IF(B$14&gt;0,B36/B$14,0)</f>
        <v>2.679008343057149</v>
      </c>
      <c r="D36" s="177">
        <f>IF(B$13&gt;0,B36/B$13,0)</f>
        <v>0.28899272580234087</v>
      </c>
      <c r="E36" s="189"/>
      <c r="F36" s="67"/>
    </row>
    <row r="37" spans="1:6" x14ac:dyDescent="0.2">
      <c r="A37" s="62" t="s">
        <v>209</v>
      </c>
      <c r="B37" s="63">
        <f>SUM(B35:B36)</f>
        <v>39311.160303985976</v>
      </c>
      <c r="C37" s="176">
        <f>SUM(C35:C36)</f>
        <v>7.5012233605600169</v>
      </c>
      <c r="D37" s="179">
        <f>SUM(D35:D36)</f>
        <v>0.80917963224655431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14039.700108566421</v>
      </c>
      <c r="C40" s="176">
        <f t="shared" ref="C40:C43" si="0">IF(B$14&gt;0,B40/B$14,0)</f>
        <v>2.679008343057149</v>
      </c>
      <c r="D40" s="177">
        <f t="shared" ref="D40:D43" si="1">IF(B$13&gt;0,B40/B$13,0)</f>
        <v>0.28899272580234087</v>
      </c>
      <c r="E40" s="188"/>
      <c r="F40" s="64"/>
    </row>
    <row r="41" spans="1:6" x14ac:dyDescent="0.2">
      <c r="A41" s="62" t="s">
        <v>205</v>
      </c>
      <c r="B41" s="70">
        <f>IF(B12&gt;0,B10*B11*B13/B12,0)</f>
        <v>5512.8148614000002</v>
      </c>
      <c r="C41" s="176">
        <f t="shared" si="0"/>
        <v>1.0519367859152995</v>
      </c>
      <c r="D41" s="177">
        <f t="shared" si="1"/>
        <v>0.11347560000000001</v>
      </c>
      <c r="E41" s="188"/>
      <c r="F41" s="64"/>
    </row>
    <row r="42" spans="1:6" x14ac:dyDescent="0.2">
      <c r="A42" s="62" t="s">
        <v>206</v>
      </c>
      <c r="B42" s="72">
        <f>IF(B16&gt;0,(B13/B17)*B16*1.1,0)</f>
        <v>4809.5685000000003</v>
      </c>
      <c r="C42" s="176">
        <f t="shared" si="0"/>
        <v>0.91774568105931709</v>
      </c>
      <c r="D42" s="177">
        <f t="shared" si="1"/>
        <v>9.9000000000000005E-2</v>
      </c>
      <c r="E42" s="188"/>
      <c r="F42" s="64"/>
    </row>
    <row r="43" spans="1:6" x14ac:dyDescent="0.2">
      <c r="A43" s="62" t="s">
        <v>217</v>
      </c>
      <c r="B43" s="65">
        <f>+'16m3-2T'!D53*B21*312</f>
        <v>262470.7082971874</v>
      </c>
      <c r="C43" s="176">
        <f t="shared" si="0"/>
        <v>50.083777566391575</v>
      </c>
      <c r="D43" s="177">
        <f t="shared" si="1"/>
        <v>5.4026884368985604</v>
      </c>
      <c r="E43" s="189"/>
      <c r="F43" s="67"/>
    </row>
    <row r="44" spans="1:6" x14ac:dyDescent="0.2">
      <c r="A44" s="62" t="s">
        <v>207</v>
      </c>
      <c r="B44" s="63">
        <f>SUM(B40:B43)</f>
        <v>286832.79176715383</v>
      </c>
      <c r="C44" s="176">
        <f>SUM(C40:C43)</f>
        <v>54.732468376423341</v>
      </c>
      <c r="D44" s="179">
        <f>SUM(D40:D43)</f>
        <v>5.9041567627009011</v>
      </c>
      <c r="E44" s="188"/>
      <c r="F44" s="64"/>
    </row>
    <row r="45" spans="1:6" x14ac:dyDescent="0.2">
      <c r="A45" s="62"/>
      <c r="B45" s="68"/>
      <c r="C45" s="181"/>
      <c r="D45" s="182"/>
      <c r="E45" s="190"/>
      <c r="F45" s="171"/>
    </row>
    <row r="46" spans="1:6" ht="13.5" thickBot="1" x14ac:dyDescent="0.25">
      <c r="A46" s="76" t="s">
        <v>208</v>
      </c>
      <c r="B46" s="77">
        <f>B37+B44</f>
        <v>326143.95207113982</v>
      </c>
      <c r="C46" s="183">
        <f>C37+C44</f>
        <v>62.23369173698336</v>
      </c>
      <c r="D46" s="184">
        <f>D37+D44</f>
        <v>6.7133363949474552</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-3384481.2878215592</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23"/>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1.2851562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167</v>
      </c>
      <c r="B3" s="40"/>
      <c r="C3" s="40"/>
    </row>
    <row r="4" spans="1:5" ht="15.75" x14ac:dyDescent="0.25">
      <c r="B4" s="41"/>
      <c r="C4" s="41"/>
      <c r="D4" s="41"/>
      <c r="E4" s="41"/>
    </row>
    <row r="5" spans="1:5" x14ac:dyDescent="0.2">
      <c r="A5" s="42" t="s">
        <v>184</v>
      </c>
      <c r="B5" s="43" t="s">
        <v>210</v>
      </c>
      <c r="C5" s="44"/>
    </row>
    <row r="6" spans="1:5" x14ac:dyDescent="0.2">
      <c r="A6" s="45" t="s">
        <v>197</v>
      </c>
      <c r="B6" s="115">
        <f>+Datos!D84</f>
        <v>280794.00217132841</v>
      </c>
      <c r="C6" s="47"/>
    </row>
    <row r="7" spans="1:5" x14ac:dyDescent="0.2">
      <c r="A7" s="45" t="s">
        <v>198</v>
      </c>
      <c r="B7" s="48">
        <f>+Datos!D73</f>
        <v>10</v>
      </c>
      <c r="C7" s="38" t="s">
        <v>211</v>
      </c>
    </row>
    <row r="8" spans="1:5" x14ac:dyDescent="0.2">
      <c r="A8" s="45" t="s">
        <v>199</v>
      </c>
      <c r="B8" s="118">
        <f>(Datos!D77/100)*$B$6</f>
        <v>28079.400217132843</v>
      </c>
      <c r="C8" s="47"/>
    </row>
    <row r="9" spans="1:5" x14ac:dyDescent="0.2">
      <c r="A9" s="45" t="s">
        <v>185</v>
      </c>
      <c r="B9" s="118">
        <f>0.05*B6</f>
        <v>14039.700108566421</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Economica'!F14*365</f>
        <v>32959.5</v>
      </c>
      <c r="C13" s="38" t="s">
        <v>3</v>
      </c>
    </row>
    <row r="14" spans="1:5" x14ac:dyDescent="0.2">
      <c r="A14" s="45" t="s">
        <v>189</v>
      </c>
      <c r="B14" s="119">
        <f>+'Evaluacion Economica'!G14</f>
        <v>3493.7554773333336</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11.000665335994681</v>
      </c>
      <c r="C18" s="38" t="s">
        <v>23</v>
      </c>
    </row>
    <row r="19" spans="1:4" hidden="1" x14ac:dyDescent="0.2">
      <c r="A19" s="45" t="s">
        <v>194</v>
      </c>
      <c r="B19" s="46"/>
    </row>
    <row r="20" spans="1:4" x14ac:dyDescent="0.2">
      <c r="A20" s="45" t="s">
        <v>193</v>
      </c>
      <c r="B20" s="118">
        <f>0.05*B6</f>
        <v>14039.700108566421</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25271.460195419557</v>
      </c>
      <c r="C35" s="176">
        <f>IF(B$14&gt;0,B35/B$14,0)</f>
        <v>7.2333225262543026</v>
      </c>
      <c r="D35" s="177">
        <f>IF(B$13&gt;0,B35/B$13,0)</f>
        <v>0.76674282666361915</v>
      </c>
      <c r="E35" s="188"/>
      <c r="F35" s="64"/>
    </row>
    <row r="36" spans="1:6" x14ac:dyDescent="0.2">
      <c r="A36" s="62" t="s">
        <v>202</v>
      </c>
      <c r="B36" s="65">
        <f>B19+B20</f>
        <v>14039.700108566421</v>
      </c>
      <c r="C36" s="178">
        <f>IF(B$14&gt;0,B36/B$14,0)</f>
        <v>4.0185125145857246</v>
      </c>
      <c r="D36" s="177">
        <f>IF(B$13&gt;0,B36/B$13,0)</f>
        <v>0.42596823703534403</v>
      </c>
      <c r="E36" s="189"/>
      <c r="F36" s="67"/>
    </row>
    <row r="37" spans="1:6" x14ac:dyDescent="0.2">
      <c r="A37" s="62" t="s">
        <v>209</v>
      </c>
      <c r="B37" s="63">
        <f>SUM(B35:B36)</f>
        <v>39311.160303985976</v>
      </c>
      <c r="C37" s="176">
        <f>SUM(C35:C36)</f>
        <v>11.251835040840028</v>
      </c>
      <c r="D37" s="179">
        <f>SUM(D35:D36)</f>
        <v>1.1927110636989631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14039.700108566421</v>
      </c>
      <c r="C40" s="176">
        <f t="shared" ref="C40:C43" si="0">IF(B$14&gt;0,B40/B$14,0)</f>
        <v>4.0185125145857246</v>
      </c>
      <c r="D40" s="177">
        <f t="shared" ref="D40:D43" si="1">IF(B$13&gt;0,B40/B$13,0)</f>
        <v>0.42596823703534403</v>
      </c>
      <c r="E40" s="188"/>
      <c r="F40" s="64"/>
    </row>
    <row r="41" spans="1:6" x14ac:dyDescent="0.2">
      <c r="A41" s="62" t="s">
        <v>205</v>
      </c>
      <c r="B41" s="70">
        <f>IF(B12&gt;0,B10*B11*B13/B12,0)</f>
        <v>3740.0990382</v>
      </c>
      <c r="C41" s="176">
        <f t="shared" si="0"/>
        <v>1.0705096743217679</v>
      </c>
      <c r="D41" s="177">
        <f t="shared" si="1"/>
        <v>0.1134756</v>
      </c>
      <c r="E41" s="188"/>
      <c r="F41" s="64"/>
    </row>
    <row r="42" spans="1:6" x14ac:dyDescent="0.2">
      <c r="A42" s="62" t="s">
        <v>206</v>
      </c>
      <c r="B42" s="72">
        <f>IF(B16&gt;0,(B13/B17)*B16*1.1,0)</f>
        <v>3262.9905000000003</v>
      </c>
      <c r="C42" s="176">
        <f t="shared" si="0"/>
        <v>0.93394930502993634</v>
      </c>
      <c r="D42" s="177">
        <f t="shared" si="1"/>
        <v>9.9000000000000005E-2</v>
      </c>
      <c r="E42" s="188"/>
      <c r="F42" s="64"/>
    </row>
    <row r="43" spans="1:6" x14ac:dyDescent="0.2">
      <c r="A43" s="62" t="s">
        <v>217</v>
      </c>
      <c r="B43" s="65">
        <f>+'16m3-1T'!D53*B21*312</f>
        <v>65619.111932032247</v>
      </c>
      <c r="C43" s="176">
        <f t="shared" si="0"/>
        <v>18.781827279485832</v>
      </c>
      <c r="D43" s="177">
        <f t="shared" si="1"/>
        <v>1.9909013162224016</v>
      </c>
      <c r="E43" s="189"/>
      <c r="F43" s="67"/>
    </row>
    <row r="44" spans="1:6" x14ac:dyDescent="0.2">
      <c r="A44" s="62" t="s">
        <v>207</v>
      </c>
      <c r="B44" s="63">
        <f>SUM(B40:B43)</f>
        <v>86661.901578798672</v>
      </c>
      <c r="C44" s="176">
        <f>SUM(C40:C43)</f>
        <v>24.804798773423261</v>
      </c>
      <c r="D44" s="179">
        <f>SUM(D40:D43)</f>
        <v>2.6293451532577459</v>
      </c>
      <c r="E44" s="188"/>
      <c r="F44" s="64"/>
    </row>
    <row r="45" spans="1:6" x14ac:dyDescent="0.2">
      <c r="A45" s="62"/>
      <c r="B45" s="68"/>
      <c r="C45" s="181"/>
      <c r="D45" s="182"/>
      <c r="E45" s="190"/>
      <c r="F45" s="171"/>
    </row>
    <row r="46" spans="1:6" ht="13.5" thickBot="1" x14ac:dyDescent="0.25">
      <c r="A46" s="76" t="s">
        <v>208</v>
      </c>
      <c r="B46" s="77">
        <f>B37+B44</f>
        <v>125973.06188278465</v>
      </c>
      <c r="C46" s="183">
        <f>C37+C44</f>
        <v>36.056633814263293</v>
      </c>
      <c r="D46" s="184">
        <f>D37+D44</f>
        <v>3.8220562169567089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-770453.07415773277</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26"/>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2"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166</v>
      </c>
      <c r="B3" s="40"/>
      <c r="C3" s="40"/>
    </row>
    <row r="4" spans="1:5" ht="15.75" x14ac:dyDescent="0.25">
      <c r="B4" s="41"/>
      <c r="C4" s="41"/>
      <c r="D4" s="41"/>
      <c r="E4" s="41"/>
    </row>
    <row r="5" spans="1:5" x14ac:dyDescent="0.2">
      <c r="A5" s="42" t="s">
        <v>184</v>
      </c>
      <c r="B5" s="43" t="s">
        <v>210</v>
      </c>
      <c r="C5" s="44"/>
    </row>
    <row r="6" spans="1:5" x14ac:dyDescent="0.2">
      <c r="A6" s="45" t="s">
        <v>197</v>
      </c>
      <c r="B6" s="115">
        <f>+Datos!D85</f>
        <v>283989.37455421843</v>
      </c>
      <c r="C6" s="47"/>
    </row>
    <row r="7" spans="1:5" x14ac:dyDescent="0.2">
      <c r="A7" s="45" t="s">
        <v>198</v>
      </c>
      <c r="B7" s="48">
        <f>+Datos!D73</f>
        <v>10</v>
      </c>
      <c r="C7" s="38" t="s">
        <v>211</v>
      </c>
    </row>
    <row r="8" spans="1:5" x14ac:dyDescent="0.2">
      <c r="A8" s="45" t="s">
        <v>199</v>
      </c>
      <c r="B8" s="118">
        <f>(Datos!D77/100)*$B$6</f>
        <v>28398.937455421845</v>
      </c>
      <c r="C8" s="47"/>
    </row>
    <row r="9" spans="1:5" x14ac:dyDescent="0.2">
      <c r="A9" s="45" t="s">
        <v>185</v>
      </c>
      <c r="B9" s="118">
        <f>0.05*B6</f>
        <v>14199.468727710922</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Economica'!F15*365</f>
        <v>46866</v>
      </c>
      <c r="C13" s="38" t="s">
        <v>3</v>
      </c>
    </row>
    <row r="14" spans="1:5" x14ac:dyDescent="0.2">
      <c r="A14" s="45" t="s">
        <v>189</v>
      </c>
      <c r="B14" s="119">
        <f>+'Evaluacion Economica'!G15</f>
        <v>5240.6332160000011</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11.000665335994681</v>
      </c>
      <c r="C18" s="38" t="s">
        <v>23</v>
      </c>
    </row>
    <row r="19" spans="1:4" hidden="1" x14ac:dyDescent="0.2">
      <c r="A19" s="45" t="s">
        <v>194</v>
      </c>
      <c r="B19" s="46"/>
    </row>
    <row r="20" spans="1:4" x14ac:dyDescent="0.2">
      <c r="A20" s="45" t="s">
        <v>193</v>
      </c>
      <c r="B20" s="118">
        <f>0.05*B6</f>
        <v>14199.468727710922</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25559.043709879661</v>
      </c>
      <c r="C35" s="176">
        <f>IF(B$14&gt;0,B35/B$14,0)</f>
        <v>4.8770907362580163</v>
      </c>
      <c r="D35" s="177">
        <f>IF(B$13&gt;0,B35/B$13,0)</f>
        <v>0.54536430909144495</v>
      </c>
      <c r="E35" s="188"/>
      <c r="F35" s="64"/>
    </row>
    <row r="36" spans="1:6" x14ac:dyDescent="0.2">
      <c r="A36" s="62" t="s">
        <v>202</v>
      </c>
      <c r="B36" s="65">
        <f>B19+B20</f>
        <v>14199.468727710922</v>
      </c>
      <c r="C36" s="178">
        <f>IF(B$14&gt;0,B36/B$14,0)</f>
        <v>2.7094948534766758</v>
      </c>
      <c r="D36" s="177">
        <f>IF(B$13&gt;0,B36/B$13,0)</f>
        <v>0.30298017171746944</v>
      </c>
      <c r="E36" s="189"/>
      <c r="F36" s="67"/>
    </row>
    <row r="37" spans="1:6" x14ac:dyDescent="0.2">
      <c r="A37" s="62" t="s">
        <v>209</v>
      </c>
      <c r="B37" s="63">
        <f>SUM(B35:B36)</f>
        <v>39758.512437590587</v>
      </c>
      <c r="C37" s="176">
        <f>SUM(C35:C36)</f>
        <v>7.5865855897346925</v>
      </c>
      <c r="D37" s="179">
        <f>SUM(D35:D36)</f>
        <v>0.84834448080891445</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14199.468727710922</v>
      </c>
      <c r="C40" s="176">
        <f t="shared" ref="C40:C43" si="0">IF(B$14&gt;0,B40/B$14,0)</f>
        <v>2.7094948534766758</v>
      </c>
      <c r="D40" s="177">
        <f t="shared" ref="D40:D43" si="1">IF(B$13&gt;0,B40/B$13,0)</f>
        <v>0.30298017171746944</v>
      </c>
      <c r="E40" s="188"/>
      <c r="F40" s="64"/>
    </row>
    <row r="41" spans="1:6" x14ac:dyDescent="0.2">
      <c r="A41" s="62" t="s">
        <v>205</v>
      </c>
      <c r="B41" s="70">
        <f>IF(B12&gt;0,B10*B11*B13/B12,0)</f>
        <v>5318.1474695999996</v>
      </c>
      <c r="C41" s="176">
        <f t="shared" si="0"/>
        <v>1.0147910091023624</v>
      </c>
      <c r="D41" s="177">
        <f t="shared" si="1"/>
        <v>0.1134756</v>
      </c>
      <c r="E41" s="188"/>
      <c r="F41" s="64"/>
    </row>
    <row r="42" spans="1:6" x14ac:dyDescent="0.2">
      <c r="A42" s="62" t="s">
        <v>206</v>
      </c>
      <c r="B42" s="72">
        <f>IF(B16&gt;0,(B13/B17)*B16*1.1,0)</f>
        <v>4639.7340000000013</v>
      </c>
      <c r="C42" s="176">
        <f t="shared" si="0"/>
        <v>0.88533843311807925</v>
      </c>
      <c r="D42" s="177">
        <f t="shared" si="1"/>
        <v>9.9000000000000032E-2</v>
      </c>
      <c r="E42" s="188"/>
      <c r="F42" s="64"/>
    </row>
    <row r="43" spans="1:6" x14ac:dyDescent="0.2">
      <c r="A43" s="62" t="s">
        <v>217</v>
      </c>
      <c r="B43" s="65">
        <f>+'17m3-2T'!D53*B21*312</f>
        <v>262470.6781792987</v>
      </c>
      <c r="C43" s="176">
        <f t="shared" si="0"/>
        <v>50.083771819397377</v>
      </c>
      <c r="D43" s="177">
        <f t="shared" si="1"/>
        <v>5.6004497541778413</v>
      </c>
      <c r="E43" s="189"/>
      <c r="F43" s="67"/>
    </row>
    <row r="44" spans="1:6" x14ac:dyDescent="0.2">
      <c r="A44" s="62" t="s">
        <v>207</v>
      </c>
      <c r="B44" s="63">
        <f>SUM(B40:B43)</f>
        <v>286628.02837660961</v>
      </c>
      <c r="C44" s="176">
        <f>SUM(C40:C43)</f>
        <v>54.693396115094494</v>
      </c>
      <c r="D44" s="179">
        <f>SUM(D40:D43)</f>
        <v>6.115905525895311</v>
      </c>
      <c r="E44" s="188"/>
      <c r="F44" s="64"/>
    </row>
    <row r="45" spans="1:6" x14ac:dyDescent="0.2">
      <c r="A45" s="62"/>
      <c r="B45" s="68"/>
      <c r="C45" s="181"/>
      <c r="D45" s="182"/>
      <c r="E45" s="190"/>
      <c r="F45" s="171"/>
    </row>
    <row r="46" spans="1:6" ht="13.5" thickBot="1" x14ac:dyDescent="0.25">
      <c r="A46" s="76" t="s">
        <v>208</v>
      </c>
      <c r="B46" s="77">
        <f>B37+B44</f>
        <v>326386.54081420018</v>
      </c>
      <c r="C46" s="183">
        <f>C37+C44</f>
        <v>62.279981704829183</v>
      </c>
      <c r="D46" s="184">
        <f>D37+D44</f>
        <v>6.9642500067042254</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-3386519.5312070325</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27"/>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2"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166</v>
      </c>
      <c r="B3" s="40"/>
      <c r="C3" s="40"/>
    </row>
    <row r="4" spans="1:5" ht="15.75" x14ac:dyDescent="0.25">
      <c r="B4" s="41"/>
      <c r="C4" s="41"/>
      <c r="D4" s="41"/>
      <c r="E4" s="41"/>
    </row>
    <row r="5" spans="1:5" x14ac:dyDescent="0.2">
      <c r="A5" s="42" t="s">
        <v>184</v>
      </c>
      <c r="B5" s="43" t="s">
        <v>210</v>
      </c>
      <c r="C5" s="44"/>
    </row>
    <row r="6" spans="1:5" x14ac:dyDescent="0.2">
      <c r="A6" s="45" t="s">
        <v>197</v>
      </c>
      <c r="B6" s="115">
        <f>+Datos!D85</f>
        <v>283989.37455421843</v>
      </c>
      <c r="C6" s="47"/>
    </row>
    <row r="7" spans="1:5" x14ac:dyDescent="0.2">
      <c r="A7" s="45" t="s">
        <v>198</v>
      </c>
      <c r="B7" s="48">
        <f>+Datos!D73</f>
        <v>10</v>
      </c>
      <c r="C7" s="38" t="s">
        <v>211</v>
      </c>
    </row>
    <row r="8" spans="1:5" x14ac:dyDescent="0.2">
      <c r="A8" s="45" t="s">
        <v>199</v>
      </c>
      <c r="B8" s="118">
        <f>(Datos!D77/100)*$B$6</f>
        <v>28398.937455421845</v>
      </c>
      <c r="C8" s="47"/>
    </row>
    <row r="9" spans="1:5" x14ac:dyDescent="0.2">
      <c r="A9" s="45" t="s">
        <v>185</v>
      </c>
      <c r="B9" s="118">
        <f>0.05*B6</f>
        <v>14199.468727710922</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Economica'!F16*365</f>
        <v>31815.833333333328</v>
      </c>
      <c r="C13" s="38" t="s">
        <v>3</v>
      </c>
    </row>
    <row r="14" spans="1:5" x14ac:dyDescent="0.2">
      <c r="A14" s="45" t="s">
        <v>189</v>
      </c>
      <c r="B14" s="119">
        <f>+'Evaluacion Economica'!G16</f>
        <v>3493.7554773333336</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11.000665335994681</v>
      </c>
      <c r="C18" s="38" t="s">
        <v>23</v>
      </c>
    </row>
    <row r="19" spans="1:4" hidden="1" x14ac:dyDescent="0.2">
      <c r="A19" s="45" t="s">
        <v>194</v>
      </c>
      <c r="B19" s="46"/>
    </row>
    <row r="20" spans="1:4" x14ac:dyDescent="0.2">
      <c r="A20" s="45" t="s">
        <v>193</v>
      </c>
      <c r="B20" s="118">
        <f>0.05*B6</f>
        <v>14199.468727710922</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25559.043709879661</v>
      </c>
      <c r="C35" s="176">
        <f>IF(B$14&gt;0,B35/B$14,0)</f>
        <v>7.3156361043870257</v>
      </c>
      <c r="D35" s="177">
        <f>IF(B$13&gt;0,B35/B$13,0)</f>
        <v>0.80334352528498909</v>
      </c>
      <c r="E35" s="188"/>
      <c r="F35" s="64"/>
    </row>
    <row r="36" spans="1:6" x14ac:dyDescent="0.2">
      <c r="A36" s="62" t="s">
        <v>202</v>
      </c>
      <c r="B36" s="65">
        <f>B19+B20</f>
        <v>14199.468727710922</v>
      </c>
      <c r="C36" s="178">
        <f>IF(B$14&gt;0,B36/B$14,0)</f>
        <v>4.064242280215014</v>
      </c>
      <c r="D36" s="177">
        <f>IF(B$13&gt;0,B36/B$13,0)</f>
        <v>0.4463019584916606</v>
      </c>
      <c r="E36" s="189"/>
      <c r="F36" s="67"/>
    </row>
    <row r="37" spans="1:6" x14ac:dyDescent="0.2">
      <c r="A37" s="62" t="s">
        <v>209</v>
      </c>
      <c r="B37" s="63">
        <f>SUM(B35:B36)</f>
        <v>39758.512437590587</v>
      </c>
      <c r="C37" s="176">
        <f>SUM(C35:C36)</f>
        <v>11.379878384602041</v>
      </c>
      <c r="D37" s="179">
        <f>SUM(D35:D36)</f>
        <v>1.2496454837766497</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14199.468727710922</v>
      </c>
      <c r="C40" s="176">
        <f t="shared" ref="C40:C43" si="0">IF(B$14&gt;0,B40/B$14,0)</f>
        <v>4.064242280215014</v>
      </c>
      <c r="D40" s="177">
        <f t="shared" ref="D40:D43" si="1">IF(B$13&gt;0,B40/B$13,0)</f>
        <v>0.4463019584916606</v>
      </c>
      <c r="E40" s="188"/>
      <c r="F40" s="64"/>
    </row>
    <row r="41" spans="1:6" x14ac:dyDescent="0.2">
      <c r="A41" s="62" t="s">
        <v>205</v>
      </c>
      <c r="B41" s="70">
        <f>IF(B12&gt;0,B10*B11*B13/B12,0)</f>
        <v>3610.3207769999995</v>
      </c>
      <c r="C41" s="176">
        <f t="shared" si="0"/>
        <v>1.0333638975088308</v>
      </c>
      <c r="D41" s="177">
        <f t="shared" si="1"/>
        <v>0.1134756</v>
      </c>
      <c r="E41" s="188"/>
      <c r="F41" s="64"/>
    </row>
    <row r="42" spans="1:6" x14ac:dyDescent="0.2">
      <c r="A42" s="62" t="s">
        <v>206</v>
      </c>
      <c r="B42" s="72">
        <f>IF(B16&gt;0,(B13/B17)*B16*1.1,0)</f>
        <v>3149.7674999999999</v>
      </c>
      <c r="C42" s="176">
        <f t="shared" si="0"/>
        <v>0.90154205708869806</v>
      </c>
      <c r="D42" s="177">
        <f t="shared" si="1"/>
        <v>9.9000000000000019E-2</v>
      </c>
      <c r="E42" s="188"/>
      <c r="F42" s="64"/>
    </row>
    <row r="43" spans="1:6" x14ac:dyDescent="0.2">
      <c r="A43" s="62" t="s">
        <v>217</v>
      </c>
      <c r="B43" s="65">
        <f>+'17m3-1T'!D53*B21*312</f>
        <v>65618.865964850411</v>
      </c>
      <c r="C43" s="176">
        <f t="shared" si="0"/>
        <v>18.78175687754058</v>
      </c>
      <c r="D43" s="177">
        <f t="shared" si="1"/>
        <v>2.0624594451876819</v>
      </c>
      <c r="E43" s="189"/>
      <c r="F43" s="67"/>
    </row>
    <row r="44" spans="1:6" x14ac:dyDescent="0.2">
      <c r="A44" s="62" t="s">
        <v>207</v>
      </c>
      <c r="B44" s="63">
        <f>SUM(B40:B43)</f>
        <v>86578.422969561332</v>
      </c>
      <c r="C44" s="176">
        <f>SUM(C40:C43)</f>
        <v>24.780905112353125</v>
      </c>
      <c r="D44" s="179">
        <f>SUM(D40:D43)</f>
        <v>2.7212370036793425</v>
      </c>
      <c r="E44" s="188"/>
      <c r="F44" s="64"/>
    </row>
    <row r="45" spans="1:6" x14ac:dyDescent="0.2">
      <c r="A45" s="62"/>
      <c r="B45" s="68"/>
      <c r="C45" s="181"/>
      <c r="D45" s="182"/>
      <c r="E45" s="190"/>
      <c r="F45" s="171"/>
    </row>
    <row r="46" spans="1:6" ht="13.5" thickBot="1" x14ac:dyDescent="0.25">
      <c r="A46" s="76" t="s">
        <v>208</v>
      </c>
      <c r="B46" s="77">
        <f>B37+B44</f>
        <v>126336.93540715192</v>
      </c>
      <c r="C46" s="183">
        <f>C37+C44</f>
        <v>36.160783496955162</v>
      </c>
      <c r="D46" s="184">
        <f>D37+D44</f>
        <v>3.9708824874559925</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-773176.77378033032</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Hoja11"/>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164</v>
      </c>
      <c r="B3" s="40"/>
      <c r="C3" s="40"/>
    </row>
    <row r="4" spans="1:5" ht="15.75" x14ac:dyDescent="0.25">
      <c r="B4" s="41"/>
      <c r="C4" s="41"/>
      <c r="D4" s="41"/>
      <c r="E4" s="41"/>
    </row>
    <row r="5" spans="1:5" x14ac:dyDescent="0.2">
      <c r="A5" s="42" t="s">
        <v>184</v>
      </c>
      <c r="B5" s="43" t="s">
        <v>210</v>
      </c>
      <c r="C5" s="44"/>
    </row>
    <row r="6" spans="1:5" x14ac:dyDescent="0.2">
      <c r="A6" s="45" t="s">
        <v>197</v>
      </c>
      <c r="B6" s="115">
        <f>+Datos!D86</f>
        <v>287184.74693710852</v>
      </c>
      <c r="C6" s="47"/>
    </row>
    <row r="7" spans="1:5" x14ac:dyDescent="0.2">
      <c r="A7" s="45" t="s">
        <v>198</v>
      </c>
      <c r="B7" s="48">
        <f>+Datos!D73</f>
        <v>10</v>
      </c>
      <c r="C7" s="38" t="s">
        <v>211</v>
      </c>
    </row>
    <row r="8" spans="1:5" x14ac:dyDescent="0.2">
      <c r="A8" s="45" t="s">
        <v>199</v>
      </c>
      <c r="B8" s="118">
        <f>(Datos!D77/100)*$B$6</f>
        <v>28718.474693710854</v>
      </c>
      <c r="C8" s="47"/>
    </row>
    <row r="9" spans="1:5" x14ac:dyDescent="0.2">
      <c r="A9" s="45" t="s">
        <v>185</v>
      </c>
      <c r="B9" s="118">
        <f>0.05*B6</f>
        <v>14359.237346855427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Economica'!F17*365</f>
        <v>46866</v>
      </c>
      <c r="C13" s="38" t="s">
        <v>3</v>
      </c>
    </row>
    <row r="14" spans="1:5" x14ac:dyDescent="0.2">
      <c r="A14" s="45" t="s">
        <v>189</v>
      </c>
      <c r="B14" s="119">
        <f>+'Evaluacion Economica'!G17</f>
        <v>5240.6332160000011</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11.000665335994681</v>
      </c>
      <c r="C18" s="38" t="s">
        <v>23</v>
      </c>
    </row>
    <row r="19" spans="1:4" hidden="1" x14ac:dyDescent="0.2">
      <c r="A19" s="45" t="s">
        <v>194</v>
      </c>
      <c r="B19" s="46"/>
    </row>
    <row r="20" spans="1:4" x14ac:dyDescent="0.2">
      <c r="A20" s="45" t="s">
        <v>193</v>
      </c>
      <c r="B20" s="118">
        <f>0.05*B6</f>
        <v>14359.237346855427</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25846.627224339765</v>
      </c>
      <c r="C35" s="176">
        <f>IF(B$14&gt;0,B35/B$14,0)</f>
        <v>4.931966455013165</v>
      </c>
      <c r="D35" s="177">
        <f>IF(B$13&gt;0,B35/B$13,0)</f>
        <v>0.5515006022348774</v>
      </c>
      <c r="E35" s="188"/>
      <c r="F35" s="64"/>
    </row>
    <row r="36" spans="1:6" x14ac:dyDescent="0.2">
      <c r="A36" s="62" t="s">
        <v>202</v>
      </c>
      <c r="B36" s="65">
        <f>B19+B20</f>
        <v>14359.237346855427</v>
      </c>
      <c r="C36" s="178">
        <f>IF(B$14&gt;0,B36/B$14,0)</f>
        <v>2.7399813638962027</v>
      </c>
      <c r="D36" s="177">
        <f>IF(B$13&gt;0,B36/B$13,0)</f>
        <v>0.3063892234638208</v>
      </c>
      <c r="E36" s="189"/>
      <c r="F36" s="67"/>
    </row>
    <row r="37" spans="1:6" x14ac:dyDescent="0.2">
      <c r="A37" s="62" t="s">
        <v>209</v>
      </c>
      <c r="B37" s="63">
        <f>SUM(B35:B36)</f>
        <v>40205.86457119519</v>
      </c>
      <c r="C37" s="176">
        <f>SUM(C35:C36)</f>
        <v>7.6719478189093682</v>
      </c>
      <c r="D37" s="179">
        <f>SUM(D35:D36)</f>
        <v>0.85788982569869821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14359.237346855427</v>
      </c>
      <c r="C40" s="176">
        <f t="shared" ref="C40:C43" si="0">IF(B$14&gt;0,B40/B$14,0)</f>
        <v>2.7399813638962027</v>
      </c>
      <c r="D40" s="177">
        <f t="shared" ref="D40:D43" si="1">IF(B$13&gt;0,B40/B$13,0)</f>
        <v>0.3063892234638208</v>
      </c>
      <c r="E40" s="188"/>
      <c r="F40" s="64"/>
    </row>
    <row r="41" spans="1:6" x14ac:dyDescent="0.2">
      <c r="A41" s="62" t="s">
        <v>205</v>
      </c>
      <c r="B41" s="70">
        <f>IF(B12&gt;0,B10*B11*B13/B12,0)</f>
        <v>5318.1474695999996</v>
      </c>
      <c r="C41" s="176">
        <f t="shared" si="0"/>
        <v>1.0147910091023624</v>
      </c>
      <c r="D41" s="177">
        <f t="shared" si="1"/>
        <v>0.1134756</v>
      </c>
      <c r="E41" s="188"/>
      <c r="F41" s="64"/>
    </row>
    <row r="42" spans="1:6" x14ac:dyDescent="0.2">
      <c r="A42" s="62" t="s">
        <v>206</v>
      </c>
      <c r="B42" s="72">
        <f>IF(B16&gt;0,(B13/B17)*B16*1.1,0)</f>
        <v>4639.7340000000013</v>
      </c>
      <c r="C42" s="176">
        <f t="shared" si="0"/>
        <v>0.88533843311807925</v>
      </c>
      <c r="D42" s="177">
        <f t="shared" si="1"/>
        <v>9.9000000000000032E-2</v>
      </c>
      <c r="E42" s="188"/>
      <c r="F42" s="64"/>
    </row>
    <row r="43" spans="1:6" x14ac:dyDescent="0.2">
      <c r="A43" s="62" t="s">
        <v>217</v>
      </c>
      <c r="B43" s="65">
        <f>+'18m3-2T'!D53*B21*312</f>
        <v>262470.6781792987</v>
      </c>
      <c r="C43" s="176">
        <f t="shared" si="0"/>
        <v>50.083771819397377</v>
      </c>
      <c r="D43" s="177">
        <f t="shared" si="1"/>
        <v>5.6004497541778413</v>
      </c>
      <c r="E43" s="189"/>
      <c r="F43" s="67"/>
    </row>
    <row r="44" spans="1:6" x14ac:dyDescent="0.2">
      <c r="A44" s="62" t="s">
        <v>207</v>
      </c>
      <c r="B44" s="63">
        <f>SUM(B40:B43)</f>
        <v>286787.79699575412</v>
      </c>
      <c r="C44" s="176">
        <f>SUM(C40:C43)</f>
        <v>54.723882625514022</v>
      </c>
      <c r="D44" s="179">
        <f>SUM(D40:D43)</f>
        <v>6.1193145776416618</v>
      </c>
      <c r="E44" s="188"/>
      <c r="F44" s="64"/>
    </row>
    <row r="45" spans="1:6" x14ac:dyDescent="0.2">
      <c r="A45" s="62"/>
      <c r="B45" s="68"/>
      <c r="C45" s="181"/>
      <c r="D45" s="182"/>
      <c r="E45" s="190"/>
      <c r="F45" s="171"/>
    </row>
    <row r="46" spans="1:6" ht="13.5" thickBot="1" x14ac:dyDescent="0.25">
      <c r="A46" s="76" t="s">
        <v>208</v>
      </c>
      <c r="B46" s="77">
        <f>B37+B44</f>
        <v>326993.66156694933</v>
      </c>
      <c r="C46" s="183">
        <f>C37+C44</f>
        <v>62.395830444423389</v>
      </c>
      <c r="D46" s="184">
        <f>D37+D44</f>
        <v>6.9772044033403597</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-3390617.631921031</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Hoja19"/>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164</v>
      </c>
      <c r="B3" s="40"/>
      <c r="C3" s="40"/>
    </row>
    <row r="4" spans="1:5" ht="15.75" x14ac:dyDescent="0.25">
      <c r="B4" s="41"/>
      <c r="C4" s="41"/>
      <c r="D4" s="41"/>
      <c r="E4" s="41"/>
    </row>
    <row r="5" spans="1:5" x14ac:dyDescent="0.2">
      <c r="A5" s="42" t="s">
        <v>184</v>
      </c>
      <c r="B5" s="43" t="s">
        <v>210</v>
      </c>
      <c r="C5" s="44"/>
    </row>
    <row r="6" spans="1:5" x14ac:dyDescent="0.2">
      <c r="A6" s="45" t="s">
        <v>197</v>
      </c>
      <c r="B6" s="115">
        <f>+Datos!D86</f>
        <v>287184.74693710852</v>
      </c>
      <c r="C6" s="47"/>
    </row>
    <row r="7" spans="1:5" x14ac:dyDescent="0.2">
      <c r="A7" s="45" t="s">
        <v>198</v>
      </c>
      <c r="B7" s="48">
        <f>+Datos!D73</f>
        <v>10</v>
      </c>
      <c r="C7" s="38" t="s">
        <v>211</v>
      </c>
    </row>
    <row r="8" spans="1:5" x14ac:dyDescent="0.2">
      <c r="A8" s="45" t="s">
        <v>199</v>
      </c>
      <c r="B8" s="118">
        <f>(Datos!D77/100)*$B$6</f>
        <v>28718.474693710854</v>
      </c>
      <c r="C8" s="47"/>
    </row>
    <row r="9" spans="1:5" x14ac:dyDescent="0.2">
      <c r="A9" s="45" t="s">
        <v>185</v>
      </c>
      <c r="B9" s="118">
        <f>0.05*B6</f>
        <v>14359.237346855427</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Economica'!F18*365</f>
        <v>31815.833333333328</v>
      </c>
      <c r="C13" s="38" t="s">
        <v>3</v>
      </c>
    </row>
    <row r="14" spans="1:5" x14ac:dyDescent="0.2">
      <c r="A14" s="45" t="s">
        <v>189</v>
      </c>
      <c r="B14" s="119">
        <f>+'Evaluacion Economica'!G18</f>
        <v>3493.7554773333336</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11.000665335994681</v>
      </c>
      <c r="C18" s="38" t="s">
        <v>23</v>
      </c>
    </row>
    <row r="19" spans="1:4" hidden="1" x14ac:dyDescent="0.2">
      <c r="A19" s="45" t="s">
        <v>194</v>
      </c>
      <c r="B19" s="46"/>
    </row>
    <row r="20" spans="1:4" x14ac:dyDescent="0.2">
      <c r="A20" s="45" t="s">
        <v>193</v>
      </c>
      <c r="B20" s="118">
        <f>0.05*B6</f>
        <v>14359.237346855427</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25846.627224339765</v>
      </c>
      <c r="C35" s="176">
        <f>IF(B$14&gt;0,B35/B$14,0)</f>
        <v>7.3979496825197479</v>
      </c>
      <c r="D35" s="177">
        <f>IF(B$13&gt;0,B35/B$13,0)</f>
        <v>0.81238253147562067</v>
      </c>
      <c r="E35" s="188"/>
      <c r="F35" s="64"/>
    </row>
    <row r="36" spans="1:6" x14ac:dyDescent="0.2">
      <c r="A36" s="62" t="s">
        <v>202</v>
      </c>
      <c r="B36" s="65">
        <f>B19+B20</f>
        <v>14359.237346855427</v>
      </c>
      <c r="C36" s="178">
        <f>IF(B$14&gt;0,B36/B$14,0)</f>
        <v>4.1099720458443052</v>
      </c>
      <c r="D36" s="177">
        <f>IF(B$13&gt;0,B36/B$13,0)</f>
        <v>0.45132362859756714</v>
      </c>
      <c r="E36" s="189"/>
      <c r="F36" s="67"/>
    </row>
    <row r="37" spans="1:6" x14ac:dyDescent="0.2">
      <c r="A37" s="62" t="s">
        <v>209</v>
      </c>
      <c r="B37" s="63">
        <f>SUM(B35:B36)</f>
        <v>40205.86457119519</v>
      </c>
      <c r="C37" s="176">
        <f>SUM(C35:C36)</f>
        <v>11.507921728364053</v>
      </c>
      <c r="D37" s="179">
        <f>SUM(D35:D36)</f>
        <v>1.2637061600731878</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14359.237346855427</v>
      </c>
      <c r="C40" s="176">
        <f t="shared" ref="C40:C43" si="0">IF(B$14&gt;0,B40/B$14,0)</f>
        <v>4.1099720458443052</v>
      </c>
      <c r="D40" s="177">
        <f t="shared" ref="D40:D43" si="1">IF(B$13&gt;0,B40/B$13,0)</f>
        <v>0.45132362859756714</v>
      </c>
      <c r="E40" s="188"/>
      <c r="F40" s="64"/>
    </row>
    <row r="41" spans="1:6" x14ac:dyDescent="0.2">
      <c r="A41" s="62" t="s">
        <v>205</v>
      </c>
      <c r="B41" s="70">
        <f>IF(B12&gt;0,B10*B11*B13/B12,0)</f>
        <v>3610.3207769999995</v>
      </c>
      <c r="C41" s="176">
        <f t="shared" si="0"/>
        <v>1.0333638975088308</v>
      </c>
      <c r="D41" s="177">
        <f t="shared" si="1"/>
        <v>0.1134756</v>
      </c>
      <c r="E41" s="188"/>
      <c r="F41" s="64"/>
    </row>
    <row r="42" spans="1:6" x14ac:dyDescent="0.2">
      <c r="A42" s="62" t="s">
        <v>206</v>
      </c>
      <c r="B42" s="72">
        <f>IF(B16&gt;0,(B13/B17)*B16*1.1,0)</f>
        <v>3149.7674999999999</v>
      </c>
      <c r="C42" s="176">
        <f t="shared" si="0"/>
        <v>0.90154205708869806</v>
      </c>
      <c r="D42" s="177">
        <f t="shared" si="1"/>
        <v>9.9000000000000019E-2</v>
      </c>
      <c r="E42" s="188"/>
      <c r="F42" s="64"/>
    </row>
    <row r="43" spans="1:6" x14ac:dyDescent="0.2">
      <c r="A43" s="62" t="s">
        <v>217</v>
      </c>
      <c r="B43" s="65">
        <f>+'18m3-1T'!D53*B21*312</f>
        <v>65618.865964850411</v>
      </c>
      <c r="C43" s="176">
        <f t="shared" si="0"/>
        <v>18.78175687754058</v>
      </c>
      <c r="D43" s="177">
        <f t="shared" si="1"/>
        <v>2.0624594451876819</v>
      </c>
      <c r="E43" s="189"/>
      <c r="F43" s="67"/>
    </row>
    <row r="44" spans="1:6" x14ac:dyDescent="0.2">
      <c r="A44" s="62" t="s">
        <v>207</v>
      </c>
      <c r="B44" s="63">
        <f>SUM(B40:B43)</f>
        <v>86738.191588705842</v>
      </c>
      <c r="C44" s="176">
        <f>SUM(C40:C43)</f>
        <v>24.826634877982414</v>
      </c>
      <c r="D44" s="179">
        <f>SUM(D40:D43)</f>
        <v>2.726258673785249</v>
      </c>
      <c r="E44" s="188"/>
      <c r="F44" s="64"/>
    </row>
    <row r="45" spans="1:6" x14ac:dyDescent="0.2">
      <c r="A45" s="62"/>
      <c r="B45" s="68"/>
      <c r="C45" s="181"/>
      <c r="D45" s="182"/>
      <c r="E45" s="190"/>
      <c r="F45" s="171"/>
    </row>
    <row r="46" spans="1:6" ht="13.5" thickBot="1" x14ac:dyDescent="0.25">
      <c r="A46" s="76" t="s">
        <v>208</v>
      </c>
      <c r="B46" s="77">
        <f>B37+B44</f>
        <v>126944.05615990103</v>
      </c>
      <c r="C46" s="183">
        <f>C37+C44</f>
        <v>36.334556606346467</v>
      </c>
      <c r="D46" s="184">
        <f>D37+D44</f>
        <v>3.989964833858437</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-777274.87449432805</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Hoja30"/>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169</v>
      </c>
      <c r="B3" s="40"/>
      <c r="C3" s="40"/>
    </row>
    <row r="4" spans="1:5" ht="15.75" x14ac:dyDescent="0.25">
      <c r="B4" s="41"/>
      <c r="C4" s="41"/>
      <c r="D4" s="41"/>
      <c r="E4" s="41"/>
    </row>
    <row r="5" spans="1:5" x14ac:dyDescent="0.2">
      <c r="A5" s="42" t="s">
        <v>184</v>
      </c>
      <c r="B5" s="43" t="s">
        <v>210</v>
      </c>
      <c r="C5" s="44"/>
    </row>
    <row r="6" spans="1:5" x14ac:dyDescent="0.2">
      <c r="A6" s="45" t="s">
        <v>197</v>
      </c>
      <c r="B6" s="115">
        <f>+Datos!D87</f>
        <v>290380.11931999854</v>
      </c>
      <c r="C6" s="47"/>
    </row>
    <row r="7" spans="1:5" x14ac:dyDescent="0.2">
      <c r="A7" s="45" t="s">
        <v>198</v>
      </c>
      <c r="B7" s="48">
        <f>+Datos!D73</f>
        <v>10</v>
      </c>
      <c r="C7" s="38" t="s">
        <v>211</v>
      </c>
    </row>
    <row r="8" spans="1:5" x14ac:dyDescent="0.2">
      <c r="A8" s="45" t="s">
        <v>199</v>
      </c>
      <c r="B8" s="118">
        <f>(Datos!D77/100)*$B$6</f>
        <v>29038.011931999856</v>
      </c>
      <c r="C8" s="47"/>
    </row>
    <row r="9" spans="1:5" x14ac:dyDescent="0.2">
      <c r="A9" s="45" t="s">
        <v>185</v>
      </c>
      <c r="B9" s="118">
        <f>0.05*B6</f>
        <v>14519.005965999928</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Economica'!F19*365</f>
        <v>46866</v>
      </c>
      <c r="C13" s="38" t="s">
        <v>3</v>
      </c>
    </row>
    <row r="14" spans="1:5" x14ac:dyDescent="0.2">
      <c r="A14" s="45" t="s">
        <v>189</v>
      </c>
      <c r="B14" s="119">
        <f>+'Evaluacion Economica'!G19</f>
        <v>5240.6332160000011</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11.000665335994681</v>
      </c>
      <c r="C18" s="38" t="s">
        <v>23</v>
      </c>
    </row>
    <row r="19" spans="1:4" hidden="1" x14ac:dyDescent="0.2">
      <c r="A19" s="45" t="s">
        <v>194</v>
      </c>
      <c r="B19" s="46"/>
    </row>
    <row r="20" spans="1:4" x14ac:dyDescent="0.2">
      <c r="A20" s="45" t="s">
        <v>193</v>
      </c>
      <c r="B20" s="118">
        <f>0.05*B6</f>
        <v>14519.005965999928</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26134.210738799869</v>
      </c>
      <c r="C35" s="176">
        <f>IF(B$14&gt;0,B35/B$14,0)</f>
        <v>4.9868421737683128</v>
      </c>
      <c r="D35" s="177">
        <f>IF(B$13&gt;0,B35/B$13,0)</f>
        <v>0.55763689537830985</v>
      </c>
      <c r="E35" s="188"/>
      <c r="F35" s="64"/>
    </row>
    <row r="36" spans="1:6" x14ac:dyDescent="0.2">
      <c r="A36" s="62" t="s">
        <v>202</v>
      </c>
      <c r="B36" s="65">
        <f>B19+B20</f>
        <v>14519.005965999928</v>
      </c>
      <c r="C36" s="178">
        <f>IF(B$14&gt;0,B36/B$14,0)</f>
        <v>2.7704678743157296</v>
      </c>
      <c r="D36" s="177">
        <f>IF(B$13&gt;0,B36/B$13,0)</f>
        <v>0.30979827521017217</v>
      </c>
      <c r="E36" s="189"/>
      <c r="F36" s="67"/>
    </row>
    <row r="37" spans="1:6" x14ac:dyDescent="0.2">
      <c r="A37" s="62" t="s">
        <v>209</v>
      </c>
      <c r="B37" s="63">
        <f>SUM(B35:B36)</f>
        <v>40653.216704799794</v>
      </c>
      <c r="C37" s="176">
        <f>SUM(C35:C36)</f>
        <v>7.757310048084042</v>
      </c>
      <c r="D37" s="179">
        <f>SUM(D35:D36)</f>
        <v>0.86743517058848196</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14519.005965999928</v>
      </c>
      <c r="C40" s="176">
        <f t="shared" ref="C40:C43" si="0">IF(B$14&gt;0,B40/B$14,0)</f>
        <v>2.7704678743157296</v>
      </c>
      <c r="D40" s="177">
        <f t="shared" ref="D40:D43" si="1">IF(B$13&gt;0,B40/B$13,0)</f>
        <v>0.30979827521017217</v>
      </c>
      <c r="E40" s="188"/>
      <c r="F40" s="64"/>
    </row>
    <row r="41" spans="1:6" x14ac:dyDescent="0.2">
      <c r="A41" s="62" t="s">
        <v>205</v>
      </c>
      <c r="B41" s="70">
        <f>IF(B12&gt;0,B10*B11*B13/B12,0)</f>
        <v>5318.1474695999996</v>
      </c>
      <c r="C41" s="176">
        <f t="shared" si="0"/>
        <v>1.0147910091023624</v>
      </c>
      <c r="D41" s="177">
        <f t="shared" si="1"/>
        <v>0.1134756</v>
      </c>
      <c r="E41" s="188"/>
      <c r="F41" s="64"/>
    </row>
    <row r="42" spans="1:6" x14ac:dyDescent="0.2">
      <c r="A42" s="62" t="s">
        <v>206</v>
      </c>
      <c r="B42" s="72">
        <f>IF(B16&gt;0,(B13/B17)*B16*1.1,0)</f>
        <v>4639.7340000000013</v>
      </c>
      <c r="C42" s="176">
        <f t="shared" si="0"/>
        <v>0.88533843311807925</v>
      </c>
      <c r="D42" s="177">
        <f t="shared" si="1"/>
        <v>9.9000000000000032E-2</v>
      </c>
      <c r="E42" s="188"/>
      <c r="F42" s="64"/>
    </row>
    <row r="43" spans="1:6" x14ac:dyDescent="0.2">
      <c r="A43" s="62" t="s">
        <v>217</v>
      </c>
      <c r="B43" s="65">
        <f>+'19m3-2T'!D53*B21*312</f>
        <v>262470.6781792987</v>
      </c>
      <c r="C43" s="176">
        <f t="shared" si="0"/>
        <v>50.083771819397377</v>
      </c>
      <c r="D43" s="177">
        <f t="shared" si="1"/>
        <v>5.6004497541778413</v>
      </c>
      <c r="E43" s="189"/>
      <c r="F43" s="67"/>
    </row>
    <row r="44" spans="1:6" x14ac:dyDescent="0.2">
      <c r="A44" s="62" t="s">
        <v>207</v>
      </c>
      <c r="B44" s="63">
        <f>SUM(B40:B43)</f>
        <v>286947.56561489863</v>
      </c>
      <c r="C44" s="176">
        <f>SUM(C40:C43)</f>
        <v>54.754369135933551</v>
      </c>
      <c r="D44" s="179">
        <f>SUM(D40:D43)</f>
        <v>6.1227236293880134</v>
      </c>
      <c r="E44" s="188"/>
      <c r="F44" s="64"/>
    </row>
    <row r="45" spans="1:6" x14ac:dyDescent="0.2">
      <c r="A45" s="62"/>
      <c r="B45" s="68"/>
      <c r="C45" s="181"/>
      <c r="D45" s="182"/>
      <c r="E45" s="190"/>
      <c r="F45" s="171"/>
    </row>
    <row r="46" spans="1:6" ht="13.5" thickBot="1" x14ac:dyDescent="0.25">
      <c r="A46" s="76" t="s">
        <v>208</v>
      </c>
      <c r="B46" s="77">
        <f>B37+B44</f>
        <v>327600.78231969842</v>
      </c>
      <c r="C46" s="183">
        <f>C37+C44</f>
        <v>62.511679184017595</v>
      </c>
      <c r="D46" s="184">
        <f>D37+D44</f>
        <v>6.9901587999764949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-3394715.7326350282</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Hoja31"/>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169</v>
      </c>
      <c r="B3" s="40"/>
      <c r="C3" s="40"/>
    </row>
    <row r="4" spans="1:5" ht="15.75" x14ac:dyDescent="0.25">
      <c r="B4" s="41"/>
      <c r="C4" s="41"/>
      <c r="D4" s="41"/>
      <c r="E4" s="41"/>
    </row>
    <row r="5" spans="1:5" x14ac:dyDescent="0.2">
      <c r="A5" s="42" t="s">
        <v>184</v>
      </c>
      <c r="B5" s="43" t="s">
        <v>210</v>
      </c>
      <c r="C5" s="44"/>
    </row>
    <row r="6" spans="1:5" x14ac:dyDescent="0.2">
      <c r="A6" s="45" t="s">
        <v>197</v>
      </c>
      <c r="B6" s="115">
        <f>+Datos!D87</f>
        <v>290380.11931999854</v>
      </c>
      <c r="C6" s="47"/>
    </row>
    <row r="7" spans="1:5" x14ac:dyDescent="0.2">
      <c r="A7" s="45" t="s">
        <v>198</v>
      </c>
      <c r="B7" s="48">
        <f>+Datos!D73</f>
        <v>10</v>
      </c>
      <c r="C7" s="38" t="s">
        <v>211</v>
      </c>
    </row>
    <row r="8" spans="1:5" x14ac:dyDescent="0.2">
      <c r="A8" s="45" t="s">
        <v>199</v>
      </c>
      <c r="B8" s="118">
        <f>(Datos!D77/100)*$B$6</f>
        <v>29038.011931999856</v>
      </c>
      <c r="C8" s="47"/>
    </row>
    <row r="9" spans="1:5" x14ac:dyDescent="0.2">
      <c r="A9" s="45" t="s">
        <v>185</v>
      </c>
      <c r="B9" s="118">
        <f>0.05*B6</f>
        <v>14519.005965999928</v>
      </c>
      <c r="C9" s="49"/>
      <c r="D9" s="49"/>
    </row>
    <row r="10" spans="1:5" x14ac:dyDescent="0.2">
      <c r="A10" s="45" t="s">
        <v>186</v>
      </c>
      <c r="B10" s="50">
        <v>6</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Economica'!F20*365</f>
        <v>31815.833333333328</v>
      </c>
      <c r="C13" s="38" t="s">
        <v>3</v>
      </c>
    </row>
    <row r="14" spans="1:5" x14ac:dyDescent="0.2">
      <c r="A14" s="45" t="s">
        <v>189</v>
      </c>
      <c r="B14" s="119">
        <f>+'Evaluacion Economica'!G20</f>
        <v>3493.7554773333336</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11.000665335994681</v>
      </c>
      <c r="C18" s="38" t="s">
        <v>23</v>
      </c>
    </row>
    <row r="19" spans="1:4" hidden="1" x14ac:dyDescent="0.2">
      <c r="A19" s="45" t="s">
        <v>194</v>
      </c>
      <c r="B19" s="46"/>
    </row>
    <row r="20" spans="1:4" x14ac:dyDescent="0.2">
      <c r="A20" s="45" t="s">
        <v>193</v>
      </c>
      <c r="B20" s="118">
        <f>0.05*B6</f>
        <v>14519.005965999928</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26134.210738799869</v>
      </c>
      <c r="C35" s="176">
        <f>IF(B$14&gt;0,B35/B$14,0)</f>
        <v>7.4802632606524702</v>
      </c>
      <c r="D35" s="177">
        <f>IF(B$13&gt;0,B35/B$13,0)</f>
        <v>0.82142153766625237</v>
      </c>
      <c r="E35" s="188"/>
      <c r="F35" s="64"/>
    </row>
    <row r="36" spans="1:6" x14ac:dyDescent="0.2">
      <c r="A36" s="62" t="s">
        <v>202</v>
      </c>
      <c r="B36" s="65">
        <f>B19+B20</f>
        <v>14519.005965999928</v>
      </c>
      <c r="C36" s="178">
        <f>IF(B$14&gt;0,B36/B$14,0)</f>
        <v>4.1557018114735946</v>
      </c>
      <c r="D36" s="177">
        <f>IF(B$13&gt;0,B36/B$13,0)</f>
        <v>0.45634529870347351</v>
      </c>
      <c r="E36" s="189"/>
      <c r="F36" s="67"/>
    </row>
    <row r="37" spans="1:6" x14ac:dyDescent="0.2">
      <c r="A37" s="62" t="s">
        <v>209</v>
      </c>
      <c r="B37" s="63">
        <f>SUM(B35:B36)</f>
        <v>40653.216704799794</v>
      </c>
      <c r="C37" s="176">
        <f>SUM(C35:C36)</f>
        <v>11.635965072126066</v>
      </c>
      <c r="D37" s="179">
        <f>SUM(D35:D36)</f>
        <v>1.2777668363697259</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14519.005965999928</v>
      </c>
      <c r="C40" s="176">
        <f t="shared" ref="C40:C43" si="0">IF(B$14&gt;0,B40/B$14,0)</f>
        <v>4.1557018114735946</v>
      </c>
      <c r="D40" s="177">
        <f t="shared" ref="D40:D43" si="1">IF(B$13&gt;0,B40/B$13,0)</f>
        <v>0.45634529870347351</v>
      </c>
      <c r="E40" s="188"/>
      <c r="F40" s="64"/>
    </row>
    <row r="41" spans="1:6" x14ac:dyDescent="0.2">
      <c r="A41" s="62" t="s">
        <v>205</v>
      </c>
      <c r="B41" s="70">
        <f>IF(B12&gt;0,B10*B11*B13/B12,0)</f>
        <v>3610.3207769999995</v>
      </c>
      <c r="C41" s="176">
        <f t="shared" si="0"/>
        <v>1.0333638975088308</v>
      </c>
      <c r="D41" s="177">
        <f t="shared" si="1"/>
        <v>0.1134756</v>
      </c>
      <c r="E41" s="188"/>
      <c r="F41" s="64"/>
    </row>
    <row r="42" spans="1:6" x14ac:dyDescent="0.2">
      <c r="A42" s="62" t="s">
        <v>206</v>
      </c>
      <c r="B42" s="72">
        <f>IF(B16&gt;0,(B13/B17)*B16*1.1,0)</f>
        <v>3149.7674999999999</v>
      </c>
      <c r="C42" s="176">
        <f t="shared" si="0"/>
        <v>0.90154205708869806</v>
      </c>
      <c r="D42" s="177">
        <f t="shared" si="1"/>
        <v>9.9000000000000019E-2</v>
      </c>
      <c r="E42" s="188"/>
      <c r="F42" s="64"/>
    </row>
    <row r="43" spans="1:6" x14ac:dyDescent="0.2">
      <c r="A43" s="62" t="s">
        <v>217</v>
      </c>
      <c r="B43" s="65">
        <f>+'19m3-1T'!D53*B21*312</f>
        <v>65618.865964850411</v>
      </c>
      <c r="C43" s="176">
        <f t="shared" si="0"/>
        <v>18.78175687754058</v>
      </c>
      <c r="D43" s="177">
        <f t="shared" si="1"/>
        <v>2.0624594451876819</v>
      </c>
      <c r="E43" s="189"/>
      <c r="F43" s="67"/>
    </row>
    <row r="44" spans="1:6" x14ac:dyDescent="0.2">
      <c r="A44" s="62" t="s">
        <v>207</v>
      </c>
      <c r="B44" s="63">
        <f>SUM(B40:B43)</f>
        <v>86897.960207850338</v>
      </c>
      <c r="C44" s="176">
        <f>SUM(C40:C43)</f>
        <v>24.872364643611704</v>
      </c>
      <c r="D44" s="179">
        <f>SUM(D40:D43)</f>
        <v>2.7312803438911555</v>
      </c>
      <c r="E44" s="188"/>
      <c r="F44" s="64"/>
    </row>
    <row r="45" spans="1:6" x14ac:dyDescent="0.2">
      <c r="A45" s="62"/>
      <c r="B45" s="68"/>
      <c r="C45" s="181"/>
      <c r="D45" s="182"/>
      <c r="E45" s="190"/>
      <c r="F45" s="171"/>
    </row>
    <row r="46" spans="1:6" ht="13.5" thickBot="1" x14ac:dyDescent="0.25">
      <c r="A46" s="76" t="s">
        <v>208</v>
      </c>
      <c r="B46" s="77">
        <f>B37+B44</f>
        <v>127551.17691265013</v>
      </c>
      <c r="C46" s="183">
        <f>C37+C44</f>
        <v>36.508329715737773</v>
      </c>
      <c r="D46" s="184">
        <f>D37+D44</f>
        <v>4.0090471802608816</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-781372.97520832578</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Hoja34"/>
  <dimension ref="A1:F62"/>
  <sheetViews>
    <sheetView view="pageBreakPreview" topLeftCell="A10"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168</v>
      </c>
      <c r="B3" s="40"/>
      <c r="C3" s="40"/>
    </row>
    <row r="4" spans="1:5" ht="15.75" x14ac:dyDescent="0.25">
      <c r="B4" s="41"/>
      <c r="C4" s="41"/>
      <c r="D4" s="41"/>
      <c r="E4" s="41"/>
    </row>
    <row r="5" spans="1:5" x14ac:dyDescent="0.2">
      <c r="A5" s="42" t="s">
        <v>184</v>
      </c>
      <c r="B5" s="43" t="s">
        <v>210</v>
      </c>
      <c r="C5" s="44"/>
    </row>
    <row r="6" spans="1:5" x14ac:dyDescent="0.2">
      <c r="A6" s="45" t="s">
        <v>197</v>
      </c>
      <c r="B6" s="115">
        <f>+Datos!D88</f>
        <v>296770.86408577871</v>
      </c>
      <c r="C6" s="47"/>
    </row>
    <row r="7" spans="1:5" x14ac:dyDescent="0.2">
      <c r="A7" s="45" t="s">
        <v>198</v>
      </c>
      <c r="B7" s="48">
        <f>+Datos!D73</f>
        <v>10</v>
      </c>
      <c r="C7" s="38" t="s">
        <v>211</v>
      </c>
    </row>
    <row r="8" spans="1:5" x14ac:dyDescent="0.2">
      <c r="A8" s="45" t="s">
        <v>199</v>
      </c>
      <c r="B8" s="118">
        <f>(Datos!D77/100)*$B$6</f>
        <v>29677.086408577874</v>
      </c>
      <c r="C8" s="47"/>
    </row>
    <row r="9" spans="1:5" x14ac:dyDescent="0.2">
      <c r="A9" s="45" t="s">
        <v>185</v>
      </c>
      <c r="B9" s="118">
        <f>0.05*B6</f>
        <v>14838.543204288937</v>
      </c>
      <c r="C9" s="49"/>
      <c r="D9" s="49"/>
    </row>
    <row r="10" spans="1:5" x14ac:dyDescent="0.2">
      <c r="A10" s="45" t="s">
        <v>186</v>
      </c>
      <c r="B10" s="50">
        <v>10</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Economica'!F21*365</f>
        <v>45150.5</v>
      </c>
      <c r="C13" s="38" t="s">
        <v>3</v>
      </c>
    </row>
    <row r="14" spans="1:5" x14ac:dyDescent="0.2">
      <c r="A14" s="45" t="s">
        <v>189</v>
      </c>
      <c r="B14" s="119">
        <f>+'Evaluacion Economica'!G21</f>
        <v>5240.6332160000011</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11.000665335994681</v>
      </c>
      <c r="C18" s="38" t="s">
        <v>23</v>
      </c>
    </row>
    <row r="19" spans="1:4" hidden="1" x14ac:dyDescent="0.2">
      <c r="A19" s="45" t="s">
        <v>194</v>
      </c>
      <c r="B19" s="46"/>
    </row>
    <row r="20" spans="1:4" x14ac:dyDescent="0.2">
      <c r="A20" s="45" t="s">
        <v>193</v>
      </c>
      <c r="B20" s="118">
        <f>0.05*B6</f>
        <v>14838.543204288937</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26709.377767720085</v>
      </c>
      <c r="C35" s="176">
        <f>IF(B$14&gt;0,B35/B$14,0)</f>
        <v>5.0965936112786103</v>
      </c>
      <c r="D35" s="177">
        <f>IF(B$13&gt;0,B35/B$13,0)</f>
        <v>0.59156327765406991</v>
      </c>
      <c r="E35" s="188"/>
      <c r="F35" s="64"/>
    </row>
    <row r="36" spans="1:6" x14ac:dyDescent="0.2">
      <c r="A36" s="62" t="s">
        <v>202</v>
      </c>
      <c r="B36" s="65">
        <f>B19+B20</f>
        <v>14838.543204288937</v>
      </c>
      <c r="C36" s="178">
        <f>IF(B$14&gt;0,B36/B$14,0)</f>
        <v>2.8314408951547838</v>
      </c>
      <c r="D36" s="177">
        <f>IF(B$13&gt;0,B36/B$13,0)</f>
        <v>0.32864626536337221</v>
      </c>
      <c r="E36" s="189"/>
      <c r="F36" s="67"/>
    </row>
    <row r="37" spans="1:6" x14ac:dyDescent="0.2">
      <c r="A37" s="62" t="s">
        <v>209</v>
      </c>
      <c r="B37" s="63">
        <f>SUM(B35:B36)</f>
        <v>41547.920972009022</v>
      </c>
      <c r="C37" s="176">
        <f>SUM(C35:C36)</f>
        <v>7.9280345064333941</v>
      </c>
      <c r="D37" s="179">
        <f>SUM(D35:D36)</f>
        <v>0.92020954301744218</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14838.543204288937</v>
      </c>
      <c r="C40" s="176">
        <f t="shared" ref="C40:C43" si="0">IF(B$14&gt;0,B40/B$14,0)</f>
        <v>2.8314408951547838</v>
      </c>
      <c r="D40" s="177">
        <f t="shared" ref="D40:D43" si="1">IF(B$13&gt;0,B40/B$13,0)</f>
        <v>0.32864626536337221</v>
      </c>
      <c r="E40" s="188"/>
      <c r="F40" s="64"/>
    </row>
    <row r="41" spans="1:6" x14ac:dyDescent="0.2">
      <c r="A41" s="62" t="s">
        <v>205</v>
      </c>
      <c r="B41" s="70">
        <f>IF(B12&gt;0,B10*B11*B13/B12,0)</f>
        <v>8539.1334630000001</v>
      </c>
      <c r="C41" s="176">
        <f t="shared" si="0"/>
        <v>1.6294087204823757</v>
      </c>
      <c r="D41" s="177">
        <f t="shared" si="1"/>
        <v>0.18912600000000002</v>
      </c>
      <c r="E41" s="188"/>
      <c r="F41" s="64"/>
    </row>
    <row r="42" spans="1:6" x14ac:dyDescent="0.2">
      <c r="A42" s="62" t="s">
        <v>206</v>
      </c>
      <c r="B42" s="72">
        <f>IF(B16&gt;0,(B13/B17)*B16*1.1,0)</f>
        <v>4469.8995000000004</v>
      </c>
      <c r="C42" s="176">
        <f t="shared" si="0"/>
        <v>0.85293118517684097</v>
      </c>
      <c r="D42" s="177">
        <f>IF(B$13&gt;0,B42/B$13,0)</f>
        <v>9.9000000000000005E-2</v>
      </c>
      <c r="E42" s="188"/>
      <c r="F42" s="64"/>
    </row>
    <row r="43" spans="1:6" x14ac:dyDescent="0.2">
      <c r="A43" s="62" t="s">
        <v>217</v>
      </c>
      <c r="B43" s="65">
        <f>+'21m3-2T'!D53*B21*312</f>
        <v>262470.65147563891</v>
      </c>
      <c r="C43" s="176">
        <f t="shared" si="0"/>
        <v>50.083766723894847</v>
      </c>
      <c r="D43" s="177">
        <f t="shared" si="1"/>
        <v>5.8132390887285617</v>
      </c>
      <c r="E43" s="189"/>
      <c r="F43" s="67"/>
    </row>
    <row r="44" spans="1:6" x14ac:dyDescent="0.2">
      <c r="A44" s="62" t="s">
        <v>207</v>
      </c>
      <c r="B44" s="63">
        <f>SUM(B40:B43)</f>
        <v>290318.22764292784</v>
      </c>
      <c r="C44" s="176">
        <f>SUM(C40:C43)</f>
        <v>55.397547524708848</v>
      </c>
      <c r="D44" s="179">
        <f>SUM(D40:D43)</f>
        <v>6.4300113540919339</v>
      </c>
      <c r="E44" s="188"/>
      <c r="F44" s="64"/>
    </row>
    <row r="45" spans="1:6" x14ac:dyDescent="0.2">
      <c r="A45" s="62"/>
      <c r="B45" s="68"/>
      <c r="C45" s="181"/>
      <c r="D45" s="182"/>
      <c r="E45" s="190"/>
      <c r="F45" s="171"/>
    </row>
    <row r="46" spans="1:6" ht="13.5" thickBot="1" x14ac:dyDescent="0.25">
      <c r="A46" s="76" t="s">
        <v>208</v>
      </c>
      <c r="B46" s="77">
        <f>B37+B44</f>
        <v>331866.14861493686</v>
      </c>
      <c r="C46" s="183">
        <f>C37+C44</f>
        <v>63.32558203114224</v>
      </c>
      <c r="D46" s="184">
        <f>D37+D44</f>
        <v>7.3502208971093763</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-3420151.3187309355</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Hoja35"/>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168</v>
      </c>
      <c r="B3" s="40"/>
      <c r="C3" s="40"/>
    </row>
    <row r="4" spans="1:5" ht="15.75" x14ac:dyDescent="0.25">
      <c r="B4" s="41"/>
      <c r="C4" s="41"/>
      <c r="D4" s="41"/>
      <c r="E4" s="41"/>
    </row>
    <row r="5" spans="1:5" x14ac:dyDescent="0.2">
      <c r="A5" s="42" t="s">
        <v>184</v>
      </c>
      <c r="B5" s="43" t="s">
        <v>210</v>
      </c>
      <c r="C5" s="44"/>
    </row>
    <row r="6" spans="1:5" x14ac:dyDescent="0.2">
      <c r="A6" s="45" t="s">
        <v>197</v>
      </c>
      <c r="B6" s="115">
        <f>+Datos!D88</f>
        <v>296770.86408577871</v>
      </c>
      <c r="C6" s="47"/>
    </row>
    <row r="7" spans="1:5" x14ac:dyDescent="0.2">
      <c r="A7" s="45" t="s">
        <v>198</v>
      </c>
      <c r="B7" s="48">
        <f>+Datos!D73</f>
        <v>10</v>
      </c>
      <c r="C7" s="38" t="s">
        <v>211</v>
      </c>
    </row>
    <row r="8" spans="1:5" x14ac:dyDescent="0.2">
      <c r="A8" s="45" t="s">
        <v>199</v>
      </c>
      <c r="B8" s="118">
        <f>(Datos!D77/100)*$B$6</f>
        <v>29677.086408577874</v>
      </c>
      <c r="C8" s="47"/>
    </row>
    <row r="9" spans="1:5" x14ac:dyDescent="0.2">
      <c r="A9" s="45" t="s">
        <v>185</v>
      </c>
      <c r="B9" s="118">
        <f>0.05*B6</f>
        <v>14838.543204288937</v>
      </c>
      <c r="C9" s="49"/>
      <c r="D9" s="49"/>
    </row>
    <row r="10" spans="1:5" x14ac:dyDescent="0.2">
      <c r="A10" s="45" t="s">
        <v>186</v>
      </c>
      <c r="B10" s="50">
        <v>10</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Economica'!F22*365</f>
        <v>30672.166666666664</v>
      </c>
      <c r="C13" s="38" t="s">
        <v>3</v>
      </c>
    </row>
    <row r="14" spans="1:5" x14ac:dyDescent="0.2">
      <c r="A14" s="45" t="s">
        <v>189</v>
      </c>
      <c r="B14" s="119">
        <f>+'Evaluacion Economica'!G22</f>
        <v>3493.7554773333336</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11.000665335994681</v>
      </c>
      <c r="C18" s="38" t="s">
        <v>23</v>
      </c>
    </row>
    <row r="19" spans="1:4" hidden="1" x14ac:dyDescent="0.2">
      <c r="A19" s="45" t="s">
        <v>194</v>
      </c>
      <c r="B19" s="46"/>
    </row>
    <row r="20" spans="1:4" x14ac:dyDescent="0.2">
      <c r="A20" s="45" t="s">
        <v>193</v>
      </c>
      <c r="B20" s="118">
        <f>0.05*B6</f>
        <v>14838.543204288937</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26709.377767720085</v>
      </c>
      <c r="C35" s="176">
        <f>IF(B$14&gt;0,B35/B$14,0)</f>
        <v>7.6448904169179173</v>
      </c>
      <c r="D35" s="177">
        <f>IF(B$13&gt;0,B35/B$13,0)</f>
        <v>0.87080179427776827</v>
      </c>
      <c r="E35" s="188"/>
      <c r="F35" s="64"/>
    </row>
    <row r="36" spans="1:6" x14ac:dyDescent="0.2">
      <c r="A36" s="62" t="s">
        <v>202</v>
      </c>
      <c r="B36" s="65">
        <f>B19+B20</f>
        <v>14838.543204288937</v>
      </c>
      <c r="C36" s="178">
        <f>IF(B$14&gt;0,B36/B$14,0)</f>
        <v>4.2471613427321762</v>
      </c>
      <c r="D36" s="177">
        <f>IF(B$13&gt;0,B36/B$13,0)</f>
        <v>0.48377877459876018</v>
      </c>
      <c r="E36" s="189"/>
      <c r="F36" s="67"/>
    </row>
    <row r="37" spans="1:6" x14ac:dyDescent="0.2">
      <c r="A37" s="62" t="s">
        <v>209</v>
      </c>
      <c r="B37" s="63">
        <f>SUM(B35:B36)</f>
        <v>41547.920972009022</v>
      </c>
      <c r="C37" s="176">
        <f>SUM(C35:C36)</f>
        <v>11.892051759650094</v>
      </c>
      <c r="D37" s="179">
        <f>SUM(D35:D36)</f>
        <v>1.3545805688765284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14838.543204288937</v>
      </c>
      <c r="C40" s="176">
        <f t="shared" ref="C40:C43" si="0">IF(B$14&gt;0,B40/B$14,0)</f>
        <v>4.2471613427321762</v>
      </c>
      <c r="D40" s="177">
        <f t="shared" ref="D40:D43" si="1">IF(B$13&gt;0,B40/B$13,0)</f>
        <v>0.48377877459876018</v>
      </c>
      <c r="E40" s="188"/>
      <c r="F40" s="64"/>
    </row>
    <row r="41" spans="1:6" x14ac:dyDescent="0.2">
      <c r="A41" s="62" t="s">
        <v>205</v>
      </c>
      <c r="B41" s="70">
        <f>IF(B12&gt;0,B10*B11*B13/B12,0)</f>
        <v>5800.9041929999994</v>
      </c>
      <c r="C41" s="176">
        <f t="shared" si="0"/>
        <v>1.6603635344931567</v>
      </c>
      <c r="D41" s="177">
        <f t="shared" si="1"/>
        <v>0.18912599999999999</v>
      </c>
      <c r="E41" s="188"/>
      <c r="F41" s="64"/>
    </row>
    <row r="42" spans="1:6" x14ac:dyDescent="0.2">
      <c r="A42" s="62" t="s">
        <v>206</v>
      </c>
      <c r="B42" s="72">
        <f>IF(B16&gt;0,(B13/B17)*B16*1.1,0)</f>
        <v>3036.5445</v>
      </c>
      <c r="C42" s="176">
        <f t="shared" si="0"/>
        <v>0.86913480914746</v>
      </c>
      <c r="D42" s="177">
        <f t="shared" si="1"/>
        <v>9.9000000000000005E-2</v>
      </c>
      <c r="E42" s="188"/>
      <c r="F42" s="64"/>
    </row>
    <row r="43" spans="1:6" x14ac:dyDescent="0.2">
      <c r="A43" s="62" t="s">
        <v>217</v>
      </c>
      <c r="B43" s="65">
        <f>+'21m3-1T'!D53*B21*312</f>
        <v>65618.639638528621</v>
      </c>
      <c r="C43" s="176">
        <f t="shared" si="0"/>
        <v>18.781692097299587</v>
      </c>
      <c r="D43" s="177">
        <f t="shared" si="1"/>
        <v>2.1393545604928015</v>
      </c>
      <c r="E43" s="189"/>
      <c r="F43" s="67"/>
    </row>
    <row r="44" spans="1:6" x14ac:dyDescent="0.2">
      <c r="A44" s="62" t="s">
        <v>207</v>
      </c>
      <c r="B44" s="63">
        <f>SUM(B40:B43)</f>
        <v>89294.631535817549</v>
      </c>
      <c r="C44" s="176">
        <f>SUM(C40:C43)</f>
        <v>25.558351783672379</v>
      </c>
      <c r="D44" s="179">
        <f>SUM(D40:D43)</f>
        <v>2.9112593350915619</v>
      </c>
      <c r="E44" s="188"/>
      <c r="F44" s="64"/>
    </row>
    <row r="45" spans="1:6" x14ac:dyDescent="0.2">
      <c r="A45" s="62"/>
      <c r="B45" s="68"/>
      <c r="C45" s="181"/>
      <c r="D45" s="182"/>
      <c r="E45" s="190"/>
      <c r="F45" s="171"/>
    </row>
    <row r="46" spans="1:6" ht="13.5" thickBot="1" x14ac:dyDescent="0.25">
      <c r="A46" s="76" t="s">
        <v>208</v>
      </c>
      <c r="B46" s="77">
        <f>B37+B44</f>
        <v>130842.55250782656</v>
      </c>
      <c r="C46" s="183">
        <f>C37+C44</f>
        <v>37.450403543322473</v>
      </c>
      <c r="D46" s="184">
        <f>D37+D44</f>
        <v>4.2658399039680903</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-801305.44750291831</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Hoja36"/>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266</v>
      </c>
      <c r="B3" s="40"/>
      <c r="C3" s="40"/>
    </row>
    <row r="4" spans="1:5" ht="15.75" x14ac:dyDescent="0.25">
      <c r="B4" s="41"/>
      <c r="C4" s="41"/>
      <c r="D4" s="41"/>
      <c r="E4" s="41"/>
    </row>
    <row r="5" spans="1:5" x14ac:dyDescent="0.2">
      <c r="A5" s="42" t="s">
        <v>184</v>
      </c>
      <c r="B5" s="43" t="s">
        <v>210</v>
      </c>
      <c r="C5" s="44"/>
    </row>
    <row r="6" spans="1:5" x14ac:dyDescent="0.2">
      <c r="A6" s="45" t="s">
        <v>197</v>
      </c>
      <c r="B6" s="115">
        <f>+Datos!D89</f>
        <v>306356.98123444885</v>
      </c>
      <c r="C6" s="47"/>
    </row>
    <row r="7" spans="1:5" x14ac:dyDescent="0.2">
      <c r="A7" s="45" t="s">
        <v>198</v>
      </c>
      <c r="B7" s="48">
        <f>+Datos!D73</f>
        <v>10</v>
      </c>
      <c r="C7" s="38" t="s">
        <v>211</v>
      </c>
    </row>
    <row r="8" spans="1:5" x14ac:dyDescent="0.2">
      <c r="A8" s="45" t="s">
        <v>199</v>
      </c>
      <c r="B8" s="118">
        <f>(Datos!D77/100)*$B$6</f>
        <v>30635.698123444887</v>
      </c>
      <c r="C8" s="47"/>
    </row>
    <row r="9" spans="1:5" x14ac:dyDescent="0.2">
      <c r="A9" s="45" t="s">
        <v>185</v>
      </c>
      <c r="B9" s="118">
        <f>0.05*B6</f>
        <v>15317.849061722443</v>
      </c>
      <c r="C9" s="49"/>
      <c r="D9" s="49"/>
    </row>
    <row r="10" spans="1:5" x14ac:dyDescent="0.2">
      <c r="A10" s="45" t="s">
        <v>186</v>
      </c>
      <c r="B10" s="50">
        <v>10</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Economica'!F23*365</f>
        <v>45150.5</v>
      </c>
      <c r="C13" s="38" t="s">
        <v>3</v>
      </c>
    </row>
    <row r="14" spans="1:5" x14ac:dyDescent="0.2">
      <c r="A14" s="45" t="s">
        <v>189</v>
      </c>
      <c r="B14" s="119">
        <f>+'Evaluacion Economica'!G23</f>
        <v>5240.6332160000011</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11.000665335994681</v>
      </c>
      <c r="C18" s="38" t="s">
        <v>23</v>
      </c>
    </row>
    <row r="19" spans="1:4" hidden="1" x14ac:dyDescent="0.2">
      <c r="A19" s="45" t="s">
        <v>194</v>
      </c>
      <c r="B19" s="46"/>
    </row>
    <row r="20" spans="1:4" x14ac:dyDescent="0.2">
      <c r="A20" s="45" t="s">
        <v>193</v>
      </c>
      <c r="B20" s="118">
        <f>0.05*B6</f>
        <v>15317.849061722443</v>
      </c>
    </row>
    <row r="21" spans="1:4" x14ac:dyDescent="0.2">
      <c r="A21" s="45" t="s">
        <v>195</v>
      </c>
      <c r="B21" s="120">
        <f>+'Mano de Obra'!B49*2</f>
        <v>52.578229166666667</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27572.128311100398</v>
      </c>
      <c r="C35" s="176">
        <f>IF(B$14&gt;0,B35/B$14,0)</f>
        <v>5.2612207675440557</v>
      </c>
      <c r="D35" s="177">
        <f>IF(B$13&gt;0,B35/B$13,0)</f>
        <v>0.61067160521146824</v>
      </c>
      <c r="E35" s="188"/>
      <c r="F35" s="64"/>
    </row>
    <row r="36" spans="1:6" x14ac:dyDescent="0.2">
      <c r="A36" s="62" t="s">
        <v>202</v>
      </c>
      <c r="B36" s="65">
        <f>B19+B20</f>
        <v>15317.849061722443</v>
      </c>
      <c r="C36" s="178">
        <f>IF(B$14&gt;0,B36/B$14,0)</f>
        <v>2.922900426413364</v>
      </c>
      <c r="D36" s="177">
        <f>IF(B$13&gt;0,B36/B$13,0)</f>
        <v>0.33926200289526015</v>
      </c>
      <c r="E36" s="189"/>
      <c r="F36" s="67"/>
    </row>
    <row r="37" spans="1:6" x14ac:dyDescent="0.2">
      <c r="A37" s="62" t="s">
        <v>209</v>
      </c>
      <c r="B37" s="63">
        <f>SUM(B35:B36)</f>
        <v>42889.977372822839</v>
      </c>
      <c r="C37" s="176">
        <f>SUM(C35:C36)</f>
        <v>8.1841211939574201</v>
      </c>
      <c r="D37" s="179">
        <f>SUM(D35:D36)</f>
        <v>0.94993360810672844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15317.849061722443</v>
      </c>
      <c r="C40" s="176">
        <f t="shared" ref="C40:C43" si="0">IF(B$14&gt;0,B40/B$14,0)</f>
        <v>2.922900426413364</v>
      </c>
      <c r="D40" s="177">
        <f t="shared" ref="D40:D43" si="1">IF(B$13&gt;0,B40/B$13,0)</f>
        <v>0.33926200289526015</v>
      </c>
      <c r="E40" s="188"/>
      <c r="F40" s="64"/>
    </row>
    <row r="41" spans="1:6" x14ac:dyDescent="0.2">
      <c r="A41" s="62" t="s">
        <v>205</v>
      </c>
      <c r="B41" s="70">
        <f>IF(B12&gt;0,B10*B11*B13/B12,0)</f>
        <v>8539.1334630000001</v>
      </c>
      <c r="C41" s="176">
        <f t="shared" si="0"/>
        <v>1.6294087204823757</v>
      </c>
      <c r="D41" s="177">
        <f t="shared" si="1"/>
        <v>0.18912600000000002</v>
      </c>
      <c r="E41" s="188"/>
      <c r="F41" s="64"/>
    </row>
    <row r="42" spans="1:6" x14ac:dyDescent="0.2">
      <c r="A42" s="62" t="s">
        <v>206</v>
      </c>
      <c r="B42" s="72">
        <f>IF(B16&gt;0,(B13/B17)*B16*1.1,0)</f>
        <v>4469.8995000000004</v>
      </c>
      <c r="C42" s="176">
        <f t="shared" si="0"/>
        <v>0.85293118517684097</v>
      </c>
      <c r="D42" s="177">
        <f t="shared" si="1"/>
        <v>9.9000000000000005E-2</v>
      </c>
      <c r="E42" s="188"/>
      <c r="F42" s="64"/>
    </row>
    <row r="43" spans="1:6" x14ac:dyDescent="0.2">
      <c r="A43" s="62" t="s">
        <v>217</v>
      </c>
      <c r="B43" s="65">
        <f>+'24m3-2T'!D53*B21*312</f>
        <v>262470.65147563891</v>
      </c>
      <c r="C43" s="176">
        <f t="shared" si="0"/>
        <v>50.083766723894847</v>
      </c>
      <c r="D43" s="177">
        <f t="shared" si="1"/>
        <v>5.8132390887285617</v>
      </c>
      <c r="E43" s="189"/>
      <c r="F43" s="67"/>
    </row>
    <row r="44" spans="1:6" x14ac:dyDescent="0.2">
      <c r="A44" s="62" t="s">
        <v>207</v>
      </c>
      <c r="B44" s="63">
        <f>SUM(B40:B43)</f>
        <v>290797.53350036137</v>
      </c>
      <c r="C44" s="176">
        <f>SUM(C40:C43)</f>
        <v>55.489007055967427</v>
      </c>
      <c r="D44" s="179">
        <f>SUM(D40:D43)</f>
        <v>6.4406270916238215</v>
      </c>
      <c r="E44" s="188"/>
      <c r="F44" s="64"/>
    </row>
    <row r="45" spans="1:6" x14ac:dyDescent="0.2">
      <c r="A45" s="62"/>
      <c r="B45" s="68"/>
      <c r="C45" s="181"/>
      <c r="D45" s="182"/>
      <c r="E45" s="190"/>
      <c r="F45" s="171"/>
    </row>
    <row r="46" spans="1:6" ht="13.5" thickBot="1" x14ac:dyDescent="0.25">
      <c r="A46" s="76" t="s">
        <v>208</v>
      </c>
      <c r="B46" s="77">
        <f>B37+B44</f>
        <v>333687.51087318419</v>
      </c>
      <c r="C46" s="183">
        <f>C37+C44</f>
        <v>63.673128249924844</v>
      </c>
      <c r="D46" s="184">
        <f>D37+D44</f>
        <v>7.3905606997305497</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+PV(Datos!D110,B7,B44+B43)-B6</f>
        <v>-3432445.6208729292</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Hoja12"/>
  <dimension ref="A1:F62"/>
  <sheetViews>
    <sheetView view="pageBreakPreview" zoomScale="90" zoomScaleNormal="90" zoomScaleSheetLayoutView="90" workbookViewId="0">
      <selection activeCell="D11" sqref="D11"/>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266</v>
      </c>
      <c r="B3" s="40"/>
      <c r="C3" s="40"/>
    </row>
    <row r="4" spans="1:5" ht="15.75" x14ac:dyDescent="0.25">
      <c r="B4" s="41"/>
      <c r="C4" s="41"/>
      <c r="D4" s="41"/>
      <c r="E4" s="41"/>
    </row>
    <row r="5" spans="1:5" x14ac:dyDescent="0.2">
      <c r="A5" s="42" t="s">
        <v>184</v>
      </c>
      <c r="B5" s="43" t="s">
        <v>210</v>
      </c>
      <c r="C5" s="44"/>
    </row>
    <row r="6" spans="1:5" x14ac:dyDescent="0.2">
      <c r="A6" s="45" t="s">
        <v>197</v>
      </c>
      <c r="B6" s="115">
        <f>+Datos!D89</f>
        <v>306356.98123444885</v>
      </c>
      <c r="C6" s="47"/>
    </row>
    <row r="7" spans="1:5" x14ac:dyDescent="0.2">
      <c r="A7" s="45" t="s">
        <v>198</v>
      </c>
      <c r="B7" s="48">
        <f>+Datos!D73</f>
        <v>10</v>
      </c>
      <c r="C7" s="38" t="s">
        <v>211</v>
      </c>
    </row>
    <row r="8" spans="1:5" x14ac:dyDescent="0.2">
      <c r="A8" s="45" t="s">
        <v>199</v>
      </c>
      <c r="B8" s="118">
        <f>(Datos!D77/100)*$B$6</f>
        <v>30635.698123444887</v>
      </c>
      <c r="C8" s="47"/>
    </row>
    <row r="9" spans="1:5" x14ac:dyDescent="0.2">
      <c r="A9" s="45" t="s">
        <v>185</v>
      </c>
      <c r="B9" s="118">
        <f>0.05*B6</f>
        <v>15317.849061722443</v>
      </c>
      <c r="C9" s="49"/>
      <c r="D9" s="49"/>
    </row>
    <row r="10" spans="1:5" x14ac:dyDescent="0.2">
      <c r="A10" s="45" t="s">
        <v>186</v>
      </c>
      <c r="B10" s="50">
        <v>10</v>
      </c>
      <c r="C10" s="51"/>
    </row>
    <row r="11" spans="1:5" x14ac:dyDescent="0.2">
      <c r="A11" s="45" t="s">
        <v>187</v>
      </c>
      <c r="B11" s="116">
        <f>+Datos!D74</f>
        <v>945.63</v>
      </c>
      <c r="C11" s="53"/>
    </row>
    <row r="12" spans="1:5" x14ac:dyDescent="0.2">
      <c r="A12" s="45" t="s">
        <v>188</v>
      </c>
      <c r="B12" s="48">
        <f>+Datos!D75</f>
        <v>50000</v>
      </c>
      <c r="C12" s="38" t="s">
        <v>3</v>
      </c>
    </row>
    <row r="13" spans="1:5" x14ac:dyDescent="0.2">
      <c r="A13" s="45" t="s">
        <v>214</v>
      </c>
      <c r="B13" s="117">
        <f>+'Evaluacion Economica'!F24*365</f>
        <v>30672.166666666664</v>
      </c>
      <c r="C13" s="38" t="s">
        <v>3</v>
      </c>
    </row>
    <row r="14" spans="1:5" x14ac:dyDescent="0.2">
      <c r="A14" s="45" t="s">
        <v>189</v>
      </c>
      <c r="B14" s="119">
        <f>+'Evaluacion Economica'!G24</f>
        <v>3493.7554773333336</v>
      </c>
      <c r="C14" s="38" t="s">
        <v>212</v>
      </c>
    </row>
    <row r="15" spans="1:5" x14ac:dyDescent="0.2">
      <c r="A15" s="45" t="s">
        <v>190</v>
      </c>
      <c r="B15" s="54"/>
    </row>
    <row r="16" spans="1:5" x14ac:dyDescent="0.2">
      <c r="A16" s="45" t="s">
        <v>191</v>
      </c>
      <c r="B16" s="120">
        <f>+Datos!D68</f>
        <v>0.54</v>
      </c>
      <c r="C16" s="38" t="s">
        <v>125</v>
      </c>
    </row>
    <row r="17" spans="1:4" x14ac:dyDescent="0.2">
      <c r="A17" s="45" t="s">
        <v>215</v>
      </c>
      <c r="B17" s="55">
        <f>+Datos!D76</f>
        <v>6</v>
      </c>
      <c r="C17" s="38" t="s">
        <v>126</v>
      </c>
    </row>
    <row r="18" spans="1:4" x14ac:dyDescent="0.2">
      <c r="A18" s="45" t="s">
        <v>192</v>
      </c>
      <c r="B18" s="156">
        <f>+Datos!D69</f>
        <v>11.000665335994681</v>
      </c>
      <c r="C18" s="38" t="s">
        <v>23</v>
      </c>
    </row>
    <row r="19" spans="1:4" hidden="1" x14ac:dyDescent="0.2">
      <c r="A19" s="45" t="s">
        <v>194</v>
      </c>
      <c r="B19" s="46"/>
    </row>
    <row r="20" spans="1:4" x14ac:dyDescent="0.2">
      <c r="A20" s="45" t="s">
        <v>193</v>
      </c>
      <c r="B20" s="118">
        <f>0.05*B6</f>
        <v>15317.849061722443</v>
      </c>
    </row>
    <row r="21" spans="1:4" x14ac:dyDescent="0.2">
      <c r="A21" s="45" t="s">
        <v>195</v>
      </c>
      <c r="B21" s="120">
        <f>+'Mano de Obra'!B49</f>
        <v>26.289114583333333</v>
      </c>
      <c r="C21" s="38" t="s">
        <v>213</v>
      </c>
    </row>
    <row r="23" spans="1:4" hidden="1" x14ac:dyDescent="0.2"/>
    <row r="24" spans="1:4" hidden="1" x14ac:dyDescent="0.2">
      <c r="A24" s="42" t="s">
        <v>196</v>
      </c>
      <c r="B24" s="43" t="s">
        <v>120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27572.128311100398</v>
      </c>
      <c r="C35" s="176">
        <f>IF(B$14&gt;0,B35/B$14,0)</f>
        <v>7.8918311513160839</v>
      </c>
      <c r="D35" s="177">
        <f>IF(B$13&gt;0,B35/B$13,0)</f>
        <v>0.89892991945250256</v>
      </c>
      <c r="E35" s="188"/>
      <c r="F35" s="64"/>
    </row>
    <row r="36" spans="1:6" x14ac:dyDescent="0.2">
      <c r="A36" s="62" t="s">
        <v>202</v>
      </c>
      <c r="B36" s="65">
        <f>B19+B20</f>
        <v>15317.849061722443</v>
      </c>
      <c r="C36" s="178">
        <f>IF(B$14&gt;0,B36/B$14,0)</f>
        <v>4.3843506396200471</v>
      </c>
      <c r="D36" s="177">
        <f>IF(B$13&gt;0,B36/B$13,0)</f>
        <v>0.49940551080694584</v>
      </c>
      <c r="E36" s="189"/>
      <c r="F36" s="67"/>
    </row>
    <row r="37" spans="1:6" x14ac:dyDescent="0.2">
      <c r="A37" s="62" t="s">
        <v>209</v>
      </c>
      <c r="B37" s="63">
        <f>SUM(B35:B36)</f>
        <v>42889.977372822839</v>
      </c>
      <c r="C37" s="176">
        <f>SUM(C35:C36)</f>
        <v>12.276181790936132</v>
      </c>
      <c r="D37" s="179">
        <f>SUM(D35:D36)</f>
        <v>1.3983354302594484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15317.849061722443</v>
      </c>
      <c r="C40" s="176">
        <f t="shared" ref="C40:C43" si="0">IF(B$14&gt;0,B40/B$14,0)</f>
        <v>4.3843506396200471</v>
      </c>
      <c r="D40" s="177">
        <f t="shared" ref="D40:D43" si="1">IF(B$13&gt;0,B40/B$13,0)</f>
        <v>0.49940551080694584</v>
      </c>
      <c r="E40" s="188"/>
      <c r="F40" s="64"/>
    </row>
    <row r="41" spans="1:6" x14ac:dyDescent="0.2">
      <c r="A41" s="62" t="s">
        <v>205</v>
      </c>
      <c r="B41" s="70">
        <f>IF(B12&gt;0,B10*B11*B13/B12,0)</f>
        <v>5800.9041929999994</v>
      </c>
      <c r="C41" s="176">
        <f t="shared" si="0"/>
        <v>1.6603635344931567</v>
      </c>
      <c r="D41" s="177">
        <f t="shared" si="1"/>
        <v>0.18912599999999999</v>
      </c>
      <c r="E41" s="188"/>
      <c r="F41" s="64"/>
    </row>
    <row r="42" spans="1:6" x14ac:dyDescent="0.2">
      <c r="A42" s="62" t="s">
        <v>206</v>
      </c>
      <c r="B42" s="72">
        <f>IF(B16&gt;0,(B13/B17)*B16*1.1,0)</f>
        <v>3036.5445</v>
      </c>
      <c r="C42" s="176">
        <f t="shared" si="0"/>
        <v>0.86913480914746</v>
      </c>
      <c r="D42" s="177">
        <f t="shared" si="1"/>
        <v>9.9000000000000005E-2</v>
      </c>
      <c r="E42" s="188"/>
      <c r="F42" s="64"/>
    </row>
    <row r="43" spans="1:6" x14ac:dyDescent="0.2">
      <c r="A43" s="62" t="s">
        <v>217</v>
      </c>
      <c r="B43" s="65">
        <f>+'24m3-1T'!D53*B21*312</f>
        <v>65618.639638528621</v>
      </c>
      <c r="C43" s="176">
        <f t="shared" si="0"/>
        <v>18.781692097299587</v>
      </c>
      <c r="D43" s="177">
        <f t="shared" si="1"/>
        <v>2.1393545604928015</v>
      </c>
      <c r="E43" s="189"/>
      <c r="F43" s="67"/>
    </row>
    <row r="44" spans="1:6" x14ac:dyDescent="0.2">
      <c r="A44" s="62" t="s">
        <v>207</v>
      </c>
      <c r="B44" s="63">
        <f>SUM(B40:B43)</f>
        <v>89773.937393251064</v>
      </c>
      <c r="C44" s="176">
        <f>SUM(C40:C43)</f>
        <v>25.69554108056025</v>
      </c>
      <c r="D44" s="179">
        <f>SUM(D40:D43)</f>
        <v>2.9268860712997471</v>
      </c>
      <c r="E44" s="188"/>
      <c r="F44" s="64"/>
    </row>
    <row r="45" spans="1:6" x14ac:dyDescent="0.2">
      <c r="A45" s="62"/>
      <c r="B45" s="68"/>
      <c r="C45" s="181"/>
      <c r="D45" s="182"/>
      <c r="E45" s="190"/>
      <c r="F45" s="171"/>
    </row>
    <row r="46" spans="1:6" ht="13.5" thickBot="1" x14ac:dyDescent="0.25">
      <c r="A46" s="76" t="s">
        <v>208</v>
      </c>
      <c r="B46" s="77">
        <f>B37+B44</f>
        <v>132663.9147660739</v>
      </c>
      <c r="C46" s="183">
        <f>C37+C44</f>
        <v>37.971722871496382</v>
      </c>
      <c r="D46" s="184">
        <f>D37+D44</f>
        <v>4.325221501559195</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+PV(Datos!D110,B7,B44)-B6</f>
        <v>-813599.74964491138</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Hoja37"/>
  <dimension ref="A2:C33"/>
  <sheetViews>
    <sheetView workbookViewId="0">
      <selection activeCell="C5" sqref="C5"/>
    </sheetView>
  </sheetViews>
  <sheetFormatPr baseColWidth="10" defaultRowHeight="15" x14ac:dyDescent="0.25"/>
  <cols>
    <col min="3" max="3" width="23.5703125" customWidth="1"/>
  </cols>
  <sheetData>
    <row r="2" spans="1:3" ht="18.75" x14ac:dyDescent="0.3">
      <c r="A2" s="154" t="s">
        <v>172</v>
      </c>
    </row>
    <row r="4" spans="1:3" ht="30" x14ac:dyDescent="0.25">
      <c r="B4" s="145" t="s">
        <v>114</v>
      </c>
      <c r="C4" s="145" t="s">
        <v>165</v>
      </c>
    </row>
    <row r="5" spans="1:3" x14ac:dyDescent="0.25">
      <c r="B5" s="121">
        <v>9</v>
      </c>
      <c r="C5" s="147">
        <f>+'Evaluacion Economica'!I7</f>
        <v>-7990860.9565497041</v>
      </c>
    </row>
    <row r="6" spans="1:3" x14ac:dyDescent="0.25">
      <c r="B6" s="142">
        <v>12</v>
      </c>
      <c r="C6" s="146">
        <f>+'Evaluacion Economica'!I9</f>
        <v>-6744417.4450748805</v>
      </c>
    </row>
    <row r="7" spans="1:3" x14ac:dyDescent="0.25">
      <c r="B7" s="121">
        <v>15</v>
      </c>
      <c r="C7" s="147">
        <f>+'Evaluacion Economica'!I11</f>
        <v>-6760766.3742151242</v>
      </c>
    </row>
    <row r="8" spans="1:3" x14ac:dyDescent="0.25">
      <c r="B8" s="142">
        <v>16</v>
      </c>
      <c r="C8" s="146">
        <f>+'Evaluacion Economica'!I13</f>
        <v>-6768962.5756431185</v>
      </c>
    </row>
    <row r="9" spans="1:3" x14ac:dyDescent="0.25">
      <c r="B9" s="121">
        <v>17</v>
      </c>
      <c r="C9" s="147">
        <f>+'Evaluacion Economica'!I15</f>
        <v>-6773039.062414065</v>
      </c>
    </row>
    <row r="10" spans="1:3" x14ac:dyDescent="0.25">
      <c r="B10" s="142">
        <v>18</v>
      </c>
      <c r="C10" s="146">
        <f>+'Evaluacion Economica'!I17</f>
        <v>-6781235.2638420621</v>
      </c>
    </row>
    <row r="11" spans="1:3" x14ac:dyDescent="0.25">
      <c r="B11" s="121">
        <v>19</v>
      </c>
      <c r="C11" s="147">
        <f>+'Evaluacion Economica'!I19</f>
        <v>-6789431.4652700564</v>
      </c>
    </row>
    <row r="12" spans="1:3" x14ac:dyDescent="0.25">
      <c r="B12" s="142">
        <v>21</v>
      </c>
      <c r="C12" s="146">
        <f>+'Evaluacion Economica'!I21</f>
        <v>-6840302.6374618709</v>
      </c>
    </row>
    <row r="13" spans="1:3" x14ac:dyDescent="0.25">
      <c r="B13" s="121">
        <v>24</v>
      </c>
      <c r="C13" s="147">
        <f>+'Evaluacion Economica'!I23</f>
        <v>-6864891.2417458585</v>
      </c>
    </row>
    <row r="16" spans="1:3" ht="18.75" x14ac:dyDescent="0.3">
      <c r="A16" s="154" t="s">
        <v>173</v>
      </c>
    </row>
    <row r="18" spans="2:3" ht="30" x14ac:dyDescent="0.25">
      <c r="B18" s="145" t="s">
        <v>114</v>
      </c>
      <c r="C18" s="145" t="s">
        <v>165</v>
      </c>
    </row>
    <row r="19" spans="2:3" x14ac:dyDescent="0.25">
      <c r="B19" s="121">
        <v>9</v>
      </c>
      <c r="C19" s="147">
        <f>+'Evaluacion Economica'!I8</f>
        <v>-2710045.7228870071</v>
      </c>
    </row>
    <row r="20" spans="2:3" x14ac:dyDescent="0.25">
      <c r="B20" s="142">
        <v>12</v>
      </c>
      <c r="C20" s="146">
        <f>+'Evaluacion Economica'!I10</f>
        <v>-2270429.3151687803</v>
      </c>
    </row>
    <row r="21" spans="2:3" x14ac:dyDescent="0.25">
      <c r="B21" s="121">
        <v>15</v>
      </c>
      <c r="C21" s="147">
        <f>+'Evaluacion Economica'!I12</f>
        <v>-2299064.9203312048</v>
      </c>
    </row>
    <row r="22" spans="2:3" x14ac:dyDescent="0.25">
      <c r="B22" s="142">
        <v>16</v>
      </c>
      <c r="C22" s="146">
        <f>+'Evaluacion Economica'!I14</f>
        <v>-2311359.2224731985</v>
      </c>
    </row>
    <row r="23" spans="2:3" x14ac:dyDescent="0.25">
      <c r="B23" s="121">
        <v>17</v>
      </c>
      <c r="C23" s="147">
        <f>+'Evaluacion Economica'!I16</f>
        <v>-2319530.3213409912</v>
      </c>
    </row>
    <row r="24" spans="2:3" x14ac:dyDescent="0.25">
      <c r="B24" s="142">
        <v>18</v>
      </c>
      <c r="C24" s="146">
        <f>+'Evaluacion Economica'!I18</f>
        <v>-2331824.623482984</v>
      </c>
    </row>
    <row r="25" spans="2:3" x14ac:dyDescent="0.25">
      <c r="B25" s="121">
        <v>19</v>
      </c>
      <c r="C25" s="147">
        <f>+'Evaluacion Economica'!I20</f>
        <v>-2344118.9256249773</v>
      </c>
    </row>
    <row r="26" spans="2:3" x14ac:dyDescent="0.25">
      <c r="B26" s="142">
        <v>21</v>
      </c>
      <c r="C26" s="146">
        <f>+'Evaluacion Economica'!I22</f>
        <v>-2403916.3425087547</v>
      </c>
    </row>
    <row r="27" spans="2:3" x14ac:dyDescent="0.25">
      <c r="B27" s="121">
        <v>24</v>
      </c>
      <c r="C27" s="147">
        <f>+'Evaluacion Economica'!I24</f>
        <v>-2440799.2489347341</v>
      </c>
    </row>
    <row r="30" spans="2:3" x14ac:dyDescent="0.25">
      <c r="C30" s="155"/>
    </row>
    <row r="33" spans="3:3" x14ac:dyDescent="0.25">
      <c r="C33" s="155"/>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Hoja47"/>
  <dimension ref="B1:L76"/>
  <sheetViews>
    <sheetView view="pageBreakPreview" topLeftCell="A50" zoomScale="86" zoomScaleNormal="100" zoomScaleSheetLayoutView="86"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5" max="5" width="15.5703125"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 t="str">
        <f>+P_Datos!C2</f>
        <v>Pehuajó</v>
      </c>
    </row>
    <row r="4" spans="2:5" x14ac:dyDescent="0.25">
      <c r="B4" s="2" t="s">
        <v>0</v>
      </c>
    </row>
    <row r="5" spans="2:5" x14ac:dyDescent="0.25">
      <c r="B5" t="s">
        <v>1</v>
      </c>
      <c r="C5" t="s">
        <v>2</v>
      </c>
      <c r="D5">
        <f>+P_Datos!D5</f>
        <v>0</v>
      </c>
      <c r="E5" t="s">
        <v>3</v>
      </c>
    </row>
    <row r="6" spans="2:5" x14ac:dyDescent="0.25">
      <c r="B6" t="s">
        <v>4</v>
      </c>
      <c r="C6" t="s">
        <v>5</v>
      </c>
      <c r="D6" s="150">
        <f>+P_Datos!D6</f>
        <v>191</v>
      </c>
      <c r="E6" t="s">
        <v>3</v>
      </c>
    </row>
    <row r="7" spans="2:5" x14ac:dyDescent="0.25">
      <c r="B7" t="s">
        <v>6</v>
      </c>
      <c r="C7" t="s">
        <v>8</v>
      </c>
      <c r="D7">
        <f>+P_Datos!D7</f>
        <v>4.7</v>
      </c>
      <c r="E7" t="s">
        <v>3</v>
      </c>
    </row>
    <row r="8" spans="2:5" x14ac:dyDescent="0.25">
      <c r="B8" t="s">
        <v>7</v>
      </c>
      <c r="C8" t="s">
        <v>9</v>
      </c>
      <c r="D8">
        <f>+P_Datos!D8</f>
        <v>0</v>
      </c>
      <c r="E8" t="s">
        <v>3</v>
      </c>
    </row>
    <row r="9" spans="2:5" x14ac:dyDescent="0.25">
      <c r="B9" t="s">
        <v>10</v>
      </c>
      <c r="C9" t="s">
        <v>11</v>
      </c>
      <c r="D9">
        <f>+P_Datos!D9</f>
        <v>4.7</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31.333333333333336</v>
      </c>
      <c r="E14" t="s">
        <v>23</v>
      </c>
    </row>
    <row r="15" spans="2:5" x14ac:dyDescent="0.25">
      <c r="B15" t="s">
        <v>16</v>
      </c>
      <c r="C15" t="s">
        <v>21</v>
      </c>
      <c r="D15">
        <f>+P_Datos!D15</f>
        <v>40</v>
      </c>
      <c r="E15" t="s">
        <v>23</v>
      </c>
    </row>
    <row r="16" spans="2:5" x14ac:dyDescent="0.25">
      <c r="B16" t="s">
        <v>17</v>
      </c>
      <c r="C16" t="s">
        <v>22</v>
      </c>
      <c r="D16">
        <f>+P_Datos!D16</f>
        <v>31.333333333333336</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19.100000000000001</v>
      </c>
      <c r="E21" t="s">
        <v>30</v>
      </c>
    </row>
    <row r="22" spans="2:5" x14ac:dyDescent="0.25">
      <c r="B22" t="s">
        <v>27</v>
      </c>
      <c r="C22" t="s">
        <v>33</v>
      </c>
      <c r="D22" s="4">
        <f>+P_Datos!D22</f>
        <v>0.15</v>
      </c>
      <c r="E22" t="s">
        <v>30</v>
      </c>
    </row>
    <row r="23" spans="2:5" x14ac:dyDescent="0.25">
      <c r="B23" t="s">
        <v>28</v>
      </c>
      <c r="C23" t="s">
        <v>34</v>
      </c>
      <c r="D23" s="4">
        <f>+P_Datos!D23</f>
        <v>0</v>
      </c>
      <c r="E23" t="s">
        <v>30</v>
      </c>
    </row>
    <row r="24" spans="2:5" x14ac:dyDescent="0.25">
      <c r="B24" t="s">
        <v>29</v>
      </c>
      <c r="C24" t="s">
        <v>35</v>
      </c>
      <c r="D24" s="4">
        <f>+P_Datos!D24</f>
        <v>0.15</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31.833333333333332</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51.483333333333334</v>
      </c>
      <c r="E31" t="s">
        <v>30</v>
      </c>
    </row>
    <row r="32" spans="2:5" x14ac:dyDescent="0.25">
      <c r="C32" t="s">
        <v>43</v>
      </c>
      <c r="D32">
        <f>+P_Datos!D32</f>
        <v>5</v>
      </c>
      <c r="E32" t="s">
        <v>46</v>
      </c>
    </row>
    <row r="33" spans="2:12" x14ac:dyDescent="0.25">
      <c r="B33" t="s">
        <v>47</v>
      </c>
      <c r="C33" t="s">
        <v>42</v>
      </c>
      <c r="D33" s="4">
        <f>+P_Datos!D33</f>
        <v>2.5741666666666667</v>
      </c>
      <c r="E33" t="s">
        <v>30</v>
      </c>
    </row>
    <row r="34" spans="2:12" x14ac:dyDescent="0.25">
      <c r="B34" s="5" t="s">
        <v>53</v>
      </c>
    </row>
    <row r="35" spans="2:12" x14ac:dyDescent="0.25">
      <c r="B35" s="23" t="s">
        <v>54</v>
      </c>
      <c r="C35" s="23" t="s">
        <v>55</v>
      </c>
      <c r="D35" s="24">
        <f>+P_Datos!D35</f>
        <v>54.057500000000005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36568</v>
      </c>
      <c r="E39" s="140" t="str">
        <f>+P_Datos!E39</f>
        <v>hab</v>
      </c>
    </row>
    <row r="40" spans="2:12" x14ac:dyDescent="0.25">
      <c r="B40" s="140" t="str">
        <f>+P_Datos!B40</f>
        <v>hab/viv</v>
      </c>
      <c r="C40" s="140" t="str">
        <f>+P_Datos!C40</f>
        <v>Relación de habitantes por vivienda</v>
      </c>
      <c r="D40" s="786">
        <f>+P_Datos!D40</f>
        <v>2.457563712882862</v>
      </c>
      <c r="E40" s="140" t="str">
        <f>+P_Datos!E40</f>
        <v>hab/vivienda</v>
      </c>
    </row>
    <row r="41" spans="2:12" x14ac:dyDescent="0.25">
      <c r="B41" s="140" t="str">
        <f>+P_Datos!B41</f>
        <v>V(10)</v>
      </c>
      <c r="C41" s="140" t="str">
        <f>+P_Datos!C41</f>
        <v>Viviendas</v>
      </c>
      <c r="D41" s="140">
        <f>+P_Datos!D41</f>
        <v>14879.776995528493</v>
      </c>
      <c r="E41" s="140" t="str">
        <f>+P_Datos!E41</f>
        <v>viviendas</v>
      </c>
    </row>
    <row r="42" spans="2:12" x14ac:dyDescent="0.25">
      <c r="B42" s="140"/>
      <c r="C42" s="140" t="str">
        <f>+P_Datos!C42</f>
        <v>Residuo de poda promedio por ejemplar</v>
      </c>
      <c r="D42" s="786">
        <f>+P_Datos!D42</f>
        <v>0.01</v>
      </c>
      <c r="E42" s="140" t="str">
        <f>+P_Datos!E42</f>
        <v>t/año/ejemplar</v>
      </c>
    </row>
    <row r="43" spans="2:12" x14ac:dyDescent="0.25">
      <c r="B43" s="140" t="str">
        <f>+P_Datos!B43</f>
        <v>g(10)</v>
      </c>
      <c r="C43" s="140" t="str">
        <f>+P_Datos!C43</f>
        <v>Poda a recoger por el servicio de recolección en día normal</v>
      </c>
      <c r="D43" s="150">
        <f>+P_Datos!D43</f>
        <v>0.97572308167399957</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6">
        <f>+P_Datos!D46</f>
        <v>2.9271692450219988</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0" t="str">
        <f>+P_Datos!C51</f>
        <v>Poda a recoger por el servicio de recolección en día crítico</v>
      </c>
      <c r="D48" s="201">
        <f>+P_Datos!D51</f>
        <v>9.1999999999999993</v>
      </c>
      <c r="E48" s="131"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6</v>
      </c>
      <c r="E51" t="s">
        <v>86</v>
      </c>
      <c r="H51" s="30" t="s">
        <v>106</v>
      </c>
      <c r="I51" s="32">
        <f>+D51*ROUNDUP(J48,0)</f>
        <v>12</v>
      </c>
      <c r="J51" s="28">
        <f>COUNT($J$48)</f>
        <v>1</v>
      </c>
      <c r="K51" s="32"/>
    </row>
    <row r="52" spans="2:11" x14ac:dyDescent="0.25">
      <c r="B52" t="s">
        <v>91</v>
      </c>
      <c r="C52" s="164" t="s">
        <v>727</v>
      </c>
      <c r="D52" s="164">
        <f>ROUNDUP(D48/D51,0)</f>
        <v>2</v>
      </c>
      <c r="E52" t="s">
        <v>96</v>
      </c>
      <c r="H52" s="30"/>
      <c r="I52" s="32">
        <f>+D52*I51</f>
        <v>24</v>
      </c>
      <c r="J52" s="28" t="b">
        <f>$D$55&lt;=$I$50</f>
        <v>1</v>
      </c>
      <c r="K52" s="32"/>
    </row>
    <row r="53" spans="2:11" x14ac:dyDescent="0.25">
      <c r="B53" t="s">
        <v>92</v>
      </c>
      <c r="C53" s="164" t="s">
        <v>728</v>
      </c>
      <c r="D53" s="165">
        <f>(((D20+D22+D23+D24+D29)*D52+(D21+D28)/ROUNDUP(J48,0))*(1+D32/100))/J48</f>
        <v>27.618811881188122</v>
      </c>
      <c r="E53" t="s">
        <v>30</v>
      </c>
      <c r="H53" s="30"/>
      <c r="J53" s="28">
        <f>{32767;32767;0.000001;0.01;FALSE;FALSE;FALSE;1;2;1;0.0001;TRUE}</f>
        <v>32767</v>
      </c>
      <c r="K53" s="32"/>
    </row>
    <row r="54" spans="2:11" ht="15.75" thickBot="1" x14ac:dyDescent="0.3">
      <c r="C54" t="s">
        <v>107</v>
      </c>
      <c r="D54" s="4">
        <f>+IF(D53&gt;D36,D53-D36,0)</f>
        <v>19.618811881188122</v>
      </c>
      <c r="E54" t="s">
        <v>30</v>
      </c>
      <c r="H54" s="30"/>
      <c r="J54" s="29">
        <f>{0;0;1;100;0;FALSE;FALSE;0.075;0;0;FALSE;30}</f>
        <v>0</v>
      </c>
      <c r="K54" s="32"/>
    </row>
    <row r="55" spans="2:11" ht="15.75" thickBot="1" x14ac:dyDescent="0.3">
      <c r="C55" s="129" t="s">
        <v>94</v>
      </c>
      <c r="D55" s="130">
        <f>+IF(D53&gt;2*D36,D53-2*D36,0)</f>
        <v>11.618811881188122</v>
      </c>
      <c r="E55" s="129"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0</v>
      </c>
      <c r="E57" t="s">
        <v>30</v>
      </c>
    </row>
    <row r="58" spans="2:11" x14ac:dyDescent="0.25">
      <c r="C58" s="164" t="s">
        <v>182</v>
      </c>
      <c r="D58" s="165">
        <f>+D53</f>
        <v>27.618811881188122</v>
      </c>
      <c r="E58" t="s">
        <v>30</v>
      </c>
    </row>
    <row r="59" spans="2:11" x14ac:dyDescent="0.25">
      <c r="C59" s="164" t="s">
        <v>95</v>
      </c>
      <c r="D59" s="166">
        <f>ROUNDDOWN(2*D36*(D52/D66)/D53,0)</f>
        <v>0</v>
      </c>
      <c r="E59" t="s">
        <v>96</v>
      </c>
      <c r="K59" s="36"/>
    </row>
    <row r="61" spans="2:11" hidden="1" x14ac:dyDescent="0.25">
      <c r="C61" t="s">
        <v>110</v>
      </c>
      <c r="D61" s="4">
        <f>+IF((D48-D36/D58*D51)&lt;0,0,D48-D36/D58*D51)</f>
        <v>7.4620541315647966</v>
      </c>
      <c r="E61" t="s">
        <v>86</v>
      </c>
    </row>
    <row r="62" spans="2:11" hidden="1" x14ac:dyDescent="0.25">
      <c r="C62" t="s">
        <v>111</v>
      </c>
      <c r="D62" s="4">
        <f>+D48-D61</f>
        <v>1.7379458684352027</v>
      </c>
      <c r="E62" t="s">
        <v>86</v>
      </c>
    </row>
    <row r="63" spans="2:11" hidden="1" x14ac:dyDescent="0.25">
      <c r="C63" t="s">
        <v>148</v>
      </c>
      <c r="D63" s="4">
        <f>IF(D53&lt;=2*D36,D48,2*D36/D58*D51)</f>
        <v>3.4758917368704063</v>
      </c>
      <c r="E63" t="s">
        <v>86</v>
      </c>
    </row>
    <row r="64" spans="2:11" hidden="1" x14ac:dyDescent="0.25">
      <c r="C64" t="s">
        <v>97</v>
      </c>
      <c r="D64" s="4">
        <f>+IF((D48-D63)&lt;0,0,D48-D63)</f>
        <v>5.724108263129593</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109.6</v>
      </c>
      <c r="E70" s="164" t="s">
        <v>244</v>
      </c>
    </row>
    <row r="71" spans="3:5" x14ac:dyDescent="0.25">
      <c r="C71" t="s">
        <v>118</v>
      </c>
      <c r="D71" s="141">
        <f>+D70*D66</f>
        <v>219.2</v>
      </c>
      <c r="E71" s="164" t="s">
        <v>244</v>
      </c>
    </row>
    <row r="72" spans="3:5" x14ac:dyDescent="0.25">
      <c r="C72" t="s">
        <v>123</v>
      </c>
      <c r="D72" s="165">
        <f>+D48/D66</f>
        <v>4.5999999999999996</v>
      </c>
      <c r="E72" t="s">
        <v>87</v>
      </c>
    </row>
    <row r="73" spans="3:5" x14ac:dyDescent="0.25">
      <c r="C73" t="s">
        <v>123</v>
      </c>
      <c r="D73" s="141">
        <f>+D72*D47*D44*52</f>
        <v>7176</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31"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Macro_P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Hoja48"/>
  <dimension ref="B1:L76"/>
  <sheetViews>
    <sheetView view="pageBreakPreview" topLeftCell="D45" zoomScale="115" zoomScaleNormal="100" zoomScaleSheetLayoutView="115"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Pehuajó</v>
      </c>
    </row>
    <row r="4" spans="2:5" x14ac:dyDescent="0.25">
      <c r="B4" s="2" t="s">
        <v>0</v>
      </c>
    </row>
    <row r="5" spans="2:5" x14ac:dyDescent="0.25">
      <c r="B5" t="s">
        <v>1</v>
      </c>
      <c r="C5" t="s">
        <v>2</v>
      </c>
      <c r="D5">
        <f>+P_Datos!D5</f>
        <v>0</v>
      </c>
      <c r="E5" t="s">
        <v>3</v>
      </c>
    </row>
    <row r="6" spans="2:5" x14ac:dyDescent="0.25">
      <c r="B6" t="s">
        <v>4</v>
      </c>
      <c r="C6" t="s">
        <v>5</v>
      </c>
      <c r="D6" s="150">
        <f>+P_Datos!D6</f>
        <v>191</v>
      </c>
      <c r="E6" t="s">
        <v>3</v>
      </c>
    </row>
    <row r="7" spans="2:5" x14ac:dyDescent="0.25">
      <c r="B7" t="s">
        <v>6</v>
      </c>
      <c r="C7" t="s">
        <v>8</v>
      </c>
      <c r="D7">
        <f>+P_Datos!D7</f>
        <v>4.7</v>
      </c>
      <c r="E7" t="s">
        <v>3</v>
      </c>
    </row>
    <row r="8" spans="2:5" x14ac:dyDescent="0.25">
      <c r="B8" t="s">
        <v>7</v>
      </c>
      <c r="C8" t="s">
        <v>9</v>
      </c>
      <c r="D8">
        <f>+P_Datos!D8</f>
        <v>0</v>
      </c>
      <c r="E8" t="s">
        <v>3</v>
      </c>
    </row>
    <row r="9" spans="2:5" x14ac:dyDescent="0.25">
      <c r="B9" t="s">
        <v>10</v>
      </c>
      <c r="C9" t="s">
        <v>11</v>
      </c>
      <c r="D9">
        <f>+P_Datos!D9</f>
        <v>4.7</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31.333333333333336</v>
      </c>
      <c r="E14" t="s">
        <v>23</v>
      </c>
    </row>
    <row r="15" spans="2:5" x14ac:dyDescent="0.25">
      <c r="B15" t="s">
        <v>16</v>
      </c>
      <c r="C15" t="s">
        <v>21</v>
      </c>
      <c r="D15">
        <f>+P_Datos!D15</f>
        <v>40</v>
      </c>
      <c r="E15" t="s">
        <v>23</v>
      </c>
    </row>
    <row r="16" spans="2:5" x14ac:dyDescent="0.25">
      <c r="B16" t="s">
        <v>17</v>
      </c>
      <c r="C16" t="s">
        <v>22</v>
      </c>
      <c r="D16">
        <f>+P_Datos!D16</f>
        <v>31.333333333333336</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19.100000000000001</v>
      </c>
      <c r="E21" t="s">
        <v>30</v>
      </c>
    </row>
    <row r="22" spans="2:5" x14ac:dyDescent="0.25">
      <c r="B22" t="s">
        <v>27</v>
      </c>
      <c r="C22" t="s">
        <v>33</v>
      </c>
      <c r="D22" s="4">
        <f>+P_Datos!D22</f>
        <v>0.15</v>
      </c>
      <c r="E22" t="s">
        <v>30</v>
      </c>
    </row>
    <row r="23" spans="2:5" x14ac:dyDescent="0.25">
      <c r="B23" t="s">
        <v>28</v>
      </c>
      <c r="C23" t="s">
        <v>34</v>
      </c>
      <c r="D23" s="4">
        <f>+P_Datos!D23</f>
        <v>0</v>
      </c>
      <c r="E23" t="s">
        <v>30</v>
      </c>
    </row>
    <row r="24" spans="2:5" x14ac:dyDescent="0.25">
      <c r="B24" t="s">
        <v>29</v>
      </c>
      <c r="C24" t="s">
        <v>35</v>
      </c>
      <c r="D24" s="4">
        <f>+P_Datos!D24</f>
        <v>0.15</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31.833333333333332</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51.483333333333334</v>
      </c>
      <c r="E31" t="s">
        <v>30</v>
      </c>
    </row>
    <row r="32" spans="2:5" x14ac:dyDescent="0.25">
      <c r="C32" t="s">
        <v>43</v>
      </c>
      <c r="D32">
        <f>+P_Datos!D32</f>
        <v>5</v>
      </c>
      <c r="E32" t="s">
        <v>46</v>
      </c>
    </row>
    <row r="33" spans="2:12" x14ac:dyDescent="0.25">
      <c r="B33" t="s">
        <v>47</v>
      </c>
      <c r="C33" t="s">
        <v>42</v>
      </c>
      <c r="D33" s="4">
        <f>+P_Datos!D33</f>
        <v>2.5741666666666667</v>
      </c>
      <c r="E33" t="s">
        <v>30</v>
      </c>
    </row>
    <row r="34" spans="2:12" x14ac:dyDescent="0.25">
      <c r="B34" s="5" t="s">
        <v>53</v>
      </c>
    </row>
    <row r="35" spans="2:12" x14ac:dyDescent="0.25">
      <c r="B35" s="23" t="s">
        <v>54</v>
      </c>
      <c r="C35" s="23" t="s">
        <v>55</v>
      </c>
      <c r="D35" s="24">
        <f>+P_Datos!D35</f>
        <v>54.057500000000005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36568</v>
      </c>
      <c r="E39" s="140" t="str">
        <f>+P_Datos!E39</f>
        <v>hab</v>
      </c>
    </row>
    <row r="40" spans="2:12" x14ac:dyDescent="0.25">
      <c r="B40" s="140" t="str">
        <f>+P_Datos!B40</f>
        <v>hab/viv</v>
      </c>
      <c r="C40" s="140" t="str">
        <f>+P_Datos!C40</f>
        <v>Relación de habitantes por vivienda</v>
      </c>
      <c r="D40" s="786">
        <f>+P_Datos!D40</f>
        <v>2.457563712882862</v>
      </c>
      <c r="E40" s="140" t="str">
        <f>+P_Datos!E40</f>
        <v>hab/vivienda</v>
      </c>
    </row>
    <row r="41" spans="2:12" x14ac:dyDescent="0.25">
      <c r="B41" s="140" t="str">
        <f>+P_Datos!B41</f>
        <v>V(10)</v>
      </c>
      <c r="C41" s="140" t="str">
        <f>+P_Datos!C41</f>
        <v>Viviendas</v>
      </c>
      <c r="D41" s="140">
        <f>+P_Datos!D41</f>
        <v>14879.776995528493</v>
      </c>
      <c r="E41" s="140" t="str">
        <f>+P_Datos!E41</f>
        <v>viviendas</v>
      </c>
    </row>
    <row r="42" spans="2:12" x14ac:dyDescent="0.25">
      <c r="B42" s="140"/>
      <c r="C42" s="140" t="str">
        <f>+P_Datos!C42</f>
        <v>Residuo de poda promedio por ejemplar</v>
      </c>
      <c r="D42" s="786">
        <f>+P_Datos!D42</f>
        <v>0.01</v>
      </c>
      <c r="E42" s="140" t="str">
        <f>+P_Datos!E42</f>
        <v>t/año/ejemplar</v>
      </c>
    </row>
    <row r="43" spans="2:12" x14ac:dyDescent="0.25">
      <c r="B43" s="140" t="str">
        <f>+P_Datos!B43</f>
        <v>g(10)</v>
      </c>
      <c r="C43" s="140" t="str">
        <f>+P_Datos!C43</f>
        <v>Poda a recoger por el servicio de recolección en día normal</v>
      </c>
      <c r="D43" s="150">
        <f>+P_Datos!D43</f>
        <v>0.97572308167399957</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6">
        <f>+P_Datos!D46</f>
        <v>2.9271692450219988</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3" t="str">
        <f>+P_Datos!C51</f>
        <v>Poda a recoger por el servicio de recolección en día crítico</v>
      </c>
      <c r="D48" s="204">
        <f>+P_Datos!D51</f>
        <v>9.1999999999999993</v>
      </c>
      <c r="E48" s="205" t="s">
        <v>87</v>
      </c>
      <c r="H48" s="30"/>
      <c r="I48" s="31" t="s">
        <v>99</v>
      </c>
      <c r="J48" s="1">
        <v>1.9710222082642603</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6</v>
      </c>
      <c r="E51" t="s">
        <v>86</v>
      </c>
      <c r="H51" s="30" t="s">
        <v>106</v>
      </c>
      <c r="I51" s="32">
        <f>+D51*ROUNDUP(J48,0)</f>
        <v>12</v>
      </c>
      <c r="J51" s="28">
        <f>COUNT($J$48)</f>
        <v>1</v>
      </c>
      <c r="K51" s="32"/>
    </row>
    <row r="52" spans="2:11" x14ac:dyDescent="0.25">
      <c r="B52" t="s">
        <v>91</v>
      </c>
      <c r="C52" s="164" t="s">
        <v>727</v>
      </c>
      <c r="D52" s="164">
        <f>ROUNDUP(D48/D51,0)</f>
        <v>2</v>
      </c>
      <c r="E52" t="s">
        <v>96</v>
      </c>
      <c r="H52" s="30"/>
      <c r="I52" s="32">
        <f>+D52*I51</f>
        <v>24</v>
      </c>
      <c r="J52" s="28" t="b">
        <f>$D$55&lt;=$I$50</f>
        <v>1</v>
      </c>
      <c r="K52" s="32"/>
    </row>
    <row r="53" spans="2:11" x14ac:dyDescent="0.25">
      <c r="B53" t="s">
        <v>92</v>
      </c>
      <c r="C53" s="164" t="s">
        <v>728</v>
      </c>
      <c r="D53" s="165">
        <f>(((D20+D22+D23+D24+D29)*D52+(D21+D28)/ROUNDUP(J48,0))*(1+D32/100))/J48</f>
        <v>14.152554894125295</v>
      </c>
      <c r="E53" t="s">
        <v>30</v>
      </c>
      <c r="H53" s="30"/>
      <c r="J53" s="28">
        <f>{32767;32767;0.000001;0.01;FALSE;FALSE;FALSE;1;2;1;0.0001;TRUE}</f>
        <v>32767</v>
      </c>
      <c r="K53" s="32"/>
    </row>
    <row r="54" spans="2:11" ht="15.75" thickBot="1" x14ac:dyDescent="0.3">
      <c r="C54" s="127" t="s">
        <v>107</v>
      </c>
      <c r="D54" s="128">
        <f>+IF(D53&gt;D36,D53-D36,0)</f>
        <v>6.152554894125295</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1.847445105874705</v>
      </c>
      <c r="E57" t="s">
        <v>30</v>
      </c>
    </row>
    <row r="58" spans="2:11" x14ac:dyDescent="0.25">
      <c r="C58" s="164" t="s">
        <v>182</v>
      </c>
      <c r="D58" s="165">
        <f>+D53</f>
        <v>14.152554894125295</v>
      </c>
      <c r="E58" t="s">
        <v>30</v>
      </c>
    </row>
    <row r="59" spans="2:11" ht="16.5" customHeight="1" x14ac:dyDescent="0.25">
      <c r="C59" s="164" t="s">
        <v>95</v>
      </c>
      <c r="D59" s="166">
        <f>ROUNDDOWN(2*D36*(D52/D66)/D53,0)</f>
        <v>1</v>
      </c>
      <c r="E59" t="s">
        <v>96</v>
      </c>
      <c r="K59" s="36"/>
    </row>
    <row r="61" spans="2:11" hidden="1" x14ac:dyDescent="0.25">
      <c r="C61" t="s">
        <v>110</v>
      </c>
      <c r="D61" s="4">
        <f>+IF((D48-D36/D58*D51)&lt;0,0,D48-D36/D58*D51)</f>
        <v>5.808386234210988</v>
      </c>
      <c r="E61" t="s">
        <v>86</v>
      </c>
    </row>
    <row r="62" spans="2:11" hidden="1" x14ac:dyDescent="0.25">
      <c r="C62" t="s">
        <v>111</v>
      </c>
      <c r="D62" s="4">
        <f>+D48-D61</f>
        <v>3.3916137657890113</v>
      </c>
      <c r="E62" t="s">
        <v>86</v>
      </c>
    </row>
    <row r="63" spans="2:11" hidden="1" x14ac:dyDescent="0.25">
      <c r="C63" t="s">
        <v>148</v>
      </c>
      <c r="D63" s="4">
        <f>IF(D53&lt;=2*D36,D48,2*D36/D58*D51)</f>
        <v>9.1999999999999993</v>
      </c>
      <c r="E63" t="s">
        <v>86</v>
      </c>
    </row>
    <row r="64" spans="2:11" hidden="1" x14ac:dyDescent="0.25">
      <c r="C64" t="s">
        <v>97</v>
      </c>
      <c r="D64" s="4">
        <f>+IF((D48-D63)&lt;0,0,D48-D63)</f>
        <v>0</v>
      </c>
      <c r="E64" t="s">
        <v>86</v>
      </c>
    </row>
    <row r="66" spans="3:6" x14ac:dyDescent="0.25">
      <c r="C66" s="2" t="s">
        <v>103</v>
      </c>
      <c r="D66" s="542">
        <f>ROUNDUP(J48,0)</f>
        <v>2</v>
      </c>
      <c r="E66" t="s">
        <v>101</v>
      </c>
    </row>
    <row r="67" spans="3:6" x14ac:dyDescent="0.25">
      <c r="C67" t="s">
        <v>117</v>
      </c>
      <c r="D67" s="36">
        <v>1</v>
      </c>
    </row>
    <row r="68" spans="3:6" x14ac:dyDescent="0.25">
      <c r="C68" t="s">
        <v>104</v>
      </c>
      <c r="D68" s="165">
        <f>+D59*D66*D51</f>
        <v>12</v>
      </c>
      <c r="E68" t="s">
        <v>86</v>
      </c>
      <c r="F68" s="4"/>
    </row>
    <row r="69" spans="3:6" x14ac:dyDescent="0.25">
      <c r="C69" t="s">
        <v>102</v>
      </c>
      <c r="D69" s="26">
        <f>+(D68/D48-1)</f>
        <v>0.30434782608695654</v>
      </c>
    </row>
    <row r="70" spans="3:6" x14ac:dyDescent="0.25">
      <c r="C70" t="s">
        <v>119</v>
      </c>
      <c r="D70" s="166">
        <f>+D5+(D7+D8)*D52*2/D66+D9+D6/D66</f>
        <v>109.6</v>
      </c>
      <c r="E70" s="164" t="s">
        <v>244</v>
      </c>
    </row>
    <row r="71" spans="3:6" x14ac:dyDescent="0.25">
      <c r="C71" t="s">
        <v>118</v>
      </c>
      <c r="D71" s="141">
        <f>+D70*D66</f>
        <v>219.2</v>
      </c>
      <c r="E71" s="164" t="s">
        <v>244</v>
      </c>
    </row>
    <row r="72" spans="3:6" x14ac:dyDescent="0.25">
      <c r="C72" t="s">
        <v>123</v>
      </c>
      <c r="D72" s="165">
        <f>+D48/D66</f>
        <v>4.5999999999999996</v>
      </c>
      <c r="E72" t="s">
        <v>87</v>
      </c>
    </row>
    <row r="73" spans="3:6" x14ac:dyDescent="0.25">
      <c r="C73" t="s">
        <v>123</v>
      </c>
      <c r="D73" s="141">
        <f>+D72*D47*D44*52</f>
        <v>7176</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30"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Hoja49"/>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 t="str">
        <f>+P_Datos!C2</f>
        <v>Pehuajó</v>
      </c>
    </row>
    <row r="4" spans="2:5" x14ac:dyDescent="0.25">
      <c r="B4" s="2" t="s">
        <v>0</v>
      </c>
    </row>
    <row r="5" spans="2:5" x14ac:dyDescent="0.25">
      <c r="B5" t="s">
        <v>1</v>
      </c>
      <c r="C5" t="s">
        <v>2</v>
      </c>
      <c r="D5">
        <f>+P_Datos!D5</f>
        <v>0</v>
      </c>
      <c r="E5" t="s">
        <v>3</v>
      </c>
    </row>
    <row r="6" spans="2:5" x14ac:dyDescent="0.25">
      <c r="B6" t="s">
        <v>4</v>
      </c>
      <c r="C6" t="s">
        <v>5</v>
      </c>
      <c r="D6" s="150">
        <f>+P_Datos!D6</f>
        <v>191</v>
      </c>
      <c r="E6" t="s">
        <v>3</v>
      </c>
    </row>
    <row r="7" spans="2:5" x14ac:dyDescent="0.25">
      <c r="B7" t="s">
        <v>6</v>
      </c>
      <c r="C7" t="s">
        <v>8</v>
      </c>
      <c r="D7">
        <f>+P_Datos!D7</f>
        <v>4.7</v>
      </c>
      <c r="E7" t="s">
        <v>3</v>
      </c>
    </row>
    <row r="8" spans="2:5" x14ac:dyDescent="0.25">
      <c r="B8" t="s">
        <v>7</v>
      </c>
      <c r="C8" t="s">
        <v>9</v>
      </c>
      <c r="D8">
        <f>+P_Datos!D8</f>
        <v>0</v>
      </c>
      <c r="E8" t="s">
        <v>3</v>
      </c>
    </row>
    <row r="9" spans="2:5" x14ac:dyDescent="0.25">
      <c r="B9" t="s">
        <v>10</v>
      </c>
      <c r="C9" t="s">
        <v>11</v>
      </c>
      <c r="D9">
        <f>+P_Datos!D9</f>
        <v>4.7</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31.333333333333336</v>
      </c>
      <c r="E14" t="s">
        <v>23</v>
      </c>
    </row>
    <row r="15" spans="2:5" x14ac:dyDescent="0.25">
      <c r="B15" t="s">
        <v>16</v>
      </c>
      <c r="C15" t="s">
        <v>21</v>
      </c>
      <c r="D15">
        <f>+P_Datos!D15</f>
        <v>40</v>
      </c>
      <c r="E15" t="s">
        <v>23</v>
      </c>
    </row>
    <row r="16" spans="2:5" x14ac:dyDescent="0.25">
      <c r="B16" t="s">
        <v>17</v>
      </c>
      <c r="C16" t="s">
        <v>22</v>
      </c>
      <c r="D16">
        <f>+P_Datos!D16</f>
        <v>31.333333333333336</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19.100000000000001</v>
      </c>
      <c r="E21" t="s">
        <v>30</v>
      </c>
    </row>
    <row r="22" spans="2:5" x14ac:dyDescent="0.25">
      <c r="B22" t="s">
        <v>27</v>
      </c>
      <c r="C22" t="s">
        <v>33</v>
      </c>
      <c r="D22" s="4">
        <f>+P_Datos!D22</f>
        <v>0.15</v>
      </c>
      <c r="E22" t="s">
        <v>30</v>
      </c>
    </row>
    <row r="23" spans="2:5" x14ac:dyDescent="0.25">
      <c r="B23" t="s">
        <v>28</v>
      </c>
      <c r="C23" t="s">
        <v>34</v>
      </c>
      <c r="D23" s="4">
        <f>+P_Datos!D23</f>
        <v>0</v>
      </c>
      <c r="E23" t="s">
        <v>30</v>
      </c>
    </row>
    <row r="24" spans="2:5" x14ac:dyDescent="0.25">
      <c r="B24" t="s">
        <v>29</v>
      </c>
      <c r="C24" t="s">
        <v>35</v>
      </c>
      <c r="D24" s="4">
        <f>+P_Datos!D24</f>
        <v>0.15</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31.833333333333332</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51.483333333333334</v>
      </c>
      <c r="E31" t="s">
        <v>30</v>
      </c>
    </row>
    <row r="32" spans="2:5" x14ac:dyDescent="0.25">
      <c r="C32" t="s">
        <v>43</v>
      </c>
      <c r="D32">
        <f>+P_Datos!D32</f>
        <v>5</v>
      </c>
      <c r="E32" t="s">
        <v>46</v>
      </c>
    </row>
    <row r="33" spans="2:12" x14ac:dyDescent="0.25">
      <c r="B33" t="s">
        <v>47</v>
      </c>
      <c r="C33" t="s">
        <v>42</v>
      </c>
      <c r="D33" s="4">
        <f>+P_Datos!D33</f>
        <v>2.5741666666666667</v>
      </c>
      <c r="E33" t="s">
        <v>30</v>
      </c>
    </row>
    <row r="34" spans="2:12" x14ac:dyDescent="0.25">
      <c r="B34" s="5" t="s">
        <v>53</v>
      </c>
    </row>
    <row r="35" spans="2:12" x14ac:dyDescent="0.25">
      <c r="B35" s="23" t="s">
        <v>54</v>
      </c>
      <c r="C35" s="23" t="s">
        <v>55</v>
      </c>
      <c r="D35" s="24">
        <f>+P_Datos!D35</f>
        <v>54.057500000000005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36568</v>
      </c>
      <c r="E39" s="140" t="str">
        <f>+P_Datos!E39</f>
        <v>hab</v>
      </c>
    </row>
    <row r="40" spans="2:12" x14ac:dyDescent="0.25">
      <c r="B40" s="140" t="str">
        <f>+P_Datos!B40</f>
        <v>hab/viv</v>
      </c>
      <c r="C40" s="140" t="str">
        <f>+P_Datos!C40</f>
        <v>Relación de habitantes por vivienda</v>
      </c>
      <c r="D40" s="786">
        <f>+P_Datos!D40</f>
        <v>2.457563712882862</v>
      </c>
      <c r="E40" s="140" t="str">
        <f>+P_Datos!E40</f>
        <v>hab/vivienda</v>
      </c>
    </row>
    <row r="41" spans="2:12" x14ac:dyDescent="0.25">
      <c r="B41" s="140" t="str">
        <f>+P_Datos!B41</f>
        <v>V(10)</v>
      </c>
      <c r="C41" s="140" t="str">
        <f>+P_Datos!C41</f>
        <v>Viviendas</v>
      </c>
      <c r="D41" s="140">
        <f>+P_Datos!D41</f>
        <v>14879.776995528493</v>
      </c>
      <c r="E41" s="140" t="str">
        <f>+P_Datos!E41</f>
        <v>viviendas</v>
      </c>
    </row>
    <row r="42" spans="2:12" x14ac:dyDescent="0.25">
      <c r="B42" s="140"/>
      <c r="C42" s="140" t="str">
        <f>+P_Datos!C42</f>
        <v>Residuo de poda promedio por ejemplar</v>
      </c>
      <c r="D42" s="786">
        <f>+P_Datos!D42</f>
        <v>0.01</v>
      </c>
      <c r="E42" s="140" t="str">
        <f>+P_Datos!E42</f>
        <v>t/año/ejemplar</v>
      </c>
    </row>
    <row r="43" spans="2:12" x14ac:dyDescent="0.25">
      <c r="B43" s="140" t="str">
        <f>+P_Datos!B43</f>
        <v>g(10)</v>
      </c>
      <c r="C43" s="140" t="str">
        <f>+P_Datos!C43</f>
        <v>Poda a recoger por el servicio de recolección en día normal</v>
      </c>
      <c r="D43" s="150">
        <f>+P_Datos!D43</f>
        <v>0.97572308167399957</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6">
        <f>+P_Datos!D46</f>
        <v>2.9271692450219988</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0" t="str">
        <f>+P_Datos!C51</f>
        <v>Poda a recoger por el servicio de recolección en día crítico</v>
      </c>
      <c r="D48" s="201">
        <f>+P_Datos!D51</f>
        <v>9.1999999999999993</v>
      </c>
      <c r="E48" s="131"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9</v>
      </c>
      <c r="E51" t="s">
        <v>86</v>
      </c>
      <c r="H51" s="30" t="s">
        <v>106</v>
      </c>
      <c r="I51" s="32">
        <f>+D51*ROUNDUP(J48,0)</f>
        <v>18</v>
      </c>
      <c r="J51" s="28">
        <f>COUNT($J$48)</f>
        <v>1</v>
      </c>
      <c r="K51" s="32"/>
    </row>
    <row r="52" spans="2:11" x14ac:dyDescent="0.25">
      <c r="B52" t="s">
        <v>91</v>
      </c>
      <c r="C52" s="164" t="s">
        <v>727</v>
      </c>
      <c r="D52" s="164">
        <f>ROUNDUP(D48/D51,0)</f>
        <v>2</v>
      </c>
      <c r="E52" t="s">
        <v>96</v>
      </c>
      <c r="H52" s="30"/>
      <c r="I52" s="32">
        <f>+D52*I51</f>
        <v>36</v>
      </c>
      <c r="J52" s="28" t="b">
        <f>$D$55&lt;=$I$50</f>
        <v>1</v>
      </c>
      <c r="K52" s="32"/>
    </row>
    <row r="53" spans="2:11" x14ac:dyDescent="0.25">
      <c r="B53" t="s">
        <v>92</v>
      </c>
      <c r="C53" s="164" t="s">
        <v>728</v>
      </c>
      <c r="D53" s="165">
        <f>(((D20+D22+D23+D24+D29)*D52+(D21+D28)/ROUNDUP(J48,0))*(1+D32/100))/J48</f>
        <v>27.618811881188122</v>
      </c>
      <c r="E53" t="s">
        <v>30</v>
      </c>
      <c r="H53" s="30"/>
      <c r="J53" s="28">
        <f>{32767;32767;0.000001;0.01;FALSE;FALSE;FALSE;1;2;1;0.0001;TRUE}</f>
        <v>32767</v>
      </c>
      <c r="K53" s="32"/>
    </row>
    <row r="54" spans="2:11" ht="15.75" thickBot="1" x14ac:dyDescent="0.3">
      <c r="C54" t="s">
        <v>107</v>
      </c>
      <c r="D54" s="4">
        <f>+IF(D53&gt;D36,D53-D36,0)</f>
        <v>19.618811881188122</v>
      </c>
      <c r="E54" t="s">
        <v>30</v>
      </c>
      <c r="H54" s="30"/>
      <c r="J54" s="29">
        <f>{0;0;1;100;0;FALSE;FALSE;0.075;0;0;FALSE;30}</f>
        <v>0</v>
      </c>
      <c r="K54" s="32"/>
    </row>
    <row r="55" spans="2:11" ht="15.75" thickBot="1" x14ac:dyDescent="0.3">
      <c r="C55" s="129" t="s">
        <v>94</v>
      </c>
      <c r="D55" s="130">
        <f>+IF(D53&gt;2*D36,D53-2*D36,0)</f>
        <v>11.618811881188122</v>
      </c>
      <c r="E55" s="129"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0</v>
      </c>
      <c r="E57" t="s">
        <v>30</v>
      </c>
    </row>
    <row r="58" spans="2:11" x14ac:dyDescent="0.25">
      <c r="C58" s="164" t="s">
        <v>182</v>
      </c>
      <c r="D58" s="165">
        <f>+D53</f>
        <v>27.618811881188122</v>
      </c>
      <c r="E58" t="s">
        <v>30</v>
      </c>
    </row>
    <row r="59" spans="2:11" x14ac:dyDescent="0.25">
      <c r="C59" s="164" t="s">
        <v>95</v>
      </c>
      <c r="D59" s="166">
        <f>ROUNDDOWN(2*D36*(D52/D66)/D53,0)</f>
        <v>0</v>
      </c>
      <c r="E59" t="s">
        <v>96</v>
      </c>
      <c r="K59" s="36"/>
    </row>
    <row r="61" spans="2:11" hidden="1" x14ac:dyDescent="0.25">
      <c r="C61" t="s">
        <v>110</v>
      </c>
      <c r="D61" s="4">
        <f>+IF((D48-D36/D58*D51)&lt;0,0,D48-D36/D58*D51)</f>
        <v>6.5930811973471943</v>
      </c>
      <c r="E61" t="s">
        <v>86</v>
      </c>
    </row>
    <row r="62" spans="2:11" hidden="1" x14ac:dyDescent="0.25">
      <c r="C62" t="s">
        <v>111</v>
      </c>
      <c r="D62" s="4">
        <f>+D48-D61</f>
        <v>2.606918802652805</v>
      </c>
      <c r="E62" t="s">
        <v>86</v>
      </c>
    </row>
    <row r="63" spans="2:11" hidden="1" x14ac:dyDescent="0.25">
      <c r="C63" t="s">
        <v>148</v>
      </c>
      <c r="D63" s="4">
        <f>IF(D53&lt;=2*D36,D48,2*D36/D58*D51)</f>
        <v>5.2138376053056099</v>
      </c>
      <c r="E63" t="s">
        <v>86</v>
      </c>
    </row>
    <row r="64" spans="2:11" hidden="1" x14ac:dyDescent="0.25">
      <c r="C64" t="s">
        <v>97</v>
      </c>
      <c r="D64" s="4">
        <f>+IF((D48-D63)&lt;0,0,D48-D63)</f>
        <v>3.9861623946943894</v>
      </c>
      <c r="E64" t="s">
        <v>86</v>
      </c>
    </row>
    <row r="66" spans="3:6" x14ac:dyDescent="0.25">
      <c r="C66" s="2" t="s">
        <v>103</v>
      </c>
      <c r="D66" s="542">
        <f>ROUNDUP(J48,0)</f>
        <v>2</v>
      </c>
      <c r="E66" t="s">
        <v>101</v>
      </c>
    </row>
    <row r="67" spans="3:6" x14ac:dyDescent="0.25">
      <c r="C67" t="s">
        <v>117</v>
      </c>
      <c r="D67" s="36">
        <v>2</v>
      </c>
    </row>
    <row r="68" spans="3:6" x14ac:dyDescent="0.25">
      <c r="C68" t="s">
        <v>104</v>
      </c>
      <c r="D68" s="165">
        <f>+D59*D66*D51</f>
        <v>0</v>
      </c>
      <c r="E68" t="s">
        <v>86</v>
      </c>
      <c r="F68" s="4"/>
    </row>
    <row r="69" spans="3:6" x14ac:dyDescent="0.25">
      <c r="C69" t="s">
        <v>102</v>
      </c>
      <c r="D69" s="26">
        <f>+(D68/D48-1)</f>
        <v>-1</v>
      </c>
    </row>
    <row r="70" spans="3:6" x14ac:dyDescent="0.25">
      <c r="C70" t="s">
        <v>119</v>
      </c>
      <c r="D70" s="166">
        <f>+D5+(D7+D8)*D52*2/D66+D9+D6/D66</f>
        <v>109.6</v>
      </c>
      <c r="E70" s="164" t="s">
        <v>244</v>
      </c>
    </row>
    <row r="71" spans="3:6" x14ac:dyDescent="0.25">
      <c r="C71" t="s">
        <v>118</v>
      </c>
      <c r="D71" s="141">
        <f>+D70*D66</f>
        <v>219.2</v>
      </c>
      <c r="E71" s="164" t="s">
        <v>244</v>
      </c>
    </row>
    <row r="72" spans="3:6" x14ac:dyDescent="0.25">
      <c r="C72" t="s">
        <v>123</v>
      </c>
      <c r="D72" s="165">
        <f>+D48/D66</f>
        <v>4.5999999999999996</v>
      </c>
      <c r="E72" t="s">
        <v>87</v>
      </c>
    </row>
    <row r="73" spans="3:6" x14ac:dyDescent="0.25">
      <c r="C73" t="s">
        <v>123</v>
      </c>
      <c r="D73" s="141">
        <f>+D72*D47*D44*52</f>
        <v>7176</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29"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Macro_P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Hoja50"/>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Pehuajó</v>
      </c>
    </row>
    <row r="4" spans="2:5" x14ac:dyDescent="0.25">
      <c r="B4" s="2" t="s">
        <v>0</v>
      </c>
    </row>
    <row r="5" spans="2:5" x14ac:dyDescent="0.25">
      <c r="B5" t="s">
        <v>1</v>
      </c>
      <c r="C5" t="s">
        <v>2</v>
      </c>
      <c r="D5">
        <f>+P_Datos!D5</f>
        <v>0</v>
      </c>
      <c r="E5" t="s">
        <v>3</v>
      </c>
    </row>
    <row r="6" spans="2:5" x14ac:dyDescent="0.25">
      <c r="B6" t="s">
        <v>4</v>
      </c>
      <c r="C6" t="s">
        <v>5</v>
      </c>
      <c r="D6" s="150">
        <f>+P_Datos!D6</f>
        <v>191</v>
      </c>
      <c r="E6" t="s">
        <v>3</v>
      </c>
    </row>
    <row r="7" spans="2:5" x14ac:dyDescent="0.25">
      <c r="B7" t="s">
        <v>6</v>
      </c>
      <c r="C7" t="s">
        <v>8</v>
      </c>
      <c r="D7">
        <f>+P_Datos!D7</f>
        <v>4.7</v>
      </c>
      <c r="E7" t="s">
        <v>3</v>
      </c>
    </row>
    <row r="8" spans="2:5" x14ac:dyDescent="0.25">
      <c r="B8" t="s">
        <v>7</v>
      </c>
      <c r="C8" t="s">
        <v>9</v>
      </c>
      <c r="D8">
        <f>+P_Datos!D8</f>
        <v>0</v>
      </c>
      <c r="E8" t="s">
        <v>3</v>
      </c>
    </row>
    <row r="9" spans="2:5" x14ac:dyDescent="0.25">
      <c r="B9" t="s">
        <v>10</v>
      </c>
      <c r="C9" t="s">
        <v>11</v>
      </c>
      <c r="D9">
        <f>+P_Datos!D9</f>
        <v>4.7</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31.333333333333336</v>
      </c>
      <c r="E14" t="s">
        <v>23</v>
      </c>
    </row>
    <row r="15" spans="2:5" x14ac:dyDescent="0.25">
      <c r="B15" t="s">
        <v>16</v>
      </c>
      <c r="C15" t="s">
        <v>21</v>
      </c>
      <c r="D15">
        <f>+P_Datos!D15</f>
        <v>40</v>
      </c>
      <c r="E15" t="s">
        <v>23</v>
      </c>
    </row>
    <row r="16" spans="2:5" x14ac:dyDescent="0.25">
      <c r="B16" t="s">
        <v>17</v>
      </c>
      <c r="C16" t="s">
        <v>22</v>
      </c>
      <c r="D16">
        <f>+P_Datos!D16</f>
        <v>31.333333333333336</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19.100000000000001</v>
      </c>
      <c r="E21" t="s">
        <v>30</v>
      </c>
    </row>
    <row r="22" spans="2:5" x14ac:dyDescent="0.25">
      <c r="B22" t="s">
        <v>27</v>
      </c>
      <c r="C22" t="s">
        <v>33</v>
      </c>
      <c r="D22" s="4">
        <f>+P_Datos!D22</f>
        <v>0.15</v>
      </c>
      <c r="E22" t="s">
        <v>30</v>
      </c>
    </row>
    <row r="23" spans="2:5" x14ac:dyDescent="0.25">
      <c r="B23" t="s">
        <v>28</v>
      </c>
      <c r="C23" t="s">
        <v>34</v>
      </c>
      <c r="D23" s="4">
        <f>+P_Datos!D23</f>
        <v>0</v>
      </c>
      <c r="E23" t="s">
        <v>30</v>
      </c>
    </row>
    <row r="24" spans="2:5" x14ac:dyDescent="0.25">
      <c r="B24" t="s">
        <v>29</v>
      </c>
      <c r="C24" t="s">
        <v>35</v>
      </c>
      <c r="D24" s="4">
        <f>+P_Datos!D24</f>
        <v>0.15</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31.833333333333332</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51.483333333333334</v>
      </c>
      <c r="E31" t="s">
        <v>30</v>
      </c>
    </row>
    <row r="32" spans="2:5" x14ac:dyDescent="0.25">
      <c r="C32" t="s">
        <v>43</v>
      </c>
      <c r="D32">
        <f>+P_Datos!D32</f>
        <v>5</v>
      </c>
      <c r="E32" t="s">
        <v>46</v>
      </c>
    </row>
    <row r="33" spans="2:12" x14ac:dyDescent="0.25">
      <c r="B33" t="s">
        <v>47</v>
      </c>
      <c r="C33" t="s">
        <v>42</v>
      </c>
      <c r="D33" s="4">
        <f>+P_Datos!D33</f>
        <v>2.5741666666666667</v>
      </c>
      <c r="E33" t="s">
        <v>30</v>
      </c>
    </row>
    <row r="34" spans="2:12" x14ac:dyDescent="0.25">
      <c r="B34" s="5" t="s">
        <v>53</v>
      </c>
    </row>
    <row r="35" spans="2:12" x14ac:dyDescent="0.25">
      <c r="B35" s="23" t="s">
        <v>54</v>
      </c>
      <c r="C35" s="23" t="s">
        <v>55</v>
      </c>
      <c r="D35" s="24">
        <f>+P_Datos!D35</f>
        <v>54.057500000000005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36568</v>
      </c>
      <c r="E39" s="140" t="str">
        <f>+P_Datos!E39</f>
        <v>hab</v>
      </c>
    </row>
    <row r="40" spans="2:12" x14ac:dyDescent="0.25">
      <c r="B40" s="140" t="str">
        <f>+P_Datos!B40</f>
        <v>hab/viv</v>
      </c>
      <c r="C40" s="140" t="str">
        <f>+P_Datos!C40</f>
        <v>Relación de habitantes por vivienda</v>
      </c>
      <c r="D40" s="786">
        <f>+P_Datos!D40</f>
        <v>2.457563712882862</v>
      </c>
      <c r="E40" s="140" t="str">
        <f>+P_Datos!E40</f>
        <v>hab/vivienda</v>
      </c>
    </row>
    <row r="41" spans="2:12" x14ac:dyDescent="0.25">
      <c r="B41" s="140" t="str">
        <f>+P_Datos!B41</f>
        <v>V(10)</v>
      </c>
      <c r="C41" s="140" t="str">
        <f>+P_Datos!C41</f>
        <v>Viviendas</v>
      </c>
      <c r="D41" s="140">
        <f>+P_Datos!D41</f>
        <v>14879.776995528493</v>
      </c>
      <c r="E41" s="140" t="str">
        <f>+P_Datos!E41</f>
        <v>viviendas</v>
      </c>
      <c r="G41">
        <f>+D48/D13</f>
        <v>0.91999999999999993</v>
      </c>
      <c r="H41" t="s">
        <v>263</v>
      </c>
    </row>
    <row r="42" spans="2:12" x14ac:dyDescent="0.25">
      <c r="B42" s="140"/>
      <c r="C42" s="140" t="str">
        <f>+P_Datos!C42</f>
        <v>Residuo de poda promedio por ejemplar</v>
      </c>
      <c r="D42" s="786">
        <f>+P_Datos!D42</f>
        <v>0.01</v>
      </c>
      <c r="E42" s="140" t="str">
        <f>+P_Datos!E42</f>
        <v>t/año/ejemplar</v>
      </c>
    </row>
    <row r="43" spans="2:12" x14ac:dyDescent="0.25">
      <c r="B43" s="140" t="str">
        <f>+P_Datos!B43</f>
        <v>g(10)</v>
      </c>
      <c r="C43" s="140" t="str">
        <f>+P_Datos!C43</f>
        <v>Poda a recoger por el servicio de recolección en día normal</v>
      </c>
      <c r="D43" s="150">
        <f>+P_Datos!D43</f>
        <v>0.97572308167399957</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6">
        <f>+P_Datos!D46</f>
        <v>2.9271692450219988</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3" t="str">
        <f>+P_Datos!C51</f>
        <v>Poda a recoger por el servicio de recolección en día crítico</v>
      </c>
      <c r="D48" s="204">
        <f>+P_Datos!D51</f>
        <v>9.1999999999999993</v>
      </c>
      <c r="E48" s="205" t="s">
        <v>87</v>
      </c>
      <c r="H48" s="30"/>
      <c r="I48" s="31" t="s">
        <v>99</v>
      </c>
      <c r="J48" s="1">
        <v>1.8654794280080071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9</v>
      </c>
      <c r="E51" t="s">
        <v>86</v>
      </c>
      <c r="H51" s="30" t="s">
        <v>106</v>
      </c>
      <c r="I51" s="32">
        <f>+D51*ROUNDUP(J48,0)</f>
        <v>18</v>
      </c>
      <c r="J51" s="28">
        <f>COUNT($J$48)</f>
        <v>1</v>
      </c>
      <c r="K51" s="32"/>
    </row>
    <row r="52" spans="2:11" x14ac:dyDescent="0.25">
      <c r="B52" t="s">
        <v>91</v>
      </c>
      <c r="C52" s="164" t="s">
        <v>727</v>
      </c>
      <c r="D52" s="164">
        <f>ROUNDUP(D48/D51,0)</f>
        <v>2</v>
      </c>
      <c r="E52" t="s">
        <v>96</v>
      </c>
      <c r="H52" s="30"/>
      <c r="I52" s="32">
        <f>+D52*I51</f>
        <v>36</v>
      </c>
      <c r="J52" s="28" t="b">
        <f>$D$55&lt;=$I$50</f>
        <v>1</v>
      </c>
      <c r="K52" s="32"/>
    </row>
    <row r="53" spans="2:11" x14ac:dyDescent="0.25">
      <c r="B53" t="s">
        <v>92</v>
      </c>
      <c r="C53" s="164" t="s">
        <v>728</v>
      </c>
      <c r="D53" s="165">
        <f>(((D20+D22+D23+D24+D29)*D52+(D21+D28)/ROUNDUP(J48,0))*(1+D32/100))/J48</f>
        <v>14.953260583413021</v>
      </c>
      <c r="E53" t="s">
        <v>30</v>
      </c>
      <c r="H53" s="30"/>
      <c r="J53" s="28">
        <f>{32767;32767;0.000001;0.01;FALSE;FALSE;FALSE;1;2;1;0.0001;TRUE}</f>
        <v>32767</v>
      </c>
      <c r="K53" s="32"/>
    </row>
    <row r="54" spans="2:11" ht="15.75" thickBot="1" x14ac:dyDescent="0.3">
      <c r="C54" s="127" t="s">
        <v>107</v>
      </c>
      <c r="D54" s="128">
        <f>+IF(D53&gt;D36,D53-D36,0)</f>
        <v>6.9532605834130212</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1.0467394165869788</v>
      </c>
      <c r="E57" t="s">
        <v>30</v>
      </c>
    </row>
    <row r="58" spans="2:11" x14ac:dyDescent="0.25">
      <c r="C58" s="164" t="s">
        <v>182</v>
      </c>
      <c r="D58" s="165">
        <f>+D53</f>
        <v>14.953260583413021</v>
      </c>
      <c r="E58" t="s">
        <v>30</v>
      </c>
    </row>
    <row r="59" spans="2:11" x14ac:dyDescent="0.25">
      <c r="C59" s="164" t="s">
        <v>264</v>
      </c>
      <c r="D59" s="166">
        <f>ROUNDDOWN(2*D36*(D52/D66)/D53,0)</f>
        <v>1</v>
      </c>
      <c r="E59" t="s">
        <v>96</v>
      </c>
      <c r="K59" s="36"/>
    </row>
    <row r="61" spans="2:11" hidden="1" x14ac:dyDescent="0.25">
      <c r="C61" t="s">
        <v>110</v>
      </c>
      <c r="D61" s="4">
        <f>+IF((D48-D36/D58*D51)&lt;0,0,D48-D36/D58*D51)</f>
        <v>4.3849966367959654</v>
      </c>
      <c r="E61" t="s">
        <v>86</v>
      </c>
    </row>
    <row r="62" spans="2:11" hidden="1" x14ac:dyDescent="0.25">
      <c r="C62" t="s">
        <v>111</v>
      </c>
      <c r="D62" s="4">
        <f>+D48-D61</f>
        <v>4.8150033632040339</v>
      </c>
      <c r="E62" t="s">
        <v>86</v>
      </c>
    </row>
    <row r="63" spans="2:11" hidden="1" x14ac:dyDescent="0.25">
      <c r="C63" t="s">
        <v>148</v>
      </c>
      <c r="D63" s="4">
        <f>IF(D53&lt;=2*D36,D48,2*D36/D58*D51)</f>
        <v>9.1999999999999993</v>
      </c>
      <c r="E63" t="s">
        <v>86</v>
      </c>
    </row>
    <row r="64" spans="2:11" hidden="1" x14ac:dyDescent="0.25">
      <c r="C64" t="s">
        <v>97</v>
      </c>
      <c r="D64" s="4">
        <f>+IF((D48-D63)&lt;0,0,D48-D63)</f>
        <v>0</v>
      </c>
      <c r="E64" t="s">
        <v>86</v>
      </c>
    </row>
    <row r="66" spans="3:6" x14ac:dyDescent="0.25">
      <c r="C66" s="2" t="s">
        <v>103</v>
      </c>
      <c r="D66" s="542">
        <f>ROUNDUP(J48,0)</f>
        <v>2</v>
      </c>
      <c r="E66" t="s">
        <v>101</v>
      </c>
    </row>
    <row r="67" spans="3:6" x14ac:dyDescent="0.25">
      <c r="C67" t="s">
        <v>117</v>
      </c>
      <c r="D67" s="36">
        <v>1</v>
      </c>
    </row>
    <row r="68" spans="3:6" x14ac:dyDescent="0.25">
      <c r="C68" t="s">
        <v>104</v>
      </c>
      <c r="D68" s="165">
        <f>+D59*D66*D51</f>
        <v>18</v>
      </c>
      <c r="E68" t="s">
        <v>86</v>
      </c>
      <c r="F68" s="4"/>
    </row>
    <row r="69" spans="3:6" x14ac:dyDescent="0.25">
      <c r="C69" t="s">
        <v>102</v>
      </c>
      <c r="D69" s="26">
        <f>+(D68/D48-1)</f>
        <v>0.95652173913043503</v>
      </c>
    </row>
    <row r="70" spans="3:6" x14ac:dyDescent="0.25">
      <c r="C70" t="s">
        <v>119</v>
      </c>
      <c r="D70" s="166">
        <f>+D5+(D7+D8)*D52*2/D66+D9+D6/D66</f>
        <v>109.6</v>
      </c>
      <c r="E70" s="164" t="s">
        <v>244</v>
      </c>
    </row>
    <row r="71" spans="3:6" x14ac:dyDescent="0.25">
      <c r="C71" t="s">
        <v>118</v>
      </c>
      <c r="D71" s="141">
        <f>+D70*D66</f>
        <v>219.2</v>
      </c>
      <c r="E71" s="164" t="s">
        <v>244</v>
      </c>
    </row>
    <row r="72" spans="3:6" x14ac:dyDescent="0.25">
      <c r="C72" t="s">
        <v>123</v>
      </c>
      <c r="D72" s="165">
        <f>+D48/D66</f>
        <v>4.5999999999999996</v>
      </c>
      <c r="E72" t="s">
        <v>87</v>
      </c>
    </row>
    <row r="73" spans="3:6" x14ac:dyDescent="0.25">
      <c r="C73" t="s">
        <v>123</v>
      </c>
      <c r="D73" s="141">
        <f>+D72*D47*D44*52</f>
        <v>7176</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28"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Hoja51"/>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 t="str">
        <f>+P_Datos!C2</f>
        <v>Pehuajó</v>
      </c>
    </row>
    <row r="4" spans="2:5" x14ac:dyDescent="0.25">
      <c r="B4" s="2" t="s">
        <v>0</v>
      </c>
    </row>
    <row r="5" spans="2:5" x14ac:dyDescent="0.25">
      <c r="B5" t="s">
        <v>1</v>
      </c>
      <c r="C5" t="s">
        <v>2</v>
      </c>
      <c r="D5">
        <f>+P_Datos!D5</f>
        <v>0</v>
      </c>
      <c r="E5" t="s">
        <v>3</v>
      </c>
    </row>
    <row r="6" spans="2:5" x14ac:dyDescent="0.25">
      <c r="B6" t="s">
        <v>4</v>
      </c>
      <c r="C6" t="s">
        <v>5</v>
      </c>
      <c r="D6" s="150">
        <f>+P_Datos!D6</f>
        <v>191</v>
      </c>
      <c r="E6" t="s">
        <v>3</v>
      </c>
    </row>
    <row r="7" spans="2:5" x14ac:dyDescent="0.25">
      <c r="B7" t="s">
        <v>6</v>
      </c>
      <c r="C7" t="s">
        <v>8</v>
      </c>
      <c r="D7">
        <f>+P_Datos!D7</f>
        <v>4.7</v>
      </c>
      <c r="E7" t="s">
        <v>3</v>
      </c>
    </row>
    <row r="8" spans="2:5" x14ac:dyDescent="0.25">
      <c r="B8" t="s">
        <v>7</v>
      </c>
      <c r="C8" t="s">
        <v>9</v>
      </c>
      <c r="D8">
        <f>+P_Datos!D8</f>
        <v>0</v>
      </c>
      <c r="E8" t="s">
        <v>3</v>
      </c>
    </row>
    <row r="9" spans="2:5" x14ac:dyDescent="0.25">
      <c r="B9" t="s">
        <v>10</v>
      </c>
      <c r="C9" t="s">
        <v>11</v>
      </c>
      <c r="D9">
        <f>+P_Datos!D9</f>
        <v>4.7</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31.333333333333336</v>
      </c>
      <c r="E14" t="s">
        <v>23</v>
      </c>
    </row>
    <row r="15" spans="2:5" x14ac:dyDescent="0.25">
      <c r="B15" t="s">
        <v>16</v>
      </c>
      <c r="C15" t="s">
        <v>21</v>
      </c>
      <c r="D15">
        <f>+P_Datos!D15</f>
        <v>40</v>
      </c>
      <c r="E15" t="s">
        <v>23</v>
      </c>
    </row>
    <row r="16" spans="2:5" x14ac:dyDescent="0.25">
      <c r="B16" t="s">
        <v>17</v>
      </c>
      <c r="C16" t="s">
        <v>22</v>
      </c>
      <c r="D16">
        <f>+P_Datos!D16</f>
        <v>31.333333333333336</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19.100000000000001</v>
      </c>
      <c r="E21" t="s">
        <v>30</v>
      </c>
    </row>
    <row r="22" spans="2:5" x14ac:dyDescent="0.25">
      <c r="B22" t="s">
        <v>27</v>
      </c>
      <c r="C22" t="s">
        <v>33</v>
      </c>
      <c r="D22" s="4">
        <f>+P_Datos!D22</f>
        <v>0.15</v>
      </c>
      <c r="E22" t="s">
        <v>30</v>
      </c>
    </row>
    <row r="23" spans="2:5" x14ac:dyDescent="0.25">
      <c r="B23" t="s">
        <v>28</v>
      </c>
      <c r="C23" t="s">
        <v>34</v>
      </c>
      <c r="D23" s="4">
        <f>+P_Datos!D23</f>
        <v>0</v>
      </c>
      <c r="E23" t="s">
        <v>30</v>
      </c>
    </row>
    <row r="24" spans="2:5" x14ac:dyDescent="0.25">
      <c r="B24" t="s">
        <v>29</v>
      </c>
      <c r="C24" t="s">
        <v>35</v>
      </c>
      <c r="D24" s="4">
        <f>+P_Datos!D24</f>
        <v>0.15</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31.833333333333332</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51.483333333333334</v>
      </c>
      <c r="E31" t="s">
        <v>30</v>
      </c>
    </row>
    <row r="32" spans="2:5" x14ac:dyDescent="0.25">
      <c r="C32" t="s">
        <v>43</v>
      </c>
      <c r="D32">
        <f>+P_Datos!D32</f>
        <v>5</v>
      </c>
      <c r="E32" t="s">
        <v>46</v>
      </c>
    </row>
    <row r="33" spans="2:12" x14ac:dyDescent="0.25">
      <c r="B33" t="s">
        <v>47</v>
      </c>
      <c r="C33" t="s">
        <v>42</v>
      </c>
      <c r="D33" s="4">
        <f>+P_Datos!D33</f>
        <v>2.5741666666666667</v>
      </c>
      <c r="E33" t="s">
        <v>30</v>
      </c>
    </row>
    <row r="34" spans="2:12" x14ac:dyDescent="0.25">
      <c r="B34" s="5" t="s">
        <v>53</v>
      </c>
    </row>
    <row r="35" spans="2:12" x14ac:dyDescent="0.25">
      <c r="B35" s="23" t="s">
        <v>54</v>
      </c>
      <c r="C35" s="23" t="s">
        <v>55</v>
      </c>
      <c r="D35" s="24">
        <f>+P_Datos!D35</f>
        <v>54.057500000000005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36568</v>
      </c>
      <c r="E39" s="140" t="str">
        <f>+P_Datos!E39</f>
        <v>hab</v>
      </c>
    </row>
    <row r="40" spans="2:12" x14ac:dyDescent="0.25">
      <c r="B40" s="140" t="str">
        <f>+P_Datos!B40</f>
        <v>hab/viv</v>
      </c>
      <c r="C40" s="140" t="str">
        <f>+P_Datos!C40</f>
        <v>Relación de habitantes por vivienda</v>
      </c>
      <c r="D40" s="786">
        <f>+P_Datos!D40</f>
        <v>2.457563712882862</v>
      </c>
      <c r="E40" s="140" t="str">
        <f>+P_Datos!E40</f>
        <v>hab/vivienda</v>
      </c>
    </row>
    <row r="41" spans="2:12" x14ac:dyDescent="0.25">
      <c r="B41" s="140" t="str">
        <f>+P_Datos!B41</f>
        <v>V(10)</v>
      </c>
      <c r="C41" s="140" t="str">
        <f>+P_Datos!C41</f>
        <v>Viviendas</v>
      </c>
      <c r="D41" s="140">
        <f>+P_Datos!D41</f>
        <v>14879.776995528493</v>
      </c>
      <c r="E41" s="140" t="str">
        <f>+P_Datos!E41</f>
        <v>viviendas</v>
      </c>
    </row>
    <row r="42" spans="2:12" x14ac:dyDescent="0.25">
      <c r="B42" s="140"/>
      <c r="C42" s="140" t="str">
        <f>+P_Datos!C42</f>
        <v>Residuo de poda promedio por ejemplar</v>
      </c>
      <c r="D42" s="786">
        <f>+P_Datos!D42</f>
        <v>0.01</v>
      </c>
      <c r="E42" s="140" t="str">
        <f>+P_Datos!E42</f>
        <v>t/año/ejemplar</v>
      </c>
    </row>
    <row r="43" spans="2:12" x14ac:dyDescent="0.25">
      <c r="B43" s="140" t="str">
        <f>+P_Datos!B43</f>
        <v>g(10)</v>
      </c>
      <c r="C43" s="140" t="str">
        <f>+P_Datos!C43</f>
        <v>Poda a recoger por el servicio de recolección en día normal</v>
      </c>
      <c r="D43" s="150">
        <f>+P_Datos!D43</f>
        <v>0.97572308167399957</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6">
        <f>+P_Datos!D46</f>
        <v>2.9271692450219988</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0" t="str">
        <f>+P_Datos!C51</f>
        <v>Poda a recoger por el servicio de recolección en día crítico</v>
      </c>
      <c r="D48" s="201">
        <f>+P_Datos!D51</f>
        <v>9.1999999999999993</v>
      </c>
      <c r="E48" s="131"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12</v>
      </c>
      <c r="E51" t="s">
        <v>86</v>
      </c>
      <c r="H51" s="30" t="s">
        <v>106</v>
      </c>
      <c r="I51" s="32">
        <f>+D51*ROUNDUP(J48,0)</f>
        <v>24</v>
      </c>
      <c r="J51" s="28">
        <f>COUNT($J$48)</f>
        <v>1</v>
      </c>
      <c r="K51" s="32"/>
    </row>
    <row r="52" spans="2:11" x14ac:dyDescent="0.25">
      <c r="B52" t="s">
        <v>91</v>
      </c>
      <c r="C52" s="164" t="s">
        <v>727</v>
      </c>
      <c r="D52">
        <f>ROUNDUP(D48/I51,0)</f>
        <v>1</v>
      </c>
      <c r="E52" t="s">
        <v>96</v>
      </c>
      <c r="H52" s="30"/>
      <c r="I52" s="32">
        <f>+D52*I51</f>
        <v>24</v>
      </c>
      <c r="J52" s="28" t="b">
        <f>$D$55&lt;=$I$50</f>
        <v>1</v>
      </c>
      <c r="K52" s="32"/>
    </row>
    <row r="53" spans="2:11" x14ac:dyDescent="0.25">
      <c r="B53" t="s">
        <v>92</v>
      </c>
      <c r="C53" s="164" t="s">
        <v>728</v>
      </c>
      <c r="D53" s="165">
        <f>(((D20+D22+D23+D24+D29)*D52+(D21+D28)/ROUNDUP(J48,0))*(1+D32/100))/J48</f>
        <v>27.047029702970299</v>
      </c>
      <c r="E53" t="s">
        <v>30</v>
      </c>
      <c r="H53" s="30"/>
      <c r="J53" s="28">
        <f>{32767;32767;0.000001;0.01;FALSE;FALSE;FALSE;1;2;1;0.0001;TRUE}</f>
        <v>32767</v>
      </c>
      <c r="K53" s="32"/>
    </row>
    <row r="54" spans="2:11" ht="15.75" thickBot="1" x14ac:dyDescent="0.3">
      <c r="C54" t="s">
        <v>107</v>
      </c>
      <c r="D54" s="4">
        <f>+IF(D53&gt;D36,D53-D36,0)</f>
        <v>19.047029702970299</v>
      </c>
      <c r="E54" t="s">
        <v>30</v>
      </c>
      <c r="H54" s="30"/>
      <c r="J54" s="29">
        <f>{0;0;1;100;0;FALSE;FALSE;0.075;0;0;FALSE;30}</f>
        <v>0</v>
      </c>
      <c r="K54" s="32"/>
    </row>
    <row r="55" spans="2:11" ht="15.75" thickBot="1" x14ac:dyDescent="0.3">
      <c r="C55" s="129" t="s">
        <v>94</v>
      </c>
      <c r="D55" s="130">
        <f>+IF(D53&gt;2*D36,D53-2*D36,0)</f>
        <v>11.047029702970299</v>
      </c>
      <c r="E55" s="129"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0</v>
      </c>
      <c r="E57" t="s">
        <v>30</v>
      </c>
    </row>
    <row r="58" spans="2:11" x14ac:dyDescent="0.25">
      <c r="C58" s="164" t="s">
        <v>182</v>
      </c>
      <c r="D58" s="4">
        <f>+D53</f>
        <v>27.047029702970299</v>
      </c>
      <c r="E58" t="s">
        <v>30</v>
      </c>
    </row>
    <row r="59" spans="2:11" x14ac:dyDescent="0.25">
      <c r="C59" s="164" t="s">
        <v>95</v>
      </c>
      <c r="D59" s="166">
        <f>ROUNDDOWN(2*D36*(D52/D66)/D53,0)</f>
        <v>0</v>
      </c>
      <c r="E59" t="s">
        <v>96</v>
      </c>
      <c r="K59" s="36"/>
    </row>
    <row r="61" spans="2:11" hidden="1" x14ac:dyDescent="0.25">
      <c r="C61" t="s">
        <v>110</v>
      </c>
      <c r="D61" s="4">
        <f>+IF((D48-D36/D58*D51)&lt;0,0,D48-D36/D58*D51)</f>
        <v>5.650626887526311</v>
      </c>
      <c r="E61" t="s">
        <v>86</v>
      </c>
    </row>
    <row r="62" spans="2:11" hidden="1" x14ac:dyDescent="0.25">
      <c r="C62" t="s">
        <v>111</v>
      </c>
      <c r="D62" s="4">
        <f>+D48-D61</f>
        <v>3.5493731124736883</v>
      </c>
      <c r="E62" t="s">
        <v>86</v>
      </c>
    </row>
    <row r="63" spans="2:11" hidden="1" x14ac:dyDescent="0.25">
      <c r="C63" t="s">
        <v>148</v>
      </c>
      <c r="D63" s="4">
        <f>IF(D53&lt;=2*D36,D48,2*D36/D58*D51)</f>
        <v>7.0987462249473774</v>
      </c>
      <c r="E63" t="s">
        <v>86</v>
      </c>
    </row>
    <row r="64" spans="2:11" hidden="1" x14ac:dyDescent="0.25">
      <c r="C64" t="s">
        <v>97</v>
      </c>
      <c r="D64" s="4">
        <f>+IF((D48-D63)&lt;0,0,D48-D63)</f>
        <v>2.1012537750526219</v>
      </c>
      <c r="E64" t="s">
        <v>86</v>
      </c>
    </row>
    <row r="66" spans="3:6" x14ac:dyDescent="0.25">
      <c r="C66" s="2" t="s">
        <v>103</v>
      </c>
      <c r="D66" s="542">
        <f>ROUNDUP(J48,0)</f>
        <v>2</v>
      </c>
      <c r="E66" t="s">
        <v>101</v>
      </c>
    </row>
    <row r="67" spans="3:6" x14ac:dyDescent="0.25">
      <c r="C67" t="s">
        <v>117</v>
      </c>
      <c r="D67" s="36">
        <v>2</v>
      </c>
    </row>
    <row r="68" spans="3:6" x14ac:dyDescent="0.25">
      <c r="C68" t="s">
        <v>104</v>
      </c>
      <c r="D68" s="165">
        <f>+D59*D66*D51</f>
        <v>0</v>
      </c>
      <c r="E68" t="s">
        <v>86</v>
      </c>
      <c r="F68" s="4"/>
    </row>
    <row r="69" spans="3:6" x14ac:dyDescent="0.25">
      <c r="C69" t="s">
        <v>102</v>
      </c>
      <c r="D69" s="26">
        <f>+(D68/D48-1)</f>
        <v>-1</v>
      </c>
    </row>
    <row r="70" spans="3:6" x14ac:dyDescent="0.25">
      <c r="C70" t="s">
        <v>119</v>
      </c>
      <c r="D70" s="166">
        <f>+D5+(D7+D8)*D52*2/D66+D9+D6/D66</f>
        <v>104.9</v>
      </c>
      <c r="E70" s="164" t="s">
        <v>244</v>
      </c>
    </row>
    <row r="71" spans="3:6" x14ac:dyDescent="0.25">
      <c r="C71" t="s">
        <v>118</v>
      </c>
      <c r="D71" s="141">
        <f>+D70*D66</f>
        <v>209.8</v>
      </c>
      <c r="E71" s="164" t="s">
        <v>244</v>
      </c>
    </row>
    <row r="72" spans="3:6" x14ac:dyDescent="0.25">
      <c r="C72" t="s">
        <v>123</v>
      </c>
      <c r="D72" s="165">
        <f>+D48/D66</f>
        <v>4.5999999999999996</v>
      </c>
      <c r="E72" t="s">
        <v>87</v>
      </c>
    </row>
    <row r="73" spans="3:6" x14ac:dyDescent="0.25">
      <c r="C73" t="s">
        <v>123</v>
      </c>
      <c r="D73" s="141">
        <f>+D72*D47*D44*52</f>
        <v>7176</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27"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Macro_P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Hoja52"/>
  <dimension ref="B1:L76"/>
  <sheetViews>
    <sheetView view="pageBreakPreview" topLeftCell="D45" zoomScale="115" zoomScaleNormal="100" zoomScaleSheetLayoutView="115"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Pehuajó</v>
      </c>
    </row>
    <row r="4" spans="2:5" x14ac:dyDescent="0.25">
      <c r="B4" s="2" t="s">
        <v>0</v>
      </c>
    </row>
    <row r="5" spans="2:5" x14ac:dyDescent="0.25">
      <c r="B5" t="s">
        <v>1</v>
      </c>
      <c r="C5" t="s">
        <v>2</v>
      </c>
      <c r="D5">
        <f>+P_Datos!D5</f>
        <v>0</v>
      </c>
      <c r="E5" t="s">
        <v>3</v>
      </c>
    </row>
    <row r="6" spans="2:5" x14ac:dyDescent="0.25">
      <c r="B6" t="s">
        <v>4</v>
      </c>
      <c r="C6" t="s">
        <v>5</v>
      </c>
      <c r="D6" s="150">
        <f>+P_Datos!D6</f>
        <v>191</v>
      </c>
      <c r="E6" t="s">
        <v>3</v>
      </c>
    </row>
    <row r="7" spans="2:5" x14ac:dyDescent="0.25">
      <c r="B7" t="s">
        <v>6</v>
      </c>
      <c r="C7" t="s">
        <v>8</v>
      </c>
      <c r="D7">
        <f>+P_Datos!D7</f>
        <v>4.7</v>
      </c>
      <c r="E7" t="s">
        <v>3</v>
      </c>
    </row>
    <row r="8" spans="2:5" x14ac:dyDescent="0.25">
      <c r="B8" t="s">
        <v>7</v>
      </c>
      <c r="C8" t="s">
        <v>9</v>
      </c>
      <c r="D8">
        <f>+P_Datos!D8</f>
        <v>0</v>
      </c>
      <c r="E8" t="s">
        <v>3</v>
      </c>
    </row>
    <row r="9" spans="2:5" x14ac:dyDescent="0.25">
      <c r="B9" t="s">
        <v>10</v>
      </c>
      <c r="C9" t="s">
        <v>11</v>
      </c>
      <c r="D9">
        <f>+P_Datos!D9</f>
        <v>4.7</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31.333333333333336</v>
      </c>
      <c r="E14" t="s">
        <v>23</v>
      </c>
    </row>
    <row r="15" spans="2:5" x14ac:dyDescent="0.25">
      <c r="B15" t="s">
        <v>16</v>
      </c>
      <c r="C15" t="s">
        <v>21</v>
      </c>
      <c r="D15">
        <f>+P_Datos!D15</f>
        <v>40</v>
      </c>
      <c r="E15" t="s">
        <v>23</v>
      </c>
    </row>
    <row r="16" spans="2:5" x14ac:dyDescent="0.25">
      <c r="B16" t="s">
        <v>17</v>
      </c>
      <c r="C16" t="s">
        <v>22</v>
      </c>
      <c r="D16">
        <f>+P_Datos!D16</f>
        <v>31.333333333333336</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19.100000000000001</v>
      </c>
      <c r="E21" t="s">
        <v>30</v>
      </c>
    </row>
    <row r="22" spans="2:5" x14ac:dyDescent="0.25">
      <c r="B22" t="s">
        <v>27</v>
      </c>
      <c r="C22" t="s">
        <v>33</v>
      </c>
      <c r="D22" s="4">
        <f>+P_Datos!D22</f>
        <v>0.15</v>
      </c>
      <c r="E22" t="s">
        <v>30</v>
      </c>
    </row>
    <row r="23" spans="2:5" x14ac:dyDescent="0.25">
      <c r="B23" t="s">
        <v>28</v>
      </c>
      <c r="C23" t="s">
        <v>34</v>
      </c>
      <c r="D23" s="4">
        <f>+P_Datos!D23</f>
        <v>0</v>
      </c>
      <c r="E23" t="s">
        <v>30</v>
      </c>
    </row>
    <row r="24" spans="2:5" x14ac:dyDescent="0.25">
      <c r="B24" t="s">
        <v>29</v>
      </c>
      <c r="C24" t="s">
        <v>35</v>
      </c>
      <c r="D24" s="4">
        <f>+P_Datos!D24</f>
        <v>0.15</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31.833333333333332</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51.483333333333334</v>
      </c>
      <c r="E31" t="s">
        <v>30</v>
      </c>
    </row>
    <row r="32" spans="2:5" x14ac:dyDescent="0.25">
      <c r="C32" t="s">
        <v>43</v>
      </c>
      <c r="D32">
        <f>+P_Datos!D32</f>
        <v>5</v>
      </c>
      <c r="E32" t="s">
        <v>46</v>
      </c>
    </row>
    <row r="33" spans="2:12" x14ac:dyDescent="0.25">
      <c r="B33" t="s">
        <v>47</v>
      </c>
      <c r="C33" t="s">
        <v>42</v>
      </c>
      <c r="D33" s="4">
        <f>+P_Datos!D33</f>
        <v>2.5741666666666667</v>
      </c>
      <c r="E33" t="s">
        <v>30</v>
      </c>
    </row>
    <row r="34" spans="2:12" x14ac:dyDescent="0.25">
      <c r="B34" s="5" t="s">
        <v>53</v>
      </c>
    </row>
    <row r="35" spans="2:12" x14ac:dyDescent="0.25">
      <c r="B35" s="23" t="s">
        <v>54</v>
      </c>
      <c r="C35" s="23" t="s">
        <v>55</v>
      </c>
      <c r="D35" s="24">
        <f>+P_Datos!D35</f>
        <v>54.057500000000005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36568</v>
      </c>
      <c r="E39" s="140" t="str">
        <f>+P_Datos!E39</f>
        <v>hab</v>
      </c>
    </row>
    <row r="40" spans="2:12" x14ac:dyDescent="0.25">
      <c r="B40" s="140" t="str">
        <f>+P_Datos!B40</f>
        <v>hab/viv</v>
      </c>
      <c r="C40" s="140" t="str">
        <f>+P_Datos!C40</f>
        <v>Relación de habitantes por vivienda</v>
      </c>
      <c r="D40" s="786">
        <f>+P_Datos!D40</f>
        <v>2.457563712882862</v>
      </c>
      <c r="E40" s="140" t="str">
        <f>+P_Datos!E40</f>
        <v>hab/vivienda</v>
      </c>
    </row>
    <row r="41" spans="2:12" x14ac:dyDescent="0.25">
      <c r="B41" s="140" t="str">
        <f>+P_Datos!B41</f>
        <v>V(10)</v>
      </c>
      <c r="C41" s="140" t="str">
        <f>+P_Datos!C41</f>
        <v>Viviendas</v>
      </c>
      <c r="D41" s="140">
        <f>+P_Datos!D41</f>
        <v>14879.776995528493</v>
      </c>
      <c r="E41" s="140" t="str">
        <f>+P_Datos!E41</f>
        <v>viviendas</v>
      </c>
    </row>
    <row r="42" spans="2:12" x14ac:dyDescent="0.25">
      <c r="B42" s="140"/>
      <c r="C42" s="140" t="str">
        <f>+P_Datos!C42</f>
        <v>Residuo de poda promedio por ejemplar</v>
      </c>
      <c r="D42" s="786">
        <f>+P_Datos!D42</f>
        <v>0.01</v>
      </c>
      <c r="E42" s="140" t="str">
        <f>+P_Datos!E42</f>
        <v>t/año/ejemplar</v>
      </c>
    </row>
    <row r="43" spans="2:12" x14ac:dyDescent="0.25">
      <c r="B43" s="140" t="str">
        <f>+P_Datos!B43</f>
        <v>g(10)</v>
      </c>
      <c r="C43" s="140" t="str">
        <f>+P_Datos!C43</f>
        <v>Poda a recoger por el servicio de recolección en día normal</v>
      </c>
      <c r="D43" s="150">
        <f>+P_Datos!D43</f>
        <v>0.97572308167399957</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6">
        <f>+P_Datos!D46</f>
        <v>2.9271692450219988</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3" t="str">
        <f>+P_Datos!C51</f>
        <v>Poda a recoger por el servicio de recolección en día crítico</v>
      </c>
      <c r="D48" s="204">
        <f>+P_Datos!D51</f>
        <v>9.1999999999999993</v>
      </c>
      <c r="E48" s="205" t="s">
        <v>87</v>
      </c>
      <c r="H48" s="30"/>
      <c r="I48" s="31" t="s">
        <v>99</v>
      </c>
      <c r="J48" s="1">
        <v>1.759908367200929</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12</v>
      </c>
      <c r="E51" t="s">
        <v>86</v>
      </c>
      <c r="H51" s="30" t="s">
        <v>106</v>
      </c>
      <c r="I51" s="32">
        <f>+D51*ROUNDUP(J48,0)</f>
        <v>24</v>
      </c>
      <c r="J51" s="28">
        <f>COUNT($J$48)</f>
        <v>1</v>
      </c>
      <c r="K51" s="32"/>
    </row>
    <row r="52" spans="2:11" x14ac:dyDescent="0.25">
      <c r="B52" t="s">
        <v>91</v>
      </c>
      <c r="C52" s="164" t="s">
        <v>727</v>
      </c>
      <c r="D52" s="164">
        <f>ROUNDUP(D48/D51,0)</f>
        <v>1</v>
      </c>
      <c r="E52" t="s">
        <v>96</v>
      </c>
      <c r="H52" s="30"/>
      <c r="I52" s="32">
        <f>+D52*I51</f>
        <v>24</v>
      </c>
      <c r="J52" s="28" t="b">
        <f>$D$55&lt;=$I$50</f>
        <v>1</v>
      </c>
      <c r="K52" s="32"/>
    </row>
    <row r="53" spans="2:11" x14ac:dyDescent="0.25">
      <c r="B53" t="s">
        <v>92</v>
      </c>
      <c r="C53" s="164" t="s">
        <v>728</v>
      </c>
      <c r="D53" s="165">
        <f>(((D20+D22+D23+D24+D29)*D52+(D21+D28)/ROUNDUP(J48,0))*(1+D32/100))/J48</f>
        <v>15.52211496297816</v>
      </c>
      <c r="E53" t="s">
        <v>30</v>
      </c>
      <c r="H53" s="30"/>
      <c r="J53" s="28">
        <f>{32767;32767;0.000001;0.01;FALSE;FALSE;FALSE;1;2;1;0.0001;TRUE}</f>
        <v>32767</v>
      </c>
      <c r="K53" s="32"/>
    </row>
    <row r="54" spans="2:11" ht="15.75" thickBot="1" x14ac:dyDescent="0.3">
      <c r="C54" s="127" t="s">
        <v>107</v>
      </c>
      <c r="D54" s="128">
        <f>+IF(D53&gt;D36,D53-D36,0)</f>
        <v>7.5221149629781596</v>
      </c>
      <c r="E54" s="127" t="s">
        <v>30</v>
      </c>
      <c r="H54" s="30"/>
      <c r="J54" s="29">
        <f>{0;0;1;100;0;FALSE;FALSE;0.075;0;0;FALSE;30}</f>
        <v>0</v>
      </c>
      <c r="K54" s="32"/>
    </row>
    <row r="55" spans="2:11" ht="15.75" thickBot="1" x14ac:dyDescent="0.3">
      <c r="C55" t="s">
        <v>94</v>
      </c>
      <c r="D55" s="4">
        <f>+IF(D53&gt;2*D36,D53-2*D36,0)</f>
        <v>0</v>
      </c>
      <c r="E55"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0.47788503702184038</v>
      </c>
      <c r="E57" t="s">
        <v>30</v>
      </c>
    </row>
    <row r="58" spans="2:11" x14ac:dyDescent="0.25">
      <c r="C58" s="164" t="s">
        <v>182</v>
      </c>
      <c r="D58" s="4">
        <f>+D53/D52</f>
        <v>15.52211496297816</v>
      </c>
      <c r="E58" t="s">
        <v>30</v>
      </c>
    </row>
    <row r="59" spans="2:11" x14ac:dyDescent="0.25">
      <c r="C59" s="164" t="s">
        <v>95</v>
      </c>
      <c r="D59" s="166">
        <f>ROUNDDOWN(2*D36*(D52/D66)/D53,0)</f>
        <v>0</v>
      </c>
      <c r="E59" t="s">
        <v>96</v>
      </c>
      <c r="K59" s="36"/>
    </row>
    <row r="61" spans="2:11" hidden="1" x14ac:dyDescent="0.25">
      <c r="C61" t="s">
        <v>110</v>
      </c>
      <c r="D61" s="4">
        <f>+IF((D48-D36/D58*D51)&lt;0,0,D48-D36/D58*D51)</f>
        <v>3.0152758030094553</v>
      </c>
      <c r="E61" t="s">
        <v>86</v>
      </c>
    </row>
    <row r="62" spans="2:11" hidden="1" x14ac:dyDescent="0.25">
      <c r="C62" t="s">
        <v>111</v>
      </c>
      <c r="D62" s="4">
        <f>+D48-D61</f>
        <v>6.184724196990544</v>
      </c>
      <c r="E62" t="s">
        <v>86</v>
      </c>
    </row>
    <row r="63" spans="2:11" hidden="1" x14ac:dyDescent="0.25">
      <c r="C63" t="s">
        <v>148</v>
      </c>
      <c r="D63" s="4">
        <f>IF(D53&lt;=2*D36,D48,2*D36/D58*D51)</f>
        <v>9.1999999999999993</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104.9</v>
      </c>
      <c r="E70" s="164" t="s">
        <v>244</v>
      </c>
    </row>
    <row r="71" spans="3:5" x14ac:dyDescent="0.25">
      <c r="C71" t="s">
        <v>118</v>
      </c>
      <c r="D71" s="141">
        <f>+D70*D66</f>
        <v>209.8</v>
      </c>
      <c r="E71" s="164" t="s">
        <v>244</v>
      </c>
    </row>
    <row r="72" spans="3:5" x14ac:dyDescent="0.25">
      <c r="C72" t="s">
        <v>123</v>
      </c>
      <c r="D72" s="165">
        <f>+D48/D66</f>
        <v>4.5999999999999996</v>
      </c>
      <c r="E72" t="s">
        <v>87</v>
      </c>
    </row>
    <row r="73" spans="3:5" x14ac:dyDescent="0.25">
      <c r="C73" t="s">
        <v>123</v>
      </c>
      <c r="D73" s="141">
        <f>+D72*D47*D44*52</f>
        <v>7176</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6"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Hoja53"/>
  <dimension ref="B1:L76"/>
  <sheetViews>
    <sheetView view="pageBreakPreview" topLeftCell="A2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Pehuajó</v>
      </c>
    </row>
    <row r="4" spans="2:5" x14ac:dyDescent="0.25">
      <c r="B4" s="2" t="s">
        <v>0</v>
      </c>
    </row>
    <row r="5" spans="2:5" x14ac:dyDescent="0.25">
      <c r="B5" t="s">
        <v>1</v>
      </c>
      <c r="C5" t="s">
        <v>2</v>
      </c>
      <c r="D5">
        <f>+P_Datos!D5</f>
        <v>0</v>
      </c>
      <c r="E5" t="s">
        <v>3</v>
      </c>
    </row>
    <row r="6" spans="2:5" x14ac:dyDescent="0.25">
      <c r="B6" t="s">
        <v>4</v>
      </c>
      <c r="C6" t="s">
        <v>5</v>
      </c>
      <c r="D6" s="150">
        <f>+P_Datos!D6</f>
        <v>191</v>
      </c>
      <c r="E6" t="s">
        <v>3</v>
      </c>
    </row>
    <row r="7" spans="2:5" x14ac:dyDescent="0.25">
      <c r="B7" t="s">
        <v>6</v>
      </c>
      <c r="C7" t="s">
        <v>8</v>
      </c>
      <c r="D7">
        <f>+P_Datos!D7</f>
        <v>4.7</v>
      </c>
      <c r="E7" t="s">
        <v>3</v>
      </c>
    </row>
    <row r="8" spans="2:5" x14ac:dyDescent="0.25">
      <c r="B8" t="s">
        <v>7</v>
      </c>
      <c r="C8" t="s">
        <v>9</v>
      </c>
      <c r="D8">
        <f>+P_Datos!D8</f>
        <v>0</v>
      </c>
      <c r="E8" t="s">
        <v>3</v>
      </c>
    </row>
    <row r="9" spans="2:5" x14ac:dyDescent="0.25">
      <c r="B9" t="s">
        <v>10</v>
      </c>
      <c r="C9" t="s">
        <v>11</v>
      </c>
      <c r="D9">
        <f>+P_Datos!D9</f>
        <v>4.7</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31.333333333333336</v>
      </c>
      <c r="E14" t="s">
        <v>23</v>
      </c>
    </row>
    <row r="15" spans="2:5" x14ac:dyDescent="0.25">
      <c r="B15" t="s">
        <v>16</v>
      </c>
      <c r="C15" t="s">
        <v>21</v>
      </c>
      <c r="D15">
        <f>+P_Datos!D15</f>
        <v>40</v>
      </c>
      <c r="E15" t="s">
        <v>23</v>
      </c>
    </row>
    <row r="16" spans="2:5" x14ac:dyDescent="0.25">
      <c r="B16" t="s">
        <v>17</v>
      </c>
      <c r="C16" t="s">
        <v>22</v>
      </c>
      <c r="D16">
        <f>+P_Datos!D16</f>
        <v>31.333333333333336</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19.100000000000001</v>
      </c>
      <c r="E21" t="s">
        <v>30</v>
      </c>
    </row>
    <row r="22" spans="2:5" x14ac:dyDescent="0.25">
      <c r="B22" t="s">
        <v>27</v>
      </c>
      <c r="C22" t="s">
        <v>33</v>
      </c>
      <c r="D22" s="4">
        <f>+P_Datos!D22</f>
        <v>0.15</v>
      </c>
      <c r="E22" t="s">
        <v>30</v>
      </c>
    </row>
    <row r="23" spans="2:5" x14ac:dyDescent="0.25">
      <c r="B23" t="s">
        <v>28</v>
      </c>
      <c r="C23" t="s">
        <v>34</v>
      </c>
      <c r="D23" s="4">
        <f>+P_Datos!D23</f>
        <v>0</v>
      </c>
      <c r="E23" t="s">
        <v>30</v>
      </c>
    </row>
    <row r="24" spans="2:5" x14ac:dyDescent="0.25">
      <c r="B24" t="s">
        <v>29</v>
      </c>
      <c r="C24" t="s">
        <v>35</v>
      </c>
      <c r="D24" s="4">
        <f>+P_Datos!D24</f>
        <v>0.15</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31.833333333333332</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51.483333333333334</v>
      </c>
      <c r="E31" t="s">
        <v>30</v>
      </c>
    </row>
    <row r="32" spans="2:5" x14ac:dyDescent="0.25">
      <c r="C32" t="s">
        <v>43</v>
      </c>
      <c r="D32">
        <f>+P_Datos!D32</f>
        <v>5</v>
      </c>
      <c r="E32" t="s">
        <v>46</v>
      </c>
    </row>
    <row r="33" spans="2:12" x14ac:dyDescent="0.25">
      <c r="B33" t="s">
        <v>47</v>
      </c>
      <c r="C33" t="s">
        <v>42</v>
      </c>
      <c r="D33" s="4">
        <f>+P_Datos!D33</f>
        <v>2.5741666666666667</v>
      </c>
      <c r="E33" t="s">
        <v>30</v>
      </c>
    </row>
    <row r="34" spans="2:12" x14ac:dyDescent="0.25">
      <c r="B34" s="5" t="s">
        <v>53</v>
      </c>
    </row>
    <row r="35" spans="2:12" x14ac:dyDescent="0.25">
      <c r="B35" s="23" t="s">
        <v>54</v>
      </c>
      <c r="C35" s="23" t="s">
        <v>55</v>
      </c>
      <c r="D35" s="24">
        <f>+P_Datos!D35</f>
        <v>54.057500000000005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36568</v>
      </c>
      <c r="E39" s="140" t="str">
        <f>+P_Datos!E39</f>
        <v>hab</v>
      </c>
    </row>
    <row r="40" spans="2:12" x14ac:dyDescent="0.25">
      <c r="B40" s="140" t="str">
        <f>+P_Datos!B40</f>
        <v>hab/viv</v>
      </c>
      <c r="C40" s="140" t="str">
        <f>+P_Datos!C40</f>
        <v>Relación de habitantes por vivienda</v>
      </c>
      <c r="D40" s="786">
        <f>+P_Datos!D40</f>
        <v>2.457563712882862</v>
      </c>
      <c r="E40" s="140" t="str">
        <f>+P_Datos!E40</f>
        <v>hab/vivienda</v>
      </c>
    </row>
    <row r="41" spans="2:12" x14ac:dyDescent="0.25">
      <c r="B41" s="140" t="str">
        <f>+P_Datos!B41</f>
        <v>V(10)</v>
      </c>
      <c r="C41" s="140" t="str">
        <f>+P_Datos!C41</f>
        <v>Viviendas</v>
      </c>
      <c r="D41" s="140">
        <f>+P_Datos!D41</f>
        <v>14879.776995528493</v>
      </c>
      <c r="E41" s="140" t="str">
        <f>+P_Datos!E41</f>
        <v>viviendas</v>
      </c>
    </row>
    <row r="42" spans="2:12" x14ac:dyDescent="0.25">
      <c r="B42" s="140"/>
      <c r="C42" s="140" t="str">
        <f>+P_Datos!C42</f>
        <v>Residuo de poda promedio por ejemplar</v>
      </c>
      <c r="D42" s="786">
        <f>+P_Datos!D42</f>
        <v>0.01</v>
      </c>
      <c r="E42" s="140" t="str">
        <f>+P_Datos!E42</f>
        <v>t/año/ejemplar</v>
      </c>
    </row>
    <row r="43" spans="2:12" x14ac:dyDescent="0.25">
      <c r="B43" s="140" t="str">
        <f>+P_Datos!B43</f>
        <v>g(10)</v>
      </c>
      <c r="C43" s="140" t="str">
        <f>+P_Datos!C43</f>
        <v>Poda a recoger por el servicio de recolección en día normal</v>
      </c>
      <c r="D43" s="150">
        <f>+P_Datos!D43</f>
        <v>0.97572308167399957</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6">
        <f>+P_Datos!D46</f>
        <v>2.9271692450219988</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3" t="str">
        <f>+P_Datos!C51</f>
        <v>Poda a recoger por el servicio de recolección en día crítico</v>
      </c>
      <c r="D48" s="201">
        <f>+P_Datos!D51</f>
        <v>9.1999999999999993</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0</v>
      </c>
      <c r="K50" s="32"/>
    </row>
    <row r="51" spans="2:11" x14ac:dyDescent="0.25">
      <c r="B51" t="s">
        <v>90</v>
      </c>
      <c r="C51" t="s">
        <v>89</v>
      </c>
      <c r="D51" s="1">
        <v>15</v>
      </c>
      <c r="E51" t="s">
        <v>86</v>
      </c>
      <c r="H51" s="30" t="s">
        <v>106</v>
      </c>
      <c r="I51" s="32">
        <f>+D51*ROUNDUP(J48,0)</f>
        <v>30</v>
      </c>
      <c r="J51" s="28">
        <f>COUNT($J$48)</f>
        <v>1</v>
      </c>
      <c r="K51" s="32"/>
    </row>
    <row r="52" spans="2:11" x14ac:dyDescent="0.25">
      <c r="B52" t="s">
        <v>91</v>
      </c>
      <c r="C52" s="164" t="s">
        <v>727</v>
      </c>
      <c r="D52">
        <f>ROUNDUP(D48/I51,0)</f>
        <v>1</v>
      </c>
      <c r="E52" t="s">
        <v>96</v>
      </c>
      <c r="H52" s="30"/>
      <c r="I52" s="32">
        <f>+D52*I51</f>
        <v>30</v>
      </c>
      <c r="J52" s="28" t="b">
        <f>$D$55&lt;=$I$50</f>
        <v>1</v>
      </c>
      <c r="K52" s="32"/>
    </row>
    <row r="53" spans="2:11" x14ac:dyDescent="0.25">
      <c r="B53" t="s">
        <v>92</v>
      </c>
      <c r="C53" s="164" t="s">
        <v>728</v>
      </c>
      <c r="D53" s="165">
        <f>(((D20+D22+D23+D24+D29)*D52+(D21+D28)/ROUNDUP(J48,0))*(1+D32/100))/J48</f>
        <v>27.047029702970299</v>
      </c>
      <c r="E53" t="s">
        <v>30</v>
      </c>
      <c r="H53" s="30"/>
      <c r="J53" s="28">
        <f>{32767;32767;0.000001;0.01;FALSE;FALSE;FALSE;1;2;1;0.0001;TRUE}</f>
        <v>32767</v>
      </c>
      <c r="K53" s="32"/>
    </row>
    <row r="54" spans="2:11" ht="15.75" thickBot="1" x14ac:dyDescent="0.3">
      <c r="C54" t="s">
        <v>107</v>
      </c>
      <c r="D54" s="4">
        <f>+IF(D53&gt;D36,D53-D36,0)</f>
        <v>19.047029702970299</v>
      </c>
      <c r="E54" t="s">
        <v>30</v>
      </c>
      <c r="H54" s="30"/>
      <c r="J54" s="29">
        <f>{0;0;1;100;0;FALSE;FALSE;0.075;0;0;FALSE;30}</f>
        <v>0</v>
      </c>
      <c r="K54" s="32"/>
    </row>
    <row r="55" spans="2:11" ht="15.75" thickBot="1" x14ac:dyDescent="0.3">
      <c r="C55" s="129" t="s">
        <v>94</v>
      </c>
      <c r="D55" s="130">
        <f>+IF(D53&gt;2*D36,D53-2*D36,0)</f>
        <v>11.047029702970299</v>
      </c>
      <c r="E55" s="129"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0</v>
      </c>
      <c r="E57" t="s">
        <v>30</v>
      </c>
    </row>
    <row r="58" spans="2:11" x14ac:dyDescent="0.25">
      <c r="C58" s="164" t="s">
        <v>182</v>
      </c>
      <c r="D58" s="4">
        <f>+D53</f>
        <v>27.047029702970299</v>
      </c>
      <c r="E58" t="s">
        <v>30</v>
      </c>
    </row>
    <row r="59" spans="2:11" x14ac:dyDescent="0.25">
      <c r="C59" s="164" t="s">
        <v>95</v>
      </c>
      <c r="D59" s="166">
        <f>ROUNDDOWN(2*D36*(D52/D66)/D53,0)</f>
        <v>0</v>
      </c>
      <c r="E59" t="s">
        <v>96</v>
      </c>
      <c r="K59" s="36"/>
    </row>
    <row r="61" spans="2:11" hidden="1" x14ac:dyDescent="0.25">
      <c r="C61" t="s">
        <v>110</v>
      </c>
      <c r="D61" s="4">
        <f>+IF((D48-D36/D58*D51)&lt;0,0,D48-D36/D58*D51)</f>
        <v>4.7632836094078881</v>
      </c>
      <c r="E61" t="s">
        <v>86</v>
      </c>
    </row>
    <row r="62" spans="2:11" hidden="1" x14ac:dyDescent="0.25">
      <c r="C62" t="s">
        <v>111</v>
      </c>
      <c r="D62" s="4">
        <f>+D48-D61</f>
        <v>4.4367163905921112</v>
      </c>
      <c r="E62" t="s">
        <v>86</v>
      </c>
    </row>
    <row r="63" spans="2:11" hidden="1" x14ac:dyDescent="0.25">
      <c r="C63" t="s">
        <v>148</v>
      </c>
      <c r="D63" s="4">
        <f>IF(D53&lt;=2*D36,D48,2*D36/D58*D51)</f>
        <v>8.8734327811842224</v>
      </c>
      <c r="E63" t="s">
        <v>86</v>
      </c>
    </row>
    <row r="64" spans="2:11" hidden="1" x14ac:dyDescent="0.25">
      <c r="C64" t="s">
        <v>97</v>
      </c>
      <c r="D64" s="4">
        <f>+IF((D48-D63)&lt;0,0,D48-D63)</f>
        <v>0.32656721881577688</v>
      </c>
      <c r="E64" t="s">
        <v>86</v>
      </c>
    </row>
    <row r="66" spans="3:6" x14ac:dyDescent="0.25">
      <c r="C66" s="2" t="s">
        <v>103</v>
      </c>
      <c r="D66" s="542">
        <f>ROUNDUP(J48,0)</f>
        <v>2</v>
      </c>
      <c r="E66" t="s">
        <v>101</v>
      </c>
    </row>
    <row r="67" spans="3:6" x14ac:dyDescent="0.25">
      <c r="C67" t="s">
        <v>117</v>
      </c>
      <c r="D67" s="36">
        <v>2</v>
      </c>
    </row>
    <row r="68" spans="3:6" x14ac:dyDescent="0.25">
      <c r="C68" t="s">
        <v>104</v>
      </c>
      <c r="D68" s="165">
        <f>+D59*D66*D51</f>
        <v>0</v>
      </c>
      <c r="E68" t="s">
        <v>86</v>
      </c>
      <c r="F68" s="4"/>
    </row>
    <row r="69" spans="3:6" x14ac:dyDescent="0.25">
      <c r="C69" t="s">
        <v>102</v>
      </c>
      <c r="D69" s="26">
        <f>+(D68/D48-1)</f>
        <v>-1</v>
      </c>
    </row>
    <row r="70" spans="3:6" x14ac:dyDescent="0.25">
      <c r="C70" t="s">
        <v>119</v>
      </c>
      <c r="D70" s="166">
        <f>+D5+(D7+D8)*D52*2/D66+D9+D6/D66</f>
        <v>104.9</v>
      </c>
      <c r="E70" s="164" t="s">
        <v>244</v>
      </c>
    </row>
    <row r="71" spans="3:6" x14ac:dyDescent="0.25">
      <c r="C71" t="s">
        <v>118</v>
      </c>
      <c r="D71" s="141">
        <f>+D70*D66</f>
        <v>209.8</v>
      </c>
      <c r="E71" s="164" t="s">
        <v>244</v>
      </c>
    </row>
    <row r="72" spans="3:6" x14ac:dyDescent="0.25">
      <c r="C72" t="s">
        <v>123</v>
      </c>
      <c r="D72" s="165">
        <f>+D48/D66</f>
        <v>4.5999999999999996</v>
      </c>
      <c r="E72" t="s">
        <v>87</v>
      </c>
    </row>
    <row r="73" spans="3:6" x14ac:dyDescent="0.25">
      <c r="C73" t="s">
        <v>123</v>
      </c>
      <c r="D73" s="141">
        <f>+D72*D47*D44*52</f>
        <v>7176</v>
      </c>
      <c r="E73" t="s">
        <v>124</v>
      </c>
    </row>
    <row r="74" spans="3:6" x14ac:dyDescent="0.25">
      <c r="D74" s="4"/>
    </row>
    <row r="75" spans="3:6" x14ac:dyDescent="0.25">
      <c r="D75" s="4"/>
    </row>
    <row r="76" spans="3:6" x14ac:dyDescent="0.25">
      <c r="D76" s="4"/>
    </row>
  </sheetData>
  <mergeCells count="2">
    <mergeCell ref="H47:K47"/>
    <mergeCell ref="H56:K56"/>
  </mergeCells>
  <conditionalFormatting sqref="D64">
    <cfRule type="cellIs" dxfId="25"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Macro_P2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Hoja54"/>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Pehuajó</v>
      </c>
    </row>
    <row r="4" spans="2:5" x14ac:dyDescent="0.25">
      <c r="B4" s="2" t="s">
        <v>0</v>
      </c>
    </row>
    <row r="5" spans="2:5" x14ac:dyDescent="0.25">
      <c r="B5" t="s">
        <v>1</v>
      </c>
      <c r="C5" t="s">
        <v>2</v>
      </c>
      <c r="D5">
        <f>+P_Datos!D5</f>
        <v>0</v>
      </c>
      <c r="E5" t="s">
        <v>3</v>
      </c>
    </row>
    <row r="6" spans="2:5" x14ac:dyDescent="0.25">
      <c r="B6" t="s">
        <v>4</v>
      </c>
      <c r="C6" t="s">
        <v>5</v>
      </c>
      <c r="D6" s="150">
        <f>+P_Datos!D6</f>
        <v>191</v>
      </c>
      <c r="E6" t="s">
        <v>3</v>
      </c>
    </row>
    <row r="7" spans="2:5" x14ac:dyDescent="0.25">
      <c r="B7" t="s">
        <v>6</v>
      </c>
      <c r="C7" t="s">
        <v>8</v>
      </c>
      <c r="D7">
        <f>+P_Datos!D7</f>
        <v>4.7</v>
      </c>
      <c r="E7" t="s">
        <v>3</v>
      </c>
    </row>
    <row r="8" spans="2:5" x14ac:dyDescent="0.25">
      <c r="B8" t="s">
        <v>7</v>
      </c>
      <c r="C8" t="s">
        <v>9</v>
      </c>
      <c r="D8">
        <f>+P_Datos!D8</f>
        <v>0</v>
      </c>
      <c r="E8" t="s">
        <v>3</v>
      </c>
    </row>
    <row r="9" spans="2:5" x14ac:dyDescent="0.25">
      <c r="B9" t="s">
        <v>10</v>
      </c>
      <c r="C9" t="s">
        <v>11</v>
      </c>
      <c r="D9">
        <f>+P_Datos!D9</f>
        <v>4.7</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31.333333333333336</v>
      </c>
      <c r="E14" t="s">
        <v>23</v>
      </c>
    </row>
    <row r="15" spans="2:5" x14ac:dyDescent="0.25">
      <c r="B15" t="s">
        <v>16</v>
      </c>
      <c r="C15" t="s">
        <v>21</v>
      </c>
      <c r="D15">
        <f>+P_Datos!D15</f>
        <v>40</v>
      </c>
      <c r="E15" t="s">
        <v>23</v>
      </c>
    </row>
    <row r="16" spans="2:5" x14ac:dyDescent="0.25">
      <c r="B16" t="s">
        <v>17</v>
      </c>
      <c r="C16" t="s">
        <v>22</v>
      </c>
      <c r="D16">
        <f>+P_Datos!D16</f>
        <v>31.333333333333336</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19.100000000000001</v>
      </c>
      <c r="E21" t="s">
        <v>30</v>
      </c>
    </row>
    <row r="22" spans="2:5" x14ac:dyDescent="0.25">
      <c r="B22" t="s">
        <v>27</v>
      </c>
      <c r="C22" t="s">
        <v>33</v>
      </c>
      <c r="D22" s="4">
        <f>+P_Datos!D22</f>
        <v>0.15</v>
      </c>
      <c r="E22" t="s">
        <v>30</v>
      </c>
    </row>
    <row r="23" spans="2:5" x14ac:dyDescent="0.25">
      <c r="B23" t="s">
        <v>28</v>
      </c>
      <c r="C23" t="s">
        <v>34</v>
      </c>
      <c r="D23" s="4">
        <f>+P_Datos!D23</f>
        <v>0</v>
      </c>
      <c r="E23" t="s">
        <v>30</v>
      </c>
    </row>
    <row r="24" spans="2:5" x14ac:dyDescent="0.25">
      <c r="B24" t="s">
        <v>29</v>
      </c>
      <c r="C24" t="s">
        <v>35</v>
      </c>
      <c r="D24" s="4">
        <f>+P_Datos!D24</f>
        <v>0.15</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31.833333333333332</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51.483333333333334</v>
      </c>
      <c r="E31" t="s">
        <v>30</v>
      </c>
    </row>
    <row r="32" spans="2:5" x14ac:dyDescent="0.25">
      <c r="C32" t="s">
        <v>43</v>
      </c>
      <c r="D32">
        <f>+P_Datos!D32</f>
        <v>5</v>
      </c>
      <c r="E32" t="s">
        <v>46</v>
      </c>
    </row>
    <row r="33" spans="2:12" x14ac:dyDescent="0.25">
      <c r="B33" t="s">
        <v>47</v>
      </c>
      <c r="C33" t="s">
        <v>42</v>
      </c>
      <c r="D33" s="4">
        <f>+P_Datos!D33</f>
        <v>2.5741666666666667</v>
      </c>
      <c r="E33" t="s">
        <v>30</v>
      </c>
    </row>
    <row r="34" spans="2:12" x14ac:dyDescent="0.25">
      <c r="B34" s="5" t="s">
        <v>53</v>
      </c>
    </row>
    <row r="35" spans="2:12" x14ac:dyDescent="0.25">
      <c r="B35" s="23" t="s">
        <v>54</v>
      </c>
      <c r="C35" s="23" t="s">
        <v>55</v>
      </c>
      <c r="D35" s="24">
        <f>+P_Datos!D35</f>
        <v>54.057500000000005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36568</v>
      </c>
      <c r="E39" s="140" t="str">
        <f>+P_Datos!E39</f>
        <v>hab</v>
      </c>
    </row>
    <row r="40" spans="2:12" x14ac:dyDescent="0.25">
      <c r="B40" s="140" t="str">
        <f>+P_Datos!B40</f>
        <v>hab/viv</v>
      </c>
      <c r="C40" s="140" t="str">
        <f>+P_Datos!C40</f>
        <v>Relación de habitantes por vivienda</v>
      </c>
      <c r="D40" s="786">
        <f>+P_Datos!D40</f>
        <v>2.457563712882862</v>
      </c>
      <c r="E40" s="140" t="str">
        <f>+P_Datos!E40</f>
        <v>hab/vivienda</v>
      </c>
    </row>
    <row r="41" spans="2:12" x14ac:dyDescent="0.25">
      <c r="B41" s="140" t="str">
        <f>+P_Datos!B41</f>
        <v>V(10)</v>
      </c>
      <c r="C41" s="140" t="str">
        <f>+P_Datos!C41</f>
        <v>Viviendas</v>
      </c>
      <c r="D41" s="140">
        <f>+P_Datos!D41</f>
        <v>14879.776995528493</v>
      </c>
      <c r="E41" s="140" t="str">
        <f>+P_Datos!E41</f>
        <v>viviendas</v>
      </c>
    </row>
    <row r="42" spans="2:12" x14ac:dyDescent="0.25">
      <c r="B42" s="140"/>
      <c r="C42" s="140" t="str">
        <f>+P_Datos!C42</f>
        <v>Residuo de poda promedio por ejemplar</v>
      </c>
      <c r="D42" s="786">
        <f>+P_Datos!D42</f>
        <v>0.01</v>
      </c>
      <c r="E42" s="140" t="str">
        <f>+P_Datos!E42</f>
        <v>t/año/ejemplar</v>
      </c>
    </row>
    <row r="43" spans="2:12" x14ac:dyDescent="0.25">
      <c r="B43" s="140" t="str">
        <f>+P_Datos!B43</f>
        <v>g(10)</v>
      </c>
      <c r="C43" s="140" t="str">
        <f>+P_Datos!C43</f>
        <v>Poda a recoger por el servicio de recolección en día normal</v>
      </c>
      <c r="D43" s="150">
        <f>+P_Datos!D43</f>
        <v>0.97572308167399957</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6">
        <f>+P_Datos!D46</f>
        <v>2.9271692450219988</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3" t="str">
        <f>+P_Datos!C51</f>
        <v>Poda a recoger por el servicio de recolección en día crítico</v>
      </c>
      <c r="D48" s="204">
        <f>+P_Datos!D51</f>
        <v>9.1999999999999993</v>
      </c>
      <c r="E48" s="205"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15</v>
      </c>
      <c r="E51" t="s">
        <v>86</v>
      </c>
      <c r="H51" s="30" t="s">
        <v>106</v>
      </c>
      <c r="I51" s="32">
        <f>+D51*ROUNDUP(J48,0)</f>
        <v>30</v>
      </c>
      <c r="J51" s="28">
        <f>COUNT($J$48)</f>
        <v>1</v>
      </c>
      <c r="K51" s="32"/>
    </row>
    <row r="52" spans="2:11" x14ac:dyDescent="0.25">
      <c r="B52" t="s">
        <v>91</v>
      </c>
      <c r="C52" s="164" t="s">
        <v>727</v>
      </c>
      <c r="D52">
        <f>ROUNDUP(D48/I51,0)</f>
        <v>1</v>
      </c>
      <c r="E52" t="s">
        <v>96</v>
      </c>
      <c r="H52" s="30"/>
      <c r="I52" s="32">
        <f>+D52*I51</f>
        <v>30</v>
      </c>
      <c r="J52" s="28" t="b">
        <f>$D$55&lt;=$I$50</f>
        <v>1</v>
      </c>
      <c r="K52" s="32"/>
    </row>
    <row r="53" spans="2:11" x14ac:dyDescent="0.25">
      <c r="B53" t="s">
        <v>92</v>
      </c>
      <c r="C53" s="164" t="s">
        <v>728</v>
      </c>
      <c r="D53" s="165">
        <f>(((D20+D22+D23+D24+D29)*D52+(D21+D28)/ROUNDUP(J48,0))*(1+D32/100))/J48</f>
        <v>17.639026920665405</v>
      </c>
      <c r="E53" t="s">
        <v>30</v>
      </c>
      <c r="H53" s="30"/>
      <c r="J53" s="28">
        <f>{32767;32767;0.000001;0.01;FALSE;FALSE;FALSE;1;2;1;0.0001;TRUE}</f>
        <v>32767</v>
      </c>
      <c r="K53" s="32"/>
    </row>
    <row r="54" spans="2:11" ht="15.75" thickBot="1" x14ac:dyDescent="0.3">
      <c r="C54" s="127" t="s">
        <v>107</v>
      </c>
      <c r="D54" s="128">
        <f>+IF(D53&gt;D36,D53-D36,0)</f>
        <v>9.6390269206654047</v>
      </c>
      <c r="E54" s="127" t="s">
        <v>30</v>
      </c>
      <c r="H54" s="30"/>
      <c r="J54" s="29">
        <f>{0;0;1;100;0;FALSE;FALSE;0.075;0;0;FALSE;30}</f>
        <v>0</v>
      </c>
      <c r="K54" s="32"/>
    </row>
    <row r="55" spans="2:11" ht="15.75" thickBot="1" x14ac:dyDescent="0.3">
      <c r="C55" t="s">
        <v>94</v>
      </c>
      <c r="D55" s="4">
        <f>+IF(D53&gt;2*D36,D53-2*D36,0)</f>
        <v>1.6390269206654047</v>
      </c>
      <c r="E55"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0</v>
      </c>
      <c r="E57" t="s">
        <v>30</v>
      </c>
    </row>
    <row r="58" spans="2:11" x14ac:dyDescent="0.25">
      <c r="C58" s="164" t="s">
        <v>182</v>
      </c>
      <c r="D58" s="4">
        <f>+D53/D52</f>
        <v>17.639026920665405</v>
      </c>
      <c r="E58" t="s">
        <v>30</v>
      </c>
    </row>
    <row r="59" spans="2:11" x14ac:dyDescent="0.25">
      <c r="C59" s="164" t="s">
        <v>95</v>
      </c>
      <c r="D59" s="166">
        <f>ROUNDDOWN(2*D36*(D52/D66)/D53,0)</f>
        <v>0</v>
      </c>
      <c r="E59" t="s">
        <v>96</v>
      </c>
      <c r="K59" s="36"/>
    </row>
    <row r="61" spans="2:11" hidden="1" x14ac:dyDescent="0.25">
      <c r="C61" t="s">
        <v>110</v>
      </c>
      <c r="D61" s="4">
        <f>+IF((D48-D36/D58*D51)&lt;0,0,D48-D36/D58*D51)</f>
        <v>2.3969036308113303</v>
      </c>
      <c r="E61" t="s">
        <v>86</v>
      </c>
    </row>
    <row r="62" spans="2:11" hidden="1" x14ac:dyDescent="0.25">
      <c r="C62" t="s">
        <v>111</v>
      </c>
      <c r="D62" s="4">
        <f>+D48-D61</f>
        <v>6.803096369188669</v>
      </c>
      <c r="E62" t="s">
        <v>86</v>
      </c>
    </row>
    <row r="63" spans="2:11" hidden="1" x14ac:dyDescent="0.25">
      <c r="C63" t="s">
        <v>148</v>
      </c>
      <c r="D63" s="4">
        <f>IF(D53&lt;=2*D36,D48,2*D36/D58*D51)</f>
        <v>13.606192738377338</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104.9</v>
      </c>
      <c r="E70" s="164" t="s">
        <v>244</v>
      </c>
    </row>
    <row r="71" spans="3:5" x14ac:dyDescent="0.25">
      <c r="C71" t="s">
        <v>118</v>
      </c>
      <c r="D71" s="141">
        <f>+D70*D66</f>
        <v>209.8</v>
      </c>
      <c r="E71" s="164" t="s">
        <v>244</v>
      </c>
    </row>
    <row r="72" spans="3:5" x14ac:dyDescent="0.25">
      <c r="C72" t="s">
        <v>123</v>
      </c>
      <c r="D72" s="165">
        <f>+D48/D66</f>
        <v>4.5999999999999996</v>
      </c>
      <c r="E72" t="s">
        <v>87</v>
      </c>
    </row>
    <row r="73" spans="3:5" x14ac:dyDescent="0.25">
      <c r="C73" t="s">
        <v>123</v>
      </c>
      <c r="D73" s="141">
        <f>+D72*D47*D44*52</f>
        <v>7176</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4"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Hoja55"/>
  <dimension ref="B1:L76"/>
  <sheetViews>
    <sheetView view="pageBreakPreview" topLeftCell="A3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Pehuajó</v>
      </c>
    </row>
    <row r="4" spans="2:5" x14ac:dyDescent="0.25">
      <c r="B4" s="2" t="s">
        <v>0</v>
      </c>
    </row>
    <row r="5" spans="2:5" x14ac:dyDescent="0.25">
      <c r="B5" t="s">
        <v>1</v>
      </c>
      <c r="C5" t="s">
        <v>2</v>
      </c>
      <c r="D5">
        <f>+P_Datos!D5</f>
        <v>0</v>
      </c>
      <c r="E5" t="s">
        <v>3</v>
      </c>
    </row>
    <row r="6" spans="2:5" x14ac:dyDescent="0.25">
      <c r="B6" t="s">
        <v>4</v>
      </c>
      <c r="C6" t="s">
        <v>5</v>
      </c>
      <c r="D6" s="150">
        <f>+P_Datos!D6</f>
        <v>191</v>
      </c>
      <c r="E6" t="s">
        <v>3</v>
      </c>
    </row>
    <row r="7" spans="2:5" x14ac:dyDescent="0.25">
      <c r="B7" t="s">
        <v>6</v>
      </c>
      <c r="C7" t="s">
        <v>8</v>
      </c>
      <c r="D7">
        <f>+P_Datos!D7</f>
        <v>4.7</v>
      </c>
      <c r="E7" t="s">
        <v>3</v>
      </c>
    </row>
    <row r="8" spans="2:5" x14ac:dyDescent="0.25">
      <c r="B8" t="s">
        <v>7</v>
      </c>
      <c r="C8" t="s">
        <v>9</v>
      </c>
      <c r="D8">
        <f>+P_Datos!D8</f>
        <v>0</v>
      </c>
      <c r="E8" t="s">
        <v>3</v>
      </c>
    </row>
    <row r="9" spans="2:5" x14ac:dyDescent="0.25">
      <c r="B9" t="s">
        <v>10</v>
      </c>
      <c r="C9" t="s">
        <v>11</v>
      </c>
      <c r="D9">
        <f>+P_Datos!D9</f>
        <v>4.7</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31.333333333333336</v>
      </c>
      <c r="E14" t="s">
        <v>23</v>
      </c>
    </row>
    <row r="15" spans="2:5" x14ac:dyDescent="0.25">
      <c r="B15" t="s">
        <v>16</v>
      </c>
      <c r="C15" t="s">
        <v>21</v>
      </c>
      <c r="D15">
        <f>+P_Datos!D15</f>
        <v>40</v>
      </c>
      <c r="E15" t="s">
        <v>23</v>
      </c>
    </row>
    <row r="16" spans="2:5" x14ac:dyDescent="0.25">
      <c r="B16" t="s">
        <v>17</v>
      </c>
      <c r="C16" t="s">
        <v>22</v>
      </c>
      <c r="D16">
        <f>+P_Datos!D16</f>
        <v>31.333333333333336</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19.100000000000001</v>
      </c>
      <c r="E21" t="s">
        <v>30</v>
      </c>
    </row>
    <row r="22" spans="2:5" x14ac:dyDescent="0.25">
      <c r="B22" t="s">
        <v>27</v>
      </c>
      <c r="C22" t="s">
        <v>33</v>
      </c>
      <c r="D22" s="4">
        <f>+P_Datos!D22</f>
        <v>0.15</v>
      </c>
      <c r="E22" t="s">
        <v>30</v>
      </c>
    </row>
    <row r="23" spans="2:5" x14ac:dyDescent="0.25">
      <c r="B23" t="s">
        <v>28</v>
      </c>
      <c r="C23" t="s">
        <v>34</v>
      </c>
      <c r="D23" s="4">
        <f>+P_Datos!D23</f>
        <v>0</v>
      </c>
      <c r="E23" t="s">
        <v>30</v>
      </c>
    </row>
    <row r="24" spans="2:5" x14ac:dyDescent="0.25">
      <c r="B24" t="s">
        <v>29</v>
      </c>
      <c r="C24" t="s">
        <v>35</v>
      </c>
      <c r="D24" s="4">
        <f>+P_Datos!D24</f>
        <v>0.15</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31.833333333333332</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51.483333333333334</v>
      </c>
      <c r="E31" t="s">
        <v>30</v>
      </c>
    </row>
    <row r="32" spans="2:5" x14ac:dyDescent="0.25">
      <c r="C32" t="s">
        <v>43</v>
      </c>
      <c r="D32">
        <f>+P_Datos!D32</f>
        <v>5</v>
      </c>
      <c r="E32" t="s">
        <v>46</v>
      </c>
    </row>
    <row r="33" spans="2:12" x14ac:dyDescent="0.25">
      <c r="B33" t="s">
        <v>47</v>
      </c>
      <c r="C33" t="s">
        <v>42</v>
      </c>
      <c r="D33" s="4">
        <f>+P_Datos!D33</f>
        <v>2.5741666666666667</v>
      </c>
      <c r="E33" t="s">
        <v>30</v>
      </c>
    </row>
    <row r="34" spans="2:12" x14ac:dyDescent="0.25">
      <c r="B34" s="5" t="s">
        <v>53</v>
      </c>
    </row>
    <row r="35" spans="2:12" x14ac:dyDescent="0.25">
      <c r="B35" s="23" t="s">
        <v>54</v>
      </c>
      <c r="C35" s="23" t="s">
        <v>55</v>
      </c>
      <c r="D35" s="24">
        <f>+P_Datos!D35</f>
        <v>54.057500000000005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36568</v>
      </c>
      <c r="E39" s="140" t="str">
        <f>+P_Datos!E39</f>
        <v>hab</v>
      </c>
    </row>
    <row r="40" spans="2:12" x14ac:dyDescent="0.25">
      <c r="B40" s="140" t="str">
        <f>+P_Datos!B40</f>
        <v>hab/viv</v>
      </c>
      <c r="C40" s="140" t="str">
        <f>+P_Datos!C40</f>
        <v>Relación de habitantes por vivienda</v>
      </c>
      <c r="D40" s="786">
        <f>+P_Datos!D40</f>
        <v>2.457563712882862</v>
      </c>
      <c r="E40" s="140" t="str">
        <f>+P_Datos!E40</f>
        <v>hab/vivienda</v>
      </c>
    </row>
    <row r="41" spans="2:12" x14ac:dyDescent="0.25">
      <c r="B41" s="140" t="str">
        <f>+P_Datos!B41</f>
        <v>V(10)</v>
      </c>
      <c r="C41" s="140" t="str">
        <f>+P_Datos!C41</f>
        <v>Viviendas</v>
      </c>
      <c r="D41" s="140">
        <f>+P_Datos!D41</f>
        <v>14879.776995528493</v>
      </c>
      <c r="E41" s="140" t="str">
        <f>+P_Datos!E41</f>
        <v>viviendas</v>
      </c>
    </row>
    <row r="42" spans="2:12" x14ac:dyDescent="0.25">
      <c r="B42" s="140"/>
      <c r="C42" s="140" t="str">
        <f>+P_Datos!C42</f>
        <v>Residuo de poda promedio por ejemplar</v>
      </c>
      <c r="D42" s="786">
        <f>+P_Datos!D42</f>
        <v>0.01</v>
      </c>
      <c r="E42" s="140" t="str">
        <f>+P_Datos!E42</f>
        <v>t/año/ejemplar</v>
      </c>
    </row>
    <row r="43" spans="2:12" x14ac:dyDescent="0.25">
      <c r="B43" s="140" t="str">
        <f>+P_Datos!B43</f>
        <v>g(10)</v>
      </c>
      <c r="C43" s="140" t="str">
        <f>+P_Datos!C43</f>
        <v>Poda a recoger por el servicio de recolección en día normal</v>
      </c>
      <c r="D43" s="150">
        <f>+P_Datos!D43</f>
        <v>0.97572308167399957</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6">
        <f>+P_Datos!D46</f>
        <v>2.9271692450219988</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3" t="str">
        <f>+P_Datos!C51</f>
        <v>Poda a recoger por el servicio de recolección en día crítico</v>
      </c>
      <c r="D48" s="201">
        <f>+P_Datos!D51</f>
        <v>9.1999999999999993</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16</v>
      </c>
      <c r="E51" t="s">
        <v>86</v>
      </c>
      <c r="H51" s="30" t="s">
        <v>106</v>
      </c>
      <c r="I51" s="32">
        <f>+D51*ROUNDUP(J48,0)</f>
        <v>32</v>
      </c>
      <c r="J51" s="28">
        <f>COUNT($J$48)</f>
        <v>1</v>
      </c>
      <c r="K51" s="32"/>
    </row>
    <row r="52" spans="2:11" x14ac:dyDescent="0.25">
      <c r="B52" t="s">
        <v>91</v>
      </c>
      <c r="C52" s="164" t="s">
        <v>727</v>
      </c>
      <c r="D52">
        <f>ROUNDUP(D48/I51,0)</f>
        <v>1</v>
      </c>
      <c r="E52" t="s">
        <v>96</v>
      </c>
      <c r="H52" s="30"/>
      <c r="I52" s="32">
        <f>+D52*I51</f>
        <v>32</v>
      </c>
      <c r="J52" s="28" t="b">
        <f>$D$55&lt;=$I$50</f>
        <v>1</v>
      </c>
      <c r="K52" s="32"/>
    </row>
    <row r="53" spans="2:11" x14ac:dyDescent="0.25">
      <c r="B53" t="s">
        <v>92</v>
      </c>
      <c r="C53" s="164" t="s">
        <v>728</v>
      </c>
      <c r="D53" s="165">
        <f>(((D20+D22+D23+D24+D29)*D52+(D21+D28)/ROUNDUP(J48,0))*(1+D32/100))/J48</f>
        <v>27.047029702970299</v>
      </c>
      <c r="E53" t="s">
        <v>30</v>
      </c>
      <c r="H53" s="30"/>
      <c r="J53" s="28">
        <f>{32767;32767;0.000001;0.01;FALSE;FALSE;FALSE;1;2;1;0.0001;TRUE}</f>
        <v>32767</v>
      </c>
      <c r="K53" s="32"/>
    </row>
    <row r="54" spans="2:11" ht="15.75" thickBot="1" x14ac:dyDescent="0.3">
      <c r="C54" t="s">
        <v>107</v>
      </c>
      <c r="D54" s="4">
        <f>+IF(D53&gt;D36,D53-D36,0)</f>
        <v>19.047029702970299</v>
      </c>
      <c r="E54" t="s">
        <v>30</v>
      </c>
      <c r="H54" s="30"/>
      <c r="J54" s="29">
        <f>{0;0;1;100;0;FALSE;FALSE;0.075;0;0;FALSE;30}</f>
        <v>0</v>
      </c>
      <c r="K54" s="32"/>
    </row>
    <row r="55" spans="2:11" ht="15.75" thickBot="1" x14ac:dyDescent="0.3">
      <c r="C55" s="129" t="s">
        <v>94</v>
      </c>
      <c r="D55" s="130">
        <f>+IF(D53&gt;2*D36,D53-2*D36,0)</f>
        <v>11.047029702970299</v>
      </c>
      <c r="E55" s="129"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0</v>
      </c>
      <c r="E57" t="s">
        <v>30</v>
      </c>
    </row>
    <row r="58" spans="2:11" x14ac:dyDescent="0.25">
      <c r="C58" s="164" t="s">
        <v>182</v>
      </c>
      <c r="D58" s="4">
        <f>+D53</f>
        <v>27.047029702970299</v>
      </c>
      <c r="E58" t="s">
        <v>30</v>
      </c>
    </row>
    <row r="59" spans="2:11" x14ac:dyDescent="0.25">
      <c r="C59" s="164" t="s">
        <v>95</v>
      </c>
      <c r="D59" s="166">
        <f>ROUNDDOWN(2*D36*(D52/D66)/D53,0)</f>
        <v>0</v>
      </c>
      <c r="E59" t="s">
        <v>96</v>
      </c>
      <c r="K59" s="36"/>
    </row>
    <row r="61" spans="2:11" hidden="1" x14ac:dyDescent="0.25">
      <c r="C61" t="s">
        <v>110</v>
      </c>
      <c r="D61" s="4">
        <f>+IF((D48-D36/D58*D51)&lt;0,0,D48-D36/D58*D51)</f>
        <v>4.4675025167017477</v>
      </c>
      <c r="E61" t="s">
        <v>86</v>
      </c>
    </row>
    <row r="62" spans="2:11" hidden="1" x14ac:dyDescent="0.25">
      <c r="C62" t="s">
        <v>111</v>
      </c>
      <c r="D62" s="4">
        <f>+D48-D61</f>
        <v>4.7324974832982516</v>
      </c>
      <c r="E62" t="s">
        <v>86</v>
      </c>
    </row>
    <row r="63" spans="2:11" hidden="1" x14ac:dyDescent="0.25">
      <c r="C63" t="s">
        <v>148</v>
      </c>
      <c r="D63" s="4">
        <f>IF(D53&lt;=2*D36,D48,2*D36/D58*D51)</f>
        <v>9.4649949665965032</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104.9</v>
      </c>
      <c r="E70" s="164" t="s">
        <v>244</v>
      </c>
    </row>
    <row r="71" spans="3:5" x14ac:dyDescent="0.25">
      <c r="C71" t="s">
        <v>118</v>
      </c>
      <c r="D71" s="141">
        <f>+D70*D66</f>
        <v>209.8</v>
      </c>
      <c r="E71" s="164" t="s">
        <v>244</v>
      </c>
    </row>
    <row r="72" spans="3:5" x14ac:dyDescent="0.25">
      <c r="C72" t="s">
        <v>123</v>
      </c>
      <c r="D72" s="165">
        <f>+D48/D66</f>
        <v>4.5999999999999996</v>
      </c>
      <c r="E72" t="s">
        <v>87</v>
      </c>
    </row>
    <row r="73" spans="3:5" x14ac:dyDescent="0.25">
      <c r="C73" t="s">
        <v>123</v>
      </c>
      <c r="D73" s="141">
        <f>+D72*D47*D44*52</f>
        <v>7176</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3"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Macro_P2T">
                <anchor moveWithCells="1">
                  <from>
                    <xdr:col>7</xdr:col>
                    <xdr:colOff>19050</xdr:colOff>
                    <xdr:row>63</xdr:row>
                    <xdr:rowOff>152400</xdr:rowOff>
                  </from>
                  <to>
                    <xdr:col>8</xdr:col>
                    <xdr:colOff>695325</xdr:colOff>
                    <xdr:row>67</xdr:row>
                    <xdr:rowOff>57150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Hoja56"/>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Pehuajó</v>
      </c>
    </row>
    <row r="4" spans="2:5" x14ac:dyDescent="0.25">
      <c r="B4" s="2" t="s">
        <v>0</v>
      </c>
    </row>
    <row r="5" spans="2:5" x14ac:dyDescent="0.25">
      <c r="B5" t="s">
        <v>1</v>
      </c>
      <c r="C5" t="s">
        <v>2</v>
      </c>
      <c r="D5">
        <f>+P_Datos!D5</f>
        <v>0</v>
      </c>
      <c r="E5" t="s">
        <v>3</v>
      </c>
    </row>
    <row r="6" spans="2:5" x14ac:dyDescent="0.25">
      <c r="B6" t="s">
        <v>4</v>
      </c>
      <c r="C6" t="s">
        <v>5</v>
      </c>
      <c r="D6" s="150">
        <f>+P_Datos!D6</f>
        <v>191</v>
      </c>
      <c r="E6" t="s">
        <v>3</v>
      </c>
    </row>
    <row r="7" spans="2:5" x14ac:dyDescent="0.25">
      <c r="B7" t="s">
        <v>6</v>
      </c>
      <c r="C7" t="s">
        <v>8</v>
      </c>
      <c r="D7">
        <f>+P_Datos!D7</f>
        <v>4.7</v>
      </c>
      <c r="E7" t="s">
        <v>3</v>
      </c>
    </row>
    <row r="8" spans="2:5" x14ac:dyDescent="0.25">
      <c r="B8" t="s">
        <v>7</v>
      </c>
      <c r="C8" t="s">
        <v>9</v>
      </c>
      <c r="D8">
        <f>+P_Datos!D8</f>
        <v>0</v>
      </c>
      <c r="E8" t="s">
        <v>3</v>
      </c>
    </row>
    <row r="9" spans="2:5" x14ac:dyDescent="0.25">
      <c r="B9" t="s">
        <v>10</v>
      </c>
      <c r="C9" t="s">
        <v>11</v>
      </c>
      <c r="D9">
        <f>+P_Datos!D9</f>
        <v>4.7</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31.333333333333336</v>
      </c>
      <c r="E14" t="s">
        <v>23</v>
      </c>
    </row>
    <row r="15" spans="2:5" x14ac:dyDescent="0.25">
      <c r="B15" t="s">
        <v>16</v>
      </c>
      <c r="C15" t="s">
        <v>21</v>
      </c>
      <c r="D15">
        <f>+P_Datos!D15</f>
        <v>40</v>
      </c>
      <c r="E15" t="s">
        <v>23</v>
      </c>
    </row>
    <row r="16" spans="2:5" x14ac:dyDescent="0.25">
      <c r="B16" t="s">
        <v>17</v>
      </c>
      <c r="C16" t="s">
        <v>22</v>
      </c>
      <c r="D16">
        <f>+P_Datos!D16</f>
        <v>31.333333333333336</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19.100000000000001</v>
      </c>
      <c r="E21" t="s">
        <v>30</v>
      </c>
    </row>
    <row r="22" spans="2:5" x14ac:dyDescent="0.25">
      <c r="B22" t="s">
        <v>27</v>
      </c>
      <c r="C22" t="s">
        <v>33</v>
      </c>
      <c r="D22" s="4">
        <f>+P_Datos!D22</f>
        <v>0.15</v>
      </c>
      <c r="E22" t="s">
        <v>30</v>
      </c>
    </row>
    <row r="23" spans="2:5" x14ac:dyDescent="0.25">
      <c r="B23" t="s">
        <v>28</v>
      </c>
      <c r="C23" t="s">
        <v>34</v>
      </c>
      <c r="D23" s="4">
        <f>+P_Datos!D23</f>
        <v>0</v>
      </c>
      <c r="E23" t="s">
        <v>30</v>
      </c>
    </row>
    <row r="24" spans="2:5" x14ac:dyDescent="0.25">
      <c r="B24" t="s">
        <v>29</v>
      </c>
      <c r="C24" t="s">
        <v>35</v>
      </c>
      <c r="D24" s="4">
        <f>+P_Datos!D24</f>
        <v>0.15</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31.833333333333332</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51.483333333333334</v>
      </c>
      <c r="E31" t="s">
        <v>30</v>
      </c>
    </row>
    <row r="32" spans="2:5" x14ac:dyDescent="0.25">
      <c r="C32" t="s">
        <v>43</v>
      </c>
      <c r="D32">
        <f>+P_Datos!D32</f>
        <v>5</v>
      </c>
      <c r="E32" t="s">
        <v>46</v>
      </c>
    </row>
    <row r="33" spans="2:12" x14ac:dyDescent="0.25">
      <c r="B33" t="s">
        <v>47</v>
      </c>
      <c r="C33" t="s">
        <v>42</v>
      </c>
      <c r="D33" s="4">
        <f>+P_Datos!D33</f>
        <v>2.5741666666666667</v>
      </c>
      <c r="E33" t="s">
        <v>30</v>
      </c>
    </row>
    <row r="34" spans="2:12" x14ac:dyDescent="0.25">
      <c r="B34" s="5" t="s">
        <v>53</v>
      </c>
    </row>
    <row r="35" spans="2:12" x14ac:dyDescent="0.25">
      <c r="B35" s="23" t="s">
        <v>54</v>
      </c>
      <c r="C35" s="23" t="s">
        <v>55</v>
      </c>
      <c r="D35" s="24">
        <f>+P_Datos!D35</f>
        <v>54.057500000000005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36568</v>
      </c>
      <c r="E39" s="140" t="str">
        <f>+P_Datos!E39</f>
        <v>hab</v>
      </c>
    </row>
    <row r="40" spans="2:12" x14ac:dyDescent="0.25">
      <c r="B40" s="140" t="str">
        <f>+P_Datos!B40</f>
        <v>hab/viv</v>
      </c>
      <c r="C40" s="140" t="str">
        <f>+P_Datos!C40</f>
        <v>Relación de habitantes por vivienda</v>
      </c>
      <c r="D40" s="786">
        <f>+P_Datos!D40</f>
        <v>2.457563712882862</v>
      </c>
      <c r="E40" s="140" t="str">
        <f>+P_Datos!E40</f>
        <v>hab/vivienda</v>
      </c>
    </row>
    <row r="41" spans="2:12" x14ac:dyDescent="0.25">
      <c r="B41" s="140" t="str">
        <f>+P_Datos!B41</f>
        <v>V(10)</v>
      </c>
      <c r="C41" s="140" t="str">
        <f>+P_Datos!C41</f>
        <v>Viviendas</v>
      </c>
      <c r="D41" s="140">
        <f>+P_Datos!D41</f>
        <v>14879.776995528493</v>
      </c>
      <c r="E41" s="140" t="str">
        <f>+P_Datos!E41</f>
        <v>viviendas</v>
      </c>
    </row>
    <row r="42" spans="2:12" x14ac:dyDescent="0.25">
      <c r="B42" s="140"/>
      <c r="C42" s="140" t="str">
        <f>+P_Datos!C42</f>
        <v>Residuo de poda promedio por ejemplar</v>
      </c>
      <c r="D42" s="786">
        <f>+P_Datos!D42</f>
        <v>0.01</v>
      </c>
      <c r="E42" s="140" t="str">
        <f>+P_Datos!E42</f>
        <v>t/año/ejemplar</v>
      </c>
    </row>
    <row r="43" spans="2:12" x14ac:dyDescent="0.25">
      <c r="B43" s="140" t="str">
        <f>+P_Datos!B43</f>
        <v>g(10)</v>
      </c>
      <c r="C43" s="140" t="str">
        <f>+P_Datos!C43</f>
        <v>Poda a recoger por el servicio de recolección en día normal</v>
      </c>
      <c r="D43" s="150">
        <f>+P_Datos!D43</f>
        <v>0.97572308167399957</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6">
        <f>+P_Datos!D46</f>
        <v>2.9271692450219988</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3" t="str">
        <f>+P_Datos!C51</f>
        <v>Poda a recoger por el servicio de recolección en día crítico</v>
      </c>
      <c r="D48" s="204">
        <f>+P_Datos!D51</f>
        <v>9.1999999999999993</v>
      </c>
      <c r="E48" s="205"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16</v>
      </c>
      <c r="E51" t="s">
        <v>86</v>
      </c>
      <c r="H51" s="30" t="s">
        <v>106</v>
      </c>
      <c r="I51" s="32">
        <f>+D51*ROUNDUP(J48,0)</f>
        <v>32</v>
      </c>
      <c r="J51" s="28">
        <f>COUNT($J$48)</f>
        <v>1</v>
      </c>
      <c r="K51" s="32"/>
    </row>
    <row r="52" spans="2:11" x14ac:dyDescent="0.25">
      <c r="B52" t="s">
        <v>91</v>
      </c>
      <c r="C52" s="164" t="s">
        <v>727</v>
      </c>
      <c r="D52">
        <f>ROUNDUP(D48/I51,0)</f>
        <v>1</v>
      </c>
      <c r="E52" t="s">
        <v>96</v>
      </c>
      <c r="H52" s="30"/>
      <c r="I52" s="32">
        <f>+D52*I51</f>
        <v>32</v>
      </c>
      <c r="J52" s="28" t="b">
        <f>$D$55&lt;=$I$50</f>
        <v>1</v>
      </c>
      <c r="K52" s="32"/>
    </row>
    <row r="53" spans="2:11" x14ac:dyDescent="0.25">
      <c r="B53" t="s">
        <v>92</v>
      </c>
      <c r="C53" s="164" t="s">
        <v>728</v>
      </c>
      <c r="D53" s="165">
        <f>(((D20+D22+D23+D24+D29)*D52+(D21+D28)/ROUNDUP(J48,0))*(1+D32/100))/J48</f>
        <v>17.639026920665405</v>
      </c>
      <c r="E53" t="s">
        <v>30</v>
      </c>
      <c r="H53" s="30"/>
      <c r="J53" s="28">
        <f>{32767;32767;0.000001;0.01;FALSE;FALSE;FALSE;1;2;1;0.0001;TRUE}</f>
        <v>32767</v>
      </c>
      <c r="K53" s="32"/>
    </row>
    <row r="54" spans="2:11" ht="15.75" thickBot="1" x14ac:dyDescent="0.3">
      <c r="C54" s="127" t="s">
        <v>107</v>
      </c>
      <c r="D54" s="128">
        <f>+IF(D53&gt;D36,D53-D36,0)</f>
        <v>9.6390269206654047</v>
      </c>
      <c r="E54" s="127" t="s">
        <v>30</v>
      </c>
      <c r="H54" s="30"/>
      <c r="J54" s="29">
        <f>{0;0;1;100;0;FALSE;FALSE;0.075;0;0;FALSE;30}</f>
        <v>0</v>
      </c>
      <c r="K54" s="32"/>
    </row>
    <row r="55" spans="2:11" ht="15.75" thickBot="1" x14ac:dyDescent="0.3">
      <c r="C55" t="s">
        <v>94</v>
      </c>
      <c r="D55" s="4">
        <f>+IF(D53&gt;2*D36,D53-2*D36,0)</f>
        <v>1.6390269206654047</v>
      </c>
      <c r="E55"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0</v>
      </c>
      <c r="E57" t="s">
        <v>30</v>
      </c>
    </row>
    <row r="58" spans="2:11" x14ac:dyDescent="0.25">
      <c r="C58" s="164" t="s">
        <v>182</v>
      </c>
      <c r="D58" s="4">
        <f>+D53/D52</f>
        <v>17.639026920665405</v>
      </c>
      <c r="E58" t="s">
        <v>30</v>
      </c>
    </row>
    <row r="59" spans="2:11" x14ac:dyDescent="0.25">
      <c r="C59" s="164" t="s">
        <v>95</v>
      </c>
      <c r="D59" s="166">
        <f>ROUNDDOWN(2*D36*(D52/D66)/D53,0)</f>
        <v>0</v>
      </c>
      <c r="E59" t="s">
        <v>96</v>
      </c>
      <c r="K59" s="36"/>
    </row>
    <row r="61" spans="2:11" hidden="1" x14ac:dyDescent="0.25">
      <c r="C61" t="s">
        <v>110</v>
      </c>
      <c r="D61" s="4">
        <f>+IF((D48-D36/D58*D51)&lt;0,0,D48-D36/D58*D51)</f>
        <v>1.9433638728654188</v>
      </c>
      <c r="E61" t="s">
        <v>86</v>
      </c>
    </row>
    <row r="62" spans="2:11" hidden="1" x14ac:dyDescent="0.25">
      <c r="C62" t="s">
        <v>111</v>
      </c>
      <c r="D62" s="4">
        <f>+D48-D61</f>
        <v>7.2566361271345805</v>
      </c>
      <c r="E62" t="s">
        <v>86</v>
      </c>
    </row>
    <row r="63" spans="2:11" hidden="1" x14ac:dyDescent="0.25">
      <c r="C63" t="s">
        <v>148</v>
      </c>
      <c r="D63" s="4">
        <f>IF(D53&lt;=2*D36,D48,2*D36/D58*D51)</f>
        <v>14.513272254269161</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104.9</v>
      </c>
      <c r="E70" s="164" t="s">
        <v>244</v>
      </c>
    </row>
    <row r="71" spans="3:5" x14ac:dyDescent="0.25">
      <c r="C71" t="s">
        <v>118</v>
      </c>
      <c r="D71" s="141">
        <f>+D70*D66</f>
        <v>209.8</v>
      </c>
      <c r="E71" s="164" t="s">
        <v>244</v>
      </c>
    </row>
    <row r="72" spans="3:5" x14ac:dyDescent="0.25">
      <c r="C72" t="s">
        <v>123</v>
      </c>
      <c r="D72" s="165">
        <f>+D48/D66</f>
        <v>4.5999999999999996</v>
      </c>
      <c r="E72" t="s">
        <v>87</v>
      </c>
    </row>
    <row r="73" spans="3:5" x14ac:dyDescent="0.25">
      <c r="C73" t="s">
        <v>123</v>
      </c>
      <c r="D73" s="141">
        <f>+D72*D47*D44*52</f>
        <v>7176</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2"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Hoja57"/>
  <dimension ref="B1:L76"/>
  <sheetViews>
    <sheetView view="pageBreakPreview" topLeftCell="A3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Pehuajó</v>
      </c>
    </row>
    <row r="4" spans="2:5" x14ac:dyDescent="0.25">
      <c r="B4" s="2" t="s">
        <v>0</v>
      </c>
    </row>
    <row r="5" spans="2:5" x14ac:dyDescent="0.25">
      <c r="B5" t="s">
        <v>1</v>
      </c>
      <c r="C5" t="s">
        <v>2</v>
      </c>
      <c r="D5">
        <f>+P_Datos!D5</f>
        <v>0</v>
      </c>
      <c r="E5" t="s">
        <v>3</v>
      </c>
    </row>
    <row r="6" spans="2:5" x14ac:dyDescent="0.25">
      <c r="B6" t="s">
        <v>4</v>
      </c>
      <c r="C6" t="s">
        <v>5</v>
      </c>
      <c r="D6" s="150">
        <f>+P_Datos!D6</f>
        <v>191</v>
      </c>
      <c r="E6" t="s">
        <v>3</v>
      </c>
    </row>
    <row r="7" spans="2:5" x14ac:dyDescent="0.25">
      <c r="B7" t="s">
        <v>6</v>
      </c>
      <c r="C7" t="s">
        <v>8</v>
      </c>
      <c r="D7">
        <f>+P_Datos!D7</f>
        <v>4.7</v>
      </c>
      <c r="E7" t="s">
        <v>3</v>
      </c>
    </row>
    <row r="8" spans="2:5" x14ac:dyDescent="0.25">
      <c r="B8" t="s">
        <v>7</v>
      </c>
      <c r="C8" t="s">
        <v>9</v>
      </c>
      <c r="D8">
        <f>+P_Datos!D8</f>
        <v>0</v>
      </c>
      <c r="E8" t="s">
        <v>3</v>
      </c>
    </row>
    <row r="9" spans="2:5" x14ac:dyDescent="0.25">
      <c r="B9" t="s">
        <v>10</v>
      </c>
      <c r="C9" t="s">
        <v>11</v>
      </c>
      <c r="D9">
        <f>+P_Datos!D9</f>
        <v>4.7</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31.333333333333336</v>
      </c>
      <c r="E14" t="s">
        <v>23</v>
      </c>
    </row>
    <row r="15" spans="2:5" x14ac:dyDescent="0.25">
      <c r="B15" t="s">
        <v>16</v>
      </c>
      <c r="C15" t="s">
        <v>21</v>
      </c>
      <c r="D15">
        <f>+P_Datos!D15</f>
        <v>40</v>
      </c>
      <c r="E15" t="s">
        <v>23</v>
      </c>
    </row>
    <row r="16" spans="2:5" x14ac:dyDescent="0.25">
      <c r="B16" t="s">
        <v>17</v>
      </c>
      <c r="C16" t="s">
        <v>22</v>
      </c>
      <c r="D16">
        <f>+P_Datos!D16</f>
        <v>31.333333333333336</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19.100000000000001</v>
      </c>
      <c r="E21" t="s">
        <v>30</v>
      </c>
    </row>
    <row r="22" spans="2:5" x14ac:dyDescent="0.25">
      <c r="B22" t="s">
        <v>27</v>
      </c>
      <c r="C22" t="s">
        <v>33</v>
      </c>
      <c r="D22" s="4">
        <f>+P_Datos!D22</f>
        <v>0.15</v>
      </c>
      <c r="E22" t="s">
        <v>30</v>
      </c>
    </row>
    <row r="23" spans="2:5" x14ac:dyDescent="0.25">
      <c r="B23" t="s">
        <v>28</v>
      </c>
      <c r="C23" t="s">
        <v>34</v>
      </c>
      <c r="D23" s="4">
        <f>+P_Datos!D23</f>
        <v>0</v>
      </c>
      <c r="E23" t="s">
        <v>30</v>
      </c>
    </row>
    <row r="24" spans="2:5" x14ac:dyDescent="0.25">
      <c r="B24" t="s">
        <v>29</v>
      </c>
      <c r="C24" t="s">
        <v>35</v>
      </c>
      <c r="D24" s="4">
        <f>+P_Datos!D24</f>
        <v>0.15</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31.833333333333332</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51.483333333333334</v>
      </c>
      <c r="E31" t="s">
        <v>30</v>
      </c>
    </row>
    <row r="32" spans="2:5" x14ac:dyDescent="0.25">
      <c r="C32" t="s">
        <v>43</v>
      </c>
      <c r="D32">
        <f>+P_Datos!D32</f>
        <v>5</v>
      </c>
      <c r="E32" t="s">
        <v>46</v>
      </c>
    </row>
    <row r="33" spans="2:12" x14ac:dyDescent="0.25">
      <c r="B33" t="s">
        <v>47</v>
      </c>
      <c r="C33" t="s">
        <v>42</v>
      </c>
      <c r="D33" s="4">
        <f>+P_Datos!D33</f>
        <v>2.5741666666666667</v>
      </c>
      <c r="E33" t="s">
        <v>30</v>
      </c>
    </row>
    <row r="34" spans="2:12" x14ac:dyDescent="0.25">
      <c r="B34" s="5" t="s">
        <v>53</v>
      </c>
    </row>
    <row r="35" spans="2:12" x14ac:dyDescent="0.25">
      <c r="B35" s="23" t="s">
        <v>54</v>
      </c>
      <c r="C35" s="23" t="s">
        <v>55</v>
      </c>
      <c r="D35" s="24">
        <f>+P_Datos!D35</f>
        <v>54.057500000000005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36568</v>
      </c>
      <c r="E39" s="140" t="str">
        <f>+P_Datos!E39</f>
        <v>hab</v>
      </c>
    </row>
    <row r="40" spans="2:12" x14ac:dyDescent="0.25">
      <c r="B40" s="140" t="str">
        <f>+P_Datos!B40</f>
        <v>hab/viv</v>
      </c>
      <c r="C40" s="140" t="str">
        <f>+P_Datos!C40</f>
        <v>Relación de habitantes por vivienda</v>
      </c>
      <c r="D40" s="786">
        <f>+P_Datos!D40</f>
        <v>2.457563712882862</v>
      </c>
      <c r="E40" s="140" t="str">
        <f>+P_Datos!E40</f>
        <v>hab/vivienda</v>
      </c>
    </row>
    <row r="41" spans="2:12" x14ac:dyDescent="0.25">
      <c r="B41" s="140" t="str">
        <f>+P_Datos!B41</f>
        <v>V(10)</v>
      </c>
      <c r="C41" s="140" t="str">
        <f>+P_Datos!C41</f>
        <v>Viviendas</v>
      </c>
      <c r="D41" s="140">
        <f>+P_Datos!D41</f>
        <v>14879.776995528493</v>
      </c>
      <c r="E41" s="140" t="str">
        <f>+P_Datos!E41</f>
        <v>viviendas</v>
      </c>
    </row>
    <row r="42" spans="2:12" x14ac:dyDescent="0.25">
      <c r="B42" s="140"/>
      <c r="C42" s="140" t="str">
        <f>+P_Datos!C42</f>
        <v>Residuo de poda promedio por ejemplar</v>
      </c>
      <c r="D42" s="786">
        <f>+P_Datos!D42</f>
        <v>0.01</v>
      </c>
      <c r="E42" s="140" t="str">
        <f>+P_Datos!E42</f>
        <v>t/año/ejemplar</v>
      </c>
    </row>
    <row r="43" spans="2:12" x14ac:dyDescent="0.25">
      <c r="B43" s="140" t="str">
        <f>+P_Datos!B43</f>
        <v>g(10)</v>
      </c>
      <c r="C43" s="140" t="str">
        <f>+P_Datos!C43</f>
        <v>Poda a recoger por el servicio de recolección en día normal</v>
      </c>
      <c r="D43" s="150">
        <f>+P_Datos!D43</f>
        <v>0.97572308167399957</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6">
        <f>+P_Datos!D46</f>
        <v>2.9271692450219988</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3" t="str">
        <f>+P_Datos!C51</f>
        <v>Poda a recoger por el servicio de recolección en día crítico</v>
      </c>
      <c r="D48" s="201">
        <f>+P_Datos!D51</f>
        <v>9.1999999999999993</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17</v>
      </c>
      <c r="E51" t="s">
        <v>86</v>
      </c>
      <c r="H51" s="30" t="s">
        <v>106</v>
      </c>
      <c r="I51" s="32">
        <f>+D51*ROUNDUP(J48,0)</f>
        <v>34</v>
      </c>
      <c r="J51" s="28">
        <f>COUNT($J$48)</f>
        <v>1</v>
      </c>
      <c r="K51" s="32"/>
    </row>
    <row r="52" spans="2:11" x14ac:dyDescent="0.25">
      <c r="B52" t="s">
        <v>91</v>
      </c>
      <c r="C52" s="164" t="s">
        <v>727</v>
      </c>
      <c r="D52">
        <f>ROUNDUP(D48/I51,0)</f>
        <v>1</v>
      </c>
      <c r="E52" t="s">
        <v>96</v>
      </c>
      <c r="H52" s="30"/>
      <c r="I52" s="32">
        <f>+D52*I51</f>
        <v>34</v>
      </c>
      <c r="J52" s="28" t="b">
        <f>$D$55&lt;=$I$50</f>
        <v>1</v>
      </c>
      <c r="K52" s="32"/>
    </row>
    <row r="53" spans="2:11" x14ac:dyDescent="0.25">
      <c r="B53" t="s">
        <v>92</v>
      </c>
      <c r="C53" s="164" t="s">
        <v>728</v>
      </c>
      <c r="D53" s="165">
        <f>(((D20+D22+D23+D24+D29)*D52+(D21+D28)/ROUNDUP(J48,0))*(1+D32/100))/J48</f>
        <v>27.047029702970299</v>
      </c>
      <c r="E53" t="s">
        <v>30</v>
      </c>
      <c r="H53" s="30"/>
      <c r="J53" s="28">
        <f>{32767;32767;0.000001;0.01;FALSE;FALSE;FALSE;1;2;1;0.0001;TRUE}</f>
        <v>32767</v>
      </c>
      <c r="K53" s="32"/>
    </row>
    <row r="54" spans="2:11" ht="15.75" thickBot="1" x14ac:dyDescent="0.3">
      <c r="C54" t="s">
        <v>107</v>
      </c>
      <c r="D54" s="4">
        <f>+IF(D53&gt;D36,D53-D36,0)</f>
        <v>19.047029702970299</v>
      </c>
      <c r="E54" t="s">
        <v>30</v>
      </c>
      <c r="H54" s="30"/>
      <c r="J54" s="29">
        <f>{0;0;1;100;0;FALSE;FALSE;0.075;0;0;FALSE;30}</f>
        <v>0</v>
      </c>
      <c r="K54" s="32"/>
    </row>
    <row r="55" spans="2:11" ht="15.75" thickBot="1" x14ac:dyDescent="0.3">
      <c r="C55" s="129" t="s">
        <v>94</v>
      </c>
      <c r="D55" s="130">
        <f>+IF(D53&gt;2*D36,D53-2*D36,0)</f>
        <v>11.047029702970299</v>
      </c>
      <c r="E55" s="129"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0</v>
      </c>
      <c r="E57" t="s">
        <v>30</v>
      </c>
    </row>
    <row r="58" spans="2:11" x14ac:dyDescent="0.25">
      <c r="C58" s="164" t="s">
        <v>182</v>
      </c>
      <c r="D58" s="4">
        <f>+D53</f>
        <v>27.047029702970299</v>
      </c>
      <c r="E58" t="s">
        <v>30</v>
      </c>
    </row>
    <row r="59" spans="2:11" x14ac:dyDescent="0.25">
      <c r="C59" s="164" t="s">
        <v>95</v>
      </c>
      <c r="D59" s="166">
        <f>ROUNDDOWN(2*D36*(D52/D66)/D53,0)</f>
        <v>0</v>
      </c>
      <c r="E59" t="s">
        <v>96</v>
      </c>
      <c r="K59" s="36"/>
    </row>
    <row r="61" spans="2:11" hidden="1" x14ac:dyDescent="0.25">
      <c r="C61" t="s">
        <v>110</v>
      </c>
      <c r="D61" s="4">
        <f>+IF((D48-D36/D58*D51)&lt;0,0,D48-D36/D58*D51)</f>
        <v>4.1717214239956073</v>
      </c>
      <c r="E61" t="s">
        <v>86</v>
      </c>
    </row>
    <row r="62" spans="2:11" hidden="1" x14ac:dyDescent="0.25">
      <c r="C62" t="s">
        <v>111</v>
      </c>
      <c r="D62" s="4">
        <f>+D48-D61</f>
        <v>5.028278576004392</v>
      </c>
      <c r="E62" t="s">
        <v>86</v>
      </c>
    </row>
    <row r="63" spans="2:11" hidden="1" x14ac:dyDescent="0.25">
      <c r="C63" t="s">
        <v>148</v>
      </c>
      <c r="D63" s="4">
        <f>IF(D53&lt;=2*D36,D48,2*D36/D58*D51)</f>
        <v>10.056557152008784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104.9</v>
      </c>
      <c r="E70" s="164" t="s">
        <v>244</v>
      </c>
    </row>
    <row r="71" spans="3:5" x14ac:dyDescent="0.25">
      <c r="C71" t="s">
        <v>118</v>
      </c>
      <c r="D71" s="141">
        <f>+D70*D66</f>
        <v>209.8</v>
      </c>
      <c r="E71" s="164" t="s">
        <v>244</v>
      </c>
    </row>
    <row r="72" spans="3:5" x14ac:dyDescent="0.25">
      <c r="C72" t="s">
        <v>123</v>
      </c>
      <c r="D72" s="165">
        <f>+D48/D66</f>
        <v>4.5999999999999996</v>
      </c>
      <c r="E72" t="s">
        <v>87</v>
      </c>
    </row>
    <row r="73" spans="3:5" x14ac:dyDescent="0.25">
      <c r="C73" t="s">
        <v>123</v>
      </c>
      <c r="D73" s="141">
        <f>+D72*D47*D44*52</f>
        <v>7176</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1"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Macro_P2T">
                <anchor moveWithCells="1">
                  <from>
                    <xdr:col>7</xdr:col>
                    <xdr:colOff>0</xdr:colOff>
                    <xdr:row>63</xdr:row>
                    <xdr:rowOff>180975</xdr:rowOff>
                  </from>
                  <to>
                    <xdr:col>8</xdr:col>
                    <xdr:colOff>676275</xdr:colOff>
                    <xdr:row>67</xdr:row>
                    <xdr:rowOff>57150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Hoja58"/>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Pehuajó</v>
      </c>
    </row>
    <row r="4" spans="2:5" x14ac:dyDescent="0.25">
      <c r="B4" s="2" t="s">
        <v>0</v>
      </c>
    </row>
    <row r="5" spans="2:5" x14ac:dyDescent="0.25">
      <c r="B5" t="s">
        <v>1</v>
      </c>
      <c r="C5" t="s">
        <v>2</v>
      </c>
      <c r="D5">
        <f>+P_Datos!D5</f>
        <v>0</v>
      </c>
      <c r="E5" t="s">
        <v>3</v>
      </c>
    </row>
    <row r="6" spans="2:5" x14ac:dyDescent="0.25">
      <c r="B6" t="s">
        <v>4</v>
      </c>
      <c r="C6" t="s">
        <v>5</v>
      </c>
      <c r="D6" s="150">
        <f>+P_Datos!D6</f>
        <v>191</v>
      </c>
      <c r="E6" t="s">
        <v>3</v>
      </c>
    </row>
    <row r="7" spans="2:5" x14ac:dyDescent="0.25">
      <c r="B7" t="s">
        <v>6</v>
      </c>
      <c r="C7" t="s">
        <v>8</v>
      </c>
      <c r="D7">
        <f>+P_Datos!D7</f>
        <v>4.7</v>
      </c>
      <c r="E7" t="s">
        <v>3</v>
      </c>
    </row>
    <row r="8" spans="2:5" x14ac:dyDescent="0.25">
      <c r="B8" t="s">
        <v>7</v>
      </c>
      <c r="C8" t="s">
        <v>9</v>
      </c>
      <c r="D8">
        <f>+P_Datos!D8</f>
        <v>0</v>
      </c>
      <c r="E8" t="s">
        <v>3</v>
      </c>
    </row>
    <row r="9" spans="2:5" x14ac:dyDescent="0.25">
      <c r="B9" t="s">
        <v>10</v>
      </c>
      <c r="C9" t="s">
        <v>11</v>
      </c>
      <c r="D9">
        <f>+P_Datos!D9</f>
        <v>4.7</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31.333333333333336</v>
      </c>
      <c r="E14" t="s">
        <v>23</v>
      </c>
    </row>
    <row r="15" spans="2:5" x14ac:dyDescent="0.25">
      <c r="B15" t="s">
        <v>16</v>
      </c>
      <c r="C15" t="s">
        <v>21</v>
      </c>
      <c r="D15">
        <f>+P_Datos!D15</f>
        <v>40</v>
      </c>
      <c r="E15" t="s">
        <v>23</v>
      </c>
    </row>
    <row r="16" spans="2:5" x14ac:dyDescent="0.25">
      <c r="B16" t="s">
        <v>17</v>
      </c>
      <c r="C16" t="s">
        <v>22</v>
      </c>
      <c r="D16">
        <f>+P_Datos!D16</f>
        <v>31.333333333333336</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19.100000000000001</v>
      </c>
      <c r="E21" t="s">
        <v>30</v>
      </c>
    </row>
    <row r="22" spans="2:5" x14ac:dyDescent="0.25">
      <c r="B22" t="s">
        <v>27</v>
      </c>
      <c r="C22" t="s">
        <v>33</v>
      </c>
      <c r="D22" s="4">
        <f>+P_Datos!D22</f>
        <v>0.15</v>
      </c>
      <c r="E22" t="s">
        <v>30</v>
      </c>
    </row>
    <row r="23" spans="2:5" x14ac:dyDescent="0.25">
      <c r="B23" t="s">
        <v>28</v>
      </c>
      <c r="C23" t="s">
        <v>34</v>
      </c>
      <c r="D23" s="4">
        <f>+P_Datos!D23</f>
        <v>0</v>
      </c>
      <c r="E23" t="s">
        <v>30</v>
      </c>
    </row>
    <row r="24" spans="2:5" x14ac:dyDescent="0.25">
      <c r="B24" t="s">
        <v>29</v>
      </c>
      <c r="C24" t="s">
        <v>35</v>
      </c>
      <c r="D24" s="4">
        <f>+P_Datos!D24</f>
        <v>0.15</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31.833333333333332</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51.483333333333334</v>
      </c>
      <c r="E31" t="s">
        <v>30</v>
      </c>
    </row>
    <row r="32" spans="2:5" x14ac:dyDescent="0.25">
      <c r="C32" t="s">
        <v>43</v>
      </c>
      <c r="D32">
        <f>+P_Datos!D32</f>
        <v>5</v>
      </c>
      <c r="E32" t="s">
        <v>46</v>
      </c>
    </row>
    <row r="33" spans="2:12" x14ac:dyDescent="0.25">
      <c r="B33" t="s">
        <v>47</v>
      </c>
      <c r="C33" t="s">
        <v>42</v>
      </c>
      <c r="D33" s="4">
        <f>+P_Datos!D33</f>
        <v>2.5741666666666667</v>
      </c>
      <c r="E33" t="s">
        <v>30</v>
      </c>
    </row>
    <row r="34" spans="2:12" x14ac:dyDescent="0.25">
      <c r="B34" s="5" t="s">
        <v>53</v>
      </c>
    </row>
    <row r="35" spans="2:12" x14ac:dyDescent="0.25">
      <c r="B35" s="23" t="s">
        <v>54</v>
      </c>
      <c r="C35" s="23" t="s">
        <v>55</v>
      </c>
      <c r="D35" s="24">
        <f>+P_Datos!D35</f>
        <v>54.057500000000005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36568</v>
      </c>
      <c r="E39" s="140" t="str">
        <f>+P_Datos!E39</f>
        <v>hab</v>
      </c>
    </row>
    <row r="40" spans="2:12" x14ac:dyDescent="0.25">
      <c r="B40" s="140" t="str">
        <f>+P_Datos!B40</f>
        <v>hab/viv</v>
      </c>
      <c r="C40" s="140" t="str">
        <f>+P_Datos!C40</f>
        <v>Relación de habitantes por vivienda</v>
      </c>
      <c r="D40" s="786">
        <f>+P_Datos!D40</f>
        <v>2.457563712882862</v>
      </c>
      <c r="E40" s="140" t="str">
        <f>+P_Datos!E40</f>
        <v>hab/vivienda</v>
      </c>
    </row>
    <row r="41" spans="2:12" x14ac:dyDescent="0.25">
      <c r="B41" s="140" t="str">
        <f>+P_Datos!B41</f>
        <v>V(10)</v>
      </c>
      <c r="C41" s="140" t="str">
        <f>+P_Datos!C41</f>
        <v>Viviendas</v>
      </c>
      <c r="D41" s="140">
        <f>+P_Datos!D41</f>
        <v>14879.776995528493</v>
      </c>
      <c r="E41" s="140" t="str">
        <f>+P_Datos!E41</f>
        <v>viviendas</v>
      </c>
    </row>
    <row r="42" spans="2:12" x14ac:dyDescent="0.25">
      <c r="B42" s="140"/>
      <c r="C42" s="140" t="str">
        <f>+P_Datos!C42</f>
        <v>Residuo de poda promedio por ejemplar</v>
      </c>
      <c r="D42" s="786">
        <f>+P_Datos!D42</f>
        <v>0.01</v>
      </c>
      <c r="E42" s="140" t="str">
        <f>+P_Datos!E42</f>
        <v>t/año/ejemplar</v>
      </c>
    </row>
    <row r="43" spans="2:12" x14ac:dyDescent="0.25">
      <c r="B43" s="140" t="str">
        <f>+P_Datos!B43</f>
        <v>g(10)</v>
      </c>
      <c r="C43" s="140" t="str">
        <f>+P_Datos!C43</f>
        <v>Poda a recoger por el servicio de recolección en día normal</v>
      </c>
      <c r="D43" s="150">
        <f>+P_Datos!D43</f>
        <v>0.97572308167399957</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6">
        <f>+P_Datos!D46</f>
        <v>2.9271692450219988</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3" t="str">
        <f>+P_Datos!C51</f>
        <v>Poda a recoger por el servicio de recolección en día crítico</v>
      </c>
      <c r="D48" s="204">
        <f>+P_Datos!D51</f>
        <v>9.1999999999999993</v>
      </c>
      <c r="E48" s="205"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17</v>
      </c>
      <c r="E51" t="s">
        <v>86</v>
      </c>
      <c r="H51" s="30" t="s">
        <v>106</v>
      </c>
      <c r="I51" s="32">
        <f>+D51*ROUNDUP(J48,0)</f>
        <v>34</v>
      </c>
      <c r="J51" s="28">
        <f>COUNT($J$48)</f>
        <v>1</v>
      </c>
      <c r="K51" s="32"/>
    </row>
    <row r="52" spans="2:11" x14ac:dyDescent="0.25">
      <c r="B52" t="s">
        <v>91</v>
      </c>
      <c r="C52" s="164" t="s">
        <v>727</v>
      </c>
      <c r="D52">
        <f>ROUNDUP(D48/I51,0)</f>
        <v>1</v>
      </c>
      <c r="E52" t="s">
        <v>96</v>
      </c>
      <c r="H52" s="30"/>
      <c r="I52" s="32">
        <f>+D52*I51</f>
        <v>34</v>
      </c>
      <c r="J52" s="28" t="b">
        <f>$D$55&lt;=$I$50</f>
        <v>1</v>
      </c>
      <c r="K52" s="32"/>
    </row>
    <row r="53" spans="2:11" x14ac:dyDescent="0.25">
      <c r="B53" t="s">
        <v>92</v>
      </c>
      <c r="C53" s="164" t="s">
        <v>728</v>
      </c>
      <c r="D53" s="165">
        <f>(((D20+D22+D23+D24+D29)*D52+(D21+D28)/ROUNDUP(J48,0))*(1+D32/100))/J48</f>
        <v>17.639026920665405</v>
      </c>
      <c r="E53" t="s">
        <v>30</v>
      </c>
      <c r="H53" s="30"/>
      <c r="J53" s="28">
        <f>{32767;32767;0.000001;0.01;FALSE;FALSE;FALSE;1;2;1;0.0001;TRUE}</f>
        <v>32767</v>
      </c>
      <c r="K53" s="32"/>
    </row>
    <row r="54" spans="2:11" ht="15.75" thickBot="1" x14ac:dyDescent="0.3">
      <c r="C54" s="127" t="s">
        <v>107</v>
      </c>
      <c r="D54" s="128">
        <f>+IF(D53&gt;D36,D53-D36,0)</f>
        <v>9.6390269206654047</v>
      </c>
      <c r="E54" s="127" t="s">
        <v>30</v>
      </c>
      <c r="H54" s="30"/>
      <c r="J54" s="29">
        <f>{0;0;1;100;0;FALSE;FALSE;0.075;0;0;FALSE;30}</f>
        <v>0</v>
      </c>
      <c r="K54" s="32"/>
    </row>
    <row r="55" spans="2:11" ht="15.75" thickBot="1" x14ac:dyDescent="0.3">
      <c r="C55" t="s">
        <v>94</v>
      </c>
      <c r="D55" s="4">
        <f>+IF(D53&gt;2*D36,D53-2*D36,0)</f>
        <v>1.6390269206654047</v>
      </c>
      <c r="E55"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0</v>
      </c>
      <c r="E57" t="s">
        <v>30</v>
      </c>
    </row>
    <row r="58" spans="2:11" x14ac:dyDescent="0.25">
      <c r="C58" s="164" t="s">
        <v>182</v>
      </c>
      <c r="D58" s="4">
        <f>+D53/D52</f>
        <v>17.639026920665405</v>
      </c>
      <c r="E58" t="s">
        <v>30</v>
      </c>
    </row>
    <row r="59" spans="2:11" x14ac:dyDescent="0.25">
      <c r="C59" s="164" t="s">
        <v>95</v>
      </c>
      <c r="D59" s="166">
        <f>ROUNDDOWN(2*D36*(D52/D66)/D53,0)</f>
        <v>0</v>
      </c>
      <c r="E59" t="s">
        <v>96</v>
      </c>
      <c r="K59" s="36"/>
    </row>
    <row r="61" spans="2:11" hidden="1" x14ac:dyDescent="0.25">
      <c r="C61" t="s">
        <v>110</v>
      </c>
      <c r="D61" s="4">
        <f>+IF((D48-D36/D58*D51)&lt;0,0,D48-D36/D58*D51)</f>
        <v>1.4898241149195073</v>
      </c>
      <c r="E61" t="s">
        <v>86</v>
      </c>
    </row>
    <row r="62" spans="2:11" hidden="1" x14ac:dyDescent="0.25">
      <c r="C62" t="s">
        <v>111</v>
      </c>
      <c r="D62" s="4">
        <f>+D48-D61</f>
        <v>7.710175885080492</v>
      </c>
      <c r="E62" t="s">
        <v>86</v>
      </c>
    </row>
    <row r="63" spans="2:11" hidden="1" x14ac:dyDescent="0.25">
      <c r="C63" t="s">
        <v>148</v>
      </c>
      <c r="D63" s="4">
        <f>IF(D53&lt;=2*D36,D48,2*D36/D58*D51)</f>
        <v>15.420351770160984</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104.9</v>
      </c>
      <c r="E70" s="164" t="s">
        <v>244</v>
      </c>
    </row>
    <row r="71" spans="3:5" x14ac:dyDescent="0.25">
      <c r="C71" t="s">
        <v>118</v>
      </c>
      <c r="D71" s="141">
        <f>+D70*D66</f>
        <v>209.8</v>
      </c>
      <c r="E71" s="164" t="s">
        <v>244</v>
      </c>
    </row>
    <row r="72" spans="3:5" x14ac:dyDescent="0.25">
      <c r="C72" t="s">
        <v>123</v>
      </c>
      <c r="D72" s="165">
        <f>+D48/D66</f>
        <v>4.5999999999999996</v>
      </c>
      <c r="E72" t="s">
        <v>87</v>
      </c>
    </row>
    <row r="73" spans="3:5" x14ac:dyDescent="0.25">
      <c r="C73" t="s">
        <v>123</v>
      </c>
      <c r="D73" s="141">
        <f>+D72*D47*D44*52</f>
        <v>7176</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20"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Hoja59"/>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Pehuajó</v>
      </c>
    </row>
    <row r="4" spans="2:5" x14ac:dyDescent="0.25">
      <c r="B4" s="2" t="s">
        <v>0</v>
      </c>
    </row>
    <row r="5" spans="2:5" x14ac:dyDescent="0.25">
      <c r="B5" t="s">
        <v>1</v>
      </c>
      <c r="C5" t="s">
        <v>2</v>
      </c>
      <c r="D5">
        <f>+P_Datos!D5</f>
        <v>0</v>
      </c>
      <c r="E5" t="s">
        <v>3</v>
      </c>
    </row>
    <row r="6" spans="2:5" x14ac:dyDescent="0.25">
      <c r="B6" t="s">
        <v>4</v>
      </c>
      <c r="C6" t="s">
        <v>5</v>
      </c>
      <c r="D6" s="150">
        <f>+P_Datos!D6</f>
        <v>191</v>
      </c>
      <c r="E6" t="s">
        <v>3</v>
      </c>
    </row>
    <row r="7" spans="2:5" x14ac:dyDescent="0.25">
      <c r="B7" t="s">
        <v>6</v>
      </c>
      <c r="C7" t="s">
        <v>8</v>
      </c>
      <c r="D7">
        <f>+P_Datos!D7</f>
        <v>4.7</v>
      </c>
      <c r="E7" t="s">
        <v>3</v>
      </c>
    </row>
    <row r="8" spans="2:5" x14ac:dyDescent="0.25">
      <c r="B8" t="s">
        <v>7</v>
      </c>
      <c r="C8" t="s">
        <v>9</v>
      </c>
      <c r="D8">
        <f>+P_Datos!D8</f>
        <v>0</v>
      </c>
      <c r="E8" t="s">
        <v>3</v>
      </c>
    </row>
    <row r="9" spans="2:5" x14ac:dyDescent="0.25">
      <c r="B9" t="s">
        <v>10</v>
      </c>
      <c r="C9" t="s">
        <v>11</v>
      </c>
      <c r="D9">
        <f>+P_Datos!D9</f>
        <v>4.7</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31.333333333333336</v>
      </c>
      <c r="E14" t="s">
        <v>23</v>
      </c>
    </row>
    <row r="15" spans="2:5" x14ac:dyDescent="0.25">
      <c r="B15" t="s">
        <v>16</v>
      </c>
      <c r="C15" t="s">
        <v>21</v>
      </c>
      <c r="D15">
        <f>+P_Datos!D15</f>
        <v>40</v>
      </c>
      <c r="E15" t="s">
        <v>23</v>
      </c>
    </row>
    <row r="16" spans="2:5" x14ac:dyDescent="0.25">
      <c r="B16" t="s">
        <v>17</v>
      </c>
      <c r="C16" t="s">
        <v>22</v>
      </c>
      <c r="D16">
        <f>+P_Datos!D16</f>
        <v>31.333333333333336</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19.100000000000001</v>
      </c>
      <c r="E21" t="s">
        <v>30</v>
      </c>
    </row>
    <row r="22" spans="2:5" x14ac:dyDescent="0.25">
      <c r="B22" t="s">
        <v>27</v>
      </c>
      <c r="C22" t="s">
        <v>33</v>
      </c>
      <c r="D22" s="4">
        <f>+P_Datos!D22</f>
        <v>0.15</v>
      </c>
      <c r="E22" t="s">
        <v>30</v>
      </c>
    </row>
    <row r="23" spans="2:5" x14ac:dyDescent="0.25">
      <c r="B23" t="s">
        <v>28</v>
      </c>
      <c r="C23" t="s">
        <v>34</v>
      </c>
      <c r="D23" s="4">
        <f>+P_Datos!D23</f>
        <v>0</v>
      </c>
      <c r="E23" t="s">
        <v>30</v>
      </c>
    </row>
    <row r="24" spans="2:5" x14ac:dyDescent="0.25">
      <c r="B24" t="s">
        <v>29</v>
      </c>
      <c r="C24" t="s">
        <v>35</v>
      </c>
      <c r="D24" s="4">
        <f>+P_Datos!D24</f>
        <v>0.15</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31.833333333333332</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51.483333333333334</v>
      </c>
      <c r="E31" t="s">
        <v>30</v>
      </c>
    </row>
    <row r="32" spans="2:5" x14ac:dyDescent="0.25">
      <c r="C32" t="s">
        <v>43</v>
      </c>
      <c r="D32">
        <f>+P_Datos!D32</f>
        <v>5</v>
      </c>
      <c r="E32" t="s">
        <v>46</v>
      </c>
    </row>
    <row r="33" spans="2:12" x14ac:dyDescent="0.25">
      <c r="B33" t="s">
        <v>47</v>
      </c>
      <c r="C33" t="s">
        <v>42</v>
      </c>
      <c r="D33" s="4">
        <f>+P_Datos!D33</f>
        <v>2.5741666666666667</v>
      </c>
      <c r="E33" t="s">
        <v>30</v>
      </c>
    </row>
    <row r="34" spans="2:12" x14ac:dyDescent="0.25">
      <c r="B34" s="5" t="s">
        <v>53</v>
      </c>
    </row>
    <row r="35" spans="2:12" x14ac:dyDescent="0.25">
      <c r="B35" s="23" t="s">
        <v>54</v>
      </c>
      <c r="C35" s="23" t="s">
        <v>55</v>
      </c>
      <c r="D35" s="24">
        <f>+P_Datos!D35</f>
        <v>54.057500000000005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36568</v>
      </c>
      <c r="E39" s="140" t="str">
        <f>+P_Datos!E39</f>
        <v>hab</v>
      </c>
    </row>
    <row r="40" spans="2:12" x14ac:dyDescent="0.25">
      <c r="B40" s="140" t="str">
        <f>+P_Datos!B40</f>
        <v>hab/viv</v>
      </c>
      <c r="C40" s="140" t="str">
        <f>+P_Datos!C40</f>
        <v>Relación de habitantes por vivienda</v>
      </c>
      <c r="D40" s="786">
        <f>+P_Datos!D40</f>
        <v>2.457563712882862</v>
      </c>
      <c r="E40" s="140" t="str">
        <f>+P_Datos!E40</f>
        <v>hab/vivienda</v>
      </c>
    </row>
    <row r="41" spans="2:12" x14ac:dyDescent="0.25">
      <c r="B41" s="140" t="str">
        <f>+P_Datos!B41</f>
        <v>V(10)</v>
      </c>
      <c r="C41" s="140" t="str">
        <f>+P_Datos!C41</f>
        <v>Viviendas</v>
      </c>
      <c r="D41" s="140">
        <f>+P_Datos!D41</f>
        <v>14879.776995528493</v>
      </c>
      <c r="E41" s="140" t="str">
        <f>+P_Datos!E41</f>
        <v>viviendas</v>
      </c>
    </row>
    <row r="42" spans="2:12" x14ac:dyDescent="0.25">
      <c r="B42" s="140"/>
      <c r="C42" s="140" t="str">
        <f>+P_Datos!C42</f>
        <v>Residuo de poda promedio por ejemplar</v>
      </c>
      <c r="D42" s="786">
        <f>+P_Datos!D42</f>
        <v>0.01</v>
      </c>
      <c r="E42" s="140" t="str">
        <f>+P_Datos!E42</f>
        <v>t/año/ejemplar</v>
      </c>
    </row>
    <row r="43" spans="2:12" x14ac:dyDescent="0.25">
      <c r="B43" s="140" t="str">
        <f>+P_Datos!B43</f>
        <v>g(10)</v>
      </c>
      <c r="C43" s="140" t="str">
        <f>+P_Datos!C43</f>
        <v>Poda a recoger por el servicio de recolección en día normal</v>
      </c>
      <c r="D43" s="150">
        <f>+P_Datos!D43</f>
        <v>0.97572308167399957</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6">
        <f>+P_Datos!D46</f>
        <v>2.9271692450219988</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3" t="str">
        <f>+P_Datos!C51</f>
        <v>Poda a recoger por el servicio de recolección en día crítico</v>
      </c>
      <c r="D48" s="201">
        <f>+P_Datos!D51</f>
        <v>9.1999999999999993</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18</v>
      </c>
      <c r="E51" t="s">
        <v>86</v>
      </c>
      <c r="H51" s="30" t="s">
        <v>106</v>
      </c>
      <c r="I51" s="32">
        <f>+D51*ROUNDUP(J48,0)</f>
        <v>36</v>
      </c>
      <c r="J51" s="28">
        <f>COUNT($J$48)</f>
        <v>1</v>
      </c>
      <c r="K51" s="32"/>
    </row>
    <row r="52" spans="2:11" x14ac:dyDescent="0.25">
      <c r="B52" t="s">
        <v>91</v>
      </c>
      <c r="C52" s="164" t="s">
        <v>727</v>
      </c>
      <c r="D52">
        <f>ROUNDUP(D48/I51,0)</f>
        <v>1</v>
      </c>
      <c r="E52" t="s">
        <v>96</v>
      </c>
      <c r="H52" s="30"/>
      <c r="I52" s="32">
        <f>+D52*I51</f>
        <v>36</v>
      </c>
      <c r="J52" s="28" t="b">
        <f>$D$55&lt;=$I$50</f>
        <v>1</v>
      </c>
      <c r="K52" s="32"/>
    </row>
    <row r="53" spans="2:11" x14ac:dyDescent="0.25">
      <c r="B53" t="s">
        <v>92</v>
      </c>
      <c r="C53" s="164" t="s">
        <v>728</v>
      </c>
      <c r="D53" s="165">
        <f>(((D20+D22+D23+D24+D29)*D52+(D21+D28)/ROUNDUP(J48,0))*(1+D32/100))/J48</f>
        <v>27.047029702970299</v>
      </c>
      <c r="E53" t="s">
        <v>30</v>
      </c>
      <c r="H53" s="30"/>
      <c r="J53" s="28">
        <f>{32767;32767;0.000001;0.01;FALSE;FALSE;FALSE;1;2;1;0.0001;TRUE}</f>
        <v>32767</v>
      </c>
      <c r="K53" s="32"/>
    </row>
    <row r="54" spans="2:11" ht="15.75" thickBot="1" x14ac:dyDescent="0.3">
      <c r="C54" t="s">
        <v>107</v>
      </c>
      <c r="D54" s="4">
        <f>+IF(D53&gt;D36,D53-D36,0)</f>
        <v>19.047029702970299</v>
      </c>
      <c r="E54" t="s">
        <v>30</v>
      </c>
      <c r="H54" s="30"/>
      <c r="J54" s="29">
        <f>{0;0;1;100;0;FALSE;FALSE;0.075;0;0;FALSE;30}</f>
        <v>0</v>
      </c>
      <c r="K54" s="32"/>
    </row>
    <row r="55" spans="2:11" ht="15.75" thickBot="1" x14ac:dyDescent="0.3">
      <c r="C55" s="129" t="s">
        <v>94</v>
      </c>
      <c r="D55" s="130">
        <f>+IF(D53&gt;2*D36,D53-2*D36,0)</f>
        <v>11.047029702970299</v>
      </c>
      <c r="E55" s="129"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0</v>
      </c>
      <c r="E57" t="s">
        <v>30</v>
      </c>
    </row>
    <row r="58" spans="2:11" x14ac:dyDescent="0.25">
      <c r="C58" s="164" t="s">
        <v>182</v>
      </c>
      <c r="D58" s="4">
        <f>+D53</f>
        <v>27.047029702970299</v>
      </c>
      <c r="E58" t="s">
        <v>30</v>
      </c>
    </row>
    <row r="59" spans="2:11" x14ac:dyDescent="0.25">
      <c r="C59" s="164" t="s">
        <v>95</v>
      </c>
      <c r="D59" s="166">
        <f>ROUNDDOWN(2*D36*(D52/D66)/D53,0)</f>
        <v>0</v>
      </c>
      <c r="E59" t="s">
        <v>96</v>
      </c>
      <c r="K59" s="36"/>
    </row>
    <row r="61" spans="2:11" hidden="1" x14ac:dyDescent="0.25">
      <c r="C61" t="s">
        <v>110</v>
      </c>
      <c r="D61" s="4">
        <f>+IF((D48-D36/D58*D51)&lt;0,0,D48-D36/D58*D51)</f>
        <v>3.875940331289466</v>
      </c>
      <c r="E61" t="s">
        <v>86</v>
      </c>
    </row>
    <row r="62" spans="2:11" hidden="1" x14ac:dyDescent="0.25">
      <c r="C62" t="s">
        <v>111</v>
      </c>
      <c r="D62" s="4">
        <f>+D48-D61</f>
        <v>5.3240596687105333</v>
      </c>
      <c r="E62" t="s">
        <v>86</v>
      </c>
    </row>
    <row r="63" spans="2:11" hidden="1" x14ac:dyDescent="0.25">
      <c r="C63" t="s">
        <v>148</v>
      </c>
      <c r="D63" s="4">
        <f>IF(D53&lt;=2*D36,D48,2*D36/D58*D51)</f>
        <v>10.648119337421067</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104.9</v>
      </c>
      <c r="E70" s="164" t="s">
        <v>244</v>
      </c>
    </row>
    <row r="71" spans="3:5" x14ac:dyDescent="0.25">
      <c r="C71" t="s">
        <v>118</v>
      </c>
      <c r="D71" s="141">
        <f>+D70*D66</f>
        <v>209.8</v>
      </c>
      <c r="E71" s="164" t="s">
        <v>244</v>
      </c>
    </row>
    <row r="72" spans="3:5" x14ac:dyDescent="0.25">
      <c r="C72" t="s">
        <v>123</v>
      </c>
      <c r="D72" s="165">
        <f>+D48/D66</f>
        <v>4.5999999999999996</v>
      </c>
      <c r="E72" t="s">
        <v>87</v>
      </c>
    </row>
    <row r="73" spans="3:5" x14ac:dyDescent="0.25">
      <c r="C73" t="s">
        <v>123</v>
      </c>
      <c r="D73" s="141">
        <f>+D72*D47*D44*52</f>
        <v>7176</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9"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Macro_P2T">
                <anchor moveWithCells="1">
                  <from>
                    <xdr:col>7</xdr:col>
                    <xdr:colOff>38100</xdr:colOff>
                    <xdr:row>65</xdr:row>
                    <xdr:rowOff>9525</xdr:rowOff>
                  </from>
                  <to>
                    <xdr:col>8</xdr:col>
                    <xdr:colOff>714375</xdr:colOff>
                    <xdr:row>68</xdr:row>
                    <xdr:rowOff>66675</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Hoja60"/>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Pehuajó</v>
      </c>
    </row>
    <row r="4" spans="2:5" x14ac:dyDescent="0.25">
      <c r="B4" s="2" t="s">
        <v>0</v>
      </c>
    </row>
    <row r="5" spans="2:5" x14ac:dyDescent="0.25">
      <c r="B5" t="s">
        <v>1</v>
      </c>
      <c r="C5" t="s">
        <v>2</v>
      </c>
      <c r="D5">
        <f>+P_Datos!D5</f>
        <v>0</v>
      </c>
      <c r="E5" t="s">
        <v>3</v>
      </c>
    </row>
    <row r="6" spans="2:5" x14ac:dyDescent="0.25">
      <c r="B6" t="s">
        <v>4</v>
      </c>
      <c r="C6" t="s">
        <v>5</v>
      </c>
      <c r="D6" s="150">
        <f>+P_Datos!D6</f>
        <v>191</v>
      </c>
      <c r="E6" t="s">
        <v>3</v>
      </c>
    </row>
    <row r="7" spans="2:5" x14ac:dyDescent="0.25">
      <c r="B7" t="s">
        <v>6</v>
      </c>
      <c r="C7" t="s">
        <v>8</v>
      </c>
      <c r="D7">
        <f>+P_Datos!D7</f>
        <v>4.7</v>
      </c>
      <c r="E7" t="s">
        <v>3</v>
      </c>
    </row>
    <row r="8" spans="2:5" x14ac:dyDescent="0.25">
      <c r="B8" t="s">
        <v>7</v>
      </c>
      <c r="C8" t="s">
        <v>9</v>
      </c>
      <c r="D8">
        <f>+P_Datos!D8</f>
        <v>0</v>
      </c>
      <c r="E8" t="s">
        <v>3</v>
      </c>
    </row>
    <row r="9" spans="2:5" x14ac:dyDescent="0.25">
      <c r="B9" t="s">
        <v>10</v>
      </c>
      <c r="C9" t="s">
        <v>11</v>
      </c>
      <c r="D9">
        <f>+P_Datos!D9</f>
        <v>4.7</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31.333333333333336</v>
      </c>
      <c r="E14" t="s">
        <v>23</v>
      </c>
    </row>
    <row r="15" spans="2:5" x14ac:dyDescent="0.25">
      <c r="B15" t="s">
        <v>16</v>
      </c>
      <c r="C15" t="s">
        <v>21</v>
      </c>
      <c r="D15">
        <f>+P_Datos!D15</f>
        <v>40</v>
      </c>
      <c r="E15" t="s">
        <v>23</v>
      </c>
    </row>
    <row r="16" spans="2:5" x14ac:dyDescent="0.25">
      <c r="B16" t="s">
        <v>17</v>
      </c>
      <c r="C16" t="s">
        <v>22</v>
      </c>
      <c r="D16">
        <f>+P_Datos!D16</f>
        <v>31.333333333333336</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19.100000000000001</v>
      </c>
      <c r="E21" t="s">
        <v>30</v>
      </c>
    </row>
    <row r="22" spans="2:5" x14ac:dyDescent="0.25">
      <c r="B22" t="s">
        <v>27</v>
      </c>
      <c r="C22" t="s">
        <v>33</v>
      </c>
      <c r="D22" s="4">
        <f>+P_Datos!D22</f>
        <v>0.15</v>
      </c>
      <c r="E22" t="s">
        <v>30</v>
      </c>
    </row>
    <row r="23" spans="2:5" x14ac:dyDescent="0.25">
      <c r="B23" t="s">
        <v>28</v>
      </c>
      <c r="C23" t="s">
        <v>34</v>
      </c>
      <c r="D23" s="4">
        <f>+P_Datos!D23</f>
        <v>0</v>
      </c>
      <c r="E23" t="s">
        <v>30</v>
      </c>
    </row>
    <row r="24" spans="2:5" x14ac:dyDescent="0.25">
      <c r="B24" t="s">
        <v>29</v>
      </c>
      <c r="C24" t="s">
        <v>35</v>
      </c>
      <c r="D24" s="4">
        <f>+P_Datos!D24</f>
        <v>0.15</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31.833333333333332</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51.483333333333334</v>
      </c>
      <c r="E31" t="s">
        <v>30</v>
      </c>
    </row>
    <row r="32" spans="2:5" x14ac:dyDescent="0.25">
      <c r="C32" t="s">
        <v>43</v>
      </c>
      <c r="D32">
        <f>+P_Datos!D32</f>
        <v>5</v>
      </c>
      <c r="E32" t="s">
        <v>46</v>
      </c>
    </row>
    <row r="33" spans="2:12" x14ac:dyDescent="0.25">
      <c r="B33" t="s">
        <v>47</v>
      </c>
      <c r="C33" t="s">
        <v>42</v>
      </c>
      <c r="D33" s="4">
        <f>+P_Datos!D33</f>
        <v>2.5741666666666667</v>
      </c>
      <c r="E33" t="s">
        <v>30</v>
      </c>
    </row>
    <row r="34" spans="2:12" x14ac:dyDescent="0.25">
      <c r="B34" s="5" t="s">
        <v>53</v>
      </c>
    </row>
    <row r="35" spans="2:12" x14ac:dyDescent="0.25">
      <c r="B35" s="23" t="s">
        <v>54</v>
      </c>
      <c r="C35" s="23" t="s">
        <v>55</v>
      </c>
      <c r="D35" s="24">
        <f>+P_Datos!D35</f>
        <v>54.057500000000005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36568</v>
      </c>
      <c r="E39" s="140" t="str">
        <f>+P_Datos!E39</f>
        <v>hab</v>
      </c>
    </row>
    <row r="40" spans="2:12" x14ac:dyDescent="0.25">
      <c r="B40" s="140" t="str">
        <f>+P_Datos!B40</f>
        <v>hab/viv</v>
      </c>
      <c r="C40" s="140" t="str">
        <f>+P_Datos!C40</f>
        <v>Relación de habitantes por vivienda</v>
      </c>
      <c r="D40" s="786">
        <f>+P_Datos!D40</f>
        <v>2.457563712882862</v>
      </c>
      <c r="E40" s="140" t="str">
        <f>+P_Datos!E40</f>
        <v>hab/vivienda</v>
      </c>
    </row>
    <row r="41" spans="2:12" x14ac:dyDescent="0.25">
      <c r="B41" s="140" t="str">
        <f>+P_Datos!B41</f>
        <v>V(10)</v>
      </c>
      <c r="C41" s="140" t="str">
        <f>+P_Datos!C41</f>
        <v>Viviendas</v>
      </c>
      <c r="D41" s="140">
        <f>+P_Datos!D41</f>
        <v>14879.776995528493</v>
      </c>
      <c r="E41" s="140" t="str">
        <f>+P_Datos!E41</f>
        <v>viviendas</v>
      </c>
    </row>
    <row r="42" spans="2:12" x14ac:dyDescent="0.25">
      <c r="B42" s="140"/>
      <c r="C42" s="140" t="str">
        <f>+P_Datos!C42</f>
        <v>Residuo de poda promedio por ejemplar</v>
      </c>
      <c r="D42" s="786">
        <f>+P_Datos!D42</f>
        <v>0.01</v>
      </c>
      <c r="E42" s="140" t="str">
        <f>+P_Datos!E42</f>
        <v>t/año/ejemplar</v>
      </c>
    </row>
    <row r="43" spans="2:12" x14ac:dyDescent="0.25">
      <c r="B43" s="140" t="str">
        <f>+P_Datos!B43</f>
        <v>g(10)</v>
      </c>
      <c r="C43" s="140" t="str">
        <f>+P_Datos!C43</f>
        <v>Poda a recoger por el servicio de recolección en día normal</v>
      </c>
      <c r="D43" s="150">
        <f>+P_Datos!D43</f>
        <v>0.97572308167399957</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6">
        <f>+P_Datos!D46</f>
        <v>2.9271692450219988</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3" t="str">
        <f>+P_Datos!C51</f>
        <v>Poda a recoger por el servicio de recolección en día crítico</v>
      </c>
      <c r="D48" s="204">
        <f>+P_Datos!D51</f>
        <v>9.1999999999999993</v>
      </c>
      <c r="E48" s="205"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18</v>
      </c>
      <c r="E51" t="s">
        <v>86</v>
      </c>
      <c r="H51" s="30" t="s">
        <v>106</v>
      </c>
      <c r="I51" s="32">
        <f>+D51*ROUNDUP(J48,0)</f>
        <v>36</v>
      </c>
      <c r="J51" s="28">
        <f>COUNT($J$48)</f>
        <v>1</v>
      </c>
      <c r="K51" s="32"/>
    </row>
    <row r="52" spans="2:11" x14ac:dyDescent="0.25">
      <c r="B52" t="s">
        <v>91</v>
      </c>
      <c r="C52" s="164" t="s">
        <v>727</v>
      </c>
      <c r="D52">
        <f>ROUNDUP(D48/I51,0)</f>
        <v>1</v>
      </c>
      <c r="E52" t="s">
        <v>96</v>
      </c>
      <c r="H52" s="30"/>
      <c r="I52" s="32">
        <f>+D52*I51</f>
        <v>36</v>
      </c>
      <c r="J52" s="28" t="b">
        <f>$D$55&lt;=$I$50</f>
        <v>1</v>
      </c>
      <c r="K52" s="32"/>
    </row>
    <row r="53" spans="2:11" x14ac:dyDescent="0.25">
      <c r="B53" t="s">
        <v>92</v>
      </c>
      <c r="C53" s="164" t="s">
        <v>728</v>
      </c>
      <c r="D53" s="165">
        <f>(((D20+D22+D23+D24+D29)*D52+(D21+D28)/ROUNDUP(J48,0))*(1+D32/100))/J48</f>
        <v>17.639026920665405</v>
      </c>
      <c r="E53" t="s">
        <v>30</v>
      </c>
      <c r="H53" s="30"/>
      <c r="J53" s="28">
        <f>{32767;32767;0.000001;0.01;FALSE;FALSE;FALSE;1;2;1;0.0001;TRUE}</f>
        <v>32767</v>
      </c>
      <c r="K53" s="32"/>
    </row>
    <row r="54" spans="2:11" ht="15.75" thickBot="1" x14ac:dyDescent="0.3">
      <c r="C54" s="127" t="s">
        <v>107</v>
      </c>
      <c r="D54" s="128">
        <f>+IF(D53&gt;D36,D53-D36,0)</f>
        <v>9.6390269206654047</v>
      </c>
      <c r="E54" s="127" t="s">
        <v>30</v>
      </c>
      <c r="H54" s="30"/>
      <c r="J54" s="29">
        <f>{0;0;1;100;0;FALSE;FALSE;0.075;0;0;FALSE;30}</f>
        <v>0</v>
      </c>
      <c r="K54" s="32"/>
    </row>
    <row r="55" spans="2:11" ht="15.75" thickBot="1" x14ac:dyDescent="0.3">
      <c r="C55" t="s">
        <v>94</v>
      </c>
      <c r="D55" s="4">
        <f>+IF(D53&gt;2*D36,D53-2*D36,0)</f>
        <v>1.6390269206654047</v>
      </c>
      <c r="E55"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0</v>
      </c>
      <c r="E57" t="s">
        <v>30</v>
      </c>
    </row>
    <row r="58" spans="2:11" x14ac:dyDescent="0.25">
      <c r="C58" s="164" t="s">
        <v>182</v>
      </c>
      <c r="D58" s="4">
        <f>+D53/D52</f>
        <v>17.639026920665405</v>
      </c>
      <c r="E58" t="s">
        <v>30</v>
      </c>
    </row>
    <row r="59" spans="2:11" x14ac:dyDescent="0.25">
      <c r="C59" s="164" t="s">
        <v>95</v>
      </c>
      <c r="D59" s="166">
        <f>ROUNDDOWN(2*D36*(D52/D66)/D53,0)</f>
        <v>0</v>
      </c>
      <c r="E59" t="s">
        <v>96</v>
      </c>
      <c r="K59" s="36"/>
    </row>
    <row r="61" spans="2:11" hidden="1" x14ac:dyDescent="0.25">
      <c r="C61" t="s">
        <v>110</v>
      </c>
      <c r="D61" s="4">
        <f>+IF((D48-D36/D58*D51)&lt;0,0,D48-D36/D58*D51)</f>
        <v>1.0362843569735958</v>
      </c>
      <c r="E61" t="s">
        <v>86</v>
      </c>
    </row>
    <row r="62" spans="2:11" hidden="1" x14ac:dyDescent="0.25">
      <c r="C62" t="s">
        <v>111</v>
      </c>
      <c r="D62" s="4">
        <f>+D48-D61</f>
        <v>8.1637156430264035</v>
      </c>
      <c r="E62" t="s">
        <v>86</v>
      </c>
    </row>
    <row r="63" spans="2:11" hidden="1" x14ac:dyDescent="0.25">
      <c r="C63" t="s">
        <v>148</v>
      </c>
      <c r="D63" s="4">
        <f>IF(D53&lt;=2*D36,D48,2*D36/D58*D51)</f>
        <v>16.327431286052807</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104.9</v>
      </c>
      <c r="E70" s="164" t="s">
        <v>244</v>
      </c>
    </row>
    <row r="71" spans="3:5" x14ac:dyDescent="0.25">
      <c r="C71" t="s">
        <v>118</v>
      </c>
      <c r="D71" s="141">
        <f>+D70*D66</f>
        <v>209.8</v>
      </c>
      <c r="E71" s="164" t="s">
        <v>244</v>
      </c>
    </row>
    <row r="72" spans="3:5" x14ac:dyDescent="0.25">
      <c r="C72" t="s">
        <v>123</v>
      </c>
      <c r="D72" s="165">
        <f>+D48/D66</f>
        <v>4.5999999999999996</v>
      </c>
      <c r="E72" t="s">
        <v>87</v>
      </c>
    </row>
    <row r="73" spans="3:5" x14ac:dyDescent="0.25">
      <c r="C73" t="s">
        <v>123</v>
      </c>
      <c r="D73" s="141">
        <f>+D72*D47*D44*52</f>
        <v>7176</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8"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Hoja61"/>
  <dimension ref="B1:L76"/>
  <sheetViews>
    <sheetView view="pageBreakPreview" topLeftCell="A37"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Pehuajó</v>
      </c>
    </row>
    <row r="4" spans="2:5" x14ac:dyDescent="0.25">
      <c r="B4" s="2" t="s">
        <v>0</v>
      </c>
    </row>
    <row r="5" spans="2:5" x14ac:dyDescent="0.25">
      <c r="B5" t="s">
        <v>1</v>
      </c>
      <c r="C5" t="s">
        <v>2</v>
      </c>
      <c r="D5">
        <f>+P_Datos!D5</f>
        <v>0</v>
      </c>
      <c r="E5" t="s">
        <v>3</v>
      </c>
    </row>
    <row r="6" spans="2:5" x14ac:dyDescent="0.25">
      <c r="B6" t="s">
        <v>4</v>
      </c>
      <c r="C6" t="s">
        <v>5</v>
      </c>
      <c r="D6" s="150">
        <f>+P_Datos!D6</f>
        <v>191</v>
      </c>
      <c r="E6" t="s">
        <v>3</v>
      </c>
    </row>
    <row r="7" spans="2:5" x14ac:dyDescent="0.25">
      <c r="B7" t="s">
        <v>6</v>
      </c>
      <c r="C7" t="s">
        <v>8</v>
      </c>
      <c r="D7">
        <f>+P_Datos!D7</f>
        <v>4.7</v>
      </c>
      <c r="E7" t="s">
        <v>3</v>
      </c>
    </row>
    <row r="8" spans="2:5" x14ac:dyDescent="0.25">
      <c r="B8" t="s">
        <v>7</v>
      </c>
      <c r="C8" t="s">
        <v>9</v>
      </c>
      <c r="D8">
        <f>+P_Datos!D8</f>
        <v>0</v>
      </c>
      <c r="E8" t="s">
        <v>3</v>
      </c>
    </row>
    <row r="9" spans="2:5" x14ac:dyDescent="0.25">
      <c r="B9" t="s">
        <v>10</v>
      </c>
      <c r="C9" t="s">
        <v>11</v>
      </c>
      <c r="D9">
        <f>+P_Datos!D9</f>
        <v>4.7</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31.333333333333336</v>
      </c>
      <c r="E14" t="s">
        <v>23</v>
      </c>
    </row>
    <row r="15" spans="2:5" x14ac:dyDescent="0.25">
      <c r="B15" t="s">
        <v>16</v>
      </c>
      <c r="C15" t="s">
        <v>21</v>
      </c>
      <c r="D15">
        <f>+P_Datos!D15</f>
        <v>40</v>
      </c>
      <c r="E15" t="s">
        <v>23</v>
      </c>
    </row>
    <row r="16" spans="2:5" x14ac:dyDescent="0.25">
      <c r="B16" t="s">
        <v>17</v>
      </c>
      <c r="C16" t="s">
        <v>22</v>
      </c>
      <c r="D16">
        <f>+P_Datos!D16</f>
        <v>31.333333333333336</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19.100000000000001</v>
      </c>
      <c r="E21" t="s">
        <v>30</v>
      </c>
    </row>
    <row r="22" spans="2:5" x14ac:dyDescent="0.25">
      <c r="B22" t="s">
        <v>27</v>
      </c>
      <c r="C22" t="s">
        <v>33</v>
      </c>
      <c r="D22" s="4">
        <f>+P_Datos!D22</f>
        <v>0.15</v>
      </c>
      <c r="E22" t="s">
        <v>30</v>
      </c>
    </row>
    <row r="23" spans="2:5" x14ac:dyDescent="0.25">
      <c r="B23" t="s">
        <v>28</v>
      </c>
      <c r="C23" t="s">
        <v>34</v>
      </c>
      <c r="D23" s="4">
        <f>+P_Datos!D23</f>
        <v>0</v>
      </c>
      <c r="E23" t="s">
        <v>30</v>
      </c>
    </row>
    <row r="24" spans="2:5" x14ac:dyDescent="0.25">
      <c r="B24" t="s">
        <v>29</v>
      </c>
      <c r="C24" t="s">
        <v>35</v>
      </c>
      <c r="D24" s="4">
        <f>+P_Datos!D24</f>
        <v>0.15</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31.833333333333332</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51.483333333333334</v>
      </c>
      <c r="E31" t="s">
        <v>30</v>
      </c>
    </row>
    <row r="32" spans="2:5" x14ac:dyDescent="0.25">
      <c r="C32" t="s">
        <v>43</v>
      </c>
      <c r="D32">
        <f>+P_Datos!D32</f>
        <v>5</v>
      </c>
      <c r="E32" t="s">
        <v>46</v>
      </c>
    </row>
    <row r="33" spans="2:12" x14ac:dyDescent="0.25">
      <c r="B33" t="s">
        <v>47</v>
      </c>
      <c r="C33" t="s">
        <v>42</v>
      </c>
      <c r="D33" s="4">
        <f>+P_Datos!D33</f>
        <v>2.5741666666666667</v>
      </c>
      <c r="E33" t="s">
        <v>30</v>
      </c>
    </row>
    <row r="34" spans="2:12" x14ac:dyDescent="0.25">
      <c r="B34" s="5" t="s">
        <v>53</v>
      </c>
    </row>
    <row r="35" spans="2:12" x14ac:dyDescent="0.25">
      <c r="B35" s="23" t="s">
        <v>54</v>
      </c>
      <c r="C35" s="23" t="s">
        <v>55</v>
      </c>
      <c r="D35" s="24">
        <f>+P_Datos!D35</f>
        <v>54.057500000000005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36568</v>
      </c>
      <c r="E39" s="140" t="str">
        <f>+P_Datos!E39</f>
        <v>hab</v>
      </c>
    </row>
    <row r="40" spans="2:12" x14ac:dyDescent="0.25">
      <c r="B40" s="140" t="str">
        <f>+P_Datos!B40</f>
        <v>hab/viv</v>
      </c>
      <c r="C40" s="140" t="str">
        <f>+P_Datos!C40</f>
        <v>Relación de habitantes por vivienda</v>
      </c>
      <c r="D40" s="786">
        <f>+P_Datos!D40</f>
        <v>2.457563712882862</v>
      </c>
      <c r="E40" s="140" t="str">
        <f>+P_Datos!E40</f>
        <v>hab/vivienda</v>
      </c>
    </row>
    <row r="41" spans="2:12" x14ac:dyDescent="0.25">
      <c r="B41" s="140" t="str">
        <f>+P_Datos!B41</f>
        <v>V(10)</v>
      </c>
      <c r="C41" s="140" t="str">
        <f>+P_Datos!C41</f>
        <v>Viviendas</v>
      </c>
      <c r="D41" s="140">
        <f>+P_Datos!D41</f>
        <v>14879.776995528493</v>
      </c>
      <c r="E41" s="140" t="str">
        <f>+P_Datos!E41</f>
        <v>viviendas</v>
      </c>
    </row>
    <row r="42" spans="2:12" x14ac:dyDescent="0.25">
      <c r="B42" s="140"/>
      <c r="C42" s="140" t="str">
        <f>+P_Datos!C42</f>
        <v>Residuo de poda promedio por ejemplar</v>
      </c>
      <c r="D42" s="786">
        <f>+P_Datos!D42</f>
        <v>0.01</v>
      </c>
      <c r="E42" s="140" t="str">
        <f>+P_Datos!E42</f>
        <v>t/año/ejemplar</v>
      </c>
    </row>
    <row r="43" spans="2:12" x14ac:dyDescent="0.25">
      <c r="B43" s="140" t="str">
        <f>+P_Datos!B43</f>
        <v>g(10)</v>
      </c>
      <c r="C43" s="140" t="str">
        <f>+P_Datos!C43</f>
        <v>Poda a recoger por el servicio de recolección en día normal</v>
      </c>
      <c r="D43" s="150">
        <f>+P_Datos!D43</f>
        <v>0.97572308167399957</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6">
        <f>+P_Datos!D46</f>
        <v>2.9271692450219988</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3" t="str">
        <f>+P_Datos!C51</f>
        <v>Poda a recoger por el servicio de recolección en día crítico</v>
      </c>
      <c r="D48" s="201">
        <f>+P_Datos!D51</f>
        <v>9.1999999999999993</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19</v>
      </c>
      <c r="E51" t="s">
        <v>86</v>
      </c>
      <c r="H51" s="30" t="s">
        <v>106</v>
      </c>
      <c r="I51" s="32">
        <f>+D51*ROUNDUP(J48,0)</f>
        <v>38</v>
      </c>
      <c r="J51" s="28">
        <f>COUNT($J$48)</f>
        <v>1</v>
      </c>
      <c r="K51" s="32"/>
    </row>
    <row r="52" spans="2:11" x14ac:dyDescent="0.25">
      <c r="B52" t="s">
        <v>91</v>
      </c>
      <c r="C52" s="164" t="s">
        <v>727</v>
      </c>
      <c r="D52">
        <f>ROUNDUP(D48/I51,0)</f>
        <v>1</v>
      </c>
      <c r="E52" t="s">
        <v>96</v>
      </c>
      <c r="H52" s="30"/>
      <c r="I52" s="32">
        <f>+D52*I51</f>
        <v>38</v>
      </c>
      <c r="J52" s="28" t="b">
        <f>$D$55&lt;=$I$50</f>
        <v>1</v>
      </c>
      <c r="K52" s="32"/>
    </row>
    <row r="53" spans="2:11" x14ac:dyDescent="0.25">
      <c r="B53" t="s">
        <v>92</v>
      </c>
      <c r="C53" s="164" t="s">
        <v>728</v>
      </c>
      <c r="D53" s="165">
        <f>(((D20+D22+D23+D24+D29)*D52+(D21+D28)/ROUNDUP(J48,0))*(1+D32/100))/J48</f>
        <v>27.047029702970299</v>
      </c>
      <c r="E53" t="s">
        <v>30</v>
      </c>
      <c r="H53" s="30"/>
      <c r="J53" s="28">
        <f>{32767;32767;0.000001;0.01;FALSE;FALSE;FALSE;1;2;1;0.0001;TRUE}</f>
        <v>32767</v>
      </c>
      <c r="K53" s="32"/>
    </row>
    <row r="54" spans="2:11" ht="15.75" thickBot="1" x14ac:dyDescent="0.3">
      <c r="C54" t="s">
        <v>107</v>
      </c>
      <c r="D54" s="4">
        <f>+IF(D53&gt;D36,D53-D36,0)</f>
        <v>19.047029702970299</v>
      </c>
      <c r="E54" t="s">
        <v>30</v>
      </c>
      <c r="H54" s="30"/>
      <c r="J54" s="29">
        <f>{0;0;1;100;0;FALSE;FALSE;0.075;0;0;FALSE;30}</f>
        <v>0</v>
      </c>
      <c r="K54" s="32"/>
    </row>
    <row r="55" spans="2:11" ht="15.75" thickBot="1" x14ac:dyDescent="0.3">
      <c r="C55" s="129" t="s">
        <v>94</v>
      </c>
      <c r="D55" s="130">
        <f>+IF(D53&gt;2*D36,D53-2*D36,0)</f>
        <v>11.047029702970299</v>
      </c>
      <c r="E55" s="129"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0</v>
      </c>
      <c r="E57" t="s">
        <v>30</v>
      </c>
    </row>
    <row r="58" spans="2:11" x14ac:dyDescent="0.25">
      <c r="C58" s="164" t="s">
        <v>182</v>
      </c>
      <c r="D58" s="4">
        <f>+D53</f>
        <v>27.047029702970299</v>
      </c>
      <c r="E58" t="s">
        <v>30</v>
      </c>
    </row>
    <row r="59" spans="2:11" x14ac:dyDescent="0.25">
      <c r="C59" s="164" t="s">
        <v>95</v>
      </c>
      <c r="D59" s="166">
        <f>ROUNDDOWN(2*D36*(D52/D66)/D53,0)</f>
        <v>0</v>
      </c>
      <c r="E59" t="s">
        <v>96</v>
      </c>
      <c r="K59" s="36"/>
    </row>
    <row r="61" spans="2:11" hidden="1" x14ac:dyDescent="0.25">
      <c r="C61" t="s">
        <v>110</v>
      </c>
      <c r="D61" s="4">
        <f>+IF((D48-D36/D58*D51)&lt;0,0,D48-D36/D58*D51)</f>
        <v>3.5801592385833256</v>
      </c>
      <c r="E61" t="s">
        <v>86</v>
      </c>
    </row>
    <row r="62" spans="2:11" hidden="1" x14ac:dyDescent="0.25">
      <c r="C62" t="s">
        <v>111</v>
      </c>
      <c r="D62" s="4">
        <f>+D48-D61</f>
        <v>5.6198407614166737</v>
      </c>
      <c r="E62" t="s">
        <v>86</v>
      </c>
    </row>
    <row r="63" spans="2:11" hidden="1" x14ac:dyDescent="0.25">
      <c r="C63" t="s">
        <v>148</v>
      </c>
      <c r="D63" s="4">
        <f>IF(D53&lt;=2*D36,D48,2*D36/D58*D51)</f>
        <v>11.239681522833347</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104.9</v>
      </c>
      <c r="E70" s="164" t="s">
        <v>244</v>
      </c>
    </row>
    <row r="71" spans="3:5" x14ac:dyDescent="0.25">
      <c r="C71" t="s">
        <v>118</v>
      </c>
      <c r="D71" s="141">
        <f>+D70*D66</f>
        <v>209.8</v>
      </c>
      <c r="E71" s="164" t="s">
        <v>244</v>
      </c>
    </row>
    <row r="72" spans="3:5" x14ac:dyDescent="0.25">
      <c r="C72" t="s">
        <v>123</v>
      </c>
      <c r="D72" s="165">
        <f>+D48/D66</f>
        <v>4.5999999999999996</v>
      </c>
      <c r="E72" t="s">
        <v>87</v>
      </c>
    </row>
    <row r="73" spans="3:5" x14ac:dyDescent="0.25">
      <c r="C73" t="s">
        <v>123</v>
      </c>
      <c r="D73" s="141">
        <f>+D72*D47*D44*52</f>
        <v>7176</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7"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macro="[0]!Macro_P2T">
                <anchor moveWithCells="1">
                  <from>
                    <xdr:col>7</xdr:col>
                    <xdr:colOff>9525</xdr:colOff>
                    <xdr:row>64</xdr:row>
                    <xdr:rowOff>0</xdr:rowOff>
                  </from>
                  <to>
                    <xdr:col>8</xdr:col>
                    <xdr:colOff>685800</xdr:colOff>
                    <xdr:row>67</xdr:row>
                    <xdr:rowOff>57150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Hoja62"/>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Pehuajó</v>
      </c>
    </row>
    <row r="4" spans="2:5" x14ac:dyDescent="0.25">
      <c r="B4" s="2" t="s">
        <v>0</v>
      </c>
    </row>
    <row r="5" spans="2:5" x14ac:dyDescent="0.25">
      <c r="B5" t="s">
        <v>1</v>
      </c>
      <c r="C5" t="s">
        <v>2</v>
      </c>
      <c r="D5">
        <f>+P_Datos!D5</f>
        <v>0</v>
      </c>
      <c r="E5" t="s">
        <v>3</v>
      </c>
    </row>
    <row r="6" spans="2:5" x14ac:dyDescent="0.25">
      <c r="B6" t="s">
        <v>4</v>
      </c>
      <c r="C6" t="s">
        <v>5</v>
      </c>
      <c r="D6" s="150">
        <f>+P_Datos!D6</f>
        <v>191</v>
      </c>
      <c r="E6" t="s">
        <v>3</v>
      </c>
    </row>
    <row r="7" spans="2:5" x14ac:dyDescent="0.25">
      <c r="B7" t="s">
        <v>6</v>
      </c>
      <c r="C7" t="s">
        <v>8</v>
      </c>
      <c r="D7">
        <f>+P_Datos!D7</f>
        <v>4.7</v>
      </c>
      <c r="E7" t="s">
        <v>3</v>
      </c>
    </row>
    <row r="8" spans="2:5" x14ac:dyDescent="0.25">
      <c r="B8" t="s">
        <v>7</v>
      </c>
      <c r="C8" t="s">
        <v>9</v>
      </c>
      <c r="D8">
        <f>+P_Datos!D8</f>
        <v>0</v>
      </c>
      <c r="E8" t="s">
        <v>3</v>
      </c>
    </row>
    <row r="9" spans="2:5" x14ac:dyDescent="0.25">
      <c r="B9" t="s">
        <v>10</v>
      </c>
      <c r="C9" t="s">
        <v>11</v>
      </c>
      <c r="D9">
        <f>+P_Datos!D9</f>
        <v>4.7</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31.333333333333336</v>
      </c>
      <c r="E14" t="s">
        <v>23</v>
      </c>
    </row>
    <row r="15" spans="2:5" x14ac:dyDescent="0.25">
      <c r="B15" t="s">
        <v>16</v>
      </c>
      <c r="C15" t="s">
        <v>21</v>
      </c>
      <c r="D15">
        <f>+P_Datos!D15</f>
        <v>40</v>
      </c>
      <c r="E15" t="s">
        <v>23</v>
      </c>
    </row>
    <row r="16" spans="2:5" x14ac:dyDescent="0.25">
      <c r="B16" t="s">
        <v>17</v>
      </c>
      <c r="C16" t="s">
        <v>22</v>
      </c>
      <c r="D16">
        <f>+P_Datos!D16</f>
        <v>31.333333333333336</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19.100000000000001</v>
      </c>
      <c r="E21" t="s">
        <v>30</v>
      </c>
    </row>
    <row r="22" spans="2:5" x14ac:dyDescent="0.25">
      <c r="B22" t="s">
        <v>27</v>
      </c>
      <c r="C22" t="s">
        <v>33</v>
      </c>
      <c r="D22" s="4">
        <f>+P_Datos!D22</f>
        <v>0.15</v>
      </c>
      <c r="E22" t="s">
        <v>30</v>
      </c>
    </row>
    <row r="23" spans="2:5" x14ac:dyDescent="0.25">
      <c r="B23" t="s">
        <v>28</v>
      </c>
      <c r="C23" t="s">
        <v>34</v>
      </c>
      <c r="D23" s="4">
        <f>+P_Datos!D23</f>
        <v>0</v>
      </c>
      <c r="E23" t="s">
        <v>30</v>
      </c>
    </row>
    <row r="24" spans="2:5" x14ac:dyDescent="0.25">
      <c r="B24" t="s">
        <v>29</v>
      </c>
      <c r="C24" t="s">
        <v>35</v>
      </c>
      <c r="D24" s="4">
        <f>+P_Datos!D24</f>
        <v>0.15</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31.833333333333332</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51.483333333333334</v>
      </c>
      <c r="E31" t="s">
        <v>30</v>
      </c>
    </row>
    <row r="32" spans="2:5" x14ac:dyDescent="0.25">
      <c r="C32" t="s">
        <v>43</v>
      </c>
      <c r="D32">
        <f>+P_Datos!D32</f>
        <v>5</v>
      </c>
      <c r="E32" t="s">
        <v>46</v>
      </c>
    </row>
    <row r="33" spans="2:12" x14ac:dyDescent="0.25">
      <c r="B33" t="s">
        <v>47</v>
      </c>
      <c r="C33" t="s">
        <v>42</v>
      </c>
      <c r="D33" s="4">
        <f>+P_Datos!D33</f>
        <v>2.5741666666666667</v>
      </c>
      <c r="E33" t="s">
        <v>30</v>
      </c>
    </row>
    <row r="34" spans="2:12" x14ac:dyDescent="0.25">
      <c r="B34" s="5" t="s">
        <v>53</v>
      </c>
    </row>
    <row r="35" spans="2:12" x14ac:dyDescent="0.25">
      <c r="B35" s="23" t="s">
        <v>54</v>
      </c>
      <c r="C35" s="23" t="s">
        <v>55</v>
      </c>
      <c r="D35" s="24">
        <f>+P_Datos!D35</f>
        <v>54.057500000000005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36568</v>
      </c>
      <c r="E39" s="140" t="str">
        <f>+P_Datos!E39</f>
        <v>hab</v>
      </c>
    </row>
    <row r="40" spans="2:12" x14ac:dyDescent="0.25">
      <c r="B40" s="140" t="str">
        <f>+P_Datos!B40</f>
        <v>hab/viv</v>
      </c>
      <c r="C40" s="140" t="str">
        <f>+P_Datos!C40</f>
        <v>Relación de habitantes por vivienda</v>
      </c>
      <c r="D40" s="786">
        <f>+P_Datos!D40</f>
        <v>2.457563712882862</v>
      </c>
      <c r="E40" s="140" t="str">
        <f>+P_Datos!E40</f>
        <v>hab/vivienda</v>
      </c>
    </row>
    <row r="41" spans="2:12" x14ac:dyDescent="0.25">
      <c r="B41" s="140" t="str">
        <f>+P_Datos!B41</f>
        <v>V(10)</v>
      </c>
      <c r="C41" s="140" t="str">
        <f>+P_Datos!C41</f>
        <v>Viviendas</v>
      </c>
      <c r="D41" s="140">
        <f>+P_Datos!D41</f>
        <v>14879.776995528493</v>
      </c>
      <c r="E41" s="140" t="str">
        <f>+P_Datos!E41</f>
        <v>viviendas</v>
      </c>
    </row>
    <row r="42" spans="2:12" x14ac:dyDescent="0.25">
      <c r="B42" s="140"/>
      <c r="C42" s="140" t="str">
        <f>+P_Datos!C42</f>
        <v>Residuo de poda promedio por ejemplar</v>
      </c>
      <c r="D42" s="786">
        <f>+P_Datos!D42</f>
        <v>0.01</v>
      </c>
      <c r="E42" s="140" t="str">
        <f>+P_Datos!E42</f>
        <v>t/año/ejemplar</v>
      </c>
    </row>
    <row r="43" spans="2:12" x14ac:dyDescent="0.25">
      <c r="B43" s="140" t="str">
        <f>+P_Datos!B43</f>
        <v>g(10)</v>
      </c>
      <c r="C43" s="140" t="str">
        <f>+P_Datos!C43</f>
        <v>Poda a recoger por el servicio de recolección en día normal</v>
      </c>
      <c r="D43" s="150">
        <f>+P_Datos!D43</f>
        <v>0.97572308167399957</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6">
        <f>+P_Datos!D46</f>
        <v>2.9271692450219988</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3" t="str">
        <f>+P_Datos!C51</f>
        <v>Poda a recoger por el servicio de recolección en día crítico</v>
      </c>
      <c r="D48" s="204">
        <f>+P_Datos!D51</f>
        <v>9.1999999999999993</v>
      </c>
      <c r="E48" s="205"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19</v>
      </c>
      <c r="E51" t="s">
        <v>86</v>
      </c>
      <c r="H51" s="30" t="s">
        <v>106</v>
      </c>
      <c r="I51" s="32">
        <f>+D51*ROUNDUP(J48,0)</f>
        <v>38</v>
      </c>
      <c r="J51" s="28">
        <f>COUNT($J$48)</f>
        <v>1</v>
      </c>
      <c r="K51" s="32"/>
    </row>
    <row r="52" spans="2:11" x14ac:dyDescent="0.25">
      <c r="B52" t="s">
        <v>91</v>
      </c>
      <c r="C52" s="164" t="s">
        <v>727</v>
      </c>
      <c r="D52">
        <f>ROUNDUP(D48/I51,0)</f>
        <v>1</v>
      </c>
      <c r="E52" t="s">
        <v>96</v>
      </c>
      <c r="H52" s="30"/>
      <c r="I52" s="32">
        <f>+D52*I51</f>
        <v>38</v>
      </c>
      <c r="J52" s="28" t="b">
        <f>$D$55&lt;=$I$50</f>
        <v>1</v>
      </c>
      <c r="K52" s="32"/>
    </row>
    <row r="53" spans="2:11" x14ac:dyDescent="0.25">
      <c r="B53" t="s">
        <v>92</v>
      </c>
      <c r="C53" s="164" t="s">
        <v>728</v>
      </c>
      <c r="D53" s="165">
        <f>(((D20+D22+D23+D24+D29)*D52+(D21+D28)/ROUNDUP(J48,0))*(1+D32/100))/J48</f>
        <v>17.639026920665405</v>
      </c>
      <c r="E53" t="s">
        <v>30</v>
      </c>
      <c r="H53" s="30"/>
      <c r="J53" s="28">
        <f>{32767;32767;0.000001;0.01;FALSE;FALSE;FALSE;1;2;1;0.0001;TRUE}</f>
        <v>32767</v>
      </c>
      <c r="K53" s="32"/>
    </row>
    <row r="54" spans="2:11" ht="15.75" thickBot="1" x14ac:dyDescent="0.3">
      <c r="C54" s="127" t="s">
        <v>107</v>
      </c>
      <c r="D54" s="128">
        <f>+IF(D53&gt;D36,D53-D36,0)</f>
        <v>9.6390269206654047</v>
      </c>
      <c r="E54" s="127" t="s">
        <v>30</v>
      </c>
      <c r="H54" s="30"/>
      <c r="J54" s="29">
        <f>{0;0;1;100;0;FALSE;FALSE;0.075;0;0;FALSE;30}</f>
        <v>0</v>
      </c>
      <c r="K54" s="32"/>
    </row>
    <row r="55" spans="2:11" ht="15.75" thickBot="1" x14ac:dyDescent="0.3">
      <c r="C55" t="s">
        <v>94</v>
      </c>
      <c r="D55" s="4">
        <f>+IF(D53&gt;2*D36,D53-2*D36,0)</f>
        <v>1.6390269206654047</v>
      </c>
      <c r="E55"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0</v>
      </c>
      <c r="E57" t="s">
        <v>30</v>
      </c>
    </row>
    <row r="58" spans="2:11" x14ac:dyDescent="0.25">
      <c r="C58" s="164" t="s">
        <v>182</v>
      </c>
      <c r="D58" s="4">
        <f>+D53/D52</f>
        <v>17.639026920665405</v>
      </c>
      <c r="E58" t="s">
        <v>30</v>
      </c>
    </row>
    <row r="59" spans="2:11" x14ac:dyDescent="0.25">
      <c r="C59" s="164" t="s">
        <v>95</v>
      </c>
      <c r="D59" s="166">
        <f>ROUNDDOWN(2*D36*(D52/D66)/D53,0)</f>
        <v>0</v>
      </c>
      <c r="E59" t="s">
        <v>96</v>
      </c>
      <c r="K59" s="36"/>
    </row>
    <row r="61" spans="2:11" hidden="1" x14ac:dyDescent="0.25">
      <c r="C61" t="s">
        <v>110</v>
      </c>
      <c r="D61" s="4">
        <f>+IF((D48-D36/D58*D51)&lt;0,0,D48-D36/D58*D51)</f>
        <v>0.58274459902768427</v>
      </c>
      <c r="E61" t="s">
        <v>86</v>
      </c>
    </row>
    <row r="62" spans="2:11" hidden="1" x14ac:dyDescent="0.25">
      <c r="C62" t="s">
        <v>111</v>
      </c>
      <c r="D62" s="4">
        <f>+D48-D61</f>
        <v>8.617255400972315</v>
      </c>
      <c r="E62" t="s">
        <v>86</v>
      </c>
    </row>
    <row r="63" spans="2:11" hidden="1" x14ac:dyDescent="0.25">
      <c r="C63" t="s">
        <v>148</v>
      </c>
      <c r="D63" s="4">
        <f>IF(D53&lt;=2*D36,D48,2*D36/D58*D51)</f>
        <v>17.23451080194463</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104.9</v>
      </c>
      <c r="E70" s="164" t="s">
        <v>244</v>
      </c>
    </row>
    <row r="71" spans="3:5" x14ac:dyDescent="0.25">
      <c r="C71" t="s">
        <v>118</v>
      </c>
      <c r="D71" s="141">
        <f>+D70*D66</f>
        <v>209.8</v>
      </c>
      <c r="E71" s="164" t="s">
        <v>244</v>
      </c>
    </row>
    <row r="72" spans="3:5" x14ac:dyDescent="0.25">
      <c r="C72" t="s">
        <v>123</v>
      </c>
      <c r="D72" s="165">
        <f>+D48/D66</f>
        <v>4.5999999999999996</v>
      </c>
      <c r="E72" t="s">
        <v>87</v>
      </c>
    </row>
    <row r="73" spans="3:5" x14ac:dyDescent="0.25">
      <c r="C73" t="s">
        <v>123</v>
      </c>
      <c r="D73" s="141">
        <f>+D72*D47*D44*52</f>
        <v>7176</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6"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Hoja63"/>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Pehuajó</v>
      </c>
    </row>
    <row r="4" spans="2:5" x14ac:dyDescent="0.25">
      <c r="B4" s="2" t="s">
        <v>0</v>
      </c>
    </row>
    <row r="5" spans="2:5" x14ac:dyDescent="0.25">
      <c r="B5" t="s">
        <v>1</v>
      </c>
      <c r="C5" t="s">
        <v>2</v>
      </c>
      <c r="D5">
        <f>+P_Datos!D5</f>
        <v>0</v>
      </c>
      <c r="E5" t="s">
        <v>3</v>
      </c>
    </row>
    <row r="6" spans="2:5" x14ac:dyDescent="0.25">
      <c r="B6" t="s">
        <v>4</v>
      </c>
      <c r="C6" t="s">
        <v>5</v>
      </c>
      <c r="D6" s="150">
        <f>+P_Datos!D6</f>
        <v>191</v>
      </c>
      <c r="E6" t="s">
        <v>3</v>
      </c>
    </row>
    <row r="7" spans="2:5" x14ac:dyDescent="0.25">
      <c r="B7" t="s">
        <v>6</v>
      </c>
      <c r="C7" t="s">
        <v>8</v>
      </c>
      <c r="D7">
        <f>+P_Datos!D7</f>
        <v>4.7</v>
      </c>
      <c r="E7" t="s">
        <v>3</v>
      </c>
    </row>
    <row r="8" spans="2:5" x14ac:dyDescent="0.25">
      <c r="B8" t="s">
        <v>7</v>
      </c>
      <c r="C8" t="s">
        <v>9</v>
      </c>
      <c r="D8">
        <f>+P_Datos!D8</f>
        <v>0</v>
      </c>
      <c r="E8" t="s">
        <v>3</v>
      </c>
    </row>
    <row r="9" spans="2:5" x14ac:dyDescent="0.25">
      <c r="B9" t="s">
        <v>10</v>
      </c>
      <c r="C9" t="s">
        <v>11</v>
      </c>
      <c r="D9">
        <f>+P_Datos!D9</f>
        <v>4.7</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31.333333333333336</v>
      </c>
      <c r="E14" t="s">
        <v>23</v>
      </c>
    </row>
    <row r="15" spans="2:5" x14ac:dyDescent="0.25">
      <c r="B15" t="s">
        <v>16</v>
      </c>
      <c r="C15" t="s">
        <v>21</v>
      </c>
      <c r="D15">
        <f>+P_Datos!D15</f>
        <v>40</v>
      </c>
      <c r="E15" t="s">
        <v>23</v>
      </c>
    </row>
    <row r="16" spans="2:5" x14ac:dyDescent="0.25">
      <c r="B16" t="s">
        <v>17</v>
      </c>
      <c r="C16" t="s">
        <v>22</v>
      </c>
      <c r="D16">
        <f>+P_Datos!D16</f>
        <v>31.333333333333336</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19.100000000000001</v>
      </c>
      <c r="E21" t="s">
        <v>30</v>
      </c>
    </row>
    <row r="22" spans="2:5" x14ac:dyDescent="0.25">
      <c r="B22" t="s">
        <v>27</v>
      </c>
      <c r="C22" t="s">
        <v>33</v>
      </c>
      <c r="D22" s="4">
        <f>+P_Datos!D22</f>
        <v>0.15</v>
      </c>
      <c r="E22" t="s">
        <v>30</v>
      </c>
    </row>
    <row r="23" spans="2:5" x14ac:dyDescent="0.25">
      <c r="B23" t="s">
        <v>28</v>
      </c>
      <c r="C23" t="s">
        <v>34</v>
      </c>
      <c r="D23" s="4">
        <f>+P_Datos!D23</f>
        <v>0</v>
      </c>
      <c r="E23" t="s">
        <v>30</v>
      </c>
    </row>
    <row r="24" spans="2:5" x14ac:dyDescent="0.25">
      <c r="B24" t="s">
        <v>29</v>
      </c>
      <c r="C24" t="s">
        <v>35</v>
      </c>
      <c r="D24" s="4">
        <f>+P_Datos!D24</f>
        <v>0.15</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31.833333333333332</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51.483333333333334</v>
      </c>
      <c r="E31" t="s">
        <v>30</v>
      </c>
    </row>
    <row r="32" spans="2:5" x14ac:dyDescent="0.25">
      <c r="C32" t="s">
        <v>43</v>
      </c>
      <c r="D32">
        <f>+P_Datos!D32</f>
        <v>5</v>
      </c>
      <c r="E32" t="s">
        <v>46</v>
      </c>
    </row>
    <row r="33" spans="2:12" x14ac:dyDescent="0.25">
      <c r="B33" t="s">
        <v>47</v>
      </c>
      <c r="C33" t="s">
        <v>42</v>
      </c>
      <c r="D33" s="4">
        <f>+P_Datos!D33</f>
        <v>2.5741666666666667</v>
      </c>
      <c r="E33" t="s">
        <v>30</v>
      </c>
    </row>
    <row r="34" spans="2:12" x14ac:dyDescent="0.25">
      <c r="B34" s="5" t="s">
        <v>53</v>
      </c>
    </row>
    <row r="35" spans="2:12" x14ac:dyDescent="0.25">
      <c r="B35" s="23" t="s">
        <v>54</v>
      </c>
      <c r="C35" s="23" t="s">
        <v>55</v>
      </c>
      <c r="D35" s="24">
        <f>+P_Datos!D35</f>
        <v>54.057500000000005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36568</v>
      </c>
      <c r="E39" s="140" t="str">
        <f>+P_Datos!E39</f>
        <v>hab</v>
      </c>
    </row>
    <row r="40" spans="2:12" x14ac:dyDescent="0.25">
      <c r="B40" s="140" t="str">
        <f>+P_Datos!B40</f>
        <v>hab/viv</v>
      </c>
      <c r="C40" s="140" t="str">
        <f>+P_Datos!C40</f>
        <v>Relación de habitantes por vivienda</v>
      </c>
      <c r="D40" s="786">
        <f>+P_Datos!D40</f>
        <v>2.457563712882862</v>
      </c>
      <c r="E40" s="140" t="str">
        <f>+P_Datos!E40</f>
        <v>hab/vivienda</v>
      </c>
    </row>
    <row r="41" spans="2:12" x14ac:dyDescent="0.25">
      <c r="B41" s="140" t="str">
        <f>+P_Datos!B41</f>
        <v>V(10)</v>
      </c>
      <c r="C41" s="140" t="str">
        <f>+P_Datos!C41</f>
        <v>Viviendas</v>
      </c>
      <c r="D41" s="140">
        <f>+P_Datos!D41</f>
        <v>14879.776995528493</v>
      </c>
      <c r="E41" s="140" t="str">
        <f>+P_Datos!E41</f>
        <v>viviendas</v>
      </c>
    </row>
    <row r="42" spans="2:12" x14ac:dyDescent="0.25">
      <c r="B42" s="140"/>
      <c r="C42" s="140" t="str">
        <f>+P_Datos!C42</f>
        <v>Residuo de poda promedio por ejemplar</v>
      </c>
      <c r="D42" s="786">
        <f>+P_Datos!D42</f>
        <v>0.01</v>
      </c>
      <c r="E42" s="140" t="str">
        <f>+P_Datos!E42</f>
        <v>t/año/ejemplar</v>
      </c>
    </row>
    <row r="43" spans="2:12" x14ac:dyDescent="0.25">
      <c r="B43" s="140" t="str">
        <f>+P_Datos!B43</f>
        <v>g(10)</v>
      </c>
      <c r="C43" s="140" t="str">
        <f>+P_Datos!C43</f>
        <v>Poda a recoger por el servicio de recolección en día normal</v>
      </c>
      <c r="D43" s="150">
        <f>+P_Datos!D43</f>
        <v>0.97572308167399957</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6">
        <f>+P_Datos!D46</f>
        <v>2.9271692450219988</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3" t="str">
        <f>+P_Datos!C51</f>
        <v>Poda a recoger por el servicio de recolección en día crítico</v>
      </c>
      <c r="D48" s="201">
        <f>+P_Datos!D51</f>
        <v>9.1999999999999993</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21</v>
      </c>
      <c r="E51" t="s">
        <v>86</v>
      </c>
      <c r="H51" s="30" t="s">
        <v>106</v>
      </c>
      <c r="I51" s="32">
        <f>+D51*ROUNDUP(J48,0)</f>
        <v>42</v>
      </c>
      <c r="J51" s="28">
        <f>COUNT($J$48)</f>
        <v>1</v>
      </c>
      <c r="K51" s="32"/>
    </row>
    <row r="52" spans="2:11" x14ac:dyDescent="0.25">
      <c r="B52" t="s">
        <v>91</v>
      </c>
      <c r="C52" s="164" t="s">
        <v>727</v>
      </c>
      <c r="D52">
        <f>ROUNDUP(D48/I51,0)</f>
        <v>1</v>
      </c>
      <c r="E52" t="s">
        <v>96</v>
      </c>
      <c r="H52" s="30"/>
      <c r="I52" s="32">
        <f>+D52*I51</f>
        <v>42</v>
      </c>
      <c r="J52" s="28" t="b">
        <f>$D$55&lt;=$I$50</f>
        <v>1</v>
      </c>
      <c r="K52" s="32"/>
    </row>
    <row r="53" spans="2:11" x14ac:dyDescent="0.25">
      <c r="B53" t="s">
        <v>92</v>
      </c>
      <c r="C53" s="164" t="s">
        <v>728</v>
      </c>
      <c r="D53" s="165">
        <f>(((D20+D22+D23+D24+D29)*D52+(D21+D28)/ROUNDUP(J48,0))*(1+D32/100))/J48</f>
        <v>27.047029702970299</v>
      </c>
      <c r="E53" t="s">
        <v>30</v>
      </c>
      <c r="H53" s="30"/>
      <c r="J53" s="28">
        <f>{32767;32767;0.000001;0.01;FALSE;FALSE;FALSE;1;2;1;0.0001;TRUE}</f>
        <v>32767</v>
      </c>
      <c r="K53" s="32"/>
    </row>
    <row r="54" spans="2:11" ht="15.75" thickBot="1" x14ac:dyDescent="0.3">
      <c r="C54" t="s">
        <v>107</v>
      </c>
      <c r="D54" s="4">
        <f>+IF(D53&gt;D36,D53-D36,0)</f>
        <v>19.047029702970299</v>
      </c>
      <c r="E54" t="s">
        <v>30</v>
      </c>
      <c r="H54" s="30"/>
      <c r="J54" s="29">
        <f>{0;0;1;100;0;FALSE;FALSE;0.075;0;0;FALSE;30}</f>
        <v>0</v>
      </c>
      <c r="K54" s="32"/>
    </row>
    <row r="55" spans="2:11" ht="15.75" thickBot="1" x14ac:dyDescent="0.3">
      <c r="C55" s="129" t="s">
        <v>94</v>
      </c>
      <c r="D55" s="130">
        <f>+IF(D53&gt;2*D36,D53-2*D36,0)</f>
        <v>11.047029702970299</v>
      </c>
      <c r="E55" s="129"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0</v>
      </c>
      <c r="E57" t="s">
        <v>30</v>
      </c>
    </row>
    <row r="58" spans="2:11" x14ac:dyDescent="0.25">
      <c r="C58" s="164" t="s">
        <v>182</v>
      </c>
      <c r="D58" s="4">
        <f>+D53</f>
        <v>27.047029702970299</v>
      </c>
      <c r="E58" t="s">
        <v>30</v>
      </c>
    </row>
    <row r="59" spans="2:11" x14ac:dyDescent="0.25">
      <c r="C59" s="164" t="s">
        <v>95</v>
      </c>
      <c r="D59" s="166">
        <f>ROUNDDOWN(2*D36*(D52/D66)/D53,0)</f>
        <v>0</v>
      </c>
      <c r="E59" t="s">
        <v>96</v>
      </c>
      <c r="K59" s="36"/>
    </row>
    <row r="61" spans="2:11" hidden="1" x14ac:dyDescent="0.25">
      <c r="C61" t="s">
        <v>110</v>
      </c>
      <c r="D61" s="4">
        <f>+IF((D48-D36/D58*D51)&lt;0,0,D48-D36/D58*D51)</f>
        <v>2.988597053171044</v>
      </c>
      <c r="E61" t="s">
        <v>86</v>
      </c>
    </row>
    <row r="62" spans="2:11" hidden="1" x14ac:dyDescent="0.25">
      <c r="C62" t="s">
        <v>111</v>
      </c>
      <c r="D62" s="4">
        <f>+D48-D61</f>
        <v>6.2114029468289553</v>
      </c>
      <c r="E62" t="s">
        <v>86</v>
      </c>
    </row>
    <row r="63" spans="2:11" hidden="1" x14ac:dyDescent="0.25">
      <c r="C63" t="s">
        <v>148</v>
      </c>
      <c r="D63" s="4">
        <f>IF(D53&lt;=2*D36,D48,2*D36/D58*D51)</f>
        <v>12.422805893657911</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104.9</v>
      </c>
      <c r="E70" s="164" t="s">
        <v>244</v>
      </c>
    </row>
    <row r="71" spans="3:5" x14ac:dyDescent="0.25">
      <c r="C71" t="s">
        <v>118</v>
      </c>
      <c r="D71" s="141">
        <f>+D70*D66</f>
        <v>209.8</v>
      </c>
      <c r="E71" s="164" t="s">
        <v>244</v>
      </c>
    </row>
    <row r="72" spans="3:5" x14ac:dyDescent="0.25">
      <c r="C72" t="s">
        <v>123</v>
      </c>
      <c r="D72" s="165">
        <f>+D48/D66</f>
        <v>4.5999999999999996</v>
      </c>
      <c r="E72" t="s">
        <v>87</v>
      </c>
    </row>
    <row r="73" spans="3:5" x14ac:dyDescent="0.25">
      <c r="C73" t="s">
        <v>123</v>
      </c>
      <c r="D73" s="141">
        <f>+D72*D47*D44*52</f>
        <v>7176</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5"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Macro_P2T">
                <anchor moveWithCells="1">
                  <from>
                    <xdr:col>7</xdr:col>
                    <xdr:colOff>47625</xdr:colOff>
                    <xdr:row>64</xdr:row>
                    <xdr:rowOff>57150</xdr:rowOff>
                  </from>
                  <to>
                    <xdr:col>8</xdr:col>
                    <xdr:colOff>723900</xdr:colOff>
                    <xdr:row>67</xdr:row>
                    <xdr:rowOff>114300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Hoja64"/>
  <dimension ref="B1:L76"/>
  <sheetViews>
    <sheetView view="pageBreakPreview" topLeftCell="A31"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Pehuajó</v>
      </c>
    </row>
    <row r="4" spans="2:5" x14ac:dyDescent="0.25">
      <c r="B4" s="2" t="s">
        <v>0</v>
      </c>
    </row>
    <row r="5" spans="2:5" x14ac:dyDescent="0.25">
      <c r="B5" t="s">
        <v>1</v>
      </c>
      <c r="C5" t="s">
        <v>2</v>
      </c>
      <c r="D5">
        <f>+P_Datos!D5</f>
        <v>0</v>
      </c>
      <c r="E5" t="s">
        <v>3</v>
      </c>
    </row>
    <row r="6" spans="2:5" x14ac:dyDescent="0.25">
      <c r="B6" t="s">
        <v>4</v>
      </c>
      <c r="C6" t="s">
        <v>5</v>
      </c>
      <c r="D6" s="150">
        <f>+P_Datos!D6</f>
        <v>191</v>
      </c>
      <c r="E6" t="s">
        <v>3</v>
      </c>
    </row>
    <row r="7" spans="2:5" x14ac:dyDescent="0.25">
      <c r="B7" t="s">
        <v>6</v>
      </c>
      <c r="C7" t="s">
        <v>8</v>
      </c>
      <c r="D7">
        <f>+P_Datos!D7</f>
        <v>4.7</v>
      </c>
      <c r="E7" t="s">
        <v>3</v>
      </c>
    </row>
    <row r="8" spans="2:5" x14ac:dyDescent="0.25">
      <c r="B8" t="s">
        <v>7</v>
      </c>
      <c r="C8" t="s">
        <v>9</v>
      </c>
      <c r="D8">
        <f>+P_Datos!D8</f>
        <v>0</v>
      </c>
      <c r="E8" t="s">
        <v>3</v>
      </c>
    </row>
    <row r="9" spans="2:5" x14ac:dyDescent="0.25">
      <c r="B9" t="s">
        <v>10</v>
      </c>
      <c r="C9" t="s">
        <v>11</v>
      </c>
      <c r="D9">
        <f>+P_Datos!D9</f>
        <v>4.7</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31.333333333333336</v>
      </c>
      <c r="E14" t="s">
        <v>23</v>
      </c>
    </row>
    <row r="15" spans="2:5" x14ac:dyDescent="0.25">
      <c r="B15" t="s">
        <v>16</v>
      </c>
      <c r="C15" t="s">
        <v>21</v>
      </c>
      <c r="D15">
        <f>+P_Datos!D15</f>
        <v>40</v>
      </c>
      <c r="E15" t="s">
        <v>23</v>
      </c>
    </row>
    <row r="16" spans="2:5" x14ac:dyDescent="0.25">
      <c r="B16" t="s">
        <v>17</v>
      </c>
      <c r="C16" t="s">
        <v>22</v>
      </c>
      <c r="D16">
        <f>+P_Datos!D16</f>
        <v>31.333333333333336</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19.100000000000001</v>
      </c>
      <c r="E21" t="s">
        <v>30</v>
      </c>
    </row>
    <row r="22" spans="2:5" x14ac:dyDescent="0.25">
      <c r="B22" t="s">
        <v>27</v>
      </c>
      <c r="C22" t="s">
        <v>33</v>
      </c>
      <c r="D22" s="4">
        <f>+P_Datos!D22</f>
        <v>0.15</v>
      </c>
      <c r="E22" t="s">
        <v>30</v>
      </c>
    </row>
    <row r="23" spans="2:5" x14ac:dyDescent="0.25">
      <c r="B23" t="s">
        <v>28</v>
      </c>
      <c r="C23" t="s">
        <v>34</v>
      </c>
      <c r="D23" s="4">
        <f>+P_Datos!D23</f>
        <v>0</v>
      </c>
      <c r="E23" t="s">
        <v>30</v>
      </c>
    </row>
    <row r="24" spans="2:5" x14ac:dyDescent="0.25">
      <c r="B24" t="s">
        <v>29</v>
      </c>
      <c r="C24" t="s">
        <v>35</v>
      </c>
      <c r="D24" s="4">
        <f>+P_Datos!D24</f>
        <v>0.15</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31.833333333333332</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51.483333333333334</v>
      </c>
      <c r="E31" t="s">
        <v>30</v>
      </c>
    </row>
    <row r="32" spans="2:5" x14ac:dyDescent="0.25">
      <c r="C32" t="s">
        <v>43</v>
      </c>
      <c r="D32">
        <f>+P_Datos!D32</f>
        <v>5</v>
      </c>
      <c r="E32" t="s">
        <v>46</v>
      </c>
    </row>
    <row r="33" spans="2:12" x14ac:dyDescent="0.25">
      <c r="B33" t="s">
        <v>47</v>
      </c>
      <c r="C33" t="s">
        <v>42</v>
      </c>
      <c r="D33" s="4">
        <f>+P_Datos!D33</f>
        <v>2.5741666666666667</v>
      </c>
      <c r="E33" t="s">
        <v>30</v>
      </c>
    </row>
    <row r="34" spans="2:12" x14ac:dyDescent="0.25">
      <c r="B34" s="5" t="s">
        <v>53</v>
      </c>
    </row>
    <row r="35" spans="2:12" x14ac:dyDescent="0.25">
      <c r="B35" s="23" t="s">
        <v>54</v>
      </c>
      <c r="C35" s="23" t="s">
        <v>55</v>
      </c>
      <c r="D35" s="24">
        <f>+P_Datos!D35</f>
        <v>54.057500000000005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36568</v>
      </c>
      <c r="E39" s="140" t="str">
        <f>+P_Datos!E39</f>
        <v>hab</v>
      </c>
    </row>
    <row r="40" spans="2:12" x14ac:dyDescent="0.25">
      <c r="B40" s="140" t="str">
        <f>+P_Datos!B40</f>
        <v>hab/viv</v>
      </c>
      <c r="C40" s="140" t="str">
        <f>+P_Datos!C40</f>
        <v>Relación de habitantes por vivienda</v>
      </c>
      <c r="D40" s="786">
        <f>+P_Datos!D40</f>
        <v>2.457563712882862</v>
      </c>
      <c r="E40" s="140" t="str">
        <f>+P_Datos!E40</f>
        <v>hab/vivienda</v>
      </c>
    </row>
    <row r="41" spans="2:12" x14ac:dyDescent="0.25">
      <c r="B41" s="140" t="str">
        <f>+P_Datos!B41</f>
        <v>V(10)</v>
      </c>
      <c r="C41" s="140" t="str">
        <f>+P_Datos!C41</f>
        <v>Viviendas</v>
      </c>
      <c r="D41" s="140">
        <f>+P_Datos!D41</f>
        <v>14879.776995528493</v>
      </c>
      <c r="E41" s="140" t="str">
        <f>+P_Datos!E41</f>
        <v>viviendas</v>
      </c>
    </row>
    <row r="42" spans="2:12" x14ac:dyDescent="0.25">
      <c r="B42" s="140"/>
      <c r="C42" s="140" t="str">
        <f>+P_Datos!C42</f>
        <v>Residuo de poda promedio por ejemplar</v>
      </c>
      <c r="D42" s="786">
        <f>+P_Datos!D42</f>
        <v>0.01</v>
      </c>
      <c r="E42" s="140" t="str">
        <f>+P_Datos!E42</f>
        <v>t/año/ejemplar</v>
      </c>
    </row>
    <row r="43" spans="2:12" x14ac:dyDescent="0.25">
      <c r="B43" s="140" t="str">
        <f>+P_Datos!B43</f>
        <v>g(10)</v>
      </c>
      <c r="C43" s="140" t="str">
        <f>+P_Datos!C43</f>
        <v>Poda a recoger por el servicio de recolección en día normal</v>
      </c>
      <c r="D43" s="150">
        <f>+P_Datos!D43</f>
        <v>0.97572308167399957</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6">
        <f>+P_Datos!D46</f>
        <v>2.9271692450219988</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3" t="str">
        <f>+P_Datos!C51</f>
        <v>Poda a recoger por el servicio de recolección en día crítico</v>
      </c>
      <c r="D48" s="204">
        <f>+P_Datos!D51</f>
        <v>9.1999999999999993</v>
      </c>
      <c r="E48" s="205"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21</v>
      </c>
      <c r="E51" t="s">
        <v>86</v>
      </c>
      <c r="H51" s="30" t="s">
        <v>106</v>
      </c>
      <c r="I51" s="32">
        <f>+D51*ROUNDUP(J48,0)</f>
        <v>42</v>
      </c>
      <c r="J51" s="28">
        <f>COUNT($J$48)</f>
        <v>1</v>
      </c>
      <c r="K51" s="32"/>
    </row>
    <row r="52" spans="2:11" x14ac:dyDescent="0.25">
      <c r="B52" t="s">
        <v>91</v>
      </c>
      <c r="C52" s="164" t="s">
        <v>727</v>
      </c>
      <c r="D52">
        <f>ROUNDUP(D48/I51,0)</f>
        <v>1</v>
      </c>
      <c r="E52" t="s">
        <v>96</v>
      </c>
      <c r="H52" s="30"/>
      <c r="I52" s="32">
        <f>+D52*I51</f>
        <v>42</v>
      </c>
      <c r="J52" s="28" t="b">
        <f>$D$55&lt;=$I$50</f>
        <v>1</v>
      </c>
      <c r="K52" s="32"/>
    </row>
    <row r="53" spans="2:11" x14ac:dyDescent="0.25">
      <c r="B53" t="s">
        <v>92</v>
      </c>
      <c r="C53" s="164" t="s">
        <v>728</v>
      </c>
      <c r="D53" s="165">
        <f>(((D20+D22+D23+D24+D29)*D52+(D21+D28)/ROUNDUP(J48,0))*(1+D32/100))/J48</f>
        <v>17.639026920665405</v>
      </c>
      <c r="E53" t="s">
        <v>30</v>
      </c>
      <c r="H53" s="30"/>
      <c r="J53" s="28">
        <f>{32767;32767;0.000001;0.01;FALSE;FALSE;FALSE;1;2;1;0.0001;TRUE}</f>
        <v>32767</v>
      </c>
      <c r="K53" s="32"/>
    </row>
    <row r="54" spans="2:11" ht="15.75" thickBot="1" x14ac:dyDescent="0.3">
      <c r="C54" s="127" t="s">
        <v>107</v>
      </c>
      <c r="D54" s="128">
        <f>+IF(D53&gt;D36,D53-D36,0)</f>
        <v>9.6390269206654047</v>
      </c>
      <c r="E54" s="127" t="s">
        <v>30</v>
      </c>
      <c r="H54" s="30"/>
      <c r="J54" s="29">
        <f>{0;0;1;100;0;FALSE;FALSE;0.075;0;0;FALSE;30}</f>
        <v>0</v>
      </c>
      <c r="K54" s="32"/>
    </row>
    <row r="55" spans="2:11" ht="15.75" thickBot="1" x14ac:dyDescent="0.3">
      <c r="C55" t="s">
        <v>94</v>
      </c>
      <c r="D55" s="4">
        <f>+IF(D53&gt;2*D36,D53-2*D36,0)</f>
        <v>1.6390269206654047</v>
      </c>
      <c r="E55"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0</v>
      </c>
      <c r="E57" t="s">
        <v>30</v>
      </c>
    </row>
    <row r="58" spans="2:11" x14ac:dyDescent="0.25">
      <c r="C58" s="164" t="s">
        <v>182</v>
      </c>
      <c r="D58" s="4">
        <f>+D53/D52</f>
        <v>17.639026920665405</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9.1999999999999993</v>
      </c>
      <c r="E62" t="s">
        <v>86</v>
      </c>
    </row>
    <row r="63" spans="2:11" hidden="1" x14ac:dyDescent="0.25">
      <c r="C63" t="s">
        <v>148</v>
      </c>
      <c r="D63" s="4">
        <f>IF(D53&lt;=2*D36,D48,2*D36/D58*D51)</f>
        <v>19.048669833728272</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104.9</v>
      </c>
      <c r="E70" s="164" t="s">
        <v>244</v>
      </c>
    </row>
    <row r="71" spans="3:5" x14ac:dyDescent="0.25">
      <c r="C71" t="s">
        <v>118</v>
      </c>
      <c r="D71" s="141">
        <f>+D70*D66</f>
        <v>209.8</v>
      </c>
      <c r="E71" s="164" t="s">
        <v>244</v>
      </c>
    </row>
    <row r="72" spans="3:5" x14ac:dyDescent="0.25">
      <c r="C72" t="s">
        <v>123</v>
      </c>
      <c r="D72" s="165">
        <f>+D48/D66</f>
        <v>4.5999999999999996</v>
      </c>
      <c r="E72" t="s">
        <v>87</v>
      </c>
    </row>
    <row r="73" spans="3:5" x14ac:dyDescent="0.25">
      <c r="C73" t="s">
        <v>123</v>
      </c>
      <c r="D73" s="141">
        <f>+D72*D47*D44*52</f>
        <v>7176</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4"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0]!Macro_P1T">
                <anchor moveWithCells="1">
                  <from>
                    <xdr:col>7</xdr:col>
                    <xdr:colOff>57150</xdr:colOff>
                    <xdr:row>62</xdr:row>
                    <xdr:rowOff>57150</xdr:rowOff>
                  </from>
                  <to>
                    <xdr:col>8</xdr:col>
                    <xdr:colOff>733425</xdr:colOff>
                    <xdr:row>67</xdr:row>
                    <xdr:rowOff>57150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Hoja65"/>
  <dimension ref="B1:L76"/>
  <sheetViews>
    <sheetView view="pageBreakPreview" topLeftCell="A34"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Pehuajó</v>
      </c>
    </row>
    <row r="4" spans="2:5" x14ac:dyDescent="0.25">
      <c r="B4" s="2" t="s">
        <v>0</v>
      </c>
    </row>
    <row r="5" spans="2:5" x14ac:dyDescent="0.25">
      <c r="B5" t="s">
        <v>1</v>
      </c>
      <c r="C5" t="s">
        <v>2</v>
      </c>
      <c r="D5">
        <f>+P_Datos!D5</f>
        <v>0</v>
      </c>
      <c r="E5" t="s">
        <v>3</v>
      </c>
    </row>
    <row r="6" spans="2:5" x14ac:dyDescent="0.25">
      <c r="B6" t="s">
        <v>4</v>
      </c>
      <c r="C6" t="s">
        <v>5</v>
      </c>
      <c r="D6" s="150">
        <f>+P_Datos!D6</f>
        <v>191</v>
      </c>
      <c r="E6" t="s">
        <v>3</v>
      </c>
    </row>
    <row r="7" spans="2:5" x14ac:dyDescent="0.25">
      <c r="B7" t="s">
        <v>6</v>
      </c>
      <c r="C7" t="s">
        <v>8</v>
      </c>
      <c r="D7">
        <f>+P_Datos!D7</f>
        <v>4.7</v>
      </c>
      <c r="E7" t="s">
        <v>3</v>
      </c>
    </row>
    <row r="8" spans="2:5" x14ac:dyDescent="0.25">
      <c r="B8" t="s">
        <v>7</v>
      </c>
      <c r="C8" t="s">
        <v>9</v>
      </c>
      <c r="D8">
        <f>+P_Datos!D8</f>
        <v>0</v>
      </c>
      <c r="E8" t="s">
        <v>3</v>
      </c>
    </row>
    <row r="9" spans="2:5" x14ac:dyDescent="0.25">
      <c r="B9" t="s">
        <v>10</v>
      </c>
      <c r="C9" t="s">
        <v>11</v>
      </c>
      <c r="D9">
        <f>+P_Datos!D9</f>
        <v>4.7</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31.333333333333336</v>
      </c>
      <c r="E14" t="s">
        <v>23</v>
      </c>
    </row>
    <row r="15" spans="2:5" x14ac:dyDescent="0.25">
      <c r="B15" t="s">
        <v>16</v>
      </c>
      <c r="C15" t="s">
        <v>21</v>
      </c>
      <c r="D15">
        <f>+P_Datos!D15</f>
        <v>40</v>
      </c>
      <c r="E15" t="s">
        <v>23</v>
      </c>
    </row>
    <row r="16" spans="2:5" x14ac:dyDescent="0.25">
      <c r="B16" t="s">
        <v>17</v>
      </c>
      <c r="C16" t="s">
        <v>22</v>
      </c>
      <c r="D16">
        <f>+P_Datos!D16</f>
        <v>31.333333333333336</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19.100000000000001</v>
      </c>
      <c r="E21" t="s">
        <v>30</v>
      </c>
    </row>
    <row r="22" spans="2:5" x14ac:dyDescent="0.25">
      <c r="B22" t="s">
        <v>27</v>
      </c>
      <c r="C22" t="s">
        <v>33</v>
      </c>
      <c r="D22" s="4">
        <f>+P_Datos!D22</f>
        <v>0.15</v>
      </c>
      <c r="E22" t="s">
        <v>30</v>
      </c>
    </row>
    <row r="23" spans="2:5" x14ac:dyDescent="0.25">
      <c r="B23" t="s">
        <v>28</v>
      </c>
      <c r="C23" t="s">
        <v>34</v>
      </c>
      <c r="D23" s="4">
        <f>+P_Datos!D23</f>
        <v>0</v>
      </c>
      <c r="E23" t="s">
        <v>30</v>
      </c>
    </row>
    <row r="24" spans="2:5" x14ac:dyDescent="0.25">
      <c r="B24" t="s">
        <v>29</v>
      </c>
      <c r="C24" t="s">
        <v>35</v>
      </c>
      <c r="D24" s="4">
        <f>+P_Datos!D24</f>
        <v>0.15</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31.833333333333332</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51.483333333333334</v>
      </c>
      <c r="E31" t="s">
        <v>30</v>
      </c>
    </row>
    <row r="32" spans="2:5" x14ac:dyDescent="0.25">
      <c r="C32" t="s">
        <v>43</v>
      </c>
      <c r="D32">
        <f>+P_Datos!D32</f>
        <v>5</v>
      </c>
      <c r="E32" t="s">
        <v>46</v>
      </c>
    </row>
    <row r="33" spans="2:12" x14ac:dyDescent="0.25">
      <c r="B33" t="s">
        <v>47</v>
      </c>
      <c r="C33" t="s">
        <v>42</v>
      </c>
      <c r="D33" s="4">
        <f>+P_Datos!D33</f>
        <v>2.5741666666666667</v>
      </c>
      <c r="E33" t="s">
        <v>30</v>
      </c>
    </row>
    <row r="34" spans="2:12" x14ac:dyDescent="0.25">
      <c r="B34" s="5" t="s">
        <v>53</v>
      </c>
    </row>
    <row r="35" spans="2:12" x14ac:dyDescent="0.25">
      <c r="B35" s="23" t="s">
        <v>54</v>
      </c>
      <c r="C35" s="23" t="s">
        <v>55</v>
      </c>
      <c r="D35" s="24">
        <f>+P_Datos!D35</f>
        <v>54.057500000000005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36568</v>
      </c>
      <c r="E39" s="140" t="str">
        <f>+P_Datos!E39</f>
        <v>hab</v>
      </c>
    </row>
    <row r="40" spans="2:12" x14ac:dyDescent="0.25">
      <c r="B40" s="140" t="str">
        <f>+P_Datos!B40</f>
        <v>hab/viv</v>
      </c>
      <c r="C40" s="140" t="str">
        <f>+P_Datos!C40</f>
        <v>Relación de habitantes por vivienda</v>
      </c>
      <c r="D40" s="786">
        <f>+P_Datos!D40</f>
        <v>2.457563712882862</v>
      </c>
      <c r="E40" s="140" t="str">
        <f>+P_Datos!E40</f>
        <v>hab/vivienda</v>
      </c>
    </row>
    <row r="41" spans="2:12" x14ac:dyDescent="0.25">
      <c r="B41" s="140" t="str">
        <f>+P_Datos!B41</f>
        <v>V(10)</v>
      </c>
      <c r="C41" s="140" t="str">
        <f>+P_Datos!C41</f>
        <v>Viviendas</v>
      </c>
      <c r="D41" s="140">
        <f>+P_Datos!D41</f>
        <v>14879.776995528493</v>
      </c>
      <c r="E41" s="140" t="str">
        <f>+P_Datos!E41</f>
        <v>viviendas</v>
      </c>
    </row>
    <row r="42" spans="2:12" x14ac:dyDescent="0.25">
      <c r="B42" s="140"/>
      <c r="C42" s="140" t="str">
        <f>+P_Datos!C42</f>
        <v>Residuo de poda promedio por ejemplar</v>
      </c>
      <c r="D42" s="786">
        <f>+P_Datos!D42</f>
        <v>0.01</v>
      </c>
      <c r="E42" s="140" t="str">
        <f>+P_Datos!E42</f>
        <v>t/año/ejemplar</v>
      </c>
    </row>
    <row r="43" spans="2:12" x14ac:dyDescent="0.25">
      <c r="B43" s="140" t="str">
        <f>+P_Datos!B43</f>
        <v>g(10)</v>
      </c>
      <c r="C43" s="140" t="str">
        <f>+P_Datos!C43</f>
        <v>Poda a recoger por el servicio de recolección en día normal</v>
      </c>
      <c r="D43" s="150">
        <f>+P_Datos!D43</f>
        <v>0.97572308167399957</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6">
        <f>+P_Datos!D46</f>
        <v>2.9271692450219988</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3" t="str">
        <f>+P_Datos!C51</f>
        <v>Poda a recoger por el servicio de recolección en día crítico</v>
      </c>
      <c r="D48" s="201">
        <f>+P_Datos!D51</f>
        <v>9.1999999999999993</v>
      </c>
      <c r="E48" s="205" t="s">
        <v>87</v>
      </c>
      <c r="H48" s="30"/>
      <c r="I48" s="31" t="s">
        <v>99</v>
      </c>
      <c r="J48" s="125">
        <v>1.01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24</v>
      </c>
      <c r="E51" t="s">
        <v>86</v>
      </c>
      <c r="H51" s="30" t="s">
        <v>106</v>
      </c>
      <c r="I51" s="32">
        <f>+D51*ROUNDUP(J48,0)</f>
        <v>48</v>
      </c>
      <c r="J51" s="28">
        <f>COUNT($J$48)</f>
        <v>1</v>
      </c>
      <c r="K51" s="32"/>
    </row>
    <row r="52" spans="2:11" x14ac:dyDescent="0.25">
      <c r="B52" t="s">
        <v>91</v>
      </c>
      <c r="C52" s="164" t="s">
        <v>727</v>
      </c>
      <c r="D52">
        <f>ROUNDUP(D48/I51,0)</f>
        <v>1</v>
      </c>
      <c r="E52" t="s">
        <v>96</v>
      </c>
      <c r="H52" s="30"/>
      <c r="I52" s="32">
        <f>+D52*I51</f>
        <v>48</v>
      </c>
      <c r="J52" s="28" t="b">
        <f>$D$55&lt;=$I$50</f>
        <v>1</v>
      </c>
      <c r="K52" s="32"/>
    </row>
    <row r="53" spans="2:11" x14ac:dyDescent="0.25">
      <c r="B53" t="s">
        <v>92</v>
      </c>
      <c r="C53" s="164" t="s">
        <v>728</v>
      </c>
      <c r="D53" s="165">
        <f>(((D20+D22+D23+D24+D29)*D52+(D21+D28)/ROUNDUP(J48,0))*(1+D32/100))/J48</f>
        <v>27.047029702970299</v>
      </c>
      <c r="E53" t="s">
        <v>30</v>
      </c>
      <c r="H53" s="30"/>
      <c r="J53" s="28">
        <f>{32767;32767;0.000001;0.01;FALSE;FALSE;FALSE;1;2;1;0.0001;TRUE}</f>
        <v>32767</v>
      </c>
      <c r="K53" s="32"/>
    </row>
    <row r="54" spans="2:11" ht="15.75" thickBot="1" x14ac:dyDescent="0.3">
      <c r="C54" t="s">
        <v>107</v>
      </c>
      <c r="D54" s="4">
        <f>+IF(D53&gt;D36,D53-D36,0)</f>
        <v>19.047029702970299</v>
      </c>
      <c r="E54" t="s">
        <v>30</v>
      </c>
      <c r="H54" s="30"/>
      <c r="J54" s="29">
        <f>{0;0;1;100;0;FALSE;FALSE;0.075;0;0;FALSE;30}</f>
        <v>0</v>
      </c>
      <c r="K54" s="32"/>
    </row>
    <row r="55" spans="2:11" ht="15.75" thickBot="1" x14ac:dyDescent="0.3">
      <c r="C55" s="129" t="s">
        <v>94</v>
      </c>
      <c r="D55" s="130">
        <f>+IF(D53&gt;2*D36,D53-2*D36,0)</f>
        <v>11.047029702970299</v>
      </c>
      <c r="E55" s="129"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0</v>
      </c>
      <c r="E57" t="s">
        <v>30</v>
      </c>
    </row>
    <row r="58" spans="2:11" x14ac:dyDescent="0.25">
      <c r="C58" s="164" t="s">
        <v>182</v>
      </c>
      <c r="D58" s="4">
        <f>+D53</f>
        <v>27.047029702970299</v>
      </c>
      <c r="E58" t="s">
        <v>30</v>
      </c>
    </row>
    <row r="59" spans="2:11" x14ac:dyDescent="0.25">
      <c r="C59" s="164" t="s">
        <v>95</v>
      </c>
      <c r="D59" s="166">
        <f>ROUNDDOWN(2*D36*(D52/D66)/D53,0)</f>
        <v>0</v>
      </c>
      <c r="E59" t="s">
        <v>96</v>
      </c>
      <c r="K59" s="36"/>
    </row>
    <row r="61" spans="2:11" hidden="1" x14ac:dyDescent="0.25">
      <c r="C61" t="s">
        <v>110</v>
      </c>
      <c r="D61" s="4">
        <f>+IF((D48-D36/D58*D51)&lt;0,0,D48-D36/D58*D51)</f>
        <v>2.1012537750526219</v>
      </c>
      <c r="E61" t="s">
        <v>86</v>
      </c>
    </row>
    <row r="62" spans="2:11" hidden="1" x14ac:dyDescent="0.25">
      <c r="C62" t="s">
        <v>111</v>
      </c>
      <c r="D62" s="4">
        <f>+D48-D61</f>
        <v>7.0987462249473774</v>
      </c>
      <c r="E62" t="s">
        <v>86</v>
      </c>
    </row>
    <row r="63" spans="2:11" hidden="1" x14ac:dyDescent="0.25">
      <c r="C63" t="s">
        <v>148</v>
      </c>
      <c r="D63" s="4">
        <f>IF(D53&lt;=2*D36,D48,2*D36/D58*D51)</f>
        <v>14.197492449894755</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2</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104.9</v>
      </c>
      <c r="E70" s="164" t="s">
        <v>244</v>
      </c>
    </row>
    <row r="71" spans="3:5" x14ac:dyDescent="0.25">
      <c r="C71" t="s">
        <v>118</v>
      </c>
      <c r="D71" s="141">
        <f>+D70*D66</f>
        <v>209.8</v>
      </c>
      <c r="E71" s="164" t="s">
        <v>244</v>
      </c>
    </row>
    <row r="72" spans="3:5" x14ac:dyDescent="0.25">
      <c r="C72" t="s">
        <v>123</v>
      </c>
      <c r="D72" s="165">
        <f>+D48/D66</f>
        <v>4.5999999999999996</v>
      </c>
      <c r="E72" t="s">
        <v>87</v>
      </c>
    </row>
    <row r="73" spans="3:5" x14ac:dyDescent="0.25">
      <c r="C73" t="s">
        <v>123</v>
      </c>
      <c r="D73" s="141">
        <f>+D72*D47*D44*52</f>
        <v>7176</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3"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Macro_P2T">
                <anchor moveWithCells="1" sizeWithCells="1">
                  <from>
                    <xdr:col>6</xdr:col>
                    <xdr:colOff>295275</xdr:colOff>
                    <xdr:row>65</xdr:row>
                    <xdr:rowOff>133350</xdr:rowOff>
                  </from>
                  <to>
                    <xdr:col>8</xdr:col>
                    <xdr:colOff>276225</xdr:colOff>
                    <xdr:row>68</xdr:row>
                    <xdr:rowOff>85725</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Hoja66"/>
  <dimension ref="B1:L76"/>
  <sheetViews>
    <sheetView view="pageBreakPreview" topLeftCell="A45" zoomScale="60" zoomScaleNormal="100" workbookViewId="0">
      <selection activeCell="H67" sqref="H67"/>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230</v>
      </c>
    </row>
    <row r="2" spans="2:5" x14ac:dyDescent="0.25">
      <c r="B2" s="2" t="s">
        <v>113</v>
      </c>
      <c r="C2" s="202" t="str">
        <f>+P_Datos!C2</f>
        <v>Pehuajó</v>
      </c>
    </row>
    <row r="4" spans="2:5" x14ac:dyDescent="0.25">
      <c r="B4" s="2" t="s">
        <v>0</v>
      </c>
    </row>
    <row r="5" spans="2:5" x14ac:dyDescent="0.25">
      <c r="B5" t="s">
        <v>1</v>
      </c>
      <c r="C5" t="s">
        <v>2</v>
      </c>
      <c r="D5">
        <f>+P_Datos!D5</f>
        <v>0</v>
      </c>
      <c r="E5" t="s">
        <v>3</v>
      </c>
    </row>
    <row r="6" spans="2:5" x14ac:dyDescent="0.25">
      <c r="B6" t="s">
        <v>4</v>
      </c>
      <c r="C6" t="s">
        <v>5</v>
      </c>
      <c r="D6" s="150">
        <f>+P_Datos!D6</f>
        <v>191</v>
      </c>
      <c r="E6" t="s">
        <v>3</v>
      </c>
    </row>
    <row r="7" spans="2:5" x14ac:dyDescent="0.25">
      <c r="B7" t="s">
        <v>6</v>
      </c>
      <c r="C7" t="s">
        <v>8</v>
      </c>
      <c r="D7">
        <f>+P_Datos!D7</f>
        <v>4.7</v>
      </c>
      <c r="E7" t="s">
        <v>3</v>
      </c>
    </row>
    <row r="8" spans="2:5" x14ac:dyDescent="0.25">
      <c r="B8" t="s">
        <v>7</v>
      </c>
      <c r="C8" t="s">
        <v>9</v>
      </c>
      <c r="D8">
        <f>+P_Datos!D8</f>
        <v>0</v>
      </c>
      <c r="E8" t="s">
        <v>3</v>
      </c>
    </row>
    <row r="9" spans="2:5" x14ac:dyDescent="0.25">
      <c r="B9" t="s">
        <v>10</v>
      </c>
      <c r="C9" t="s">
        <v>11</v>
      </c>
      <c r="D9">
        <f>+P_Datos!D9</f>
        <v>4.7</v>
      </c>
      <c r="E9" t="s">
        <v>3</v>
      </c>
    </row>
    <row r="11" spans="2:5" x14ac:dyDescent="0.25">
      <c r="B11" s="2" t="s">
        <v>12</v>
      </c>
    </row>
    <row r="12" spans="2:5" x14ac:dyDescent="0.25">
      <c r="B12" t="s">
        <v>13</v>
      </c>
      <c r="C12" t="s">
        <v>18</v>
      </c>
      <c r="D12">
        <f>+P_Datos!D12</f>
        <v>50</v>
      </c>
      <c r="E12" t="s">
        <v>23</v>
      </c>
    </row>
    <row r="13" spans="2:5" x14ac:dyDescent="0.25">
      <c r="B13" t="s">
        <v>14</v>
      </c>
      <c r="C13" t="s">
        <v>19</v>
      </c>
      <c r="D13">
        <f>+P_Datos!D13</f>
        <v>10</v>
      </c>
      <c r="E13" t="s">
        <v>23</v>
      </c>
    </row>
    <row r="14" spans="2:5" x14ac:dyDescent="0.25">
      <c r="B14" t="s">
        <v>15</v>
      </c>
      <c r="C14" t="s">
        <v>20</v>
      </c>
      <c r="D14">
        <f>+P_Datos!D14</f>
        <v>31.333333333333336</v>
      </c>
      <c r="E14" t="s">
        <v>23</v>
      </c>
    </row>
    <row r="15" spans="2:5" x14ac:dyDescent="0.25">
      <c r="B15" t="s">
        <v>16</v>
      </c>
      <c r="C15" t="s">
        <v>21</v>
      </c>
      <c r="D15">
        <f>+P_Datos!D15</f>
        <v>40</v>
      </c>
      <c r="E15" t="s">
        <v>23</v>
      </c>
    </row>
    <row r="16" spans="2:5" x14ac:dyDescent="0.25">
      <c r="B16" t="s">
        <v>17</v>
      </c>
      <c r="C16" t="s">
        <v>22</v>
      </c>
      <c r="D16">
        <f>+P_Datos!D16</f>
        <v>31.333333333333336</v>
      </c>
      <c r="E16" t="s">
        <v>23</v>
      </c>
    </row>
    <row r="18" spans="2:5" x14ac:dyDescent="0.25">
      <c r="B18" s="2" t="s">
        <v>24</v>
      </c>
    </row>
    <row r="19" spans="2:5" x14ac:dyDescent="0.25">
      <c r="B19" s="3" t="s">
        <v>39</v>
      </c>
    </row>
    <row r="20" spans="2:5" x14ac:dyDescent="0.25">
      <c r="B20" t="s">
        <v>25</v>
      </c>
      <c r="C20" t="s">
        <v>31</v>
      </c>
      <c r="D20" s="4">
        <f>+P_Datos!D20</f>
        <v>0</v>
      </c>
      <c r="E20" t="s">
        <v>30</v>
      </c>
    </row>
    <row r="21" spans="2:5" x14ac:dyDescent="0.25">
      <c r="B21" t="s">
        <v>26</v>
      </c>
      <c r="C21" t="s">
        <v>32</v>
      </c>
      <c r="D21" s="4">
        <f>+P_Datos!D21</f>
        <v>19.100000000000001</v>
      </c>
      <c r="E21" t="s">
        <v>30</v>
      </c>
    </row>
    <row r="22" spans="2:5" x14ac:dyDescent="0.25">
      <c r="B22" t="s">
        <v>27</v>
      </c>
      <c r="C22" t="s">
        <v>33</v>
      </c>
      <c r="D22" s="4">
        <f>+P_Datos!D22</f>
        <v>0.15</v>
      </c>
      <c r="E22" t="s">
        <v>30</v>
      </c>
    </row>
    <row r="23" spans="2:5" x14ac:dyDescent="0.25">
      <c r="B23" t="s">
        <v>28</v>
      </c>
      <c r="C23" t="s">
        <v>34</v>
      </c>
      <c r="D23" s="4">
        <f>+P_Datos!D23</f>
        <v>0</v>
      </c>
      <c r="E23" t="s">
        <v>30</v>
      </c>
    </row>
    <row r="24" spans="2:5" x14ac:dyDescent="0.25">
      <c r="B24" t="s">
        <v>29</v>
      </c>
      <c r="C24" t="s">
        <v>35</v>
      </c>
      <c r="D24" s="4">
        <f>+P_Datos!D24</f>
        <v>0.15</v>
      </c>
      <c r="E24" t="s">
        <v>30</v>
      </c>
    </row>
    <row r="25" spans="2:5" x14ac:dyDescent="0.25">
      <c r="B25" s="3" t="s">
        <v>40</v>
      </c>
    </row>
    <row r="26" spans="2:5" x14ac:dyDescent="0.25">
      <c r="B26" s="3"/>
      <c r="C26" t="s">
        <v>48</v>
      </c>
      <c r="D26">
        <f>+P_Datos!D26</f>
        <v>0</v>
      </c>
      <c r="E26" t="s">
        <v>49</v>
      </c>
    </row>
    <row r="27" spans="2:5" x14ac:dyDescent="0.25">
      <c r="C27" t="s">
        <v>50</v>
      </c>
      <c r="D27">
        <f>+P_Datos!D27</f>
        <v>5</v>
      </c>
      <c r="E27" t="s">
        <v>52</v>
      </c>
    </row>
    <row r="28" spans="2:5" x14ac:dyDescent="0.25">
      <c r="B28" t="s">
        <v>36</v>
      </c>
      <c r="C28" t="s">
        <v>51</v>
      </c>
      <c r="D28" s="4">
        <f>+P_Datos!D28</f>
        <v>31.833333333333332</v>
      </c>
      <c r="E28" t="s">
        <v>30</v>
      </c>
    </row>
    <row r="29" spans="2:5" x14ac:dyDescent="0.25">
      <c r="B29" t="s">
        <v>38</v>
      </c>
      <c r="C29" t="s">
        <v>37</v>
      </c>
      <c r="D29">
        <f>+P_Datos!D29</f>
        <v>0.25</v>
      </c>
      <c r="E29" t="s">
        <v>52</v>
      </c>
    </row>
    <row r="30" spans="2:5" x14ac:dyDescent="0.25">
      <c r="B30" s="3" t="s">
        <v>44</v>
      </c>
    </row>
    <row r="31" spans="2:5" x14ac:dyDescent="0.25">
      <c r="B31" t="s">
        <v>41</v>
      </c>
      <c r="C31" t="s">
        <v>45</v>
      </c>
      <c r="D31" s="4">
        <f>+P_Datos!D31</f>
        <v>51.483333333333334</v>
      </c>
      <c r="E31" t="s">
        <v>30</v>
      </c>
    </row>
    <row r="32" spans="2:5" x14ac:dyDescent="0.25">
      <c r="C32" t="s">
        <v>43</v>
      </c>
      <c r="D32">
        <f>+P_Datos!D32</f>
        <v>5</v>
      </c>
      <c r="E32" t="s">
        <v>46</v>
      </c>
    </row>
    <row r="33" spans="2:12" x14ac:dyDescent="0.25">
      <c r="B33" t="s">
        <v>47</v>
      </c>
      <c r="C33" t="s">
        <v>42</v>
      </c>
      <c r="D33" s="4">
        <f>+P_Datos!D33</f>
        <v>2.5741666666666667</v>
      </c>
      <c r="E33" t="s">
        <v>30</v>
      </c>
    </row>
    <row r="34" spans="2:12" x14ac:dyDescent="0.25">
      <c r="B34" s="5" t="s">
        <v>53</v>
      </c>
    </row>
    <row r="35" spans="2:12" x14ac:dyDescent="0.25">
      <c r="B35" s="23" t="s">
        <v>54</v>
      </c>
      <c r="C35" s="23" t="s">
        <v>55</v>
      </c>
      <c r="D35" s="24">
        <f>+P_Datos!D35</f>
        <v>54.057500000000005</v>
      </c>
      <c r="E35" s="23" t="s">
        <v>30</v>
      </c>
    </row>
    <row r="36" spans="2:12" x14ac:dyDescent="0.25">
      <c r="B36" s="23"/>
      <c r="C36" t="s">
        <v>93</v>
      </c>
      <c r="D36">
        <f>+P_Datos!D36</f>
        <v>8</v>
      </c>
      <c r="E36" t="s">
        <v>30</v>
      </c>
    </row>
    <row r="38" spans="2:12" x14ac:dyDescent="0.25">
      <c r="B38" s="2" t="s">
        <v>56</v>
      </c>
    </row>
    <row r="39" spans="2:12" x14ac:dyDescent="0.25">
      <c r="B39" s="140" t="str">
        <f>+P_Datos!B39</f>
        <v>P(10)</v>
      </c>
      <c r="C39" s="140" t="str">
        <f>+P_Datos!C39</f>
        <v>Población a servir al año 10 (estable)</v>
      </c>
      <c r="D39" s="140">
        <f>+P_Datos!D39</f>
        <v>36568</v>
      </c>
      <c r="E39" s="140" t="str">
        <f>+P_Datos!E39</f>
        <v>hab</v>
      </c>
    </row>
    <row r="40" spans="2:12" x14ac:dyDescent="0.25">
      <c r="B40" s="140" t="str">
        <f>+P_Datos!B40</f>
        <v>hab/viv</v>
      </c>
      <c r="C40" s="140" t="str">
        <f>+P_Datos!C40</f>
        <v>Relación de habitantes por vivienda</v>
      </c>
      <c r="D40" s="786">
        <f>+P_Datos!D40</f>
        <v>2.457563712882862</v>
      </c>
      <c r="E40" s="140" t="str">
        <f>+P_Datos!E40</f>
        <v>hab/vivienda</v>
      </c>
    </row>
    <row r="41" spans="2:12" x14ac:dyDescent="0.25">
      <c r="B41" s="140" t="str">
        <f>+P_Datos!B41</f>
        <v>V(10)</v>
      </c>
      <c r="C41" s="140" t="str">
        <f>+P_Datos!C41</f>
        <v>Viviendas</v>
      </c>
      <c r="D41" s="140">
        <f>+P_Datos!D41</f>
        <v>14879.776995528493</v>
      </c>
      <c r="E41" s="140" t="str">
        <f>+P_Datos!E41</f>
        <v>viviendas</v>
      </c>
    </row>
    <row r="42" spans="2:12" x14ac:dyDescent="0.25">
      <c r="B42" s="140"/>
      <c r="C42" s="140" t="str">
        <f>+P_Datos!C42</f>
        <v>Residuo de poda promedio por ejemplar</v>
      </c>
      <c r="D42" s="786">
        <f>+P_Datos!D42</f>
        <v>0.01</v>
      </c>
      <c r="E42" s="140" t="str">
        <f>+P_Datos!E42</f>
        <v>t/año/ejemplar</v>
      </c>
    </row>
    <row r="43" spans="2:12" x14ac:dyDescent="0.25">
      <c r="B43" s="140" t="str">
        <f>+P_Datos!B43</f>
        <v>g(10)</v>
      </c>
      <c r="C43" s="140" t="str">
        <f>+P_Datos!C43</f>
        <v>Poda a recoger por el servicio de recolección en día normal</v>
      </c>
      <c r="D43" s="150">
        <f>+P_Datos!D43</f>
        <v>0.97572308167399957</v>
      </c>
      <c r="E43" s="140" t="str">
        <f>+P_Datos!E43</f>
        <v>t/d</v>
      </c>
    </row>
    <row r="44" spans="2:12" x14ac:dyDescent="0.25">
      <c r="B44" s="140" t="str">
        <f>+P_Datos!B44</f>
        <v>F</v>
      </c>
      <c r="C44" s="140" t="str">
        <f>+P_Datos!C44</f>
        <v>Freciencia del servicio de recolección (días a la semana)</v>
      </c>
      <c r="D44" s="140">
        <f>+P_Datos!D44</f>
        <v>3</v>
      </c>
      <c r="E44" s="140" t="str">
        <f>+P_Datos!E44</f>
        <v>d</v>
      </c>
    </row>
    <row r="45" spans="2:12" x14ac:dyDescent="0.25">
      <c r="B45" s="140"/>
      <c r="C45" s="140" t="str">
        <f>+P_Datos!C45</f>
        <v>Factor de incremento para el día crítica en función de F</v>
      </c>
      <c r="D45" s="140">
        <f>+P_Datos!D45</f>
        <v>3</v>
      </c>
      <c r="E45" s="140"/>
      <c r="F45" s="36"/>
    </row>
    <row r="46" spans="2:12" ht="15.75" thickBot="1" x14ac:dyDescent="0.3">
      <c r="B46" s="140" t="str">
        <f>+P_Datos!B46</f>
        <v>gc(10)</v>
      </c>
      <c r="C46" s="140" t="str">
        <f>+P_Datos!C46</f>
        <v>Poda a recoger por el servicio de recolección en día crítico</v>
      </c>
      <c r="D46" s="786">
        <f>+P_Datos!D46</f>
        <v>2.9271692450219988</v>
      </c>
      <c r="E46" s="140" t="str">
        <f>+P_Datos!E46</f>
        <v>t/d</v>
      </c>
    </row>
    <row r="47" spans="2:12" ht="15.75" thickBot="1" x14ac:dyDescent="0.3">
      <c r="B47" s="140"/>
      <c r="C47" s="140" t="str">
        <f>+P_Datos!C47</f>
        <v>Porcentaje de incremento por residuos de poda domiciliarios</v>
      </c>
      <c r="D47" s="140">
        <f>+P_Datos!D47</f>
        <v>10</v>
      </c>
      <c r="E47" s="140" t="str">
        <f>+P_Datos!E47</f>
        <v>%</v>
      </c>
      <c r="H47" s="839" t="s">
        <v>100</v>
      </c>
      <c r="I47" s="840"/>
      <c r="J47" s="840"/>
      <c r="K47" s="841"/>
    </row>
    <row r="48" spans="2:12" x14ac:dyDescent="0.25">
      <c r="C48" s="203" t="str">
        <f>+P_Datos!C51</f>
        <v>Poda a recoger por el servicio de recolección en día crítico</v>
      </c>
      <c r="D48" s="204">
        <f>+P_Datos!D51</f>
        <v>9.1999999999999993</v>
      </c>
      <c r="E48" s="205" t="s">
        <v>87</v>
      </c>
      <c r="H48" s="30"/>
      <c r="I48" s="31" t="s">
        <v>99</v>
      </c>
      <c r="J48" s="1">
        <v>1.5486965422109291</v>
      </c>
      <c r="K48" s="32"/>
      <c r="L48" t="s">
        <v>109</v>
      </c>
    </row>
    <row r="49" spans="2:11" ht="15.75" thickBot="1" x14ac:dyDescent="0.3">
      <c r="C49" s="23"/>
      <c r="D49" s="23"/>
      <c r="E49" s="23"/>
      <c r="H49" s="30"/>
      <c r="J49" s="7" t="s">
        <v>100</v>
      </c>
      <c r="K49" s="32"/>
    </row>
    <row r="50" spans="2:11" x14ac:dyDescent="0.25">
      <c r="B50" s="2" t="s">
        <v>88</v>
      </c>
      <c r="H50" s="30" t="s">
        <v>105</v>
      </c>
      <c r="I50" s="32">
        <f>2*D36</f>
        <v>16</v>
      </c>
      <c r="J50" s="27" t="b">
        <f>$D$64=0</f>
        <v>1</v>
      </c>
      <c r="K50" s="32"/>
    </row>
    <row r="51" spans="2:11" x14ac:dyDescent="0.25">
      <c r="B51" t="s">
        <v>90</v>
      </c>
      <c r="C51" t="s">
        <v>89</v>
      </c>
      <c r="D51" s="1">
        <v>24</v>
      </c>
      <c r="E51" t="s">
        <v>86</v>
      </c>
      <c r="H51" s="30" t="s">
        <v>106</v>
      </c>
      <c r="I51" s="32">
        <f>+D51*ROUNDUP(J48,0)</f>
        <v>48</v>
      </c>
      <c r="J51" s="28">
        <f>COUNT($J$48)</f>
        <v>1</v>
      </c>
      <c r="K51" s="32"/>
    </row>
    <row r="52" spans="2:11" x14ac:dyDescent="0.25">
      <c r="B52" t="s">
        <v>91</v>
      </c>
      <c r="C52" s="164" t="s">
        <v>727</v>
      </c>
      <c r="D52">
        <f>ROUNDUP(D48/I51,0)</f>
        <v>1</v>
      </c>
      <c r="E52" t="s">
        <v>96</v>
      </c>
      <c r="H52" s="30"/>
      <c r="I52" s="32">
        <f>+D52*I51</f>
        <v>48</v>
      </c>
      <c r="J52" s="28" t="b">
        <f>$D$55&lt;=$I$50</f>
        <v>1</v>
      </c>
      <c r="K52" s="32"/>
    </row>
    <row r="53" spans="2:11" x14ac:dyDescent="0.25">
      <c r="B53" t="s">
        <v>92</v>
      </c>
      <c r="C53" s="164" t="s">
        <v>728</v>
      </c>
      <c r="D53" s="165">
        <f>(((D20+D22+D23+D24+D29)*D52+(D21+D28)/ROUNDUP(J48,0))*(1+D32/100))/J48</f>
        <v>17.639026920665405</v>
      </c>
      <c r="E53" t="s">
        <v>30</v>
      </c>
      <c r="H53" s="30"/>
      <c r="J53" s="28">
        <f>{32767;32767;0.000001;0.01;FALSE;FALSE;FALSE;1;2;1;0.0001;TRUE}</f>
        <v>32767</v>
      </c>
      <c r="K53" s="32"/>
    </row>
    <row r="54" spans="2:11" ht="15.75" thickBot="1" x14ac:dyDescent="0.3">
      <c r="C54" s="127" t="s">
        <v>107</v>
      </c>
      <c r="D54" s="128">
        <f>+IF(D53&gt;D36,D53-D36,0)</f>
        <v>9.6390269206654047</v>
      </c>
      <c r="E54" s="127" t="s">
        <v>30</v>
      </c>
      <c r="H54" s="30"/>
      <c r="J54" s="29">
        <f>{0;0;1;100;0;FALSE;FALSE;0.075;0;0;FALSE;30}</f>
        <v>0</v>
      </c>
      <c r="K54" s="32"/>
    </row>
    <row r="55" spans="2:11" ht="15.75" thickBot="1" x14ac:dyDescent="0.3">
      <c r="C55" t="s">
        <v>94</v>
      </c>
      <c r="D55" s="4">
        <f>+IF(D53&gt;2*D36,D53-2*D36,0)</f>
        <v>1.6390269206654047</v>
      </c>
      <c r="E55" t="s">
        <v>30</v>
      </c>
      <c r="H55" s="33"/>
      <c r="I55" s="34"/>
      <c r="J55" s="34"/>
      <c r="K55" s="35"/>
    </row>
    <row r="56" spans="2:11" ht="15.75" thickBot="1" x14ac:dyDescent="0.3">
      <c r="C56" t="s">
        <v>108</v>
      </c>
      <c r="D56" s="4">
        <f>+IF(D54=0,D36-D53,0)</f>
        <v>0</v>
      </c>
      <c r="E56" t="s">
        <v>30</v>
      </c>
      <c r="H56" s="839" t="s">
        <v>100</v>
      </c>
      <c r="I56" s="840"/>
      <c r="J56" s="840"/>
      <c r="K56" s="841"/>
    </row>
    <row r="57" spans="2:11" x14ac:dyDescent="0.25">
      <c r="C57" t="s">
        <v>98</v>
      </c>
      <c r="D57" s="4">
        <f>+IF(D55=0,IF((2*D36-D53)&gt;D36,8,2*D36-D53),0)</f>
        <v>0</v>
      </c>
      <c r="E57" t="s">
        <v>30</v>
      </c>
    </row>
    <row r="58" spans="2:11" x14ac:dyDescent="0.25">
      <c r="C58" s="164" t="s">
        <v>182</v>
      </c>
      <c r="D58" s="4">
        <f>+D53/D52</f>
        <v>17.639026920665405</v>
      </c>
      <c r="E58" t="s">
        <v>30</v>
      </c>
    </row>
    <row r="59" spans="2:11" x14ac:dyDescent="0.25">
      <c r="C59" s="164" t="s">
        <v>95</v>
      </c>
      <c r="D59" s="166">
        <f>ROUNDDOWN(2*D36*(D52/D66)/D53,0)</f>
        <v>0</v>
      </c>
      <c r="E59" t="s">
        <v>96</v>
      </c>
      <c r="K59" s="36"/>
    </row>
    <row r="61" spans="2:11" hidden="1" x14ac:dyDescent="0.25">
      <c r="C61" t="s">
        <v>110</v>
      </c>
      <c r="D61" s="4">
        <f>+IF((D48-D36/D58*D51)&lt;0,0,D48-D36/D58*D51)</f>
        <v>0</v>
      </c>
      <c r="E61" t="s">
        <v>86</v>
      </c>
    </row>
    <row r="62" spans="2:11" hidden="1" x14ac:dyDescent="0.25">
      <c r="C62" t="s">
        <v>111</v>
      </c>
      <c r="D62" s="4">
        <f>+D48-D61</f>
        <v>9.1999999999999993</v>
      </c>
      <c r="E62" t="s">
        <v>86</v>
      </c>
    </row>
    <row r="63" spans="2:11" hidden="1" x14ac:dyDescent="0.25">
      <c r="C63" t="s">
        <v>148</v>
      </c>
      <c r="D63" s="4">
        <f>IF(D53&lt;=2*D36,D48,2*D36/D58*D51)</f>
        <v>21.769908381403742</v>
      </c>
      <c r="E63" t="s">
        <v>86</v>
      </c>
    </row>
    <row r="64" spans="2:11" hidden="1" x14ac:dyDescent="0.25">
      <c r="C64" t="s">
        <v>97</v>
      </c>
      <c r="D64" s="4">
        <f>+IF((D48-D63)&lt;0,0,D48-D63)</f>
        <v>0</v>
      </c>
      <c r="E64" t="s">
        <v>86</v>
      </c>
    </row>
    <row r="66" spans="3:5" x14ac:dyDescent="0.25">
      <c r="C66" s="2" t="s">
        <v>103</v>
      </c>
      <c r="D66" s="542">
        <f>ROUNDUP(J48,0)</f>
        <v>2</v>
      </c>
      <c r="E66" t="s">
        <v>101</v>
      </c>
    </row>
    <row r="67" spans="3:5" x14ac:dyDescent="0.25">
      <c r="C67" t="s">
        <v>117</v>
      </c>
      <c r="D67" s="36">
        <v>1</v>
      </c>
    </row>
    <row r="68" spans="3:5" x14ac:dyDescent="0.25">
      <c r="C68" t="s">
        <v>104</v>
      </c>
      <c r="D68" s="165">
        <f>+D59*D66*D51</f>
        <v>0</v>
      </c>
      <c r="E68" t="s">
        <v>86</v>
      </c>
    </row>
    <row r="69" spans="3:5" x14ac:dyDescent="0.25">
      <c r="C69" t="s">
        <v>102</v>
      </c>
      <c r="D69" s="26">
        <f>+(D68/D48-1)</f>
        <v>-1</v>
      </c>
    </row>
    <row r="70" spans="3:5" x14ac:dyDescent="0.25">
      <c r="C70" t="s">
        <v>119</v>
      </c>
      <c r="D70" s="166">
        <f>+D5+(D7+D8)*D52*2/D66+D9+D6/D66</f>
        <v>104.9</v>
      </c>
      <c r="E70" s="164" t="s">
        <v>244</v>
      </c>
    </row>
    <row r="71" spans="3:5" x14ac:dyDescent="0.25">
      <c r="C71" t="s">
        <v>118</v>
      </c>
      <c r="D71" s="141">
        <f>+D70*D66</f>
        <v>209.8</v>
      </c>
      <c r="E71" s="164" t="s">
        <v>244</v>
      </c>
    </row>
    <row r="72" spans="3:5" x14ac:dyDescent="0.25">
      <c r="C72" t="s">
        <v>123</v>
      </c>
      <c r="D72" s="165">
        <f>+D48/D66</f>
        <v>4.5999999999999996</v>
      </c>
      <c r="E72" t="s">
        <v>87</v>
      </c>
    </row>
    <row r="73" spans="3:5" x14ac:dyDescent="0.25">
      <c r="C73" t="s">
        <v>123</v>
      </c>
      <c r="D73" s="141">
        <f>+D72*D47*D44*52</f>
        <v>7176</v>
      </c>
      <c r="E73" t="s">
        <v>124</v>
      </c>
    </row>
    <row r="74" spans="3:5" x14ac:dyDescent="0.25">
      <c r="D74" s="4"/>
    </row>
    <row r="75" spans="3:5" x14ac:dyDescent="0.25">
      <c r="D75" s="4"/>
    </row>
    <row r="76" spans="3:5" x14ac:dyDescent="0.25">
      <c r="D76" s="4"/>
    </row>
  </sheetData>
  <mergeCells count="2">
    <mergeCell ref="H47:K47"/>
    <mergeCell ref="H56:K56"/>
  </mergeCells>
  <conditionalFormatting sqref="D64">
    <cfRule type="cellIs" dxfId="12" priority="1" operator="greaterThan">
      <formula>0</formula>
    </cfRule>
  </conditionalFormatting>
  <pageMargins left="0.70866141732283472" right="0.70866141732283472" top="0.74803149606299213" bottom="0.74803149606299213" header="0.31496062992125984" footer="0.31496062992125984"/>
  <pageSetup paperSize="9" scale="69"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Macro_P1T">
                <anchor moveWithCells="1">
                  <from>
                    <xdr:col>7</xdr:col>
                    <xdr:colOff>57150</xdr:colOff>
                    <xdr:row>63</xdr:row>
                    <xdr:rowOff>57150</xdr:rowOff>
                  </from>
                  <to>
                    <xdr:col>8</xdr:col>
                    <xdr:colOff>733425</xdr:colOff>
                    <xdr:row>67</xdr:row>
                    <xdr:rowOff>57150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Hoja67"/>
  <dimension ref="A1:I20"/>
  <sheetViews>
    <sheetView workbookViewId="0"/>
  </sheetViews>
  <sheetFormatPr baseColWidth="10" defaultRowHeight="15" x14ac:dyDescent="0.25"/>
  <sheetData>
    <row r="1" spans="1:9" x14ac:dyDescent="0.25">
      <c r="A1" s="2" t="s">
        <v>78</v>
      </c>
    </row>
    <row r="2" spans="1:9" ht="15.75" thickBot="1" x14ac:dyDescent="0.3"/>
    <row r="3" spans="1:9" ht="45.75" thickBot="1" x14ac:dyDescent="0.3">
      <c r="A3" s="10" t="s">
        <v>68</v>
      </c>
      <c r="B3" s="10" t="s">
        <v>71</v>
      </c>
      <c r="C3" s="11" t="s">
        <v>72</v>
      </c>
      <c r="D3" s="11" t="s">
        <v>72</v>
      </c>
      <c r="E3" s="11" t="s">
        <v>73</v>
      </c>
      <c r="F3" s="11" t="s">
        <v>74</v>
      </c>
      <c r="G3" s="11" t="s">
        <v>75</v>
      </c>
      <c r="H3" s="12" t="s">
        <v>76</v>
      </c>
      <c r="I3" s="9" t="s">
        <v>82</v>
      </c>
    </row>
    <row r="4" spans="1:9" x14ac:dyDescent="0.25">
      <c r="A4" s="7">
        <v>7</v>
      </c>
      <c r="B4" s="13" t="s">
        <v>77</v>
      </c>
      <c r="C4" s="14" t="s">
        <v>77</v>
      </c>
      <c r="D4" s="14" t="s">
        <v>77</v>
      </c>
      <c r="E4" s="14" t="s">
        <v>77</v>
      </c>
      <c r="F4" s="14" t="s">
        <v>77</v>
      </c>
      <c r="G4" s="14" t="s">
        <v>77</v>
      </c>
      <c r="H4" s="15" t="s">
        <v>77</v>
      </c>
      <c r="I4" s="8">
        <v>1</v>
      </c>
    </row>
    <row r="5" spans="1:9" x14ac:dyDescent="0.25">
      <c r="A5" s="7">
        <v>6</v>
      </c>
      <c r="B5" s="13" t="s">
        <v>77</v>
      </c>
      <c r="C5" s="14" t="s">
        <v>77</v>
      </c>
      <c r="D5" s="14" t="s">
        <v>77</v>
      </c>
      <c r="E5" s="14" t="s">
        <v>77</v>
      </c>
      <c r="F5" s="14" t="s">
        <v>77</v>
      </c>
      <c r="G5" s="14" t="s">
        <v>77</v>
      </c>
      <c r="H5" s="16"/>
      <c r="I5" s="8">
        <v>2</v>
      </c>
    </row>
    <row r="6" spans="1:9" x14ac:dyDescent="0.25">
      <c r="A6" s="7">
        <v>5</v>
      </c>
      <c r="B6" s="13" t="s">
        <v>77</v>
      </c>
      <c r="C6" s="17"/>
      <c r="D6" s="14" t="s">
        <v>77</v>
      </c>
      <c r="E6" s="14" t="s">
        <v>77</v>
      </c>
      <c r="F6" s="14" t="s">
        <v>77</v>
      </c>
      <c r="G6" s="14" t="s">
        <v>77</v>
      </c>
      <c r="H6" s="16"/>
      <c r="I6" s="8">
        <v>2</v>
      </c>
    </row>
    <row r="7" spans="1:9" x14ac:dyDescent="0.25">
      <c r="A7" s="7">
        <v>4</v>
      </c>
      <c r="B7" s="13" t="s">
        <v>77</v>
      </c>
      <c r="C7" s="17"/>
      <c r="D7" s="14" t="s">
        <v>77</v>
      </c>
      <c r="E7" s="17"/>
      <c r="F7" s="14" t="s">
        <v>77</v>
      </c>
      <c r="G7" s="14" t="s">
        <v>77</v>
      </c>
      <c r="H7" s="16"/>
      <c r="I7" s="8">
        <v>2</v>
      </c>
    </row>
    <row r="8" spans="1:9" x14ac:dyDescent="0.25">
      <c r="A8" s="7">
        <v>3</v>
      </c>
      <c r="B8" s="13" t="s">
        <v>77</v>
      </c>
      <c r="C8" s="17"/>
      <c r="D8" s="14" t="s">
        <v>77</v>
      </c>
      <c r="E8" s="17"/>
      <c r="F8" s="14" t="s">
        <v>77</v>
      </c>
      <c r="G8" s="17"/>
      <c r="H8" s="16"/>
      <c r="I8" s="8">
        <v>3</v>
      </c>
    </row>
    <row r="9" spans="1:9" x14ac:dyDescent="0.25">
      <c r="A9" s="7">
        <v>2</v>
      </c>
      <c r="B9" s="18"/>
      <c r="C9" s="14" t="s">
        <v>77</v>
      </c>
      <c r="D9" s="17"/>
      <c r="E9" s="17"/>
      <c r="F9" s="14" t="s">
        <v>77</v>
      </c>
      <c r="G9" s="17"/>
      <c r="H9" s="16"/>
      <c r="I9" s="8">
        <v>4</v>
      </c>
    </row>
    <row r="10" spans="1:9" ht="15.75" thickBot="1" x14ac:dyDescent="0.3">
      <c r="A10" s="7">
        <v>1</v>
      </c>
      <c r="B10" s="19"/>
      <c r="C10" s="20"/>
      <c r="D10" s="20"/>
      <c r="E10" s="20"/>
      <c r="F10" s="21" t="s">
        <v>77</v>
      </c>
      <c r="G10" s="20"/>
      <c r="H10" s="22"/>
      <c r="I10" s="8">
        <v>7</v>
      </c>
    </row>
    <row r="13" spans="1:9" ht="15.75" thickBot="1" x14ac:dyDescent="0.3">
      <c r="A13" s="2" t="s">
        <v>171</v>
      </c>
    </row>
    <row r="14" spans="1:9" x14ac:dyDescent="0.25">
      <c r="A14" s="152">
        <v>1</v>
      </c>
      <c r="B14" s="153">
        <f>+I10</f>
        <v>7</v>
      </c>
    </row>
    <row r="15" spans="1:9" x14ac:dyDescent="0.25">
      <c r="A15" s="30">
        <v>2</v>
      </c>
      <c r="B15" s="32">
        <f>+I9</f>
        <v>4</v>
      </c>
    </row>
    <row r="16" spans="1:9" x14ac:dyDescent="0.25">
      <c r="A16" s="30">
        <v>3</v>
      </c>
      <c r="B16" s="32">
        <f>+I8</f>
        <v>3</v>
      </c>
    </row>
    <row r="17" spans="1:2" x14ac:dyDescent="0.25">
      <c r="A17" s="30">
        <v>4</v>
      </c>
      <c r="B17" s="32">
        <f>+I7</f>
        <v>2</v>
      </c>
    </row>
    <row r="18" spans="1:2" x14ac:dyDescent="0.25">
      <c r="A18" s="30">
        <v>5</v>
      </c>
      <c r="B18" s="32">
        <f>+I6</f>
        <v>2</v>
      </c>
    </row>
    <row r="19" spans="1:2" x14ac:dyDescent="0.25">
      <c r="A19" s="30">
        <v>6</v>
      </c>
      <c r="B19" s="32">
        <f>+I5</f>
        <v>2</v>
      </c>
    </row>
    <row r="20" spans="1:2" ht="15.75" thickBot="1" x14ac:dyDescent="0.3">
      <c r="A20" s="33">
        <v>7</v>
      </c>
      <c r="B20" s="35">
        <f>+I4</f>
        <v>1</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Hoja68"/>
  <dimension ref="A1:F64"/>
  <sheetViews>
    <sheetView view="pageBreakPreview" zoomScale="90" zoomScaleNormal="100" zoomScaleSheetLayoutView="90" workbookViewId="0">
      <selection activeCell="B6" sqref="B6"/>
    </sheetView>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265</v>
      </c>
      <c r="B3" s="40"/>
      <c r="C3" s="40"/>
    </row>
    <row r="4" spans="1:5" ht="15.75" x14ac:dyDescent="0.25">
      <c r="B4" s="41"/>
      <c r="C4" s="41"/>
      <c r="D4" s="41"/>
      <c r="E4" s="41"/>
    </row>
    <row r="5" spans="1:5" x14ac:dyDescent="0.2">
      <c r="A5" s="42" t="s">
        <v>184</v>
      </c>
      <c r="B5" s="43" t="s">
        <v>210</v>
      </c>
      <c r="C5" s="44"/>
    </row>
    <row r="6" spans="1:5" x14ac:dyDescent="0.2">
      <c r="A6" s="45" t="s">
        <v>197</v>
      </c>
      <c r="B6" s="115">
        <f>+P_Datos!D85</f>
        <v>234260.39447999999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11713.019724</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Economica'!F11*365</f>
        <v>38288.5</v>
      </c>
      <c r="C13" s="38" t="s">
        <v>3</v>
      </c>
    </row>
    <row r="14" spans="1:5" x14ac:dyDescent="0.2">
      <c r="A14" s="45" t="s">
        <v>189</v>
      </c>
      <c r="B14" s="119">
        <f>+'P_Evaluacion Economica'!G11</f>
        <v>7176</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11.000665335994681</v>
      </c>
      <c r="C18" s="38" t="s">
        <v>23</v>
      </c>
    </row>
    <row r="19" spans="1:4" hidden="1" x14ac:dyDescent="0.2">
      <c r="A19" s="45" t="s">
        <v>194</v>
      </c>
      <c r="B19" s="46"/>
    </row>
    <row r="20" spans="1:4" x14ac:dyDescent="0.2">
      <c r="A20" s="45" t="s">
        <v>193</v>
      </c>
      <c r="B20" s="118">
        <f>0.05*B6</f>
        <v>11713.019724</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23426.039448</v>
      </c>
      <c r="C35" s="176">
        <f>IF(B$14&gt;0,B35/B$14,0)</f>
        <v>3.2644982508361204</v>
      </c>
      <c r="D35" s="177">
        <f>IF(B$13&gt;0,B35/B$13,0)</f>
        <v>0.61182964723089173</v>
      </c>
      <c r="E35" s="188"/>
      <c r="F35" s="64"/>
    </row>
    <row r="36" spans="1:6" x14ac:dyDescent="0.2">
      <c r="A36" s="62" t="s">
        <v>202</v>
      </c>
      <c r="B36" s="65">
        <f>B19+B20</f>
        <v>11713.019724</v>
      </c>
      <c r="C36" s="178">
        <f>IF(B$14&gt;0,B36/B$14,0)</f>
        <v>1.6322491254180602</v>
      </c>
      <c r="D36" s="177">
        <f>IF(B$13&gt;0,B36/B$13,0)</f>
        <v>0.30591482361544586</v>
      </c>
      <c r="E36" s="189"/>
      <c r="F36" s="67"/>
    </row>
    <row r="37" spans="1:6" x14ac:dyDescent="0.2">
      <c r="A37" s="62" t="s">
        <v>209</v>
      </c>
      <c r="B37" s="63">
        <f>SUM(B35:B36)</f>
        <v>35139.059172000001</v>
      </c>
      <c r="C37" s="176">
        <f>SUM(C35:C36)</f>
        <v>4.8967473762541811</v>
      </c>
      <c r="D37" s="179">
        <f>SUM(D35:D36)</f>
        <v>0.91774447084633759</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11713.019724</v>
      </c>
      <c r="C40" s="176">
        <f t="shared" ref="C40:C43" si="0">IF(B$14&gt;0,B40/B$14,0)</f>
        <v>1.6322491254180602</v>
      </c>
      <c r="D40" s="177">
        <f t="shared" ref="D40:D43" si="1">IF(B$13&gt;0,B40/B$13,0)</f>
        <v>0.30591482361544586</v>
      </c>
      <c r="E40" s="188"/>
      <c r="F40" s="64"/>
    </row>
    <row r="41" spans="1:6" x14ac:dyDescent="0.2">
      <c r="A41" s="62" t="s">
        <v>205</v>
      </c>
      <c r="B41" s="70">
        <f>IF(B12&gt;0,B10*B11*B13/B12,0)</f>
        <v>4344.8105106000003</v>
      </c>
      <c r="C41" s="176">
        <f t="shared" si="0"/>
        <v>0.60546411797658861</v>
      </c>
      <c r="D41" s="177">
        <f t="shared" si="1"/>
        <v>0.11347560000000001</v>
      </c>
      <c r="E41" s="188"/>
      <c r="F41" s="64"/>
    </row>
    <row r="42" spans="1:6" x14ac:dyDescent="0.2">
      <c r="A42" s="62" t="s">
        <v>206</v>
      </c>
      <c r="B42" s="72">
        <f>IF(B16&gt;0,(B13/B17)*B16*1.1,0)</f>
        <v>3790.5615000000012</v>
      </c>
      <c r="C42" s="176">
        <f t="shared" si="0"/>
        <v>0.5282276337792644</v>
      </c>
      <c r="D42" s="177">
        <f t="shared" si="1"/>
        <v>9.9000000000000032E-2</v>
      </c>
      <c r="E42" s="188"/>
      <c r="F42" s="64"/>
    </row>
    <row r="43" spans="1:6" x14ac:dyDescent="0.2">
      <c r="A43" s="62" t="s">
        <v>217</v>
      </c>
      <c r="B43" s="65">
        <f>+'P_6m3-2T'!D53*B21*312</f>
        <v>453070.24476485152</v>
      </c>
      <c r="C43" s="176">
        <f t="shared" si="0"/>
        <v>63.13687914783327</v>
      </c>
      <c r="D43" s="177">
        <f t="shared" si="1"/>
        <v>11.83306331574367</v>
      </c>
      <c r="E43" s="189"/>
      <c r="F43" s="67"/>
    </row>
    <row r="44" spans="1:6" x14ac:dyDescent="0.2">
      <c r="A44" s="62" t="s">
        <v>207</v>
      </c>
      <c r="B44" s="63">
        <f>SUM(B40:B43)</f>
        <v>472918.63649945153</v>
      </c>
      <c r="C44" s="176">
        <f>SUM(C40:C43)</f>
        <v>65.902820025007188</v>
      </c>
      <c r="D44" s="179">
        <f>SUM(D40:D43)</f>
        <v>12.351453739359116</v>
      </c>
      <c r="E44" s="188"/>
      <c r="F44" s="64"/>
    </row>
    <row r="45" spans="1:6" x14ac:dyDescent="0.2">
      <c r="A45" s="62"/>
      <c r="B45" s="68"/>
      <c r="C45" s="181"/>
      <c r="D45" s="182"/>
      <c r="E45" s="190"/>
      <c r="F45" s="171"/>
    </row>
    <row r="46" spans="1:6" ht="13.5" thickBot="1" x14ac:dyDescent="0.25">
      <c r="A46" s="76" t="s">
        <v>208</v>
      </c>
      <c r="B46" s="77">
        <f>B37+B44</f>
        <v>508057.69567145151</v>
      </c>
      <c r="C46" s="183">
        <f>C37+C44</f>
        <v>70.79956740126137</v>
      </c>
      <c r="D46" s="184">
        <f>D37+D44</f>
        <v>13.269198210205452</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-5466304.0954519818</v>
      </c>
    </row>
    <row r="63" spans="1:2" x14ac:dyDescent="0.2">
      <c r="B63" s="192"/>
    </row>
    <row r="64" spans="1:2" x14ac:dyDescent="0.2">
      <c r="B64" s="192"/>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Hoja69"/>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42578125" style="38"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265</v>
      </c>
      <c r="B3" s="40"/>
      <c r="C3" s="40"/>
    </row>
    <row r="4" spans="1:5" ht="15.75" x14ac:dyDescent="0.25">
      <c r="B4" s="41"/>
      <c r="C4" s="41"/>
      <c r="D4" s="41"/>
      <c r="E4" s="41"/>
    </row>
    <row r="5" spans="1:5" x14ac:dyDescent="0.2">
      <c r="A5" s="42" t="s">
        <v>184</v>
      </c>
      <c r="B5" s="43" t="s">
        <v>210</v>
      </c>
      <c r="C5" s="44"/>
    </row>
    <row r="6" spans="1:5" x14ac:dyDescent="0.2">
      <c r="A6" s="45" t="s">
        <v>197</v>
      </c>
      <c r="B6" s="115">
        <f>+P_Datos!D85</f>
        <v>234260.39447999999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11713.019724</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Economica'!F12*365</f>
        <v>38288.5</v>
      </c>
      <c r="C13" s="38" t="s">
        <v>3</v>
      </c>
    </row>
    <row r="14" spans="1:5" x14ac:dyDescent="0.2">
      <c r="A14" s="45" t="s">
        <v>189</v>
      </c>
      <c r="B14" s="119">
        <f>+'P_Evaluacion Economica'!G12</f>
        <v>7176</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11.000665335994681</v>
      </c>
      <c r="C18" s="38" t="s">
        <v>23</v>
      </c>
    </row>
    <row r="19" spans="1:4" hidden="1" x14ac:dyDescent="0.2">
      <c r="A19" s="45" t="s">
        <v>194</v>
      </c>
      <c r="B19" s="46"/>
    </row>
    <row r="20" spans="1:4" x14ac:dyDescent="0.2">
      <c r="A20" s="45" t="s">
        <v>193</v>
      </c>
      <c r="B20" s="118">
        <f>0.05*B6</f>
        <v>11713.019724</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23426.039448</v>
      </c>
      <c r="C35" s="176">
        <f>IF(B$14&gt;0,B35/B$14,0)</f>
        <v>3.2644982508361204</v>
      </c>
      <c r="D35" s="177">
        <f>IF(B$13&gt;0,B35/B$13,0)</f>
        <v>0.61182964723089173</v>
      </c>
      <c r="E35" s="188"/>
      <c r="F35" s="64"/>
    </row>
    <row r="36" spans="1:6" x14ac:dyDescent="0.2">
      <c r="A36" s="62" t="s">
        <v>202</v>
      </c>
      <c r="B36" s="65">
        <f>B19+B20</f>
        <v>11713.019724</v>
      </c>
      <c r="C36" s="178">
        <f>IF(B$14&gt;0,B36/B$14,0)</f>
        <v>1.6322491254180602</v>
      </c>
      <c r="D36" s="177">
        <f>IF(B$13&gt;0,B36/B$13,0)</f>
        <v>0.30591482361544586</v>
      </c>
      <c r="E36" s="189"/>
      <c r="F36" s="67"/>
    </row>
    <row r="37" spans="1:6" x14ac:dyDescent="0.2">
      <c r="A37" s="62" t="s">
        <v>209</v>
      </c>
      <c r="B37" s="63">
        <f>SUM(B35:B36)</f>
        <v>35139.059172000001</v>
      </c>
      <c r="C37" s="176">
        <f>SUM(C35:C36)</f>
        <v>4.8967473762541811</v>
      </c>
      <c r="D37" s="179">
        <f>SUM(D35:D36)</f>
        <v>0.91774447084633759</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11713.019724</v>
      </c>
      <c r="C40" s="176">
        <f t="shared" ref="C40:C43" si="0">IF(B$14&gt;0,B40/B$14,0)</f>
        <v>1.6322491254180602</v>
      </c>
      <c r="D40" s="177">
        <f t="shared" ref="D40:D43" si="1">IF(B$13&gt;0,B40/B$13,0)</f>
        <v>0.30591482361544586</v>
      </c>
      <c r="E40" s="188"/>
      <c r="F40" s="64"/>
    </row>
    <row r="41" spans="1:6" x14ac:dyDescent="0.2">
      <c r="A41" s="62" t="s">
        <v>205</v>
      </c>
      <c r="B41" s="70">
        <f>IF(B12&gt;0,B10*B11*B13/B12,0)</f>
        <v>4344.8105106000003</v>
      </c>
      <c r="C41" s="176">
        <f t="shared" si="0"/>
        <v>0.60546411797658861</v>
      </c>
      <c r="D41" s="177">
        <f t="shared" si="1"/>
        <v>0.11347560000000001</v>
      </c>
      <c r="E41" s="188"/>
      <c r="F41" s="64"/>
    </row>
    <row r="42" spans="1:6" x14ac:dyDescent="0.2">
      <c r="A42" s="62" t="s">
        <v>206</v>
      </c>
      <c r="B42" s="72">
        <f>IF(B16&gt;0,(B13/B17)*B16*1.1,0)</f>
        <v>3790.5615000000012</v>
      </c>
      <c r="C42" s="176">
        <f t="shared" si="0"/>
        <v>0.5282276337792644</v>
      </c>
      <c r="D42" s="177">
        <f t="shared" si="1"/>
        <v>9.9000000000000032E-2</v>
      </c>
      <c r="E42" s="188"/>
      <c r="F42" s="64"/>
    </row>
    <row r="43" spans="1:6" x14ac:dyDescent="0.2">
      <c r="A43" s="62" t="s">
        <v>217</v>
      </c>
      <c r="B43" s="65">
        <f>+'P_6m3-1T'!D53*B21*312</f>
        <v>116082.13882467535</v>
      </c>
      <c r="C43" s="176">
        <f t="shared" si="0"/>
        <v>16.176440750372819</v>
      </c>
      <c r="D43" s="177">
        <f t="shared" si="1"/>
        <v>3.0317755677207345</v>
      </c>
      <c r="E43" s="189"/>
      <c r="F43" s="67"/>
    </row>
    <row r="44" spans="1:6" x14ac:dyDescent="0.2">
      <c r="A44" s="62" t="s">
        <v>207</v>
      </c>
      <c r="B44" s="63">
        <f>SUM(B40:B43)</f>
        <v>135930.53055927536</v>
      </c>
      <c r="C44" s="176">
        <f>SUM(C40:C43)</f>
        <v>18.942381627546734</v>
      </c>
      <c r="D44" s="179">
        <f>SUM(D40:D43)</f>
        <v>3.5501659913361805</v>
      </c>
      <c r="E44" s="188"/>
      <c r="F44" s="64"/>
    </row>
    <row r="45" spans="1:6" x14ac:dyDescent="0.2">
      <c r="A45" s="62"/>
      <c r="B45" s="68"/>
      <c r="C45" s="181"/>
      <c r="D45" s="182"/>
      <c r="E45" s="190"/>
      <c r="F45" s="171"/>
    </row>
    <row r="46" spans="1:6" ht="13.5" thickBot="1" x14ac:dyDescent="0.25">
      <c r="A46" s="76" t="s">
        <v>208</v>
      </c>
      <c r="B46" s="77">
        <f>B37+B44</f>
        <v>171069.58973127537</v>
      </c>
      <c r="C46" s="183">
        <f>C37+C44</f>
        <v>23.839129003800913</v>
      </c>
      <c r="D46" s="184">
        <f>D37+D44</f>
        <v>4.4679104621825179</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-1002298.2085101248</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6"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Hoja70"/>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181</v>
      </c>
      <c r="B3" s="40"/>
      <c r="C3" s="40"/>
    </row>
    <row r="4" spans="1:5" ht="15.75" x14ac:dyDescent="0.25">
      <c r="B4" s="41"/>
      <c r="C4" s="41"/>
      <c r="D4" s="41"/>
      <c r="E4" s="41"/>
    </row>
    <row r="5" spans="1:5" x14ac:dyDescent="0.2">
      <c r="A5" s="42" t="s">
        <v>184</v>
      </c>
      <c r="B5" s="43" t="s">
        <v>210</v>
      </c>
      <c r="C5" s="44"/>
    </row>
    <row r="6" spans="1:5" x14ac:dyDescent="0.2">
      <c r="A6" s="45" t="s">
        <v>197</v>
      </c>
      <c r="B6" s="115">
        <f>+P_Datos!D86</f>
        <v>243846.48972000001</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12192.324486000001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Economica'!F11*365</f>
        <v>38288.5</v>
      </c>
      <c r="C13" s="38" t="s">
        <v>3</v>
      </c>
    </row>
    <row r="14" spans="1:5" x14ac:dyDescent="0.2">
      <c r="A14" s="45" t="s">
        <v>189</v>
      </c>
      <c r="B14" s="119">
        <f>+'P_Evaluacion Economica'!G11</f>
        <v>7176</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11.000665335994681</v>
      </c>
      <c r="C18" s="38" t="s">
        <v>23</v>
      </c>
    </row>
    <row r="19" spans="1:4" hidden="1" x14ac:dyDescent="0.2">
      <c r="A19" s="45" t="s">
        <v>194</v>
      </c>
      <c r="B19" s="46"/>
    </row>
    <row r="20" spans="1:4" x14ac:dyDescent="0.2">
      <c r="A20" s="45" t="s">
        <v>193</v>
      </c>
      <c r="B20" s="118">
        <f>0.05*B6</f>
        <v>12192.324486000001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24384.648972000003</v>
      </c>
      <c r="C35" s="176">
        <f>IF(B$14&gt;0,B35/B$14,0)</f>
        <v>3.398083747491639</v>
      </c>
      <c r="D35" s="177">
        <f>IF(B$13&gt;0,B35/B$13,0)</f>
        <v>0.63686613400890613</v>
      </c>
      <c r="E35" s="188"/>
      <c r="F35" s="64"/>
    </row>
    <row r="36" spans="1:6" x14ac:dyDescent="0.2">
      <c r="A36" s="62" t="s">
        <v>202</v>
      </c>
      <c r="B36" s="65">
        <f>B19+B20</f>
        <v>12192.324486000001</v>
      </c>
      <c r="C36" s="178">
        <f>IF(B$14&gt;0,B36/B$14,0)</f>
        <v>1.6990418737458195</v>
      </c>
      <c r="D36" s="177">
        <f>IF(B$13&gt;0,B36/B$13,0)</f>
        <v>0.31843306700445306</v>
      </c>
      <c r="E36" s="189"/>
      <c r="F36" s="67"/>
    </row>
    <row r="37" spans="1:6" x14ac:dyDescent="0.2">
      <c r="A37" s="62" t="s">
        <v>209</v>
      </c>
      <c r="B37" s="63">
        <f>SUM(B35:B36)</f>
        <v>36576.973458000008</v>
      </c>
      <c r="C37" s="176">
        <f>SUM(C35:C36)</f>
        <v>5.097125621237458</v>
      </c>
      <c r="D37" s="179">
        <f>SUM(D35:D36)</f>
        <v>0.95529920101335919</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12192.324486000001</v>
      </c>
      <c r="C40" s="176">
        <f t="shared" ref="C40:C43" si="0">IF(B$14&gt;0,B40/B$14,0)</f>
        <v>1.6990418737458195</v>
      </c>
      <c r="D40" s="177">
        <f t="shared" ref="D40:D43" si="1">IF(B$13&gt;0,B40/B$13,0)</f>
        <v>0.31843306700445306</v>
      </c>
      <c r="E40" s="188"/>
      <c r="F40" s="64"/>
    </row>
    <row r="41" spans="1:6" x14ac:dyDescent="0.2">
      <c r="A41" s="62" t="s">
        <v>205</v>
      </c>
      <c r="B41" s="70">
        <f>IF(B12&gt;0,B10*B11*B13/B12,0)</f>
        <v>4344.8105106000003</v>
      </c>
      <c r="C41" s="176">
        <f t="shared" si="0"/>
        <v>0.60546411797658861</v>
      </c>
      <c r="D41" s="177">
        <f t="shared" si="1"/>
        <v>0.11347560000000001</v>
      </c>
      <c r="E41" s="188"/>
      <c r="F41" s="64"/>
    </row>
    <row r="42" spans="1:6" x14ac:dyDescent="0.2">
      <c r="A42" s="62" t="s">
        <v>206</v>
      </c>
      <c r="B42" s="72">
        <f>IF(B16&gt;0,(B13/B17)*B16*1.1,0)</f>
        <v>3790.5615000000012</v>
      </c>
      <c r="C42" s="176">
        <f t="shared" si="0"/>
        <v>0.5282276337792644</v>
      </c>
      <c r="D42" s="177">
        <f t="shared" si="1"/>
        <v>9.9000000000000032E-2</v>
      </c>
      <c r="E42" s="188"/>
      <c r="F42" s="64"/>
    </row>
    <row r="43" spans="1:6" x14ac:dyDescent="0.2">
      <c r="A43" s="62" t="s">
        <v>217</v>
      </c>
      <c r="B43" s="65">
        <f>+'P_9m3-2T'!D53*B21*312</f>
        <v>453070.24476485152</v>
      </c>
      <c r="C43" s="176">
        <f t="shared" si="0"/>
        <v>63.13687914783327</v>
      </c>
      <c r="D43" s="177">
        <f t="shared" si="1"/>
        <v>11.83306331574367</v>
      </c>
      <c r="E43" s="189"/>
      <c r="F43" s="67"/>
    </row>
    <row r="44" spans="1:6" x14ac:dyDescent="0.2">
      <c r="A44" s="62" t="s">
        <v>207</v>
      </c>
      <c r="B44" s="63">
        <f>SUM(B40:B43)</f>
        <v>473397.94126145152</v>
      </c>
      <c r="C44" s="176">
        <f>SUM(C40:C43)</f>
        <v>65.969612773334944</v>
      </c>
      <c r="D44" s="179">
        <f>SUM(D40:D43)</f>
        <v>12.363971982748124</v>
      </c>
      <c r="E44" s="188"/>
      <c r="F44" s="64"/>
    </row>
    <row r="45" spans="1:6" x14ac:dyDescent="0.2">
      <c r="A45" s="62"/>
      <c r="B45" s="68"/>
      <c r="C45" s="181"/>
      <c r="D45" s="182"/>
      <c r="E45" s="190"/>
      <c r="F45" s="171"/>
    </row>
    <row r="46" spans="1:6" ht="13.5" thickBot="1" x14ac:dyDescent="0.25">
      <c r="A46" s="76" t="s">
        <v>208</v>
      </c>
      <c r="B46" s="77">
        <f>B37+B44</f>
        <v>509974.91471945151</v>
      </c>
      <c r="C46" s="183">
        <f>C37+C44</f>
        <v>71.066738394572397</v>
      </c>
      <c r="D46" s="184">
        <f>D37+D44</f>
        <v>13.319271183761483</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-5478598.3694958612</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Hoja71"/>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181</v>
      </c>
      <c r="B3" s="40"/>
      <c r="C3" s="40"/>
    </row>
    <row r="4" spans="1:5" ht="15.75" x14ac:dyDescent="0.25">
      <c r="B4" s="41"/>
      <c r="C4" s="41"/>
      <c r="D4" s="41"/>
      <c r="E4" s="41"/>
    </row>
    <row r="5" spans="1:5" x14ac:dyDescent="0.2">
      <c r="A5" s="42" t="s">
        <v>184</v>
      </c>
      <c r="B5" s="43" t="s">
        <v>210</v>
      </c>
      <c r="C5" s="44"/>
    </row>
    <row r="6" spans="1:5" x14ac:dyDescent="0.2">
      <c r="A6" s="45" t="s">
        <v>197</v>
      </c>
      <c r="B6" s="115">
        <f>+P_Datos!D86</f>
        <v>243846.48972000001</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12192.324486000001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Economica'!F12*365</f>
        <v>38288.5</v>
      </c>
      <c r="C13" s="38" t="s">
        <v>3</v>
      </c>
    </row>
    <row r="14" spans="1:5" x14ac:dyDescent="0.2">
      <c r="A14" s="45" t="s">
        <v>189</v>
      </c>
      <c r="B14" s="119">
        <f>+'P_Evaluacion Economica'!G12</f>
        <v>7176</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11.000665335994681</v>
      </c>
      <c r="C18" s="38" t="s">
        <v>23</v>
      </c>
    </row>
    <row r="19" spans="1:4" hidden="1" x14ac:dyDescent="0.2">
      <c r="A19" s="45" t="s">
        <v>194</v>
      </c>
      <c r="B19" s="46"/>
    </row>
    <row r="20" spans="1:4" x14ac:dyDescent="0.2">
      <c r="A20" s="45" t="s">
        <v>193</v>
      </c>
      <c r="B20" s="118">
        <f>0.05*B6</f>
        <v>12192.324486000001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24384.648972000003</v>
      </c>
      <c r="C35" s="176">
        <f>IF(B$14&gt;0,B35/B$14,0)</f>
        <v>3.398083747491639</v>
      </c>
      <c r="D35" s="177">
        <f>IF(B$13&gt;0,B35/B$13,0)</f>
        <v>0.63686613400890613</v>
      </c>
      <c r="E35" s="188"/>
      <c r="F35" s="64"/>
    </row>
    <row r="36" spans="1:6" x14ac:dyDescent="0.2">
      <c r="A36" s="62" t="s">
        <v>202</v>
      </c>
      <c r="B36" s="65">
        <f>B19+B20</f>
        <v>12192.324486000001</v>
      </c>
      <c r="C36" s="178">
        <f>IF(B$14&gt;0,B36/B$14,0)</f>
        <v>1.6990418737458195</v>
      </c>
      <c r="D36" s="177">
        <f>IF(B$13&gt;0,B36/B$13,0)</f>
        <v>0.31843306700445306</v>
      </c>
      <c r="E36" s="189"/>
      <c r="F36" s="67"/>
    </row>
    <row r="37" spans="1:6" x14ac:dyDescent="0.2">
      <c r="A37" s="62" t="s">
        <v>209</v>
      </c>
      <c r="B37" s="63">
        <f>SUM(B35:B36)</f>
        <v>36576.973458000008</v>
      </c>
      <c r="C37" s="176">
        <f>SUM(C35:C36)</f>
        <v>5.097125621237458</v>
      </c>
      <c r="D37" s="179">
        <f>SUM(D35:D36)</f>
        <v>0.95529920101335919</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12192.324486000001</v>
      </c>
      <c r="C40" s="176">
        <f t="shared" ref="C40:C43" si="0">IF(B$14&gt;0,B40/B$14,0)</f>
        <v>1.6990418737458195</v>
      </c>
      <c r="D40" s="177">
        <f t="shared" ref="D40:D43" si="1">IF(B$13&gt;0,B40/B$13,0)</f>
        <v>0.31843306700445306</v>
      </c>
      <c r="E40" s="188"/>
      <c r="F40" s="64"/>
    </row>
    <row r="41" spans="1:6" x14ac:dyDescent="0.2">
      <c r="A41" s="62" t="s">
        <v>205</v>
      </c>
      <c r="B41" s="70">
        <f>IF(B12&gt;0,B10*B11*B13/B12,0)</f>
        <v>4344.8105106000003</v>
      </c>
      <c r="C41" s="176">
        <f t="shared" si="0"/>
        <v>0.60546411797658861</v>
      </c>
      <c r="D41" s="177">
        <f t="shared" si="1"/>
        <v>0.11347560000000001</v>
      </c>
      <c r="E41" s="188"/>
      <c r="F41" s="64"/>
    </row>
    <row r="42" spans="1:6" x14ac:dyDescent="0.2">
      <c r="A42" s="62" t="s">
        <v>206</v>
      </c>
      <c r="B42" s="72">
        <f>IF(B16&gt;0,(B13/B17)*B16*1.1,0)</f>
        <v>3790.5615000000012</v>
      </c>
      <c r="C42" s="176">
        <f t="shared" si="0"/>
        <v>0.5282276337792644</v>
      </c>
      <c r="D42" s="177">
        <f t="shared" si="1"/>
        <v>9.9000000000000032E-2</v>
      </c>
      <c r="E42" s="188"/>
      <c r="F42" s="64"/>
    </row>
    <row r="43" spans="1:6" x14ac:dyDescent="0.2">
      <c r="A43" s="62" t="s">
        <v>217</v>
      </c>
      <c r="B43" s="65">
        <f>+'P_9m3-1T'!D53*B21*312</f>
        <v>122649.69003199747</v>
      </c>
      <c r="C43" s="176">
        <f t="shared" si="0"/>
        <v>17.091651342251598</v>
      </c>
      <c r="D43" s="177">
        <f t="shared" si="1"/>
        <v>3.2033036037451836</v>
      </c>
      <c r="E43" s="189"/>
      <c r="F43" s="67"/>
    </row>
    <row r="44" spans="1:6" x14ac:dyDescent="0.2">
      <c r="A44" s="62" t="s">
        <v>207</v>
      </c>
      <c r="B44" s="63">
        <f>SUM(B40:B43)</f>
        <v>142977.38652859748</v>
      </c>
      <c r="C44" s="176">
        <f>SUM(C40:C43)</f>
        <v>19.924384967753269</v>
      </c>
      <c r="D44" s="179">
        <f>SUM(D40:D43)</f>
        <v>3.7342122707496368</v>
      </c>
      <c r="E44" s="188"/>
      <c r="F44" s="64"/>
    </row>
    <row r="45" spans="1:6" x14ac:dyDescent="0.2">
      <c r="A45" s="62"/>
      <c r="B45" s="68"/>
      <c r="C45" s="181"/>
      <c r="D45" s="182"/>
      <c r="E45" s="190"/>
      <c r="F45" s="171"/>
    </row>
    <row r="46" spans="1:6" ht="13.5" thickBot="1" x14ac:dyDescent="0.25">
      <c r="A46" s="76" t="s">
        <v>208</v>
      </c>
      <c r="B46" s="77">
        <f>B37+B44</f>
        <v>179554.3599865975</v>
      </c>
      <c r="C46" s="183">
        <f>C37+C44</f>
        <v>25.021510588990729</v>
      </c>
      <c r="D46" s="184">
        <f>D37+D44</f>
        <v>4.6895114717629962</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-1051700.6116258833</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Hoja72"/>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122</v>
      </c>
      <c r="B3" s="40"/>
      <c r="C3" s="40"/>
    </row>
    <row r="4" spans="1:5" ht="15.75" x14ac:dyDescent="0.25">
      <c r="B4" s="41"/>
      <c r="C4" s="41"/>
      <c r="D4" s="41"/>
      <c r="E4" s="41"/>
    </row>
    <row r="5" spans="1:5" x14ac:dyDescent="0.2">
      <c r="A5" s="42" t="s">
        <v>184</v>
      </c>
      <c r="B5" s="43" t="s">
        <v>210</v>
      </c>
      <c r="C5" s="44"/>
    </row>
    <row r="6" spans="1:5" x14ac:dyDescent="0.2">
      <c r="A6" s="45" t="s">
        <v>197</v>
      </c>
      <c r="B6" s="115">
        <f>+P_Datos!D87</f>
        <v>253432.58496000001</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12671.629248000001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Economica'!F11*365</f>
        <v>38288.5</v>
      </c>
      <c r="C13" s="38" t="s">
        <v>3</v>
      </c>
    </row>
    <row r="14" spans="1:5" x14ac:dyDescent="0.2">
      <c r="A14" s="45" t="s">
        <v>189</v>
      </c>
      <c r="B14" s="119">
        <f>+'P_Evaluacion Economica'!G11</f>
        <v>7176</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11.000665335994681</v>
      </c>
      <c r="C18" s="38" t="s">
        <v>23</v>
      </c>
    </row>
    <row r="19" spans="1:4" hidden="1" x14ac:dyDescent="0.2">
      <c r="A19" s="45" t="s">
        <v>194</v>
      </c>
      <c r="B19" s="46"/>
    </row>
    <row r="20" spans="1:4" x14ac:dyDescent="0.2">
      <c r="A20" s="45" t="s">
        <v>193</v>
      </c>
      <c r="B20" s="118">
        <f>0.05*B6</f>
        <v>12671.629248000001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25343.258496000002</v>
      </c>
      <c r="C35" s="176">
        <f>IF(B$14&gt;0,B35/B$14,0)</f>
        <v>3.5316692441471575</v>
      </c>
      <c r="D35" s="177">
        <f>IF(B$13&gt;0,B35/B$13,0)</f>
        <v>0.66190262078692041</v>
      </c>
      <c r="E35" s="188"/>
      <c r="F35" s="64"/>
    </row>
    <row r="36" spans="1:6" x14ac:dyDescent="0.2">
      <c r="A36" s="62" t="s">
        <v>202</v>
      </c>
      <c r="B36" s="65">
        <f>B19+B20</f>
        <v>12671.629248000001</v>
      </c>
      <c r="C36" s="178">
        <f>IF(B$14&gt;0,B36/B$14,0)</f>
        <v>1.7658346220735788</v>
      </c>
      <c r="D36" s="177">
        <f>IF(B$13&gt;0,B36/B$13,0)</f>
        <v>0.33095131039346021</v>
      </c>
      <c r="E36" s="189"/>
      <c r="F36" s="67"/>
    </row>
    <row r="37" spans="1:6" x14ac:dyDescent="0.2">
      <c r="A37" s="62" t="s">
        <v>209</v>
      </c>
      <c r="B37" s="63">
        <f>SUM(B35:B36)</f>
        <v>38014.887744000007</v>
      </c>
      <c r="C37" s="176">
        <f>SUM(C35:C36)</f>
        <v>5.2975038662207368</v>
      </c>
      <c r="D37" s="179">
        <f>SUM(D35:D36)</f>
        <v>0.99285393118038057</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12671.629248000001</v>
      </c>
      <c r="C40" s="176">
        <f t="shared" ref="C40:C43" si="0">IF(B$14&gt;0,B40/B$14,0)</f>
        <v>1.7658346220735788</v>
      </c>
      <c r="D40" s="177">
        <f t="shared" ref="D40:D43" si="1">IF(B$13&gt;0,B40/B$13,0)</f>
        <v>0.33095131039346021</v>
      </c>
      <c r="E40" s="188"/>
      <c r="F40" s="64"/>
    </row>
    <row r="41" spans="1:6" x14ac:dyDescent="0.2">
      <c r="A41" s="62" t="s">
        <v>205</v>
      </c>
      <c r="B41" s="70">
        <f>IF(B12&gt;0,B10*B11*B13/B12,0)</f>
        <v>4344.8105106000003</v>
      </c>
      <c r="C41" s="176">
        <f t="shared" si="0"/>
        <v>0.60546411797658861</v>
      </c>
      <c r="D41" s="177">
        <f t="shared" si="1"/>
        <v>0.11347560000000001</v>
      </c>
      <c r="E41" s="188"/>
      <c r="F41" s="64"/>
    </row>
    <row r="42" spans="1:6" x14ac:dyDescent="0.2">
      <c r="A42" s="62" t="s">
        <v>206</v>
      </c>
      <c r="B42" s="72">
        <f>IF(B16&gt;0,(B13/B17)*B16*1.1,0)</f>
        <v>3790.5615000000012</v>
      </c>
      <c r="C42" s="176">
        <f t="shared" si="0"/>
        <v>0.5282276337792644</v>
      </c>
      <c r="D42" s="177">
        <f t="shared" si="1"/>
        <v>9.9000000000000032E-2</v>
      </c>
      <c r="E42" s="188"/>
      <c r="F42" s="64"/>
    </row>
    <row r="43" spans="1:6" x14ac:dyDescent="0.2">
      <c r="A43" s="62" t="s">
        <v>217</v>
      </c>
      <c r="B43" s="65">
        <f>+'P_12m3-2T'!D53*B21*312</f>
        <v>443690.49691212876</v>
      </c>
      <c r="C43" s="176">
        <f t="shared" si="0"/>
        <v>61.82977939132229</v>
      </c>
      <c r="D43" s="177">
        <f t="shared" si="1"/>
        <v>11.588087726396406</v>
      </c>
      <c r="E43" s="189"/>
      <c r="F43" s="67"/>
    </row>
    <row r="44" spans="1:6" x14ac:dyDescent="0.2">
      <c r="A44" s="62" t="s">
        <v>207</v>
      </c>
      <c r="B44" s="63">
        <f>SUM(B40:B43)</f>
        <v>464497.49817072874</v>
      </c>
      <c r="C44" s="176">
        <f>SUM(C40:C43)</f>
        <v>64.729305765151722</v>
      </c>
      <c r="D44" s="179">
        <f>SUM(D40:D43)</f>
        <v>12.131514636789866</v>
      </c>
      <c r="E44" s="188"/>
      <c r="F44" s="64"/>
    </row>
    <row r="45" spans="1:6" x14ac:dyDescent="0.2">
      <c r="A45" s="62"/>
      <c r="B45" s="68"/>
      <c r="C45" s="181"/>
      <c r="D45" s="182"/>
      <c r="E45" s="190"/>
      <c r="F45" s="171"/>
    </row>
    <row r="46" spans="1:6" ht="13.5" thickBot="1" x14ac:dyDescent="0.25">
      <c r="A46" s="76" t="s">
        <v>208</v>
      </c>
      <c r="B46" s="77">
        <f>B37+B44</f>
        <v>502512.38591472874</v>
      </c>
      <c r="C46" s="183">
        <f>C37+C44</f>
        <v>70.026809631372458</v>
      </c>
      <c r="D46" s="184">
        <f>D37+D44</f>
        <v>13.124368567970247</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-5384897.3089034567</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Hoja73"/>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122</v>
      </c>
      <c r="B3" s="40"/>
      <c r="C3" s="40"/>
    </row>
    <row r="4" spans="1:5" ht="15.75" x14ac:dyDescent="0.25">
      <c r="B4" s="41"/>
      <c r="C4" s="41"/>
      <c r="D4" s="41"/>
      <c r="E4" s="41"/>
    </row>
    <row r="5" spans="1:5" x14ac:dyDescent="0.2">
      <c r="A5" s="42" t="s">
        <v>184</v>
      </c>
      <c r="B5" s="43" t="s">
        <v>210</v>
      </c>
      <c r="C5" s="44"/>
    </row>
    <row r="6" spans="1:5" x14ac:dyDescent="0.2">
      <c r="A6" s="45" t="s">
        <v>197</v>
      </c>
      <c r="B6" s="115">
        <f>+P_Datos!D87</f>
        <v>253432.58496000001</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12671.629248000001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Economica'!F12*365</f>
        <v>38288.5</v>
      </c>
      <c r="C13" s="38" t="s">
        <v>3</v>
      </c>
    </row>
    <row r="14" spans="1:5" x14ac:dyDescent="0.2">
      <c r="A14" s="45" t="s">
        <v>189</v>
      </c>
      <c r="B14" s="119">
        <f>+'P_Evaluacion Economica'!G12</f>
        <v>7176</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11.000665335994681</v>
      </c>
      <c r="C18" s="38" t="s">
        <v>23</v>
      </c>
    </row>
    <row r="19" spans="1:4" hidden="1" x14ac:dyDescent="0.2">
      <c r="A19" s="45" t="s">
        <v>194</v>
      </c>
      <c r="B19" s="46"/>
    </row>
    <row r="20" spans="1:4" x14ac:dyDescent="0.2">
      <c r="A20" s="45" t="s">
        <v>193</v>
      </c>
      <c r="B20" s="118">
        <f>0.05*B6</f>
        <v>12671.629248000001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25343.258496000002</v>
      </c>
      <c r="C35" s="176">
        <f>IF(B$14&gt;0,B35/B$14,0)</f>
        <v>3.5316692441471575</v>
      </c>
      <c r="D35" s="177">
        <f>IF(B$13&gt;0,B35/B$13,0)</f>
        <v>0.66190262078692041</v>
      </c>
      <c r="E35" s="188"/>
      <c r="F35" s="64"/>
    </row>
    <row r="36" spans="1:6" x14ac:dyDescent="0.2">
      <c r="A36" s="62" t="s">
        <v>202</v>
      </c>
      <c r="B36" s="65">
        <f>B19+B20</f>
        <v>12671.629248000001</v>
      </c>
      <c r="C36" s="178">
        <f>IF(B$14&gt;0,B36/B$14,0)</f>
        <v>1.7658346220735788</v>
      </c>
      <c r="D36" s="177">
        <f>IF(B$13&gt;0,B36/B$13,0)</f>
        <v>0.33095131039346021</v>
      </c>
      <c r="E36" s="189"/>
      <c r="F36" s="67"/>
    </row>
    <row r="37" spans="1:6" x14ac:dyDescent="0.2">
      <c r="A37" s="62" t="s">
        <v>209</v>
      </c>
      <c r="B37" s="63">
        <f>SUM(B35:B36)</f>
        <v>38014.887744000007</v>
      </c>
      <c r="C37" s="176">
        <f>SUM(C35:C36)</f>
        <v>5.2975038662207368</v>
      </c>
      <c r="D37" s="179">
        <f>SUM(D35:D36)</f>
        <v>0.99285393118038057</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12671.629248000001</v>
      </c>
      <c r="C40" s="176">
        <f t="shared" ref="C40:C43" si="0">IF(B$14&gt;0,B40/B$14,0)</f>
        <v>1.7658346220735788</v>
      </c>
      <c r="D40" s="177">
        <f t="shared" ref="D40:D43" si="1">IF(B$13&gt;0,B40/B$13,0)</f>
        <v>0.33095131039346021</v>
      </c>
      <c r="E40" s="188"/>
      <c r="F40" s="64"/>
    </row>
    <row r="41" spans="1:6" x14ac:dyDescent="0.2">
      <c r="A41" s="62" t="s">
        <v>205</v>
      </c>
      <c r="B41" s="70">
        <f>IF(B12&gt;0,B10*B11*B13/B12,0)</f>
        <v>4344.8105106000003</v>
      </c>
      <c r="C41" s="176">
        <f t="shared" si="0"/>
        <v>0.60546411797658861</v>
      </c>
      <c r="D41" s="177">
        <f t="shared" si="1"/>
        <v>0.11347560000000001</v>
      </c>
      <c r="E41" s="188"/>
      <c r="F41" s="64"/>
    </row>
    <row r="42" spans="1:6" x14ac:dyDescent="0.2">
      <c r="A42" s="62" t="s">
        <v>206</v>
      </c>
      <c r="B42" s="72">
        <f>IF(B16&gt;0,(B13/B17)*B16*1.1,0)</f>
        <v>3790.5615000000012</v>
      </c>
      <c r="C42" s="176">
        <f t="shared" si="0"/>
        <v>0.5282276337792644</v>
      </c>
      <c r="D42" s="177">
        <f t="shared" si="1"/>
        <v>9.9000000000000032E-2</v>
      </c>
      <c r="E42" s="188"/>
      <c r="F42" s="64"/>
    </row>
    <row r="43" spans="1:6" x14ac:dyDescent="0.2">
      <c r="A43" s="62" t="s">
        <v>217</v>
      </c>
      <c r="B43" s="65">
        <f>+'P_12m3-1T'!D53*B21*312</f>
        <v>127315.54955727058</v>
      </c>
      <c r="C43" s="176">
        <f t="shared" si="0"/>
        <v>17.741854732061118</v>
      </c>
      <c r="D43" s="177">
        <f t="shared" si="1"/>
        <v>3.3251642022348902</v>
      </c>
      <c r="E43" s="189"/>
      <c r="F43" s="67"/>
    </row>
    <row r="44" spans="1:6" x14ac:dyDescent="0.2">
      <c r="A44" s="62" t="s">
        <v>207</v>
      </c>
      <c r="B44" s="63">
        <f>SUM(B40:B43)</f>
        <v>148122.55081587058</v>
      </c>
      <c r="C44" s="176">
        <f>SUM(C40:C43)</f>
        <v>20.641381105890549</v>
      </c>
      <c r="D44" s="179">
        <f>SUM(D40:D43)</f>
        <v>3.8685911126283505</v>
      </c>
      <c r="E44" s="188"/>
      <c r="F44" s="64"/>
    </row>
    <row r="45" spans="1:6" x14ac:dyDescent="0.2">
      <c r="A45" s="62"/>
      <c r="B45" s="68"/>
      <c r="C45" s="181"/>
      <c r="D45" s="182"/>
      <c r="E45" s="190"/>
      <c r="F45" s="171"/>
    </row>
    <row r="46" spans="1:6" ht="13.5" thickBot="1" x14ac:dyDescent="0.25">
      <c r="A46" s="76" t="s">
        <v>208</v>
      </c>
      <c r="B46" s="77">
        <f>B37+B44</f>
        <v>186137.43855987058</v>
      </c>
      <c r="C46" s="183">
        <f>C37+C44</f>
        <v>25.938884972111286</v>
      </c>
      <c r="D46" s="184">
        <f>D37+D44</f>
        <v>4.8614450438087307</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-1090358.0326067908</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Hoja74"/>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163</v>
      </c>
      <c r="B3" s="40"/>
      <c r="C3" s="40"/>
    </row>
    <row r="4" spans="1:5" ht="15.75" x14ac:dyDescent="0.25">
      <c r="B4" s="41"/>
      <c r="C4" s="41"/>
      <c r="D4" s="41"/>
      <c r="E4" s="41"/>
    </row>
    <row r="5" spans="1:5" x14ac:dyDescent="0.2">
      <c r="A5" s="42" t="s">
        <v>184</v>
      </c>
      <c r="B5" s="43" t="s">
        <v>210</v>
      </c>
      <c r="C5" s="44"/>
    </row>
    <row r="6" spans="1:5" x14ac:dyDescent="0.2">
      <c r="A6" s="45" t="s">
        <v>197</v>
      </c>
      <c r="B6" s="115">
        <f>+P_Datos!D88</f>
        <v>263018.6802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13150.934010000001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Economica'!F13*365</f>
        <v>38288.5</v>
      </c>
      <c r="C13" s="38" t="s">
        <v>3</v>
      </c>
    </row>
    <row r="14" spans="1:5" x14ac:dyDescent="0.2">
      <c r="A14" s="45" t="s">
        <v>189</v>
      </c>
      <c r="B14" s="119">
        <f>+'P_Evaluacion Economica'!G13</f>
        <v>7176</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11.000665335994681</v>
      </c>
      <c r="C18" s="38" t="s">
        <v>23</v>
      </c>
    </row>
    <row r="19" spans="1:4" hidden="1" x14ac:dyDescent="0.2">
      <c r="A19" s="45" t="s">
        <v>194</v>
      </c>
      <c r="B19" s="46"/>
    </row>
    <row r="20" spans="1:4" x14ac:dyDescent="0.2">
      <c r="A20" s="45" t="s">
        <v>193</v>
      </c>
      <c r="B20" s="118">
        <f>0.05*B6</f>
        <v>13150.934010000001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26301.868020000002</v>
      </c>
      <c r="C35" s="176">
        <f>IF(B$14&gt;0,B35/B$14,0)</f>
        <v>3.6652547408026757</v>
      </c>
      <c r="D35" s="177">
        <f>IF(B$13&gt;0,B35/B$13,0)</f>
        <v>0.6869391075649347</v>
      </c>
      <c r="E35" s="188"/>
      <c r="F35" s="64"/>
    </row>
    <row r="36" spans="1:6" x14ac:dyDescent="0.2">
      <c r="A36" s="62" t="s">
        <v>202</v>
      </c>
      <c r="B36" s="65">
        <f>B19+B20</f>
        <v>13150.934010000001</v>
      </c>
      <c r="C36" s="178">
        <f>IF(B$14&gt;0,B36/B$14,0)</f>
        <v>1.8326273704013378</v>
      </c>
      <c r="D36" s="177">
        <f>IF(B$13&gt;0,B36/B$13,0)</f>
        <v>0.34346955378246735</v>
      </c>
      <c r="E36" s="189"/>
      <c r="F36" s="67"/>
    </row>
    <row r="37" spans="1:6" x14ac:dyDescent="0.2">
      <c r="A37" s="62" t="s">
        <v>209</v>
      </c>
      <c r="B37" s="63">
        <f>SUM(B35:B36)</f>
        <v>39452.802030000006</v>
      </c>
      <c r="C37" s="176">
        <f>SUM(C35:C36)</f>
        <v>5.4978821112040137</v>
      </c>
      <c r="D37" s="179">
        <f>SUM(D35:D36)</f>
        <v>1.0304086613474022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13150.934010000001</v>
      </c>
      <c r="C40" s="176">
        <f t="shared" ref="C40:C43" si="0">IF(B$14&gt;0,B40/B$14,0)</f>
        <v>1.8326273704013378</v>
      </c>
      <c r="D40" s="177">
        <f t="shared" ref="D40:D43" si="1">IF(B$13&gt;0,B40/B$13,0)</f>
        <v>0.34346955378246735</v>
      </c>
      <c r="E40" s="188"/>
      <c r="F40" s="64"/>
    </row>
    <row r="41" spans="1:6" x14ac:dyDescent="0.2">
      <c r="A41" s="62" t="s">
        <v>205</v>
      </c>
      <c r="B41" s="70">
        <f>IF(B12&gt;0,B10*B11*B13/B12,0)</f>
        <v>4344.8105106000003</v>
      </c>
      <c r="C41" s="176">
        <f t="shared" si="0"/>
        <v>0.60546411797658861</v>
      </c>
      <c r="D41" s="177">
        <f t="shared" si="1"/>
        <v>0.11347560000000001</v>
      </c>
      <c r="E41" s="188"/>
      <c r="F41" s="64"/>
    </row>
    <row r="42" spans="1:6" x14ac:dyDescent="0.2">
      <c r="A42" s="62" t="s">
        <v>206</v>
      </c>
      <c r="B42" s="72">
        <f>IF(B16&gt;0,(B13/B17)*B16*1.1,0)</f>
        <v>3790.5615000000012</v>
      </c>
      <c r="C42" s="176">
        <f t="shared" si="0"/>
        <v>0.5282276337792644</v>
      </c>
      <c r="D42" s="177">
        <f t="shared" si="1"/>
        <v>9.9000000000000032E-2</v>
      </c>
      <c r="E42" s="188"/>
      <c r="F42" s="64"/>
    </row>
    <row r="43" spans="1:6" x14ac:dyDescent="0.2">
      <c r="A43" s="62" t="s">
        <v>217</v>
      </c>
      <c r="B43" s="65">
        <f>+'P_15m3-2T'!D53*B21*312</f>
        <v>443690.49691212876</v>
      </c>
      <c r="C43" s="176">
        <f t="shared" si="0"/>
        <v>61.82977939132229</v>
      </c>
      <c r="D43" s="177">
        <f t="shared" si="1"/>
        <v>11.588087726396406</v>
      </c>
      <c r="E43" s="189"/>
      <c r="F43" s="67"/>
    </row>
    <row r="44" spans="1:6" x14ac:dyDescent="0.2">
      <c r="A44" s="62" t="s">
        <v>207</v>
      </c>
      <c r="B44" s="63">
        <f>SUM(B40:B43)</f>
        <v>464976.80293272878</v>
      </c>
      <c r="C44" s="176">
        <f>SUM(C40:C43)</f>
        <v>64.796098513479478</v>
      </c>
      <c r="D44" s="179">
        <f>SUM(D40:D43)</f>
        <v>12.144032880178873</v>
      </c>
      <c r="E44" s="188"/>
      <c r="F44" s="64"/>
    </row>
    <row r="45" spans="1:6" x14ac:dyDescent="0.2">
      <c r="A45" s="62"/>
      <c r="B45" s="68"/>
      <c r="C45" s="181"/>
      <c r="D45" s="182"/>
      <c r="E45" s="190"/>
      <c r="F45" s="171"/>
    </row>
    <row r="46" spans="1:6" ht="13.5" thickBot="1" x14ac:dyDescent="0.25">
      <c r="A46" s="76" t="s">
        <v>208</v>
      </c>
      <c r="B46" s="77">
        <f>B37+B44</f>
        <v>504429.6049627288</v>
      </c>
      <c r="C46" s="183">
        <f>C37+C44</f>
        <v>70.293980624683485</v>
      </c>
      <c r="D46" s="184">
        <f>D37+D44</f>
        <v>13.174441541526274</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-5397191.5829473361</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Hoja75"/>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163</v>
      </c>
      <c r="B3" s="40"/>
      <c r="C3" s="40"/>
    </row>
    <row r="4" spans="1:5" ht="15.75" x14ac:dyDescent="0.25">
      <c r="B4" s="41"/>
      <c r="C4" s="41"/>
      <c r="D4" s="41"/>
      <c r="E4" s="41"/>
    </row>
    <row r="5" spans="1:5" x14ac:dyDescent="0.2">
      <c r="A5" s="42" t="s">
        <v>184</v>
      </c>
      <c r="B5" s="43" t="s">
        <v>210</v>
      </c>
      <c r="C5" s="44"/>
    </row>
    <row r="6" spans="1:5" x14ac:dyDescent="0.2">
      <c r="A6" s="45" t="s">
        <v>197</v>
      </c>
      <c r="B6" s="115">
        <f>+P_Datos!D88</f>
        <v>263018.6802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13150.934010000001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Economica'!F14*365</f>
        <v>38288.5</v>
      </c>
      <c r="C13" s="38" t="s">
        <v>3</v>
      </c>
    </row>
    <row r="14" spans="1:5" x14ac:dyDescent="0.2">
      <c r="A14" s="45" t="s">
        <v>189</v>
      </c>
      <c r="B14" s="119">
        <f>+'P_Evaluacion Economica'!G14</f>
        <v>7176</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11.000665335994681</v>
      </c>
      <c r="C18" s="38" t="s">
        <v>23</v>
      </c>
    </row>
    <row r="19" spans="1:4" hidden="1" x14ac:dyDescent="0.2">
      <c r="A19" s="45" t="s">
        <v>194</v>
      </c>
      <c r="B19" s="46"/>
    </row>
    <row r="20" spans="1:4" x14ac:dyDescent="0.2">
      <c r="A20" s="45" t="s">
        <v>193</v>
      </c>
      <c r="B20" s="118">
        <f>0.05*B6</f>
        <v>13150.934010000001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26301.868020000002</v>
      </c>
      <c r="C35" s="176">
        <f>IF(B$14&gt;0,B35/B$14,0)</f>
        <v>3.6652547408026757</v>
      </c>
      <c r="D35" s="177">
        <f>IF(B$13&gt;0,B35/B$13,0)</f>
        <v>0.6869391075649347</v>
      </c>
      <c r="E35" s="188"/>
      <c r="F35" s="64"/>
    </row>
    <row r="36" spans="1:6" x14ac:dyDescent="0.2">
      <c r="A36" s="62" t="s">
        <v>202</v>
      </c>
      <c r="B36" s="65">
        <f>B19+B20</f>
        <v>13150.934010000001</v>
      </c>
      <c r="C36" s="178">
        <f>IF(B$14&gt;0,B36/B$14,0)</f>
        <v>1.8326273704013378</v>
      </c>
      <c r="D36" s="177">
        <f>IF(B$13&gt;0,B36/B$13,0)</f>
        <v>0.34346955378246735</v>
      </c>
      <c r="E36" s="189"/>
      <c r="F36" s="67"/>
    </row>
    <row r="37" spans="1:6" x14ac:dyDescent="0.2">
      <c r="A37" s="62" t="s">
        <v>209</v>
      </c>
      <c r="B37" s="63">
        <f>SUM(B35:B36)</f>
        <v>39452.802030000006</v>
      </c>
      <c r="C37" s="176">
        <f>SUM(C35:C36)</f>
        <v>5.4978821112040137</v>
      </c>
      <c r="D37" s="179">
        <f>SUM(D35:D36)</f>
        <v>1.0304086613474022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13150.934010000001</v>
      </c>
      <c r="C40" s="176">
        <f t="shared" ref="C40:C43" si="0">IF(B$14&gt;0,B40/B$14,0)</f>
        <v>1.8326273704013378</v>
      </c>
      <c r="D40" s="177">
        <f t="shared" ref="D40:D43" si="1">IF(B$13&gt;0,B40/B$13,0)</f>
        <v>0.34346955378246735</v>
      </c>
      <c r="E40" s="188"/>
      <c r="F40" s="64"/>
    </row>
    <row r="41" spans="1:6" x14ac:dyDescent="0.2">
      <c r="A41" s="62" t="s">
        <v>205</v>
      </c>
      <c r="B41" s="70">
        <f>IF(B12&gt;0,B10*B11*B13/B12,0)</f>
        <v>4344.8105106000003</v>
      </c>
      <c r="C41" s="176">
        <f t="shared" si="0"/>
        <v>0.60546411797658861</v>
      </c>
      <c r="D41" s="177">
        <f t="shared" si="1"/>
        <v>0.11347560000000001</v>
      </c>
      <c r="E41" s="188"/>
      <c r="F41" s="64"/>
    </row>
    <row r="42" spans="1:6" x14ac:dyDescent="0.2">
      <c r="A42" s="62" t="s">
        <v>206</v>
      </c>
      <c r="B42" s="72">
        <f>IF(B16&gt;0,(B13/B17)*B16*1.1,0)</f>
        <v>3790.5615000000012</v>
      </c>
      <c r="C42" s="176">
        <f t="shared" si="0"/>
        <v>0.5282276337792644</v>
      </c>
      <c r="D42" s="177">
        <f t="shared" si="1"/>
        <v>9.9000000000000032E-2</v>
      </c>
      <c r="E42" s="188"/>
      <c r="F42" s="64"/>
    </row>
    <row r="43" spans="1:6" x14ac:dyDescent="0.2">
      <c r="A43" s="62" t="s">
        <v>217</v>
      </c>
      <c r="B43" s="65">
        <f>+'P_15m3-1T'!D53*B21*312</f>
        <v>144678.89275503272</v>
      </c>
      <c r="C43" s="176">
        <f t="shared" si="0"/>
        <v>20.161495645907571</v>
      </c>
      <c r="D43" s="177">
        <f t="shared" si="1"/>
        <v>3.7786513641180175</v>
      </c>
      <c r="E43" s="189"/>
      <c r="F43" s="67"/>
    </row>
    <row r="44" spans="1:6" x14ac:dyDescent="0.2">
      <c r="A44" s="62" t="s">
        <v>207</v>
      </c>
      <c r="B44" s="63">
        <f>SUM(B40:B43)</f>
        <v>165965.19877563271</v>
      </c>
      <c r="C44" s="176">
        <f>SUM(C40:C43)</f>
        <v>23.127814768064763</v>
      </c>
      <c r="D44" s="179">
        <f>SUM(D40:D43)</f>
        <v>4.3345965179004846</v>
      </c>
      <c r="E44" s="188"/>
      <c r="F44" s="64"/>
    </row>
    <row r="45" spans="1:6" x14ac:dyDescent="0.2">
      <c r="A45" s="62"/>
      <c r="B45" s="68"/>
      <c r="C45" s="181"/>
      <c r="D45" s="182"/>
      <c r="E45" s="190"/>
      <c r="F45" s="171"/>
    </row>
    <row r="46" spans="1:6" ht="13.5" thickBot="1" x14ac:dyDescent="0.25">
      <c r="A46" s="76" t="s">
        <v>208</v>
      </c>
      <c r="B46" s="77">
        <f>B37+B44</f>
        <v>205418.00080563274</v>
      </c>
      <c r="C46" s="183">
        <f>C37+C44</f>
        <v>28.625696879268776</v>
      </c>
      <c r="D46" s="184">
        <f>D37+D44</f>
        <v>5.3650051792478868</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-1200759.068236867</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Hoja76"/>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167</v>
      </c>
      <c r="B3" s="40"/>
      <c r="C3" s="40"/>
    </row>
    <row r="4" spans="1:5" ht="15.75" x14ac:dyDescent="0.25">
      <c r="B4" s="41"/>
      <c r="C4" s="41"/>
      <c r="D4" s="41"/>
      <c r="E4" s="41"/>
    </row>
    <row r="5" spans="1:5" x14ac:dyDescent="0.2">
      <c r="A5" s="42" t="s">
        <v>184</v>
      </c>
      <c r="B5" s="43" t="s">
        <v>210</v>
      </c>
      <c r="C5" s="44"/>
    </row>
    <row r="6" spans="1:5" x14ac:dyDescent="0.2">
      <c r="A6" s="45" t="s">
        <v>197</v>
      </c>
      <c r="B6" s="115">
        <f>+P_Datos!D89</f>
        <v>266214.04528000002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13310.702264000001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Economica'!F15*365</f>
        <v>38288.5</v>
      </c>
      <c r="C13" s="38" t="s">
        <v>3</v>
      </c>
    </row>
    <row r="14" spans="1:5" x14ac:dyDescent="0.2">
      <c r="A14" s="45" t="s">
        <v>189</v>
      </c>
      <c r="B14" s="119">
        <f>+'P_Evaluacion Economica'!G15</f>
        <v>7176</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11.000665335994681</v>
      </c>
      <c r="C18" s="38" t="s">
        <v>23</v>
      </c>
    </row>
    <row r="19" spans="1:4" hidden="1" x14ac:dyDescent="0.2">
      <c r="A19" s="45" t="s">
        <v>194</v>
      </c>
      <c r="B19" s="46"/>
    </row>
    <row r="20" spans="1:4" x14ac:dyDescent="0.2">
      <c r="A20" s="45" t="s">
        <v>193</v>
      </c>
      <c r="B20" s="118">
        <f>0.05*B6</f>
        <v>13310.702264000001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26621.404528000003</v>
      </c>
      <c r="C35" s="176">
        <f>IF(B$14&gt;0,B35/B$14,0)</f>
        <v>3.709783239687849</v>
      </c>
      <c r="D35" s="177">
        <f>IF(B$13&gt;0,B35/B$13,0)</f>
        <v>0.6952846031576061</v>
      </c>
      <c r="E35" s="188"/>
      <c r="F35" s="64"/>
    </row>
    <row r="36" spans="1:6" x14ac:dyDescent="0.2">
      <c r="A36" s="62" t="s">
        <v>202</v>
      </c>
      <c r="B36" s="65">
        <f>B19+B20</f>
        <v>13310.702264000001</v>
      </c>
      <c r="C36" s="178">
        <f>IF(B$14&gt;0,B36/B$14,0)</f>
        <v>1.8548916198439245</v>
      </c>
      <c r="D36" s="177">
        <f>IF(B$13&gt;0,B36/B$13,0)</f>
        <v>0.34764230157880305</v>
      </c>
      <c r="E36" s="189"/>
      <c r="F36" s="67"/>
    </row>
    <row r="37" spans="1:6" x14ac:dyDescent="0.2">
      <c r="A37" s="62" t="s">
        <v>209</v>
      </c>
      <c r="B37" s="63">
        <f>SUM(B35:B36)</f>
        <v>39932.106792000006</v>
      </c>
      <c r="C37" s="176">
        <f>SUM(C35:C36)</f>
        <v>5.5646748595317739</v>
      </c>
      <c r="D37" s="179">
        <f>SUM(D35:D36)</f>
        <v>1.0429269047364091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13310.702264000001</v>
      </c>
      <c r="C40" s="176">
        <f t="shared" ref="C40:C43" si="0">IF(B$14&gt;0,B40/B$14,0)</f>
        <v>1.8548916198439245</v>
      </c>
      <c r="D40" s="177">
        <f t="shared" ref="D40:D43" si="1">IF(B$13&gt;0,B40/B$13,0)</f>
        <v>0.34764230157880305</v>
      </c>
      <c r="E40" s="188"/>
      <c r="F40" s="64"/>
    </row>
    <row r="41" spans="1:6" x14ac:dyDescent="0.2">
      <c r="A41" s="62" t="s">
        <v>205</v>
      </c>
      <c r="B41" s="70">
        <f>IF(B12&gt;0,B10*B11*B13/B12,0)</f>
        <v>4344.8105106000003</v>
      </c>
      <c r="C41" s="176">
        <f t="shared" si="0"/>
        <v>0.60546411797658861</v>
      </c>
      <c r="D41" s="177">
        <f t="shared" si="1"/>
        <v>0.11347560000000001</v>
      </c>
      <c r="E41" s="188"/>
      <c r="F41" s="64"/>
    </row>
    <row r="42" spans="1:6" x14ac:dyDescent="0.2">
      <c r="A42" s="62" t="s">
        <v>206</v>
      </c>
      <c r="B42" s="72">
        <f>IF(B16&gt;0,(B13/B17)*B16*1.1,0)</f>
        <v>3790.5615000000012</v>
      </c>
      <c r="C42" s="176">
        <f t="shared" si="0"/>
        <v>0.5282276337792644</v>
      </c>
      <c r="D42" s="177">
        <f t="shared" si="1"/>
        <v>9.9000000000000032E-2</v>
      </c>
      <c r="E42" s="188"/>
      <c r="F42" s="64"/>
    </row>
    <row r="43" spans="1:6" x14ac:dyDescent="0.2">
      <c r="A43" s="62" t="s">
        <v>217</v>
      </c>
      <c r="B43" s="65">
        <f>+'P_16m3-2T'!D53*B21*312</f>
        <v>443690.49691212876</v>
      </c>
      <c r="C43" s="176">
        <f t="shared" si="0"/>
        <v>61.82977939132229</v>
      </c>
      <c r="D43" s="177">
        <f t="shared" si="1"/>
        <v>11.588087726396406</v>
      </c>
      <c r="E43" s="189"/>
      <c r="F43" s="67"/>
    </row>
    <row r="44" spans="1:6" x14ac:dyDescent="0.2">
      <c r="A44" s="62" t="s">
        <v>207</v>
      </c>
      <c r="B44" s="63">
        <f>SUM(B40:B43)</f>
        <v>465136.57118672878</v>
      </c>
      <c r="C44" s="176">
        <f>SUM(C40:C43)</f>
        <v>64.818362762922064</v>
      </c>
      <c r="D44" s="179">
        <f>SUM(D40:D43)</f>
        <v>12.148205627975209</v>
      </c>
      <c r="E44" s="188"/>
      <c r="F44" s="64"/>
    </row>
    <row r="45" spans="1:6" x14ac:dyDescent="0.2">
      <c r="A45" s="62"/>
      <c r="B45" s="68"/>
      <c r="C45" s="181"/>
      <c r="D45" s="182"/>
      <c r="E45" s="190"/>
      <c r="F45" s="171"/>
    </row>
    <row r="46" spans="1:6" ht="13.5" thickBot="1" x14ac:dyDescent="0.25">
      <c r="A46" s="76" t="s">
        <v>208</v>
      </c>
      <c r="B46" s="77">
        <f>B37+B44</f>
        <v>505068.67797872878</v>
      </c>
      <c r="C46" s="183">
        <f>C37+C44</f>
        <v>70.383037622453841</v>
      </c>
      <c r="D46" s="184">
        <f>D37+D44</f>
        <v>13.191132532711618</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-5401289.6742952969</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Hoja77"/>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167</v>
      </c>
      <c r="B3" s="40"/>
      <c r="C3" s="40"/>
    </row>
    <row r="4" spans="1:5" ht="15.75" x14ac:dyDescent="0.25">
      <c r="B4" s="41"/>
      <c r="C4" s="41"/>
      <c r="D4" s="41"/>
      <c r="E4" s="41"/>
    </row>
    <row r="5" spans="1:5" x14ac:dyDescent="0.2">
      <c r="A5" s="42" t="s">
        <v>184</v>
      </c>
      <c r="B5" s="43" t="s">
        <v>210</v>
      </c>
      <c r="C5" s="44"/>
    </row>
    <row r="6" spans="1:5" x14ac:dyDescent="0.2">
      <c r="A6" s="45" t="s">
        <v>197</v>
      </c>
      <c r="B6" s="115">
        <f>+P_Datos!D89</f>
        <v>266214.04528000002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13310.702264000001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Economica'!F16*365</f>
        <v>38288.5</v>
      </c>
      <c r="C13" s="38" t="s">
        <v>3</v>
      </c>
    </row>
    <row r="14" spans="1:5" x14ac:dyDescent="0.2">
      <c r="A14" s="45" t="s">
        <v>189</v>
      </c>
      <c r="B14" s="119">
        <f>+'P_Evaluacion Economica'!G16</f>
        <v>7176</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11.000665335994681</v>
      </c>
      <c r="C18" s="38" t="s">
        <v>23</v>
      </c>
    </row>
    <row r="19" spans="1:4" hidden="1" x14ac:dyDescent="0.2">
      <c r="A19" s="45" t="s">
        <v>194</v>
      </c>
      <c r="B19" s="46"/>
    </row>
    <row r="20" spans="1:4" x14ac:dyDescent="0.2">
      <c r="A20" s="45" t="s">
        <v>193</v>
      </c>
      <c r="B20" s="118">
        <f>0.05*B6</f>
        <v>13310.702264000001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26621.404528000003</v>
      </c>
      <c r="C35" s="176">
        <f>IF(B$14&gt;0,B35/B$14,0)</f>
        <v>3.709783239687849</v>
      </c>
      <c r="D35" s="177">
        <f>IF(B$13&gt;0,B35/B$13,0)</f>
        <v>0.6952846031576061</v>
      </c>
      <c r="E35" s="188"/>
      <c r="F35" s="64"/>
    </row>
    <row r="36" spans="1:6" x14ac:dyDescent="0.2">
      <c r="A36" s="62" t="s">
        <v>202</v>
      </c>
      <c r="B36" s="65">
        <f>B19+B20</f>
        <v>13310.702264000001</v>
      </c>
      <c r="C36" s="178">
        <f>IF(B$14&gt;0,B36/B$14,0)</f>
        <v>1.8548916198439245</v>
      </c>
      <c r="D36" s="177">
        <f>IF(B$13&gt;0,B36/B$13,0)</f>
        <v>0.34764230157880305</v>
      </c>
      <c r="E36" s="189"/>
      <c r="F36" s="67"/>
    </row>
    <row r="37" spans="1:6" x14ac:dyDescent="0.2">
      <c r="A37" s="62" t="s">
        <v>209</v>
      </c>
      <c r="B37" s="63">
        <f>SUM(B35:B36)</f>
        <v>39932.106792000006</v>
      </c>
      <c r="C37" s="176">
        <f>SUM(C35:C36)</f>
        <v>5.5646748595317739</v>
      </c>
      <c r="D37" s="179">
        <f>SUM(D35:D36)</f>
        <v>1.0429269047364091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13310.702264000001</v>
      </c>
      <c r="C40" s="176">
        <f t="shared" ref="C40:C43" si="0">IF(B$14&gt;0,B40/B$14,0)</f>
        <v>1.8548916198439245</v>
      </c>
      <c r="D40" s="177">
        <f t="shared" ref="D40:D43" si="1">IF(B$13&gt;0,B40/B$13,0)</f>
        <v>0.34764230157880305</v>
      </c>
      <c r="E40" s="188"/>
      <c r="F40" s="64"/>
    </row>
    <row r="41" spans="1:6" x14ac:dyDescent="0.2">
      <c r="A41" s="62" t="s">
        <v>205</v>
      </c>
      <c r="B41" s="70">
        <f>IF(B12&gt;0,B10*B11*B13/B12,0)</f>
        <v>4344.8105106000003</v>
      </c>
      <c r="C41" s="176">
        <f t="shared" si="0"/>
        <v>0.60546411797658861</v>
      </c>
      <c r="D41" s="177">
        <f t="shared" si="1"/>
        <v>0.11347560000000001</v>
      </c>
      <c r="E41" s="188"/>
      <c r="F41" s="64"/>
    </row>
    <row r="42" spans="1:6" x14ac:dyDescent="0.2">
      <c r="A42" s="62" t="s">
        <v>206</v>
      </c>
      <c r="B42" s="72">
        <f>IF(B16&gt;0,(B13/B17)*B16*1.1,0)</f>
        <v>3790.5615000000012</v>
      </c>
      <c r="C42" s="176">
        <f t="shared" si="0"/>
        <v>0.5282276337792644</v>
      </c>
      <c r="D42" s="177">
        <f t="shared" si="1"/>
        <v>9.9000000000000032E-2</v>
      </c>
      <c r="E42" s="188"/>
      <c r="F42" s="64"/>
    </row>
    <row r="43" spans="1:6" x14ac:dyDescent="0.2">
      <c r="A43" s="62" t="s">
        <v>217</v>
      </c>
      <c r="B43" s="65">
        <f>+'P_16m3-1T'!D53*B21*312</f>
        <v>144678.89275503272</v>
      </c>
      <c r="C43" s="176">
        <f t="shared" si="0"/>
        <v>20.161495645907571</v>
      </c>
      <c r="D43" s="177">
        <f t="shared" si="1"/>
        <v>3.7786513641180175</v>
      </c>
      <c r="E43" s="189"/>
      <c r="F43" s="67"/>
    </row>
    <row r="44" spans="1:6" x14ac:dyDescent="0.2">
      <c r="A44" s="62" t="s">
        <v>207</v>
      </c>
      <c r="B44" s="63">
        <f>SUM(B40:B43)</f>
        <v>166124.96702963271</v>
      </c>
      <c r="C44" s="176">
        <f>SUM(C40:C43)</f>
        <v>23.150079017507348</v>
      </c>
      <c r="D44" s="179">
        <f>SUM(D40:D43)</f>
        <v>4.3387692656968202</v>
      </c>
      <c r="E44" s="188"/>
      <c r="F44" s="64"/>
    </row>
    <row r="45" spans="1:6" x14ac:dyDescent="0.2">
      <c r="A45" s="62"/>
      <c r="B45" s="68"/>
      <c r="C45" s="181"/>
      <c r="D45" s="182"/>
      <c r="E45" s="190"/>
      <c r="F45" s="171"/>
    </row>
    <row r="46" spans="1:6" ht="13.5" thickBot="1" x14ac:dyDescent="0.25">
      <c r="A46" s="76" t="s">
        <v>208</v>
      </c>
      <c r="B46" s="77">
        <f>B37+B44</f>
        <v>206057.07382163272</v>
      </c>
      <c r="C46" s="183">
        <f>C37+C44</f>
        <v>28.714753877039122</v>
      </c>
      <c r="D46" s="184">
        <f>D37+D44</f>
        <v>5.3816961704332291</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-1204857.1595848268</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Hoja78"/>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166</v>
      </c>
      <c r="B3" s="40"/>
      <c r="C3" s="40"/>
    </row>
    <row r="4" spans="1:5" ht="15.75" x14ac:dyDescent="0.25">
      <c r="B4" s="41"/>
      <c r="C4" s="41"/>
      <c r="D4" s="41"/>
      <c r="E4" s="41"/>
    </row>
    <row r="5" spans="1:5" x14ac:dyDescent="0.2">
      <c r="A5" s="42" t="s">
        <v>184</v>
      </c>
      <c r="B5" s="43" t="s">
        <v>210</v>
      </c>
      <c r="C5" s="44"/>
    </row>
    <row r="6" spans="1:5" x14ac:dyDescent="0.2">
      <c r="A6" s="45" t="s">
        <v>197</v>
      </c>
      <c r="B6" s="115">
        <f>+P_Datos!D90</f>
        <v>269409.41035999998</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13470.470518</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Economica'!F17*365</f>
        <v>38288.5</v>
      </c>
      <c r="C13" s="38" t="s">
        <v>3</v>
      </c>
    </row>
    <row r="14" spans="1:5" x14ac:dyDescent="0.2">
      <c r="A14" s="45" t="s">
        <v>189</v>
      </c>
      <c r="B14" s="119">
        <f>+'P_Evaluacion Economica'!G17</f>
        <v>7176</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11.000665335994681</v>
      </c>
      <c r="C18" s="38" t="s">
        <v>23</v>
      </c>
    </row>
    <row r="19" spans="1:4" hidden="1" x14ac:dyDescent="0.2">
      <c r="A19" s="45" t="s">
        <v>194</v>
      </c>
      <c r="B19" s="46"/>
    </row>
    <row r="20" spans="1:4" x14ac:dyDescent="0.2">
      <c r="A20" s="45" t="s">
        <v>193</v>
      </c>
      <c r="B20" s="118">
        <f>0.05*B6</f>
        <v>13470.470518</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26940.941035999997</v>
      </c>
      <c r="C35" s="176">
        <f>IF(B$14&gt;0,B35/B$14,0)</f>
        <v>3.7543117385730209</v>
      </c>
      <c r="D35" s="177">
        <f>IF(B$13&gt;0,B35/B$13,0)</f>
        <v>0.70363009875027738</v>
      </c>
      <c r="E35" s="188"/>
      <c r="F35" s="64"/>
    </row>
    <row r="36" spans="1:6" x14ac:dyDescent="0.2">
      <c r="A36" s="62" t="s">
        <v>202</v>
      </c>
      <c r="B36" s="65">
        <f>B19+B20</f>
        <v>13470.470518</v>
      </c>
      <c r="C36" s="178">
        <f>IF(B$14&gt;0,B36/B$14,0)</f>
        <v>1.8771558692865107</v>
      </c>
      <c r="D36" s="177">
        <f>IF(B$13&gt;0,B36/B$13,0)</f>
        <v>0.35181504937513874</v>
      </c>
      <c r="E36" s="189"/>
      <c r="F36" s="67"/>
    </row>
    <row r="37" spans="1:6" x14ac:dyDescent="0.2">
      <c r="A37" s="62" t="s">
        <v>209</v>
      </c>
      <c r="B37" s="63">
        <f>SUM(B35:B36)</f>
        <v>40411.411553999998</v>
      </c>
      <c r="C37" s="176">
        <f>SUM(C35:C36)</f>
        <v>5.6314676078595314</v>
      </c>
      <c r="D37" s="179">
        <f>SUM(D35:D36)</f>
        <v>1.0554451481254161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13470.470518</v>
      </c>
      <c r="C40" s="176">
        <f t="shared" ref="C40:C43" si="0">IF(B$14&gt;0,B40/B$14,0)</f>
        <v>1.8771558692865107</v>
      </c>
      <c r="D40" s="177">
        <f t="shared" ref="D40:D43" si="1">IF(B$13&gt;0,B40/B$13,0)</f>
        <v>0.35181504937513874</v>
      </c>
      <c r="E40" s="188"/>
      <c r="F40" s="64"/>
    </row>
    <row r="41" spans="1:6" x14ac:dyDescent="0.2">
      <c r="A41" s="62" t="s">
        <v>205</v>
      </c>
      <c r="B41" s="70">
        <f>IF(B12&gt;0,B10*B11*B13/B12,0)</f>
        <v>4344.8105106000003</v>
      </c>
      <c r="C41" s="176">
        <f t="shared" si="0"/>
        <v>0.60546411797658861</v>
      </c>
      <c r="D41" s="177">
        <f t="shared" si="1"/>
        <v>0.11347560000000001</v>
      </c>
      <c r="E41" s="188"/>
      <c r="F41" s="64"/>
    </row>
    <row r="42" spans="1:6" x14ac:dyDescent="0.2">
      <c r="A42" s="62" t="s">
        <v>206</v>
      </c>
      <c r="B42" s="72">
        <f>IF(B16&gt;0,(B13/B17)*B16*1.1,0)</f>
        <v>3790.5615000000012</v>
      </c>
      <c r="C42" s="176">
        <f t="shared" si="0"/>
        <v>0.5282276337792644</v>
      </c>
      <c r="D42" s="177">
        <f t="shared" si="1"/>
        <v>9.9000000000000032E-2</v>
      </c>
      <c r="E42" s="188"/>
      <c r="F42" s="64"/>
    </row>
    <row r="43" spans="1:6" x14ac:dyDescent="0.2">
      <c r="A43" s="62" t="s">
        <v>217</v>
      </c>
      <c r="B43" s="65">
        <f>+'P_17m3-2T'!D53*B21*312</f>
        <v>443690.49691212876</v>
      </c>
      <c r="C43" s="176">
        <f t="shared" si="0"/>
        <v>61.82977939132229</v>
      </c>
      <c r="D43" s="177">
        <f t="shared" si="1"/>
        <v>11.588087726396406</v>
      </c>
      <c r="E43" s="189"/>
      <c r="F43" s="67"/>
    </row>
    <row r="44" spans="1:6" x14ac:dyDescent="0.2">
      <c r="A44" s="62" t="s">
        <v>207</v>
      </c>
      <c r="B44" s="63">
        <f>SUM(B40:B43)</f>
        <v>465296.33944072877</v>
      </c>
      <c r="C44" s="176">
        <f>SUM(C40:C43)</f>
        <v>64.840627012364649</v>
      </c>
      <c r="D44" s="179">
        <f>SUM(D40:D43)</f>
        <v>12.152378375771544</v>
      </c>
      <c r="E44" s="188"/>
      <c r="F44" s="64"/>
    </row>
    <row r="45" spans="1:6" x14ac:dyDescent="0.2">
      <c r="A45" s="62"/>
      <c r="B45" s="68"/>
      <c r="C45" s="181"/>
      <c r="D45" s="182"/>
      <c r="E45" s="190"/>
      <c r="F45" s="171"/>
    </row>
    <row r="46" spans="1:6" ht="13.5" thickBot="1" x14ac:dyDescent="0.25">
      <c r="A46" s="76" t="s">
        <v>208</v>
      </c>
      <c r="B46" s="77">
        <f>B37+B44</f>
        <v>505707.75099472876</v>
      </c>
      <c r="C46" s="183">
        <f>C37+C44</f>
        <v>70.472094620224183</v>
      </c>
      <c r="D46" s="184">
        <f>D37+D44</f>
        <v>13.207823523896961</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-5405387.7656432558</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Hoja79"/>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7109375" style="38" bestFit="1"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166</v>
      </c>
      <c r="B3" s="40"/>
      <c r="C3" s="40"/>
    </row>
    <row r="4" spans="1:5" ht="15.75" x14ac:dyDescent="0.25">
      <c r="B4" s="41"/>
      <c r="C4" s="41"/>
      <c r="D4" s="41"/>
      <c r="E4" s="41"/>
    </row>
    <row r="5" spans="1:5" x14ac:dyDescent="0.2">
      <c r="A5" s="42" t="s">
        <v>184</v>
      </c>
      <c r="B5" s="43" t="s">
        <v>210</v>
      </c>
      <c r="C5" s="44"/>
    </row>
    <row r="6" spans="1:5" x14ac:dyDescent="0.2">
      <c r="A6" s="45" t="s">
        <v>197</v>
      </c>
      <c r="B6" s="115">
        <f>+P_Datos!D90</f>
        <v>269409.41035999998</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13470.470518</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Economica'!F18*365</f>
        <v>38288.5</v>
      </c>
      <c r="C13" s="38" t="s">
        <v>3</v>
      </c>
    </row>
    <row r="14" spans="1:5" x14ac:dyDescent="0.2">
      <c r="A14" s="45" t="s">
        <v>189</v>
      </c>
      <c r="B14" s="119">
        <f>+'P_Evaluacion Economica'!G18</f>
        <v>7176</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11.000665335994681</v>
      </c>
      <c r="C18" s="38" t="s">
        <v>23</v>
      </c>
    </row>
    <row r="19" spans="1:4" hidden="1" x14ac:dyDescent="0.2">
      <c r="A19" s="45" t="s">
        <v>194</v>
      </c>
      <c r="B19" s="46"/>
    </row>
    <row r="20" spans="1:4" x14ac:dyDescent="0.2">
      <c r="A20" s="45" t="s">
        <v>193</v>
      </c>
      <c r="B20" s="118">
        <f>0.05*B6</f>
        <v>13470.470518</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26940.941035999997</v>
      </c>
      <c r="C35" s="176">
        <f>IF(B$14&gt;0,B35/B$14,0)</f>
        <v>3.7543117385730209</v>
      </c>
      <c r="D35" s="177">
        <f>IF(B$13&gt;0,B35/B$13,0)</f>
        <v>0.70363009875027738</v>
      </c>
      <c r="E35" s="188"/>
      <c r="F35" s="64"/>
    </row>
    <row r="36" spans="1:6" x14ac:dyDescent="0.2">
      <c r="A36" s="62" t="s">
        <v>202</v>
      </c>
      <c r="B36" s="65">
        <f>B19+B20</f>
        <v>13470.470518</v>
      </c>
      <c r="C36" s="178">
        <f>IF(B$14&gt;0,B36/B$14,0)</f>
        <v>1.8771558692865107</v>
      </c>
      <c r="D36" s="177">
        <f>IF(B$13&gt;0,B36/B$13,0)</f>
        <v>0.35181504937513874</v>
      </c>
      <c r="E36" s="189"/>
      <c r="F36" s="67"/>
    </row>
    <row r="37" spans="1:6" x14ac:dyDescent="0.2">
      <c r="A37" s="62" t="s">
        <v>209</v>
      </c>
      <c r="B37" s="63">
        <f>SUM(B35:B36)</f>
        <v>40411.411553999998</v>
      </c>
      <c r="C37" s="176">
        <f>SUM(C35:C36)</f>
        <v>5.6314676078595314</v>
      </c>
      <c r="D37" s="179">
        <f>SUM(D35:D36)</f>
        <v>1.0554451481254161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13470.470518</v>
      </c>
      <c r="C40" s="176">
        <f t="shared" ref="C40:C43" si="0">IF(B$14&gt;0,B40/B$14,0)</f>
        <v>1.8771558692865107</v>
      </c>
      <c r="D40" s="177">
        <f t="shared" ref="D40:D43" si="1">IF(B$13&gt;0,B40/B$13,0)</f>
        <v>0.35181504937513874</v>
      </c>
      <c r="E40" s="188"/>
      <c r="F40" s="64"/>
    </row>
    <row r="41" spans="1:6" x14ac:dyDescent="0.2">
      <c r="A41" s="62" t="s">
        <v>205</v>
      </c>
      <c r="B41" s="70">
        <f>IF(B12&gt;0,B10*B11*B13/B12,0)</f>
        <v>4344.8105106000003</v>
      </c>
      <c r="C41" s="176">
        <f t="shared" si="0"/>
        <v>0.60546411797658861</v>
      </c>
      <c r="D41" s="177">
        <f t="shared" si="1"/>
        <v>0.11347560000000001</v>
      </c>
      <c r="E41" s="188"/>
      <c r="F41" s="64"/>
    </row>
    <row r="42" spans="1:6" x14ac:dyDescent="0.2">
      <c r="A42" s="62" t="s">
        <v>206</v>
      </c>
      <c r="B42" s="72">
        <f>IF(B16&gt;0,(B13/B17)*B16*1.1,0)</f>
        <v>3790.5615000000012</v>
      </c>
      <c r="C42" s="176">
        <f t="shared" si="0"/>
        <v>0.5282276337792644</v>
      </c>
      <c r="D42" s="177">
        <f t="shared" si="1"/>
        <v>9.9000000000000032E-2</v>
      </c>
      <c r="E42" s="188"/>
      <c r="F42" s="64"/>
    </row>
    <row r="43" spans="1:6" x14ac:dyDescent="0.2">
      <c r="A43" s="62" t="s">
        <v>217</v>
      </c>
      <c r="B43" s="65">
        <f>+'P_17m3-1T'!D53*B21*312</f>
        <v>144678.89275503272</v>
      </c>
      <c r="C43" s="176">
        <f t="shared" si="0"/>
        <v>20.161495645907571</v>
      </c>
      <c r="D43" s="177">
        <f t="shared" si="1"/>
        <v>3.7786513641180175</v>
      </c>
      <c r="E43" s="189"/>
      <c r="F43" s="67"/>
    </row>
    <row r="44" spans="1:6" x14ac:dyDescent="0.2">
      <c r="A44" s="62" t="s">
        <v>207</v>
      </c>
      <c r="B44" s="63">
        <f>SUM(B40:B43)</f>
        <v>166284.73528363273</v>
      </c>
      <c r="C44" s="176">
        <f>SUM(C40:C43)</f>
        <v>23.172343266949934</v>
      </c>
      <c r="D44" s="179">
        <f>SUM(D40:D43)</f>
        <v>4.3429420134931558</v>
      </c>
      <c r="E44" s="188"/>
      <c r="F44" s="64"/>
    </row>
    <row r="45" spans="1:6" x14ac:dyDescent="0.2">
      <c r="A45" s="62"/>
      <c r="B45" s="68"/>
      <c r="C45" s="181"/>
      <c r="D45" s="182"/>
      <c r="E45" s="190"/>
      <c r="F45" s="171"/>
    </row>
    <row r="46" spans="1:6" ht="13.5" thickBot="1" x14ac:dyDescent="0.25">
      <c r="A46" s="76" t="s">
        <v>208</v>
      </c>
      <c r="B46" s="77">
        <f>B37+B44</f>
        <v>206696.14683763272</v>
      </c>
      <c r="C46" s="183">
        <f>C37+C44</f>
        <v>28.803810874809464</v>
      </c>
      <c r="D46" s="184">
        <f>D37+D44</f>
        <v>5.3983871616185723</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-1208955.2509327866</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Hoja80"/>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164</v>
      </c>
      <c r="B3" s="40"/>
      <c r="C3" s="40"/>
    </row>
    <row r="4" spans="1:5" ht="15.75" x14ac:dyDescent="0.25">
      <c r="B4" s="41"/>
      <c r="C4" s="41"/>
      <c r="D4" s="41"/>
      <c r="E4" s="41"/>
    </row>
    <row r="5" spans="1:5" x14ac:dyDescent="0.2">
      <c r="A5" s="42" t="s">
        <v>184</v>
      </c>
      <c r="B5" s="43" t="s">
        <v>210</v>
      </c>
      <c r="C5" s="44"/>
    </row>
    <row r="6" spans="1:5" x14ac:dyDescent="0.2">
      <c r="A6" s="45" t="s">
        <v>197</v>
      </c>
      <c r="B6" s="115">
        <f>+P_Datos!D91</f>
        <v>272604.77544</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13630.238772000001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Economica'!F19*365</f>
        <v>38288.5</v>
      </c>
      <c r="C13" s="38" t="s">
        <v>3</v>
      </c>
    </row>
    <row r="14" spans="1:5" x14ac:dyDescent="0.2">
      <c r="A14" s="45" t="s">
        <v>189</v>
      </c>
      <c r="B14" s="119">
        <f>+'P_Evaluacion Economica'!G19</f>
        <v>7176</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11.000665335994681</v>
      </c>
      <c r="C18" s="38" t="s">
        <v>23</v>
      </c>
    </row>
    <row r="19" spans="1:4" hidden="1" x14ac:dyDescent="0.2">
      <c r="A19" s="45" t="s">
        <v>194</v>
      </c>
      <c r="B19" s="46"/>
    </row>
    <row r="20" spans="1:4" x14ac:dyDescent="0.2">
      <c r="A20" s="45" t="s">
        <v>193</v>
      </c>
      <c r="B20" s="118">
        <f>0.05*B6</f>
        <v>13630.238772000001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27260.477544000001</v>
      </c>
      <c r="C35" s="176">
        <f>IF(B$14&gt;0,B35/B$14,0)</f>
        <v>3.7988402374581942</v>
      </c>
      <c r="D35" s="177">
        <f>IF(B$13&gt;0,B35/B$13,0)</f>
        <v>0.71197559434294899</v>
      </c>
      <c r="E35" s="188"/>
      <c r="F35" s="64"/>
    </row>
    <row r="36" spans="1:6" x14ac:dyDescent="0.2">
      <c r="A36" s="62" t="s">
        <v>202</v>
      </c>
      <c r="B36" s="65">
        <f>B19+B20</f>
        <v>13630.238772000001</v>
      </c>
      <c r="C36" s="178">
        <f>IF(B$14&gt;0,B36/B$14,0)</f>
        <v>1.8994201187290971</v>
      </c>
      <c r="D36" s="177">
        <f>IF(B$13&gt;0,B36/B$13,0)</f>
        <v>0.3559877971714745</v>
      </c>
      <c r="E36" s="189"/>
      <c r="F36" s="67"/>
    </row>
    <row r="37" spans="1:6" x14ac:dyDescent="0.2">
      <c r="A37" s="62" t="s">
        <v>209</v>
      </c>
      <c r="B37" s="63">
        <f>SUM(B35:B36)</f>
        <v>40890.716316000005</v>
      </c>
      <c r="C37" s="176">
        <f>SUM(C35:C36)</f>
        <v>5.6982603561872915</v>
      </c>
      <c r="D37" s="179">
        <f>SUM(D35:D36)</f>
        <v>1.0679633915144235</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13630.238772000001</v>
      </c>
      <c r="C40" s="176">
        <f t="shared" ref="C40:C43" si="0">IF(B$14&gt;0,B40/B$14,0)</f>
        <v>1.8994201187290971</v>
      </c>
      <c r="D40" s="177">
        <f t="shared" ref="D40:D43" si="1">IF(B$13&gt;0,B40/B$13,0)</f>
        <v>0.3559877971714745</v>
      </c>
      <c r="E40" s="188"/>
      <c r="F40" s="64"/>
    </row>
    <row r="41" spans="1:6" x14ac:dyDescent="0.2">
      <c r="A41" s="62" t="s">
        <v>205</v>
      </c>
      <c r="B41" s="70">
        <f>IF(B12&gt;0,B10*B11*B13/B12,0)</f>
        <v>4344.8105106000003</v>
      </c>
      <c r="C41" s="176">
        <f t="shared" si="0"/>
        <v>0.60546411797658861</v>
      </c>
      <c r="D41" s="177">
        <f t="shared" si="1"/>
        <v>0.11347560000000001</v>
      </c>
      <c r="E41" s="188"/>
      <c r="F41" s="64"/>
    </row>
    <row r="42" spans="1:6" x14ac:dyDescent="0.2">
      <c r="A42" s="62" t="s">
        <v>206</v>
      </c>
      <c r="B42" s="72">
        <f>IF(B16&gt;0,(B13/B17)*B16*1.1,0)</f>
        <v>3790.5615000000012</v>
      </c>
      <c r="C42" s="176">
        <f t="shared" si="0"/>
        <v>0.5282276337792644</v>
      </c>
      <c r="D42" s="177">
        <f t="shared" si="1"/>
        <v>9.9000000000000032E-2</v>
      </c>
      <c r="E42" s="188"/>
      <c r="F42" s="64"/>
    </row>
    <row r="43" spans="1:6" x14ac:dyDescent="0.2">
      <c r="A43" s="62" t="s">
        <v>217</v>
      </c>
      <c r="B43" s="65">
        <f>+'P_18m3-2T'!D53*B21*312</f>
        <v>443690.49691212876</v>
      </c>
      <c r="C43" s="176">
        <f t="shared" si="0"/>
        <v>61.82977939132229</v>
      </c>
      <c r="D43" s="177">
        <f t="shared" si="1"/>
        <v>11.588087726396406</v>
      </c>
      <c r="E43" s="189"/>
      <c r="F43" s="67"/>
    </row>
    <row r="44" spans="1:6" x14ac:dyDescent="0.2">
      <c r="A44" s="62" t="s">
        <v>207</v>
      </c>
      <c r="B44" s="63">
        <f>SUM(B40:B43)</f>
        <v>465456.10769472877</v>
      </c>
      <c r="C44" s="176">
        <f>SUM(C40:C43)</f>
        <v>64.862891261807235</v>
      </c>
      <c r="D44" s="179">
        <f>SUM(D40:D43)</f>
        <v>12.15655112356788</v>
      </c>
      <c r="E44" s="188"/>
      <c r="F44" s="64"/>
    </row>
    <row r="45" spans="1:6" x14ac:dyDescent="0.2">
      <c r="A45" s="62"/>
      <c r="B45" s="68"/>
      <c r="C45" s="181"/>
      <c r="D45" s="182"/>
      <c r="E45" s="190"/>
      <c r="F45" s="171"/>
    </row>
    <row r="46" spans="1:6" ht="13.5" thickBot="1" x14ac:dyDescent="0.25">
      <c r="A46" s="76" t="s">
        <v>208</v>
      </c>
      <c r="B46" s="77">
        <f>B37+B44</f>
        <v>506346.82401072874</v>
      </c>
      <c r="C46" s="183">
        <f>C37+C44</f>
        <v>70.561151617994526</v>
      </c>
      <c r="D46" s="184">
        <f>D37+D44</f>
        <v>13.224514515082303</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-5409485.8569912156</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Hoja81"/>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164</v>
      </c>
      <c r="B3" s="40"/>
      <c r="C3" s="40"/>
    </row>
    <row r="4" spans="1:5" ht="15.75" x14ac:dyDescent="0.25">
      <c r="B4" s="41"/>
      <c r="C4" s="41"/>
      <c r="D4" s="41"/>
      <c r="E4" s="41"/>
    </row>
    <row r="5" spans="1:5" x14ac:dyDescent="0.2">
      <c r="A5" s="42" t="s">
        <v>184</v>
      </c>
      <c r="B5" s="43" t="s">
        <v>210</v>
      </c>
      <c r="C5" s="44"/>
    </row>
    <row r="6" spans="1:5" x14ac:dyDescent="0.2">
      <c r="A6" s="45" t="s">
        <v>197</v>
      </c>
      <c r="B6" s="115">
        <f>+P_Datos!D91</f>
        <v>272604.77544</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13630.238772000001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Economica'!F20*365</f>
        <v>38288.5</v>
      </c>
      <c r="C13" s="38" t="s">
        <v>3</v>
      </c>
    </row>
    <row r="14" spans="1:5" x14ac:dyDescent="0.2">
      <c r="A14" s="45" t="s">
        <v>189</v>
      </c>
      <c r="B14" s="119">
        <f>+'P_Evaluacion Economica'!G20</f>
        <v>7176</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11.000665335994681</v>
      </c>
      <c r="C18" s="38" t="s">
        <v>23</v>
      </c>
    </row>
    <row r="19" spans="1:4" hidden="1" x14ac:dyDescent="0.2">
      <c r="A19" s="45" t="s">
        <v>194</v>
      </c>
      <c r="B19" s="46"/>
    </row>
    <row r="20" spans="1:4" x14ac:dyDescent="0.2">
      <c r="A20" s="45" t="s">
        <v>193</v>
      </c>
      <c r="B20" s="118">
        <f>0.05*B6</f>
        <v>13630.238772000001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27260.477544000001</v>
      </c>
      <c r="C35" s="176">
        <f>IF(B$14&gt;0,B35/B$14,0)</f>
        <v>3.7988402374581942</v>
      </c>
      <c r="D35" s="177">
        <f>IF(B$13&gt;0,B35/B$13,0)</f>
        <v>0.71197559434294899</v>
      </c>
      <c r="E35" s="188"/>
      <c r="F35" s="64"/>
    </row>
    <row r="36" spans="1:6" x14ac:dyDescent="0.2">
      <c r="A36" s="62" t="s">
        <v>202</v>
      </c>
      <c r="B36" s="65">
        <f>B19+B20</f>
        <v>13630.238772000001</v>
      </c>
      <c r="C36" s="178">
        <f>IF(B$14&gt;0,B36/B$14,0)</f>
        <v>1.8994201187290971</v>
      </c>
      <c r="D36" s="177">
        <f>IF(B$13&gt;0,B36/B$13,0)</f>
        <v>0.3559877971714745</v>
      </c>
      <c r="E36" s="189"/>
      <c r="F36" s="67"/>
    </row>
    <row r="37" spans="1:6" x14ac:dyDescent="0.2">
      <c r="A37" s="62" t="s">
        <v>209</v>
      </c>
      <c r="B37" s="63">
        <f>SUM(B35:B36)</f>
        <v>40890.716316000005</v>
      </c>
      <c r="C37" s="176">
        <f>SUM(C35:C36)</f>
        <v>5.6982603561872915</v>
      </c>
      <c r="D37" s="179">
        <f>SUM(D35:D36)</f>
        <v>1.0679633915144235</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13630.238772000001</v>
      </c>
      <c r="C40" s="176">
        <f t="shared" ref="C40:C43" si="0">IF(B$14&gt;0,B40/B$14,0)</f>
        <v>1.8994201187290971</v>
      </c>
      <c r="D40" s="177">
        <f t="shared" ref="D40:D43" si="1">IF(B$13&gt;0,B40/B$13,0)</f>
        <v>0.3559877971714745</v>
      </c>
      <c r="E40" s="188"/>
      <c r="F40" s="64"/>
    </row>
    <row r="41" spans="1:6" x14ac:dyDescent="0.2">
      <c r="A41" s="62" t="s">
        <v>205</v>
      </c>
      <c r="B41" s="70">
        <f>IF(B12&gt;0,B10*B11*B13/B12,0)</f>
        <v>4344.8105106000003</v>
      </c>
      <c r="C41" s="176">
        <f t="shared" si="0"/>
        <v>0.60546411797658861</v>
      </c>
      <c r="D41" s="177">
        <f t="shared" si="1"/>
        <v>0.11347560000000001</v>
      </c>
      <c r="E41" s="188"/>
      <c r="F41" s="64"/>
    </row>
    <row r="42" spans="1:6" x14ac:dyDescent="0.2">
      <c r="A42" s="62" t="s">
        <v>206</v>
      </c>
      <c r="B42" s="72">
        <f>IF(B16&gt;0,(B13/B17)*B16*1.1,0)</f>
        <v>3790.5615000000012</v>
      </c>
      <c r="C42" s="176">
        <f t="shared" si="0"/>
        <v>0.5282276337792644</v>
      </c>
      <c r="D42" s="177">
        <f t="shared" si="1"/>
        <v>9.9000000000000032E-2</v>
      </c>
      <c r="E42" s="188"/>
      <c r="F42" s="64"/>
    </row>
    <row r="43" spans="1:6" x14ac:dyDescent="0.2">
      <c r="A43" s="62" t="s">
        <v>217</v>
      </c>
      <c r="B43" s="65">
        <f>+'P_18m3-1T'!D53*B21*312</f>
        <v>144678.89275503272</v>
      </c>
      <c r="C43" s="176">
        <f t="shared" si="0"/>
        <v>20.161495645907571</v>
      </c>
      <c r="D43" s="177">
        <f t="shared" si="1"/>
        <v>3.7786513641180175</v>
      </c>
      <c r="E43" s="189"/>
      <c r="F43" s="67"/>
    </row>
    <row r="44" spans="1:6" x14ac:dyDescent="0.2">
      <c r="A44" s="62" t="s">
        <v>207</v>
      </c>
      <c r="B44" s="63">
        <f>SUM(B40:B43)</f>
        <v>166444.50353763273</v>
      </c>
      <c r="C44" s="176">
        <f>SUM(C40:C43)</f>
        <v>23.194607516392523</v>
      </c>
      <c r="D44" s="179">
        <f>SUM(D40:D43)</f>
        <v>4.3471147612894923</v>
      </c>
      <c r="E44" s="188"/>
      <c r="F44" s="64"/>
    </row>
    <row r="45" spans="1:6" x14ac:dyDescent="0.2">
      <c r="A45" s="62"/>
      <c r="B45" s="68"/>
      <c r="C45" s="181"/>
      <c r="D45" s="182"/>
      <c r="E45" s="190"/>
      <c r="F45" s="171"/>
    </row>
    <row r="46" spans="1:6" ht="13.5" thickBot="1" x14ac:dyDescent="0.25">
      <c r="A46" s="76" t="s">
        <v>208</v>
      </c>
      <c r="B46" s="77">
        <f>B37+B44</f>
        <v>207335.21985363273</v>
      </c>
      <c r="C46" s="183">
        <f>C37+C44</f>
        <v>28.892867872579814</v>
      </c>
      <c r="D46" s="184">
        <f>D37+D44</f>
        <v>5.4150781528039156</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-1213053.3422807464</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Hoja82"/>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169</v>
      </c>
      <c r="B3" s="40"/>
      <c r="C3" s="40"/>
    </row>
    <row r="4" spans="1:5" ht="15.75" x14ac:dyDescent="0.25">
      <c r="B4" s="41"/>
      <c r="C4" s="41"/>
      <c r="D4" s="41"/>
      <c r="E4" s="41"/>
    </row>
    <row r="5" spans="1:5" x14ac:dyDescent="0.2">
      <c r="A5" s="42" t="s">
        <v>184</v>
      </c>
      <c r="B5" s="43" t="s">
        <v>210</v>
      </c>
      <c r="C5" s="44"/>
    </row>
    <row r="6" spans="1:5" x14ac:dyDescent="0.2">
      <c r="A6" s="45" t="s">
        <v>197</v>
      </c>
      <c r="B6" s="115">
        <f>+P_Datos!D92</f>
        <v>275800.14052000002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13790.007026000001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Economica'!F21*365</f>
        <v>38288.5</v>
      </c>
      <c r="C13" s="38" t="s">
        <v>3</v>
      </c>
    </row>
    <row r="14" spans="1:5" x14ac:dyDescent="0.2">
      <c r="A14" s="45" t="s">
        <v>189</v>
      </c>
      <c r="B14" s="119">
        <f>+'P_Evaluacion Economica'!G21</f>
        <v>7176</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11.000665335994681</v>
      </c>
      <c r="C18" s="38" t="s">
        <v>23</v>
      </c>
    </row>
    <row r="19" spans="1:4" hidden="1" x14ac:dyDescent="0.2">
      <c r="A19" s="45" t="s">
        <v>194</v>
      </c>
      <c r="B19" s="46"/>
    </row>
    <row r="20" spans="1:4" x14ac:dyDescent="0.2">
      <c r="A20" s="45" t="s">
        <v>193</v>
      </c>
      <c r="B20" s="118">
        <f>0.05*B6</f>
        <v>13790.007026000001</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27580.014052000002</v>
      </c>
      <c r="C35" s="176">
        <f>IF(B$14&gt;0,B35/B$14,0)</f>
        <v>3.8433687363433671</v>
      </c>
      <c r="D35" s="177">
        <f>IF(B$13&gt;0,B35/B$13,0)</f>
        <v>0.72032108993562038</v>
      </c>
      <c r="E35" s="188"/>
      <c r="F35" s="64"/>
    </row>
    <row r="36" spans="1:6" x14ac:dyDescent="0.2">
      <c r="A36" s="62" t="s">
        <v>202</v>
      </c>
      <c r="B36" s="65">
        <f>B19+B20</f>
        <v>13790.007026000001</v>
      </c>
      <c r="C36" s="178">
        <f>IF(B$14&gt;0,B36/B$14,0)</f>
        <v>1.9216843681716835</v>
      </c>
      <c r="D36" s="177">
        <f>IF(B$13&gt;0,B36/B$13,0)</f>
        <v>0.36016054496781019</v>
      </c>
      <c r="E36" s="189"/>
      <c r="F36" s="67"/>
    </row>
    <row r="37" spans="1:6" x14ac:dyDescent="0.2">
      <c r="A37" s="62" t="s">
        <v>209</v>
      </c>
      <c r="B37" s="63">
        <f>SUM(B35:B36)</f>
        <v>41370.021078000005</v>
      </c>
      <c r="C37" s="176">
        <f>SUM(C35:C36)</f>
        <v>5.7650531045150508</v>
      </c>
      <c r="D37" s="179">
        <f>SUM(D35:D36)</f>
        <v>1.0804816349034305</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13790.007026000001</v>
      </c>
      <c r="C40" s="176">
        <f t="shared" ref="C40:C43" si="0">IF(B$14&gt;0,B40/B$14,0)</f>
        <v>1.9216843681716835</v>
      </c>
      <c r="D40" s="177">
        <f t="shared" ref="D40:D43" si="1">IF(B$13&gt;0,B40/B$13,0)</f>
        <v>0.36016054496781019</v>
      </c>
      <c r="E40" s="188"/>
      <c r="F40" s="64"/>
    </row>
    <row r="41" spans="1:6" x14ac:dyDescent="0.2">
      <c r="A41" s="62" t="s">
        <v>205</v>
      </c>
      <c r="B41" s="70">
        <f>IF(B12&gt;0,B10*B11*B13/B12,0)</f>
        <v>4344.8105106000003</v>
      </c>
      <c r="C41" s="176">
        <f t="shared" si="0"/>
        <v>0.60546411797658861</v>
      </c>
      <c r="D41" s="177">
        <f t="shared" si="1"/>
        <v>0.11347560000000001</v>
      </c>
      <c r="E41" s="188"/>
      <c r="F41" s="64"/>
    </row>
    <row r="42" spans="1:6" x14ac:dyDescent="0.2">
      <c r="A42" s="62" t="s">
        <v>206</v>
      </c>
      <c r="B42" s="72">
        <f>IF(B16&gt;0,(B13/B17)*B16*1.1,0)</f>
        <v>3790.5615000000012</v>
      </c>
      <c r="C42" s="176">
        <f t="shared" si="0"/>
        <v>0.5282276337792644</v>
      </c>
      <c r="D42" s="177">
        <f t="shared" si="1"/>
        <v>9.9000000000000032E-2</v>
      </c>
      <c r="E42" s="188"/>
      <c r="F42" s="64"/>
    </row>
    <row r="43" spans="1:6" x14ac:dyDescent="0.2">
      <c r="A43" s="62" t="s">
        <v>217</v>
      </c>
      <c r="B43" s="65">
        <f>+'P_19m3-2T'!D53*B21*312</f>
        <v>443690.49691212876</v>
      </c>
      <c r="C43" s="176">
        <f t="shared" si="0"/>
        <v>61.82977939132229</v>
      </c>
      <c r="D43" s="177">
        <f t="shared" si="1"/>
        <v>11.588087726396406</v>
      </c>
      <c r="E43" s="189"/>
      <c r="F43" s="67"/>
    </row>
    <row r="44" spans="1:6" x14ac:dyDescent="0.2">
      <c r="A44" s="62" t="s">
        <v>207</v>
      </c>
      <c r="B44" s="63">
        <f>SUM(B40:B43)</f>
        <v>465615.87594872876</v>
      </c>
      <c r="C44" s="176">
        <f>SUM(C40:C43)</f>
        <v>64.88515551124982</v>
      </c>
      <c r="D44" s="179">
        <f>SUM(D40:D43)</f>
        <v>12.160723871364215</v>
      </c>
      <c r="E44" s="188"/>
      <c r="F44" s="64"/>
    </row>
    <row r="45" spans="1:6" x14ac:dyDescent="0.2">
      <c r="A45" s="62"/>
      <c r="B45" s="68"/>
      <c r="C45" s="181"/>
      <c r="D45" s="182"/>
      <c r="E45" s="190"/>
      <c r="F45" s="171"/>
    </row>
    <row r="46" spans="1:6" ht="13.5" thickBot="1" x14ac:dyDescent="0.25">
      <c r="A46" s="76" t="s">
        <v>208</v>
      </c>
      <c r="B46" s="77">
        <f>B37+B44</f>
        <v>506985.89702672878</v>
      </c>
      <c r="C46" s="183">
        <f>C37+C44</f>
        <v>70.650208615764868</v>
      </c>
      <c r="D46" s="184">
        <f>D37+D44</f>
        <v>13.241205506267645</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-5413583.9483391754</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Hoja83"/>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169</v>
      </c>
      <c r="B3" s="40"/>
      <c r="C3" s="40"/>
    </row>
    <row r="4" spans="1:5" ht="15.75" x14ac:dyDescent="0.25">
      <c r="B4" s="41"/>
      <c r="C4" s="41"/>
      <c r="D4" s="41"/>
      <c r="E4" s="41"/>
    </row>
    <row r="5" spans="1:5" x14ac:dyDescent="0.2">
      <c r="A5" s="42" t="s">
        <v>184</v>
      </c>
      <c r="B5" s="43" t="s">
        <v>210</v>
      </c>
      <c r="C5" s="44"/>
    </row>
    <row r="6" spans="1:5" x14ac:dyDescent="0.2">
      <c r="A6" s="45" t="s">
        <v>197</v>
      </c>
      <c r="B6" s="115">
        <f>+P_Datos!D92</f>
        <v>275800.14052000002</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13790.007026000001</v>
      </c>
      <c r="C9" s="49"/>
      <c r="D9" s="49"/>
    </row>
    <row r="10" spans="1:5" x14ac:dyDescent="0.2">
      <c r="A10" s="45" t="s">
        <v>186</v>
      </c>
      <c r="B10" s="50">
        <v>6</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Economica'!F22*365</f>
        <v>38288.5</v>
      </c>
      <c r="C13" s="38" t="s">
        <v>3</v>
      </c>
    </row>
    <row r="14" spans="1:5" x14ac:dyDescent="0.2">
      <c r="A14" s="45" t="s">
        <v>189</v>
      </c>
      <c r="B14" s="119">
        <f>+'P_Evaluacion Economica'!G22</f>
        <v>7176</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11.000665335994681</v>
      </c>
      <c r="C18" s="38" t="s">
        <v>23</v>
      </c>
    </row>
    <row r="19" spans="1:4" hidden="1" x14ac:dyDescent="0.2">
      <c r="A19" s="45" t="s">
        <v>194</v>
      </c>
      <c r="B19" s="46"/>
    </row>
    <row r="20" spans="1:4" x14ac:dyDescent="0.2">
      <c r="A20" s="45" t="s">
        <v>193</v>
      </c>
      <c r="B20" s="118">
        <f>0.05*B6</f>
        <v>13790.007026000001</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27580.014052000002</v>
      </c>
      <c r="C35" s="176">
        <f>IF(B$14&gt;0,B35/B$14,0)</f>
        <v>3.8433687363433671</v>
      </c>
      <c r="D35" s="177">
        <f>IF(B$13&gt;0,B35/B$13,0)</f>
        <v>0.72032108993562038</v>
      </c>
      <c r="E35" s="188"/>
      <c r="F35" s="64"/>
    </row>
    <row r="36" spans="1:6" x14ac:dyDescent="0.2">
      <c r="A36" s="62" t="s">
        <v>202</v>
      </c>
      <c r="B36" s="65">
        <f>B19+B20</f>
        <v>13790.007026000001</v>
      </c>
      <c r="C36" s="178">
        <f>IF(B$14&gt;0,B36/B$14,0)</f>
        <v>1.9216843681716835</v>
      </c>
      <c r="D36" s="177">
        <f>IF(B$13&gt;0,B36/B$13,0)</f>
        <v>0.36016054496781019</v>
      </c>
      <c r="E36" s="189"/>
      <c r="F36" s="67"/>
    </row>
    <row r="37" spans="1:6" x14ac:dyDescent="0.2">
      <c r="A37" s="62" t="s">
        <v>209</v>
      </c>
      <c r="B37" s="63">
        <f>SUM(B35:B36)</f>
        <v>41370.021078000005</v>
      </c>
      <c r="C37" s="176">
        <f>SUM(C35:C36)</f>
        <v>5.7650531045150508</v>
      </c>
      <c r="D37" s="179">
        <f>SUM(D35:D36)</f>
        <v>1.0804816349034305</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13790.007026000001</v>
      </c>
      <c r="C40" s="176">
        <f t="shared" ref="C40:C43" si="0">IF(B$14&gt;0,B40/B$14,0)</f>
        <v>1.9216843681716835</v>
      </c>
      <c r="D40" s="177">
        <f t="shared" ref="D40:D43" si="1">IF(B$13&gt;0,B40/B$13,0)</f>
        <v>0.36016054496781019</v>
      </c>
      <c r="E40" s="188"/>
      <c r="F40" s="64"/>
    </row>
    <row r="41" spans="1:6" x14ac:dyDescent="0.2">
      <c r="A41" s="62" t="s">
        <v>205</v>
      </c>
      <c r="B41" s="70">
        <f>IF(B12&gt;0,B10*B11*B13/B12,0)</f>
        <v>4344.8105106000003</v>
      </c>
      <c r="C41" s="176">
        <f t="shared" si="0"/>
        <v>0.60546411797658861</v>
      </c>
      <c r="D41" s="177">
        <f t="shared" si="1"/>
        <v>0.11347560000000001</v>
      </c>
      <c r="E41" s="188"/>
      <c r="F41" s="64"/>
    </row>
    <row r="42" spans="1:6" x14ac:dyDescent="0.2">
      <c r="A42" s="62" t="s">
        <v>206</v>
      </c>
      <c r="B42" s="72">
        <f>IF(B16&gt;0,(B13/B17)*B16*1.1,0)</f>
        <v>3790.5615000000012</v>
      </c>
      <c r="C42" s="176">
        <f t="shared" si="0"/>
        <v>0.5282276337792644</v>
      </c>
      <c r="D42" s="177">
        <f t="shared" si="1"/>
        <v>9.9000000000000032E-2</v>
      </c>
      <c r="E42" s="188"/>
      <c r="F42" s="64"/>
    </row>
    <row r="43" spans="1:6" x14ac:dyDescent="0.2">
      <c r="A43" s="62" t="s">
        <v>217</v>
      </c>
      <c r="B43" s="65">
        <f>+'P_19m3-1T'!D53*B21*312</f>
        <v>144678.89275503272</v>
      </c>
      <c r="C43" s="176">
        <f t="shared" si="0"/>
        <v>20.161495645907571</v>
      </c>
      <c r="D43" s="177">
        <f t="shared" si="1"/>
        <v>3.7786513641180175</v>
      </c>
      <c r="E43" s="189"/>
      <c r="F43" s="67"/>
    </row>
    <row r="44" spans="1:6" x14ac:dyDescent="0.2">
      <c r="A44" s="62" t="s">
        <v>207</v>
      </c>
      <c r="B44" s="63">
        <f>SUM(B40:B43)</f>
        <v>166604.27179163272</v>
      </c>
      <c r="C44" s="176">
        <f>SUM(C40:C43)</f>
        <v>23.216871765835108</v>
      </c>
      <c r="D44" s="179">
        <f>SUM(D40:D43)</f>
        <v>4.3512875090858278</v>
      </c>
      <c r="E44" s="188"/>
      <c r="F44" s="64"/>
    </row>
    <row r="45" spans="1:6" x14ac:dyDescent="0.2">
      <c r="A45" s="62"/>
      <c r="B45" s="68"/>
      <c r="C45" s="181"/>
      <c r="D45" s="182"/>
      <c r="E45" s="190"/>
      <c r="F45" s="171"/>
    </row>
    <row r="46" spans="1:6" ht="13.5" thickBot="1" x14ac:dyDescent="0.25">
      <c r="A46" s="76" t="s">
        <v>208</v>
      </c>
      <c r="B46" s="77">
        <f>B37+B44</f>
        <v>207974.29286963271</v>
      </c>
      <c r="C46" s="183">
        <f>C37+C44</f>
        <v>28.981924870350159</v>
      </c>
      <c r="D46" s="184">
        <f>D37+D44</f>
        <v>5.4317691439892588</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-1217151.4336287063</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Hoja84"/>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168</v>
      </c>
      <c r="B3" s="40"/>
      <c r="C3" s="40"/>
    </row>
    <row r="4" spans="1:5" ht="15.75" x14ac:dyDescent="0.25">
      <c r="B4" s="41"/>
      <c r="C4" s="41"/>
      <c r="D4" s="41"/>
      <c r="E4" s="41"/>
    </row>
    <row r="5" spans="1:5" x14ac:dyDescent="0.2">
      <c r="A5" s="42" t="s">
        <v>184</v>
      </c>
      <c r="B5" s="43" t="s">
        <v>210</v>
      </c>
      <c r="C5" s="44"/>
    </row>
    <row r="6" spans="1:5" x14ac:dyDescent="0.2">
      <c r="A6" s="45" t="s">
        <v>197</v>
      </c>
      <c r="B6" s="115">
        <f>+P_Datos!D93</f>
        <v>282190.87067999999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14109.543534</v>
      </c>
      <c r="C9" s="49"/>
      <c r="D9" s="49"/>
    </row>
    <row r="10" spans="1:5" x14ac:dyDescent="0.2">
      <c r="A10" s="45" t="s">
        <v>186</v>
      </c>
      <c r="B10" s="50">
        <v>10</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Economica'!F23*365</f>
        <v>38288.5</v>
      </c>
      <c r="C13" s="38" t="s">
        <v>3</v>
      </c>
    </row>
    <row r="14" spans="1:5" x14ac:dyDescent="0.2">
      <c r="A14" s="45" t="s">
        <v>189</v>
      </c>
      <c r="B14" s="119">
        <f>+'P_Evaluacion Economica'!G23</f>
        <v>7176</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11.000665335994681</v>
      </c>
      <c r="C18" s="38" t="s">
        <v>23</v>
      </c>
    </row>
    <row r="19" spans="1:4" hidden="1" x14ac:dyDescent="0.2">
      <c r="A19" s="45" t="s">
        <v>194</v>
      </c>
      <c r="B19" s="46"/>
    </row>
    <row r="20" spans="1:4" x14ac:dyDescent="0.2">
      <c r="A20" s="45" t="s">
        <v>193</v>
      </c>
      <c r="B20" s="118">
        <f>0.05*B6</f>
        <v>14109.543534</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28219.087068000001</v>
      </c>
      <c r="C35" s="176">
        <f>IF(B$14&gt;0,B35/B$14,0)</f>
        <v>3.9324257341137123</v>
      </c>
      <c r="D35" s="177">
        <f>IF(B$13&gt;0,B35/B$13,0)</f>
        <v>0.73701208112096328</v>
      </c>
      <c r="E35" s="188"/>
      <c r="F35" s="64"/>
    </row>
    <row r="36" spans="1:6" x14ac:dyDescent="0.2">
      <c r="A36" s="62" t="s">
        <v>202</v>
      </c>
      <c r="B36" s="65">
        <f>B19+B20</f>
        <v>14109.543534</v>
      </c>
      <c r="C36" s="178">
        <f>IF(B$14&gt;0,B36/B$14,0)</f>
        <v>1.9662128670568562</v>
      </c>
      <c r="D36" s="177">
        <f>IF(B$13&gt;0,B36/B$13,0)</f>
        <v>0.36850604056048164</v>
      </c>
      <c r="E36" s="189"/>
      <c r="F36" s="67"/>
    </row>
    <row r="37" spans="1:6" x14ac:dyDescent="0.2">
      <c r="A37" s="62" t="s">
        <v>209</v>
      </c>
      <c r="B37" s="63">
        <f>SUM(B35:B36)</f>
        <v>42328.630602000005</v>
      </c>
      <c r="C37" s="176">
        <f>SUM(C35:C36)</f>
        <v>5.8986386011705685</v>
      </c>
      <c r="D37" s="179">
        <f>SUM(D35:D36)</f>
        <v>1.1055181216814449</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14109.543534</v>
      </c>
      <c r="C40" s="176">
        <f t="shared" ref="C40:C43" si="0">IF(B$14&gt;0,B40/B$14,0)</f>
        <v>1.9662128670568562</v>
      </c>
      <c r="D40" s="177">
        <f t="shared" ref="D40:D43" si="1">IF(B$13&gt;0,B40/B$13,0)</f>
        <v>0.36850604056048164</v>
      </c>
      <c r="E40" s="188"/>
      <c r="F40" s="64"/>
    </row>
    <row r="41" spans="1:6" x14ac:dyDescent="0.2">
      <c r="A41" s="62" t="s">
        <v>205</v>
      </c>
      <c r="B41" s="70">
        <f>IF(B12&gt;0,B10*B11*B13/B12,0)</f>
        <v>7241.3508509999992</v>
      </c>
      <c r="C41" s="176">
        <f t="shared" si="0"/>
        <v>1.0091068632943143</v>
      </c>
      <c r="D41" s="177">
        <f t="shared" si="1"/>
        <v>0.18912599999999999</v>
      </c>
      <c r="E41" s="188"/>
      <c r="F41" s="64"/>
    </row>
    <row r="42" spans="1:6" x14ac:dyDescent="0.2">
      <c r="A42" s="62" t="s">
        <v>206</v>
      </c>
      <c r="B42" s="72">
        <f>IF(B16&gt;0,(B13/B17)*B16*1.1,0)</f>
        <v>3790.5615000000012</v>
      </c>
      <c r="C42" s="176">
        <f t="shared" si="0"/>
        <v>0.5282276337792644</v>
      </c>
      <c r="D42" s="177">
        <f t="shared" si="1"/>
        <v>9.9000000000000032E-2</v>
      </c>
      <c r="E42" s="188"/>
      <c r="F42" s="64"/>
    </row>
    <row r="43" spans="1:6" x14ac:dyDescent="0.2">
      <c r="A43" s="62" t="s">
        <v>217</v>
      </c>
      <c r="B43" s="65">
        <f>+'P_21m3-2T'!D53*B21*312</f>
        <v>443690.49691212876</v>
      </c>
      <c r="C43" s="176">
        <f t="shared" si="0"/>
        <v>61.82977939132229</v>
      </c>
      <c r="D43" s="177">
        <f t="shared" si="1"/>
        <v>11.588087726396406</v>
      </c>
      <c r="E43" s="189"/>
      <c r="F43" s="67"/>
    </row>
    <row r="44" spans="1:6" x14ac:dyDescent="0.2">
      <c r="A44" s="62" t="s">
        <v>207</v>
      </c>
      <c r="B44" s="63">
        <f>SUM(B40:B43)</f>
        <v>468831.95279712876</v>
      </c>
      <c r="C44" s="176">
        <f>SUM(C40:C43)</f>
        <v>65.333326755452731</v>
      </c>
      <c r="D44" s="179">
        <f>SUM(D40:D43)</f>
        <v>12.244719766956887</v>
      </c>
      <c r="E44" s="188"/>
      <c r="F44" s="64"/>
    </row>
    <row r="45" spans="1:6" x14ac:dyDescent="0.2">
      <c r="A45" s="62"/>
      <c r="B45" s="68"/>
      <c r="C45" s="181"/>
      <c r="D45" s="182"/>
      <c r="E45" s="190"/>
      <c r="F45" s="171"/>
    </row>
    <row r="46" spans="1:6" ht="13.5" thickBot="1" x14ac:dyDescent="0.25">
      <c r="A46" s="76" t="s">
        <v>208</v>
      </c>
      <c r="B46" s="77">
        <f>B37+B44</f>
        <v>511160.58339912875</v>
      </c>
      <c r="C46" s="183">
        <f>C37+C44</f>
        <v>71.231965356623306</v>
      </c>
      <c r="D46" s="184">
        <f>D37+D44</f>
        <v>13.350237888638333</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-5438146.2299691439</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Hoja85"/>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168</v>
      </c>
      <c r="B3" s="40"/>
      <c r="C3" s="40"/>
    </row>
    <row r="4" spans="1:5" ht="15.75" x14ac:dyDescent="0.25">
      <c r="B4" s="41"/>
      <c r="C4" s="41"/>
      <c r="D4" s="41"/>
      <c r="E4" s="41"/>
    </row>
    <row r="5" spans="1:5" x14ac:dyDescent="0.2">
      <c r="A5" s="42" t="s">
        <v>184</v>
      </c>
      <c r="B5" s="43" t="s">
        <v>210</v>
      </c>
      <c r="C5" s="44"/>
    </row>
    <row r="6" spans="1:5" x14ac:dyDescent="0.2">
      <c r="A6" s="45" t="s">
        <v>197</v>
      </c>
      <c r="B6" s="115">
        <f>+P_Datos!D93</f>
        <v>282190.87067999999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14109.543534</v>
      </c>
      <c r="C9" s="49"/>
      <c r="D9" s="49"/>
    </row>
    <row r="10" spans="1:5" x14ac:dyDescent="0.2">
      <c r="A10" s="45" t="s">
        <v>186</v>
      </c>
      <c r="B10" s="50">
        <v>10</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Economica'!F24*365</f>
        <v>38288.5</v>
      </c>
      <c r="C13" s="38" t="s">
        <v>3</v>
      </c>
    </row>
    <row r="14" spans="1:5" x14ac:dyDescent="0.2">
      <c r="A14" s="45" t="s">
        <v>189</v>
      </c>
      <c r="B14" s="119">
        <f>+'P_Evaluacion Economica'!G24</f>
        <v>7176</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11.000665335994681</v>
      </c>
      <c r="C18" s="38" t="s">
        <v>23</v>
      </c>
    </row>
    <row r="19" spans="1:4" hidden="1" x14ac:dyDescent="0.2">
      <c r="A19" s="45" t="s">
        <v>194</v>
      </c>
      <c r="B19" s="46"/>
    </row>
    <row r="20" spans="1:4" x14ac:dyDescent="0.2">
      <c r="A20" s="45" t="s">
        <v>193</v>
      </c>
      <c r="B20" s="118">
        <f>0.05*B6</f>
        <v>14109.543534</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28219.087068000001</v>
      </c>
      <c r="C35" s="176">
        <f>IF(B$14&gt;0,B35/B$14,0)</f>
        <v>3.9324257341137123</v>
      </c>
      <c r="D35" s="177">
        <f>IF(B$13&gt;0,B35/B$13,0)</f>
        <v>0.73701208112096328</v>
      </c>
      <c r="E35" s="188"/>
      <c r="F35" s="64"/>
    </row>
    <row r="36" spans="1:6" x14ac:dyDescent="0.2">
      <c r="A36" s="62" t="s">
        <v>202</v>
      </c>
      <c r="B36" s="65">
        <f>B19+B20</f>
        <v>14109.543534</v>
      </c>
      <c r="C36" s="178">
        <f>IF(B$14&gt;0,B36/B$14,0)</f>
        <v>1.9662128670568562</v>
      </c>
      <c r="D36" s="177">
        <f>IF(B$13&gt;0,B36/B$13,0)</f>
        <v>0.36850604056048164</v>
      </c>
      <c r="E36" s="189"/>
      <c r="F36" s="67"/>
    </row>
    <row r="37" spans="1:6" x14ac:dyDescent="0.2">
      <c r="A37" s="62" t="s">
        <v>209</v>
      </c>
      <c r="B37" s="63">
        <f>SUM(B35:B36)</f>
        <v>42328.630602000005</v>
      </c>
      <c r="C37" s="176">
        <f>SUM(C35:C36)</f>
        <v>5.8986386011705685</v>
      </c>
      <c r="D37" s="179">
        <f>SUM(D35:D36)</f>
        <v>1.1055181216814449</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14109.543534</v>
      </c>
      <c r="C40" s="176">
        <f t="shared" ref="C40:C43" si="0">IF(B$14&gt;0,B40/B$14,0)</f>
        <v>1.9662128670568562</v>
      </c>
      <c r="D40" s="177">
        <f t="shared" ref="D40:D43" si="1">IF(B$13&gt;0,B40/B$13,0)</f>
        <v>0.36850604056048164</v>
      </c>
      <c r="E40" s="188"/>
      <c r="F40" s="64"/>
    </row>
    <row r="41" spans="1:6" x14ac:dyDescent="0.2">
      <c r="A41" s="62" t="s">
        <v>205</v>
      </c>
      <c r="B41" s="70">
        <f>IF(B12&gt;0,B10*B11*B13/B12,0)</f>
        <v>7241.3508509999992</v>
      </c>
      <c r="C41" s="176">
        <f t="shared" si="0"/>
        <v>1.0091068632943143</v>
      </c>
      <c r="D41" s="177">
        <f t="shared" si="1"/>
        <v>0.18912599999999999</v>
      </c>
      <c r="E41" s="188"/>
      <c r="F41" s="64"/>
    </row>
    <row r="42" spans="1:6" x14ac:dyDescent="0.2">
      <c r="A42" s="62" t="s">
        <v>206</v>
      </c>
      <c r="B42" s="72">
        <f>IF(B16&gt;0,(B13/B17)*B16*1.1,0)</f>
        <v>3790.5615000000012</v>
      </c>
      <c r="C42" s="176">
        <f t="shared" si="0"/>
        <v>0.5282276337792644</v>
      </c>
      <c r="D42" s="177">
        <f t="shared" si="1"/>
        <v>9.9000000000000032E-2</v>
      </c>
      <c r="E42" s="188"/>
      <c r="F42" s="64"/>
    </row>
    <row r="43" spans="1:6" x14ac:dyDescent="0.2">
      <c r="A43" s="62" t="s">
        <v>217</v>
      </c>
      <c r="B43" s="65">
        <f>+'P_21m3-1T'!D53*B21*312</f>
        <v>144678.89275503272</v>
      </c>
      <c r="C43" s="176">
        <f t="shared" si="0"/>
        <v>20.161495645907571</v>
      </c>
      <c r="D43" s="177">
        <f t="shared" si="1"/>
        <v>3.7786513641180175</v>
      </c>
      <c r="E43" s="189"/>
      <c r="F43" s="67"/>
    </row>
    <row r="44" spans="1:6" x14ac:dyDescent="0.2">
      <c r="A44" s="62" t="s">
        <v>207</v>
      </c>
      <c r="B44" s="63">
        <f>SUM(B40:B43)</f>
        <v>169820.34864003272</v>
      </c>
      <c r="C44" s="176">
        <f>SUM(C40:C43)</f>
        <v>23.665043010038005</v>
      </c>
      <c r="D44" s="179">
        <f>SUM(D40:D43)</f>
        <v>4.4352834046784988</v>
      </c>
      <c r="E44" s="188"/>
      <c r="F44" s="64"/>
    </row>
    <row r="45" spans="1:6" x14ac:dyDescent="0.2">
      <c r="A45" s="62"/>
      <c r="B45" s="68"/>
      <c r="C45" s="181"/>
      <c r="D45" s="182"/>
      <c r="E45" s="190"/>
      <c r="F45" s="171"/>
    </row>
    <row r="46" spans="1:6" ht="13.5" thickBot="1" x14ac:dyDescent="0.25">
      <c r="A46" s="76" t="s">
        <v>208</v>
      </c>
      <c r="B46" s="77">
        <f>B37+B44</f>
        <v>212148.97924203274</v>
      </c>
      <c r="C46" s="183">
        <f>C37+C44</f>
        <v>29.563681611208573</v>
      </c>
      <c r="D46" s="184">
        <f>D37+D44</f>
        <v>5.5408015263599442</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-1241713.7152586749</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Hoja86"/>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266</v>
      </c>
      <c r="B3" s="40"/>
      <c r="C3" s="40"/>
    </row>
    <row r="4" spans="1:5" ht="15.75" x14ac:dyDescent="0.25">
      <c r="B4" s="41"/>
      <c r="C4" s="41"/>
      <c r="D4" s="41"/>
      <c r="E4" s="41"/>
    </row>
    <row r="5" spans="1:5" x14ac:dyDescent="0.2">
      <c r="A5" s="42" t="s">
        <v>184</v>
      </c>
      <c r="B5" s="43" t="s">
        <v>210</v>
      </c>
      <c r="C5" s="44"/>
    </row>
    <row r="6" spans="1:5" x14ac:dyDescent="0.2">
      <c r="A6" s="45" t="s">
        <v>197</v>
      </c>
      <c r="B6" s="115">
        <f>+P_Datos!D94</f>
        <v>291776.96591999999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14588.848296</v>
      </c>
      <c r="C9" s="49"/>
      <c r="D9" s="49"/>
    </row>
    <row r="10" spans="1:5" x14ac:dyDescent="0.2">
      <c r="A10" s="45" t="s">
        <v>186</v>
      </c>
      <c r="B10" s="50">
        <v>10</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Economica'!F25*365</f>
        <v>38288.5</v>
      </c>
      <c r="C13" s="38" t="s">
        <v>3</v>
      </c>
    </row>
    <row r="14" spans="1:5" x14ac:dyDescent="0.2">
      <c r="A14" s="45" t="s">
        <v>189</v>
      </c>
      <c r="B14" s="119">
        <f>+'P_Evaluacion Economica'!G25</f>
        <v>7176</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11.000665335994681</v>
      </c>
      <c r="C18" s="38" t="s">
        <v>23</v>
      </c>
    </row>
    <row r="19" spans="1:4" hidden="1" x14ac:dyDescent="0.2">
      <c r="A19" s="45" t="s">
        <v>194</v>
      </c>
      <c r="B19" s="46"/>
    </row>
    <row r="20" spans="1:4" x14ac:dyDescent="0.2">
      <c r="A20" s="45" t="s">
        <v>193</v>
      </c>
      <c r="B20" s="118">
        <f>0.05*B6</f>
        <v>14588.848296</v>
      </c>
    </row>
    <row r="21" spans="1:4" x14ac:dyDescent="0.2">
      <c r="A21" s="45" t="s">
        <v>195</v>
      </c>
      <c r="B21" s="120">
        <f>+'Mano de Obra'!B62*2</f>
        <v>52.578229166666667</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29177.696592</v>
      </c>
      <c r="C35" s="176">
        <f>IF(B$14&gt;0,B35/B$14,0)</f>
        <v>4.0660112307692309</v>
      </c>
      <c r="D35" s="177">
        <f>IF(B$13&gt;0,B35/B$13,0)</f>
        <v>0.76204856789897746</v>
      </c>
      <c r="E35" s="188"/>
      <c r="F35" s="64"/>
    </row>
    <row r="36" spans="1:6" x14ac:dyDescent="0.2">
      <c r="A36" s="62" t="s">
        <v>202</v>
      </c>
      <c r="B36" s="65">
        <f>B19+B20</f>
        <v>14588.848296</v>
      </c>
      <c r="C36" s="178">
        <f>IF(B$14&gt;0,B36/B$14,0)</f>
        <v>2.0330056153846154</v>
      </c>
      <c r="D36" s="177">
        <f>IF(B$13&gt;0,B36/B$13,0)</f>
        <v>0.38102428394948873</v>
      </c>
      <c r="E36" s="189"/>
      <c r="F36" s="67"/>
    </row>
    <row r="37" spans="1:6" x14ac:dyDescent="0.2">
      <c r="A37" s="62" t="s">
        <v>209</v>
      </c>
      <c r="B37" s="63">
        <f>SUM(B35:B36)</f>
        <v>43766.544888000004</v>
      </c>
      <c r="C37" s="176">
        <f>SUM(C35:C36)</f>
        <v>6.0990168461538463</v>
      </c>
      <c r="D37" s="179">
        <f>SUM(D35:D36)</f>
        <v>1.1430728518484661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14588.848296</v>
      </c>
      <c r="C40" s="176">
        <f t="shared" ref="C40:C43" si="0">IF(B$14&gt;0,B40/B$14,0)</f>
        <v>2.0330056153846154</v>
      </c>
      <c r="D40" s="177">
        <f t="shared" ref="D40:D43" si="1">IF(B$13&gt;0,B40/B$13,0)</f>
        <v>0.38102428394948873</v>
      </c>
      <c r="E40" s="188"/>
      <c r="F40" s="64"/>
    </row>
    <row r="41" spans="1:6" x14ac:dyDescent="0.2">
      <c r="A41" s="62" t="s">
        <v>205</v>
      </c>
      <c r="B41" s="70">
        <f>IF(B12&gt;0,B10*B11*B13/B12,0)</f>
        <v>7241.3508509999992</v>
      </c>
      <c r="C41" s="176">
        <f t="shared" si="0"/>
        <v>1.0091068632943143</v>
      </c>
      <c r="D41" s="177">
        <f t="shared" si="1"/>
        <v>0.18912599999999999</v>
      </c>
      <c r="E41" s="188"/>
      <c r="F41" s="64"/>
    </row>
    <row r="42" spans="1:6" x14ac:dyDescent="0.2">
      <c r="A42" s="62" t="s">
        <v>206</v>
      </c>
      <c r="B42" s="72">
        <f>IF(B16&gt;0,(B13/B17)*B16*1.1,0)</f>
        <v>3790.5615000000012</v>
      </c>
      <c r="C42" s="176">
        <f t="shared" si="0"/>
        <v>0.5282276337792644</v>
      </c>
      <c r="D42" s="177">
        <f t="shared" si="1"/>
        <v>9.9000000000000032E-2</v>
      </c>
      <c r="E42" s="188"/>
      <c r="F42" s="64"/>
    </row>
    <row r="43" spans="1:6" x14ac:dyDescent="0.2">
      <c r="A43" s="62" t="s">
        <v>217</v>
      </c>
      <c r="B43" s="65">
        <f>+'P_24m3-2T'!D53*B21*312</f>
        <v>443690.49691212876</v>
      </c>
      <c r="C43" s="176">
        <f t="shared" si="0"/>
        <v>61.82977939132229</v>
      </c>
      <c r="D43" s="177">
        <f t="shared" si="1"/>
        <v>11.588087726396406</v>
      </c>
      <c r="E43" s="189"/>
      <c r="F43" s="67"/>
    </row>
    <row r="44" spans="1:6" x14ac:dyDescent="0.2">
      <c r="A44" s="62" t="s">
        <v>207</v>
      </c>
      <c r="B44" s="63">
        <f>SUM(B40:B43)</f>
        <v>469311.25755912875</v>
      </c>
      <c r="C44" s="176">
        <f>SUM(C40:C43)</f>
        <v>65.400119503780488</v>
      </c>
      <c r="D44" s="179">
        <f>SUM(D40:D43)</f>
        <v>12.257238010345894</v>
      </c>
      <c r="E44" s="188"/>
      <c r="F44" s="64"/>
    </row>
    <row r="45" spans="1:6" x14ac:dyDescent="0.2">
      <c r="A45" s="62"/>
      <c r="B45" s="68"/>
      <c r="C45" s="181"/>
      <c r="D45" s="182"/>
      <c r="E45" s="190"/>
      <c r="F45" s="171"/>
    </row>
    <row r="46" spans="1:6" ht="13.5" thickBot="1" x14ac:dyDescent="0.25">
      <c r="A46" s="76" t="s">
        <v>208</v>
      </c>
      <c r="B46" s="77">
        <f>B37+B44</f>
        <v>513077.80244712875</v>
      </c>
      <c r="C46" s="183">
        <f>C37+C44</f>
        <v>71.499136349934332</v>
      </c>
      <c r="D46" s="184">
        <f>D37+D44</f>
        <v>13.40031086219436</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+PV(P_Datos!D112,B7,B44+B43)-B6</f>
        <v>-5450440.5040130243</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Hoja87"/>
  <dimension ref="A1:F62"/>
  <sheetViews>
    <sheetView view="pageBreakPreview" zoomScale="90" zoomScaleNormal="100" zoomScaleSheetLayoutView="90" workbookViewId="0"/>
  </sheetViews>
  <sheetFormatPr baseColWidth="10" defaultRowHeight="12.75" x14ac:dyDescent="0.2"/>
  <cols>
    <col min="1" max="1" width="50.7109375" style="38" customWidth="1"/>
    <col min="2" max="2" width="16.7109375" style="38" customWidth="1"/>
    <col min="3" max="3" width="12.710937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183</v>
      </c>
    </row>
    <row r="3" spans="1:5" x14ac:dyDescent="0.2">
      <c r="A3" s="39" t="s">
        <v>266</v>
      </c>
      <c r="B3" s="40"/>
      <c r="C3" s="40"/>
    </row>
    <row r="4" spans="1:5" ht="15.75" x14ac:dyDescent="0.25">
      <c r="B4" s="41"/>
      <c r="C4" s="41"/>
      <c r="D4" s="41"/>
      <c r="E4" s="41"/>
    </row>
    <row r="5" spans="1:5" x14ac:dyDescent="0.2">
      <c r="A5" s="42" t="s">
        <v>184</v>
      </c>
      <c r="B5" s="43" t="s">
        <v>210</v>
      </c>
      <c r="C5" s="44"/>
    </row>
    <row r="6" spans="1:5" x14ac:dyDescent="0.2">
      <c r="A6" s="45" t="s">
        <v>197</v>
      </c>
      <c r="B6" s="115">
        <f>+P_Datos!D94</f>
        <v>291776.96591999999</v>
      </c>
      <c r="C6" s="47"/>
    </row>
    <row r="7" spans="1:5" x14ac:dyDescent="0.2">
      <c r="A7" s="45" t="s">
        <v>198</v>
      </c>
      <c r="B7" s="48">
        <f>+P_Datos!D77</f>
        <v>10</v>
      </c>
      <c r="C7" s="38" t="s">
        <v>211</v>
      </c>
    </row>
    <row r="8" spans="1:5" x14ac:dyDescent="0.2">
      <c r="A8" s="45" t="s">
        <v>199</v>
      </c>
      <c r="B8" s="118">
        <v>0</v>
      </c>
      <c r="C8" s="47"/>
    </row>
    <row r="9" spans="1:5" x14ac:dyDescent="0.2">
      <c r="A9" s="45" t="s">
        <v>185</v>
      </c>
      <c r="B9" s="118">
        <f>0.05*B6</f>
        <v>14588.848296</v>
      </c>
      <c r="C9" s="49"/>
      <c r="D9" s="49"/>
    </row>
    <row r="10" spans="1:5" x14ac:dyDescent="0.2">
      <c r="A10" s="45" t="s">
        <v>186</v>
      </c>
      <c r="B10" s="50">
        <v>10</v>
      </c>
      <c r="C10" s="51"/>
    </row>
    <row r="11" spans="1:5" x14ac:dyDescent="0.2">
      <c r="A11" s="45" t="s">
        <v>187</v>
      </c>
      <c r="B11" s="116">
        <f>+P_Datos!D78</f>
        <v>945.63</v>
      </c>
      <c r="C11" s="53"/>
    </row>
    <row r="12" spans="1:5" x14ac:dyDescent="0.2">
      <c r="A12" s="45" t="s">
        <v>188</v>
      </c>
      <c r="B12" s="48">
        <f>+P_Datos!D79</f>
        <v>50000</v>
      </c>
      <c r="C12" s="38" t="s">
        <v>3</v>
      </c>
    </row>
    <row r="13" spans="1:5" x14ac:dyDescent="0.2">
      <c r="A13" s="45" t="s">
        <v>214</v>
      </c>
      <c r="B13" s="117">
        <f>+'P_Evaluacion Economica'!F26*365</f>
        <v>38288.5</v>
      </c>
      <c r="C13" s="38" t="s">
        <v>3</v>
      </c>
    </row>
    <row r="14" spans="1:5" x14ac:dyDescent="0.2">
      <c r="A14" s="45" t="s">
        <v>189</v>
      </c>
      <c r="B14" s="119">
        <f>+'P_Evaluacion Economica'!G26</f>
        <v>7176</v>
      </c>
      <c r="C14" s="38" t="s">
        <v>212</v>
      </c>
    </row>
    <row r="15" spans="1:5" x14ac:dyDescent="0.2">
      <c r="A15" s="45" t="s">
        <v>190</v>
      </c>
      <c r="B15" s="54"/>
    </row>
    <row r="16" spans="1:5" x14ac:dyDescent="0.2">
      <c r="A16" s="45" t="s">
        <v>191</v>
      </c>
      <c r="B16" s="120">
        <f>+P_Datos!D71</f>
        <v>0.54</v>
      </c>
      <c r="C16" s="38" t="s">
        <v>125</v>
      </c>
    </row>
    <row r="17" spans="1:4" x14ac:dyDescent="0.2">
      <c r="A17" s="45" t="s">
        <v>215</v>
      </c>
      <c r="B17" s="55">
        <f>+P_Datos!D80</f>
        <v>6</v>
      </c>
      <c r="C17" s="38" t="s">
        <v>126</v>
      </c>
    </row>
    <row r="18" spans="1:4" x14ac:dyDescent="0.2">
      <c r="A18" s="45" t="s">
        <v>192</v>
      </c>
      <c r="B18" s="156">
        <f>+P_Datos!D72</f>
        <v>11.000665335994681</v>
      </c>
      <c r="C18" s="38" t="s">
        <v>23</v>
      </c>
    </row>
    <row r="19" spans="1:4" hidden="1" x14ac:dyDescent="0.2">
      <c r="A19" s="45" t="s">
        <v>194</v>
      </c>
      <c r="B19" s="46"/>
    </row>
    <row r="20" spans="1:4" x14ac:dyDescent="0.2">
      <c r="A20" s="45" t="s">
        <v>193</v>
      </c>
      <c r="B20" s="118">
        <f>0.05*B6</f>
        <v>14588.848296</v>
      </c>
    </row>
    <row r="21" spans="1:4" x14ac:dyDescent="0.2">
      <c r="A21" s="45" t="s">
        <v>195</v>
      </c>
      <c r="B21" s="120">
        <f>+'Mano de Obra'!B62</f>
        <v>26.289114583333333</v>
      </c>
      <c r="C21" s="38" t="s">
        <v>213</v>
      </c>
    </row>
    <row r="23" spans="1:4" hidden="1" x14ac:dyDescent="0.2"/>
    <row r="24" spans="1:4" hidden="1" x14ac:dyDescent="0.2">
      <c r="A24" s="42" t="s">
        <v>196</v>
      </c>
      <c r="B24" s="43" t="s">
        <v>210</v>
      </c>
      <c r="C24" s="40"/>
    </row>
    <row r="25" spans="1:4" hidden="1" x14ac:dyDescent="0.2">
      <c r="A25" s="45" t="s">
        <v>197</v>
      </c>
      <c r="B25" s="46"/>
    </row>
    <row r="26" spans="1:4" hidden="1" x14ac:dyDescent="0.2">
      <c r="A26" s="45" t="s">
        <v>198</v>
      </c>
      <c r="B26" s="48"/>
      <c r="C26" s="38" t="s">
        <v>211</v>
      </c>
    </row>
    <row r="27" spans="1:4" hidden="1" x14ac:dyDescent="0.2">
      <c r="A27" s="45" t="s">
        <v>199</v>
      </c>
      <c r="B27" s="52"/>
    </row>
    <row r="28" spans="1:4" hidden="1" x14ac:dyDescent="0.2">
      <c r="A28" s="45" t="s">
        <v>185</v>
      </c>
      <c r="B28" s="52"/>
    </row>
    <row r="29" spans="1:4" hidden="1" x14ac:dyDescent="0.2">
      <c r="A29" s="45" t="s">
        <v>186</v>
      </c>
      <c r="B29" s="48"/>
    </row>
    <row r="30" spans="1:4" hidden="1" x14ac:dyDescent="0.2">
      <c r="A30" s="45" t="s">
        <v>187</v>
      </c>
      <c r="B30" s="52"/>
    </row>
    <row r="31" spans="1:4" hidden="1" x14ac:dyDescent="0.2">
      <c r="A31" s="45" t="s">
        <v>188</v>
      </c>
      <c r="B31" s="48"/>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29177.696592</v>
      </c>
      <c r="C35" s="176">
        <f>IF(B$14&gt;0,B35/B$14,0)</f>
        <v>4.0660112307692309</v>
      </c>
      <c r="D35" s="177">
        <f>IF(B$13&gt;0,B35/B$13,0)</f>
        <v>0.76204856789897746</v>
      </c>
      <c r="E35" s="188"/>
      <c r="F35" s="64"/>
    </row>
    <row r="36" spans="1:6" x14ac:dyDescent="0.2">
      <c r="A36" s="62" t="s">
        <v>202</v>
      </c>
      <c r="B36" s="65">
        <f>B19+B20</f>
        <v>14588.848296</v>
      </c>
      <c r="C36" s="178">
        <f>IF(B$14&gt;0,B36/B$14,0)</f>
        <v>2.0330056153846154</v>
      </c>
      <c r="D36" s="177">
        <f>IF(B$13&gt;0,B36/B$13,0)</f>
        <v>0.38102428394948873</v>
      </c>
      <c r="E36" s="189"/>
      <c r="F36" s="67"/>
    </row>
    <row r="37" spans="1:6" x14ac:dyDescent="0.2">
      <c r="A37" s="62" t="s">
        <v>209</v>
      </c>
      <c r="B37" s="63">
        <f>SUM(B35:B36)</f>
        <v>43766.544888000004</v>
      </c>
      <c r="C37" s="176">
        <f>SUM(C35:C36)</f>
        <v>6.0990168461538463</v>
      </c>
      <c r="D37" s="179">
        <f>SUM(D35:D36)</f>
        <v>1.1430728518484661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14588.848296</v>
      </c>
      <c r="C40" s="176">
        <f t="shared" ref="C40:C43" si="0">IF(B$14&gt;0,B40/B$14,0)</f>
        <v>2.0330056153846154</v>
      </c>
      <c r="D40" s="177">
        <f t="shared" ref="D40:D43" si="1">IF(B$13&gt;0,B40/B$13,0)</f>
        <v>0.38102428394948873</v>
      </c>
      <c r="E40" s="188"/>
      <c r="F40" s="64"/>
    </row>
    <row r="41" spans="1:6" x14ac:dyDescent="0.2">
      <c r="A41" s="62" t="s">
        <v>205</v>
      </c>
      <c r="B41" s="70">
        <f>IF(B12&gt;0,B10*B11*B13/B12,0)</f>
        <v>7241.3508509999992</v>
      </c>
      <c r="C41" s="176">
        <f t="shared" si="0"/>
        <v>1.0091068632943143</v>
      </c>
      <c r="D41" s="177">
        <f t="shared" si="1"/>
        <v>0.18912599999999999</v>
      </c>
      <c r="E41" s="188"/>
      <c r="F41" s="64"/>
    </row>
    <row r="42" spans="1:6" x14ac:dyDescent="0.2">
      <c r="A42" s="62" t="s">
        <v>206</v>
      </c>
      <c r="B42" s="72">
        <f>IF(B16&gt;0,(B13/B17)*B16*1.1,0)</f>
        <v>3790.5615000000012</v>
      </c>
      <c r="C42" s="176">
        <f t="shared" si="0"/>
        <v>0.5282276337792644</v>
      </c>
      <c r="D42" s="177">
        <f t="shared" si="1"/>
        <v>9.9000000000000032E-2</v>
      </c>
      <c r="E42" s="188"/>
      <c r="F42" s="64"/>
    </row>
    <row r="43" spans="1:6" x14ac:dyDescent="0.2">
      <c r="A43" s="62" t="s">
        <v>217</v>
      </c>
      <c r="B43" s="65">
        <f>+'P_24m3-1T'!D53*B21*312</f>
        <v>144678.89275503272</v>
      </c>
      <c r="C43" s="176">
        <f t="shared" si="0"/>
        <v>20.161495645907571</v>
      </c>
      <c r="D43" s="177">
        <f t="shared" si="1"/>
        <v>3.7786513641180175</v>
      </c>
      <c r="E43" s="189"/>
      <c r="F43" s="67"/>
    </row>
    <row r="44" spans="1:6" x14ac:dyDescent="0.2">
      <c r="A44" s="62" t="s">
        <v>207</v>
      </c>
      <c r="B44" s="63">
        <f>SUM(B40:B43)</f>
        <v>170299.65340203271</v>
      </c>
      <c r="C44" s="176">
        <f>SUM(C40:C43)</f>
        <v>23.731835758365765</v>
      </c>
      <c r="D44" s="179">
        <f>SUM(D40:D43)</f>
        <v>4.4478016480675064</v>
      </c>
      <c r="E44" s="188"/>
      <c r="F44" s="64"/>
    </row>
    <row r="45" spans="1:6" x14ac:dyDescent="0.2">
      <c r="A45" s="62"/>
      <c r="B45" s="68"/>
      <c r="C45" s="181"/>
      <c r="D45" s="182"/>
      <c r="E45" s="190"/>
      <c r="F45" s="171"/>
    </row>
    <row r="46" spans="1:6" ht="13.5" thickBot="1" x14ac:dyDescent="0.25">
      <c r="A46" s="76" t="s">
        <v>208</v>
      </c>
      <c r="B46" s="77">
        <f>B37+B44</f>
        <v>214066.19829003271</v>
      </c>
      <c r="C46" s="183">
        <f>C37+C44</f>
        <v>29.830852604519613</v>
      </c>
      <c r="D46" s="184">
        <f>D37+D44</f>
        <v>5.590874499915973</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t="s">
        <v>144</v>
      </c>
      <c r="B54" s="79">
        <f>+PV(P_Datos!D112,B7,B44)-B6</f>
        <v>-1254007.9893025542</v>
      </c>
    </row>
    <row r="55" spans="1:2" ht="13.5" thickBot="1" x14ac:dyDescent="0.25">
      <c r="A55" s="670"/>
      <c r="B55" s="671"/>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9"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Hoja89"/>
  <dimension ref="A2:C31"/>
  <sheetViews>
    <sheetView topLeftCell="A13" workbookViewId="0"/>
  </sheetViews>
  <sheetFormatPr baseColWidth="10" defaultRowHeight="15" x14ac:dyDescent="0.25"/>
  <cols>
    <col min="3" max="3" width="23.5703125" customWidth="1"/>
  </cols>
  <sheetData>
    <row r="2" spans="1:3" ht="18.75" x14ac:dyDescent="0.3">
      <c r="A2" s="154" t="s">
        <v>172</v>
      </c>
    </row>
    <row r="4" spans="1:3" ht="30" x14ac:dyDescent="0.25">
      <c r="B4" s="145" t="s">
        <v>114</v>
      </c>
      <c r="C4" s="145" t="s">
        <v>165</v>
      </c>
    </row>
    <row r="5" spans="1:3" x14ac:dyDescent="0.25">
      <c r="B5" s="142">
        <v>12</v>
      </c>
      <c r="C5" s="146">
        <f>+'P_Evaluacion Economica'!I11</f>
        <v>-10769794.617806913</v>
      </c>
    </row>
    <row r="6" spans="1:3" x14ac:dyDescent="0.25">
      <c r="B6" s="121">
        <v>15</v>
      </c>
      <c r="C6" s="147">
        <f>+'P_Evaluacion Economica'!I13</f>
        <v>-10794383.165894672</v>
      </c>
    </row>
    <row r="7" spans="1:3" x14ac:dyDescent="0.25">
      <c r="B7" s="142">
        <v>16</v>
      </c>
      <c r="C7" s="146">
        <f>+'P_Evaluacion Economica'!I15</f>
        <v>-10802579.348590594</v>
      </c>
    </row>
    <row r="8" spans="1:3" x14ac:dyDescent="0.25">
      <c r="B8" s="121">
        <v>17</v>
      </c>
      <c r="C8" s="147">
        <f>+'P_Evaluacion Economica'!I17</f>
        <v>-10810775.531286512</v>
      </c>
    </row>
    <row r="9" spans="1:3" x14ac:dyDescent="0.25">
      <c r="B9" s="142">
        <v>18</v>
      </c>
      <c r="C9" s="146">
        <f>+'P_Evaluacion Economica'!I19</f>
        <v>-10818971.713982431</v>
      </c>
    </row>
    <row r="10" spans="1:3" x14ac:dyDescent="0.25">
      <c r="B10" s="121">
        <v>19</v>
      </c>
      <c r="C10" s="147">
        <f>+'P_Evaluacion Economica'!I21</f>
        <v>-10827167.896678351</v>
      </c>
    </row>
    <row r="11" spans="1:3" x14ac:dyDescent="0.25">
      <c r="B11" s="142">
        <v>21</v>
      </c>
      <c r="C11" s="146">
        <f>+'P_Evaluacion Economica'!I23</f>
        <v>-10876292.459938288</v>
      </c>
    </row>
    <row r="12" spans="1:3" x14ac:dyDescent="0.25">
      <c r="B12" s="121">
        <v>24</v>
      </c>
      <c r="C12" s="147">
        <f>+'P_Evaluacion Economica'!I25</f>
        <v>-10900881.008026049</v>
      </c>
    </row>
    <row r="15" spans="1:3" ht="18.75" x14ac:dyDescent="0.3">
      <c r="A15" s="154" t="s">
        <v>173</v>
      </c>
    </row>
    <row r="17" spans="2:3" ht="30" x14ac:dyDescent="0.25">
      <c r="B17" s="145" t="s">
        <v>114</v>
      </c>
      <c r="C17" s="145" t="s">
        <v>165</v>
      </c>
    </row>
    <row r="18" spans="2:3" x14ac:dyDescent="0.25">
      <c r="B18" s="142">
        <v>12</v>
      </c>
      <c r="C18" s="146">
        <f>+'P_Evaluacion Economica'!I12</f>
        <v>-2180716.0652135815</v>
      </c>
    </row>
    <row r="19" spans="2:3" x14ac:dyDescent="0.25">
      <c r="B19" s="121">
        <v>15</v>
      </c>
      <c r="C19" s="147">
        <f>+'P_Evaluacion Economica'!I14</f>
        <v>-2401518.1364737339</v>
      </c>
    </row>
    <row r="20" spans="2:3" x14ac:dyDescent="0.25">
      <c r="B20" s="142">
        <v>16</v>
      </c>
      <c r="C20" s="146">
        <f>+'P_Evaluacion Economica'!I16</f>
        <v>-2409714.3191696536</v>
      </c>
    </row>
    <row r="21" spans="2:3" x14ac:dyDescent="0.25">
      <c r="B21" s="121">
        <v>17</v>
      </c>
      <c r="C21" s="147">
        <f>+'P_Evaluacion Economica'!I18</f>
        <v>-2417910.5018655732</v>
      </c>
    </row>
    <row r="22" spans="2:3" x14ac:dyDescent="0.25">
      <c r="B22" s="142">
        <v>18</v>
      </c>
      <c r="C22" s="146">
        <f>+'P_Evaluacion Economica'!I20</f>
        <v>-2426106.6845614929</v>
      </c>
    </row>
    <row r="23" spans="2:3" x14ac:dyDescent="0.25">
      <c r="B23" s="121">
        <v>19</v>
      </c>
      <c r="C23" s="147">
        <f>+'P_Evaluacion Economica'!I22</f>
        <v>-2434302.8672574125</v>
      </c>
    </row>
    <row r="24" spans="2:3" x14ac:dyDescent="0.25">
      <c r="B24" s="142">
        <v>21</v>
      </c>
      <c r="C24" s="146">
        <f>+'P_Evaluacion Economica'!I24</f>
        <v>-2483427.4305173499</v>
      </c>
    </row>
    <row r="25" spans="2:3" x14ac:dyDescent="0.25">
      <c r="B25" s="121">
        <v>24</v>
      </c>
      <c r="C25" s="147">
        <f>+'P_Evaluacion Economica'!I26</f>
        <v>-2508015.9786051083</v>
      </c>
    </row>
    <row r="28" spans="2:3" x14ac:dyDescent="0.25">
      <c r="C28" s="155"/>
    </row>
    <row r="31" spans="2:3" x14ac:dyDescent="0.25">
      <c r="C31" s="155"/>
    </row>
  </sheetData>
  <pageMargins left="0.7" right="0.7" top="0.75" bottom="0.75" header="0.3" footer="0.3"/>
  <drawing r:id="rId1"/>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Hoja90"/>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Pehuajó</v>
      </c>
    </row>
    <row r="4" spans="2:5" x14ac:dyDescent="0.25">
      <c r="B4" s="2" t="s">
        <v>0</v>
      </c>
    </row>
    <row r="5" spans="2:5" x14ac:dyDescent="0.25">
      <c r="B5" t="s">
        <v>6</v>
      </c>
      <c r="C5" t="s">
        <v>8</v>
      </c>
      <c r="D5">
        <f>+TA_Datos!D5</f>
        <v>56.2</v>
      </c>
      <c r="E5" t="s">
        <v>3</v>
      </c>
    </row>
    <row r="6" spans="2:5" x14ac:dyDescent="0.25">
      <c r="B6" t="s">
        <v>7</v>
      </c>
      <c r="C6" t="s">
        <v>9</v>
      </c>
      <c r="D6">
        <f>+TA_Datos!D6</f>
        <v>0</v>
      </c>
      <c r="E6" t="s">
        <v>3</v>
      </c>
    </row>
    <row r="8" spans="2:5" x14ac:dyDescent="0.25">
      <c r="B8" s="2" t="s">
        <v>12</v>
      </c>
    </row>
    <row r="9" spans="2:5" x14ac:dyDescent="0.25">
      <c r="B9" t="s">
        <v>15</v>
      </c>
      <c r="C9" t="s">
        <v>20</v>
      </c>
      <c r="D9">
        <f>+TA_Datos!D9</f>
        <v>82.243902439024396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0.68333333333333335</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1.2666666666666666</v>
      </c>
      <c r="E20" t="s">
        <v>30</v>
      </c>
    </row>
    <row r="21" spans="2:12" x14ac:dyDescent="0.25">
      <c r="C21" t="s">
        <v>43</v>
      </c>
      <c r="D21" s="25">
        <f>+TA_Datos!D21</f>
        <v>5</v>
      </c>
      <c r="E21" t="s">
        <v>46</v>
      </c>
    </row>
    <row r="22" spans="2:12" x14ac:dyDescent="0.25">
      <c r="B22" t="s">
        <v>47</v>
      </c>
      <c r="C22" t="s">
        <v>42</v>
      </c>
      <c r="D22" s="4">
        <f>+TA_Datos!D22</f>
        <v>6.3333333333333325E-2</v>
      </c>
      <c r="E22" t="s">
        <v>30</v>
      </c>
    </row>
    <row r="23" spans="2:12" x14ac:dyDescent="0.25">
      <c r="B23" s="5" t="s">
        <v>53</v>
      </c>
    </row>
    <row r="24" spans="2:12" x14ac:dyDescent="0.25">
      <c r="B24" s="23" t="s">
        <v>54</v>
      </c>
      <c r="C24" s="23" t="s">
        <v>55</v>
      </c>
      <c r="D24" s="24">
        <f>+TA_Datos!D24</f>
        <v>1.3299999999999998</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50.390704000000007</v>
      </c>
      <c r="E28" t="s">
        <v>65</v>
      </c>
    </row>
    <row r="29" spans="2:12" ht="15.75" thickBot="1" x14ac:dyDescent="0.3">
      <c r="C29" t="s">
        <v>322</v>
      </c>
      <c r="D29">
        <f>+TA_Datos!D29</f>
        <v>0.27</v>
      </c>
      <c r="E29" t="s">
        <v>84</v>
      </c>
      <c r="H29" s="839" t="s">
        <v>100</v>
      </c>
      <c r="I29" s="840"/>
      <c r="J29" s="840"/>
      <c r="K29" s="841"/>
    </row>
    <row r="30" spans="2:12" x14ac:dyDescent="0.25">
      <c r="C30" s="23" t="s">
        <v>323</v>
      </c>
      <c r="D30" s="541">
        <f>+TA_Datos!D30</f>
        <v>186.63223703703704</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25</v>
      </c>
      <c r="E33" t="s">
        <v>86</v>
      </c>
      <c r="H33" s="30" t="s">
        <v>106</v>
      </c>
      <c r="I33" s="32">
        <f>+D33*ROUNDUP(J30,0)</f>
        <v>25</v>
      </c>
      <c r="J33" s="28">
        <f>COUNT($J$30)</f>
        <v>1</v>
      </c>
      <c r="K33" s="32"/>
    </row>
    <row r="34" spans="2:11" x14ac:dyDescent="0.25">
      <c r="B34" t="s">
        <v>91</v>
      </c>
      <c r="C34" s="164" t="s">
        <v>727</v>
      </c>
      <c r="D34" s="164">
        <f>ROUNDUP(D30/D33,0)</f>
        <v>8</v>
      </c>
      <c r="E34" t="s">
        <v>96</v>
      </c>
      <c r="H34" s="30"/>
      <c r="I34" s="32">
        <f>+D34*I33</f>
        <v>200</v>
      </c>
      <c r="J34" s="28" t="b">
        <f>$D$37&lt;=$I$32</f>
        <v>1</v>
      </c>
      <c r="K34" s="32"/>
    </row>
    <row r="35" spans="2:11" x14ac:dyDescent="0.25">
      <c r="B35" t="s">
        <v>92</v>
      </c>
      <c r="C35" s="164" t="s">
        <v>728</v>
      </c>
      <c r="D35" s="165">
        <f>(((D14+D15+D18+D17)*D34)*(1+D21/100))/J30</f>
        <v>10.64</v>
      </c>
      <c r="E35" t="s">
        <v>30</v>
      </c>
      <c r="H35" s="30"/>
      <c r="J35" s="28">
        <f>{32767;32767;0.000001;0.01;FALSE;FALSE;FALSE;1;2;1;0.0001;TRUE}</f>
        <v>32767</v>
      </c>
      <c r="K35" s="32"/>
    </row>
    <row r="36" spans="2:11" ht="15.75" thickBot="1" x14ac:dyDescent="0.3">
      <c r="C36" t="s">
        <v>107</v>
      </c>
      <c r="D36" s="4">
        <f>+IF(D35&gt;D25,D35-D25,0)</f>
        <v>2.6400000000000006</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0</v>
      </c>
      <c r="E38" t="s">
        <v>30</v>
      </c>
    </row>
    <row r="39" spans="2:11" x14ac:dyDescent="0.25">
      <c r="C39" t="s">
        <v>98</v>
      </c>
      <c r="D39" s="4">
        <f>+IF(D37=0,IF((2*D25-D35)&gt;D25,8,2*D25-D35),0)</f>
        <v>5.3599999999999994</v>
      </c>
      <c r="E39" t="s">
        <v>30</v>
      </c>
    </row>
    <row r="40" spans="2:11" x14ac:dyDescent="0.25">
      <c r="C40" s="164" t="s">
        <v>182</v>
      </c>
      <c r="D40" s="165">
        <f>+D35</f>
        <v>10.64</v>
      </c>
      <c r="E40" t="s">
        <v>30</v>
      </c>
    </row>
    <row r="41" spans="2:11" x14ac:dyDescent="0.25">
      <c r="C41" s="164" t="s">
        <v>95</v>
      </c>
      <c r="D41" s="166">
        <f>(2*D25-D22-D17)/(D14+D15+D33/(AVERAGE(D9,D10)*D30/(D5+D6)))</f>
        <v>19.346977518118237</v>
      </c>
      <c r="E41" t="s">
        <v>96</v>
      </c>
      <c r="K41" s="36"/>
    </row>
    <row r="43" spans="2:11" hidden="1" x14ac:dyDescent="0.25">
      <c r="C43" t="s">
        <v>110</v>
      </c>
      <c r="D43" s="4">
        <f>+IF((D30-D25/D40*D33)&lt;0,0,D30-D25/D40*D33)</f>
        <v>167.83524455583404</v>
      </c>
      <c r="E43" t="s">
        <v>86</v>
      </c>
    </row>
    <row r="44" spans="2:11" hidden="1" x14ac:dyDescent="0.25">
      <c r="C44" t="s">
        <v>111</v>
      </c>
      <c r="D44" s="4">
        <f>+D30-D43</f>
        <v>18.796992481203006</v>
      </c>
      <c r="E44" t="s">
        <v>86</v>
      </c>
    </row>
    <row r="45" spans="2:11" hidden="1" x14ac:dyDescent="0.25">
      <c r="C45" t="s">
        <v>148</v>
      </c>
      <c r="D45" s="4">
        <f>IF(D35&lt;=2*D25,D30,2*D25/D40*D33)</f>
        <v>186.63223703703704</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2</v>
      </c>
    </row>
    <row r="50" spans="3:5" x14ac:dyDescent="0.25">
      <c r="C50" t="s">
        <v>104</v>
      </c>
      <c r="D50" s="165">
        <f>+D41*D48*D33</f>
        <v>483.67443795295594</v>
      </c>
      <c r="E50" t="s">
        <v>86</v>
      </c>
    </row>
    <row r="51" spans="3:5" x14ac:dyDescent="0.25">
      <c r="C51" t="s">
        <v>102</v>
      </c>
      <c r="D51" s="26">
        <f>+(D50/D30-1)</f>
        <v>1.5915910650364817</v>
      </c>
    </row>
    <row r="52" spans="3:5" x14ac:dyDescent="0.25">
      <c r="C52" t="s">
        <v>119</v>
      </c>
      <c r="D52" s="166">
        <f>(D5+D6)*2*D34/D48</f>
        <v>899.2</v>
      </c>
      <c r="E52" s="164" t="s">
        <v>244</v>
      </c>
    </row>
    <row r="53" spans="3:5" x14ac:dyDescent="0.25">
      <c r="C53" t="s">
        <v>118</v>
      </c>
      <c r="D53" s="141">
        <f>+D52*D48</f>
        <v>899.2</v>
      </c>
      <c r="E53" s="164" t="s">
        <v>244</v>
      </c>
    </row>
    <row r="54" spans="3:5" x14ac:dyDescent="0.25">
      <c r="C54" t="s">
        <v>123</v>
      </c>
      <c r="D54" s="165">
        <f>+D30/D48</f>
        <v>186.63223703703704</v>
      </c>
      <c r="E54" t="s">
        <v>87</v>
      </c>
    </row>
    <row r="55" spans="3:5" x14ac:dyDescent="0.25">
      <c r="C55" t="s">
        <v>123</v>
      </c>
      <c r="D55">
        <f>+D54*D29*52</f>
        <v>2620.3166080000005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11"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Macro_TA_2T">
                <anchor moveWithCells="1" sizeWithCells="1">
                  <from>
                    <xdr:col>7</xdr:col>
                    <xdr:colOff>76200</xdr:colOff>
                    <xdr:row>46</xdr:row>
                    <xdr:rowOff>171450</xdr:rowOff>
                  </from>
                  <to>
                    <xdr:col>8</xdr:col>
                    <xdr:colOff>752475</xdr:colOff>
                    <xdr:row>50</xdr:row>
                    <xdr:rowOff>38100</xdr:rowOff>
                  </to>
                </anchor>
              </controlPr>
            </control>
          </mc:Choice>
        </mc:AlternateContent>
      </controls>
    </mc:Choice>
  </mc:AlternateConten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Hoja91"/>
  <dimension ref="B1:L58"/>
  <sheetViews>
    <sheetView view="pageBreakPreview" topLeftCell="C31" zoomScale="80" zoomScaleNormal="100" zoomScaleSheetLayoutView="8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Pehuajó</v>
      </c>
    </row>
    <row r="4" spans="2:5" x14ac:dyDescent="0.25">
      <c r="B4" s="2" t="s">
        <v>0</v>
      </c>
    </row>
    <row r="5" spans="2:5" x14ac:dyDescent="0.25">
      <c r="B5" t="s">
        <v>6</v>
      </c>
      <c r="C5" t="s">
        <v>8</v>
      </c>
      <c r="D5">
        <f>+TA_Datos!D5</f>
        <v>56.2</v>
      </c>
      <c r="E5" t="s">
        <v>3</v>
      </c>
    </row>
    <row r="6" spans="2:5" x14ac:dyDescent="0.25">
      <c r="B6" t="s">
        <v>7</v>
      </c>
      <c r="C6" t="s">
        <v>9</v>
      </c>
      <c r="D6">
        <f>+TA_Datos!D6</f>
        <v>0</v>
      </c>
      <c r="E6" t="s">
        <v>3</v>
      </c>
    </row>
    <row r="8" spans="2:5" x14ac:dyDescent="0.25">
      <c r="B8" s="2" t="s">
        <v>12</v>
      </c>
    </row>
    <row r="9" spans="2:5" x14ac:dyDescent="0.25">
      <c r="B9" t="s">
        <v>15</v>
      </c>
      <c r="C9" t="s">
        <v>20</v>
      </c>
      <c r="D9">
        <f>+TA_Datos!D9</f>
        <v>82.243902439024396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0.68333333333333335</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1.2666666666666666</v>
      </c>
      <c r="E20" t="s">
        <v>30</v>
      </c>
    </row>
    <row r="21" spans="2:12" x14ac:dyDescent="0.25">
      <c r="C21" t="s">
        <v>43</v>
      </c>
      <c r="D21">
        <f>+TA_Datos!D21</f>
        <v>5</v>
      </c>
      <c r="E21" t="s">
        <v>46</v>
      </c>
    </row>
    <row r="22" spans="2:12" x14ac:dyDescent="0.25">
      <c r="B22" t="s">
        <v>47</v>
      </c>
      <c r="C22" t="s">
        <v>42</v>
      </c>
      <c r="D22" s="4">
        <f>+TA_Datos!D22</f>
        <v>6.3333333333333325E-2</v>
      </c>
      <c r="E22" t="s">
        <v>30</v>
      </c>
    </row>
    <row r="23" spans="2:12" x14ac:dyDescent="0.25">
      <c r="B23" s="5" t="s">
        <v>53</v>
      </c>
    </row>
    <row r="24" spans="2:12" x14ac:dyDescent="0.25">
      <c r="B24" s="23" t="s">
        <v>54</v>
      </c>
      <c r="C24" s="23" t="s">
        <v>55</v>
      </c>
      <c r="D24" s="4">
        <f>+TA_Datos!D24</f>
        <v>1.3299999999999998</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50.390704000000007</v>
      </c>
      <c r="E28" t="s">
        <v>65</v>
      </c>
    </row>
    <row r="29" spans="2:12" ht="15.75" thickBot="1" x14ac:dyDescent="0.3">
      <c r="C29" t="s">
        <v>322</v>
      </c>
      <c r="D29">
        <f>+TA_Datos!D29</f>
        <v>0.27</v>
      </c>
      <c r="E29" t="s">
        <v>84</v>
      </c>
      <c r="H29" s="839" t="s">
        <v>100</v>
      </c>
      <c r="I29" s="840"/>
      <c r="J29" s="840"/>
      <c r="K29" s="841"/>
    </row>
    <row r="30" spans="2:12" x14ac:dyDescent="0.25">
      <c r="C30" s="23" t="s">
        <v>323</v>
      </c>
      <c r="D30" s="541">
        <f>+TA_Datos!D30</f>
        <v>186.63223703703704</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25</v>
      </c>
      <c r="E33" t="s">
        <v>86</v>
      </c>
      <c r="H33" s="30" t="s">
        <v>106</v>
      </c>
      <c r="I33" s="32">
        <f>+D33*ROUNDUP(J30,0)</f>
        <v>25</v>
      </c>
      <c r="J33" s="28">
        <f>COUNT($J$30)</f>
        <v>1</v>
      </c>
      <c r="K33" s="32"/>
    </row>
    <row r="34" spans="2:11" x14ac:dyDescent="0.25">
      <c r="B34" t="s">
        <v>91</v>
      </c>
      <c r="C34" s="164" t="s">
        <v>727</v>
      </c>
      <c r="D34" s="164">
        <f>ROUNDUP(D30/D33,0)</f>
        <v>8</v>
      </c>
      <c r="E34" t="s">
        <v>96</v>
      </c>
      <c r="H34" s="30"/>
      <c r="I34" s="32">
        <f>+D34*I33</f>
        <v>200</v>
      </c>
      <c r="J34" s="28" t="b">
        <f>$D$37&lt;=$I$32</f>
        <v>1</v>
      </c>
      <c r="K34" s="32"/>
    </row>
    <row r="35" spans="2:11" x14ac:dyDescent="0.25">
      <c r="B35" t="s">
        <v>92</v>
      </c>
      <c r="C35" s="164" t="s">
        <v>728</v>
      </c>
      <c r="D35" s="165">
        <f>(((D14+D15+D18+D17)*D34)*(1+D21/100))/J30</f>
        <v>10.64</v>
      </c>
      <c r="E35" t="s">
        <v>30</v>
      </c>
      <c r="H35" s="30"/>
      <c r="J35" s="28">
        <f>{32767;32767;0.000001;0.01;FALSE;FALSE;FALSE;1;2;1;0.0001;TRUE}</f>
        <v>32767</v>
      </c>
      <c r="K35" s="32"/>
    </row>
    <row r="36" spans="2:11" ht="15.75" thickBot="1" x14ac:dyDescent="0.3">
      <c r="C36" s="127" t="s">
        <v>107</v>
      </c>
      <c r="D36" s="128">
        <f>+IF(D35&gt;D25,D35-D25,0)</f>
        <v>2.6400000000000006</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0</v>
      </c>
      <c r="E38" t="s">
        <v>30</v>
      </c>
    </row>
    <row r="39" spans="2:11" x14ac:dyDescent="0.25">
      <c r="C39" t="s">
        <v>98</v>
      </c>
      <c r="D39" s="4">
        <f>+IF(D37=0,IF((2*D25-D35)&gt;D25,8,2*D25-D35),0)</f>
        <v>5.3599999999999994</v>
      </c>
      <c r="E39" t="s">
        <v>30</v>
      </c>
    </row>
    <row r="40" spans="2:11" x14ac:dyDescent="0.25">
      <c r="C40" s="164" t="s">
        <v>182</v>
      </c>
      <c r="D40" s="165">
        <f>+D35</f>
        <v>10.64</v>
      </c>
      <c r="E40" t="s">
        <v>30</v>
      </c>
    </row>
    <row r="41" spans="2:11" x14ac:dyDescent="0.25">
      <c r="C41" s="164" t="s">
        <v>95</v>
      </c>
      <c r="D41" s="166">
        <f>(2*D25-D22-D17)/(D14+D15+D33/(AVERAGE(D9,D10)*D30/(D5+D6)))</f>
        <v>19.346977518118237</v>
      </c>
      <c r="E41" t="s">
        <v>96</v>
      </c>
      <c r="K41" s="36"/>
    </row>
    <row r="43" spans="2:11" hidden="1" x14ac:dyDescent="0.25">
      <c r="C43" t="s">
        <v>110</v>
      </c>
      <c r="D43" s="4">
        <f>+IF((D30-D25/D40*D33)&lt;0,0,D30-D25/D40*D33)</f>
        <v>167.83524455583404</v>
      </c>
      <c r="E43" t="s">
        <v>86</v>
      </c>
    </row>
    <row r="44" spans="2:11" hidden="1" x14ac:dyDescent="0.25">
      <c r="C44" t="s">
        <v>111</v>
      </c>
      <c r="D44" s="4">
        <f>+D30-D43</f>
        <v>18.796992481203006</v>
      </c>
      <c r="E44" t="s">
        <v>86</v>
      </c>
    </row>
    <row r="45" spans="2:11" hidden="1" x14ac:dyDescent="0.25">
      <c r="C45" t="s">
        <v>148</v>
      </c>
      <c r="D45" s="4">
        <f>IF(D35&lt;=2*D25,D30,2*D25/D40*D33)</f>
        <v>186.63223703703704</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1</v>
      </c>
    </row>
    <row r="50" spans="3:5" x14ac:dyDescent="0.25">
      <c r="C50" t="s">
        <v>104</v>
      </c>
      <c r="D50" s="165">
        <f>+D41*D48*D33</f>
        <v>483.67443795295594</v>
      </c>
      <c r="E50" t="s">
        <v>86</v>
      </c>
    </row>
    <row r="51" spans="3:5" x14ac:dyDescent="0.25">
      <c r="C51" t="s">
        <v>102</v>
      </c>
      <c r="D51" s="26">
        <f>+(D50/D30-1)</f>
        <v>1.5915910650364817</v>
      </c>
    </row>
    <row r="52" spans="3:5" x14ac:dyDescent="0.25">
      <c r="C52" t="s">
        <v>119</v>
      </c>
      <c r="D52" s="166">
        <f>(D5+D6)*2*D34/D48</f>
        <v>899.2</v>
      </c>
      <c r="E52" s="164" t="s">
        <v>244</v>
      </c>
    </row>
    <row r="53" spans="3:5" x14ac:dyDescent="0.25">
      <c r="C53" t="s">
        <v>118</v>
      </c>
      <c r="D53" s="141">
        <f>+D52*D48</f>
        <v>899.2</v>
      </c>
      <c r="E53" s="164" t="s">
        <v>244</v>
      </c>
    </row>
    <row r="54" spans="3:5" x14ac:dyDescent="0.25">
      <c r="C54" t="s">
        <v>123</v>
      </c>
      <c r="D54" s="165">
        <f>+D30/D48</f>
        <v>186.63223703703704</v>
      </c>
      <c r="E54" t="s">
        <v>87</v>
      </c>
    </row>
    <row r="55" spans="3:5" x14ac:dyDescent="0.25">
      <c r="C55" t="s">
        <v>123</v>
      </c>
      <c r="D55">
        <f>+D54*D29*52</f>
        <v>2620.3166080000005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10"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Hoja92"/>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Pehuajó</v>
      </c>
    </row>
    <row r="4" spans="2:5" x14ac:dyDescent="0.25">
      <c r="B4" s="2" t="s">
        <v>0</v>
      </c>
    </row>
    <row r="5" spans="2:5" x14ac:dyDescent="0.25">
      <c r="B5" t="s">
        <v>6</v>
      </c>
      <c r="C5" t="s">
        <v>8</v>
      </c>
      <c r="D5">
        <f>+TA_Datos!D5</f>
        <v>56.2</v>
      </c>
      <c r="E5" t="s">
        <v>3</v>
      </c>
    </row>
    <row r="6" spans="2:5" x14ac:dyDescent="0.25">
      <c r="B6" t="s">
        <v>7</v>
      </c>
      <c r="C6" t="s">
        <v>9</v>
      </c>
      <c r="D6">
        <f>+TA_Datos!D6</f>
        <v>0</v>
      </c>
      <c r="E6" t="s">
        <v>3</v>
      </c>
    </row>
    <row r="8" spans="2:5" x14ac:dyDescent="0.25">
      <c r="B8" s="2" t="s">
        <v>12</v>
      </c>
    </row>
    <row r="9" spans="2:5" x14ac:dyDescent="0.25">
      <c r="B9" t="s">
        <v>15</v>
      </c>
      <c r="C9" t="s">
        <v>20</v>
      </c>
      <c r="D9">
        <f>+TA_Datos!D9</f>
        <v>82.243902439024396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0.68333333333333335</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1.2666666666666666</v>
      </c>
      <c r="E20" t="s">
        <v>30</v>
      </c>
    </row>
    <row r="21" spans="2:12" x14ac:dyDescent="0.25">
      <c r="C21" t="s">
        <v>43</v>
      </c>
      <c r="D21" s="25">
        <f>+TA_Datos!D21</f>
        <v>5</v>
      </c>
      <c r="E21" t="s">
        <v>46</v>
      </c>
    </row>
    <row r="22" spans="2:12" x14ac:dyDescent="0.25">
      <c r="B22" t="s">
        <v>47</v>
      </c>
      <c r="C22" t="s">
        <v>42</v>
      </c>
      <c r="D22" s="4">
        <f>+TA_Datos!D22</f>
        <v>6.3333333333333325E-2</v>
      </c>
      <c r="E22" t="s">
        <v>30</v>
      </c>
    </row>
    <row r="23" spans="2:12" x14ac:dyDescent="0.25">
      <c r="B23" s="5" t="s">
        <v>53</v>
      </c>
    </row>
    <row r="24" spans="2:12" x14ac:dyDescent="0.25">
      <c r="B24" s="23" t="s">
        <v>54</v>
      </c>
      <c r="C24" s="23" t="s">
        <v>55</v>
      </c>
      <c r="D24" s="24">
        <f>+TA_Datos!D24</f>
        <v>1.3299999999999998</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50.390704000000007</v>
      </c>
      <c r="E28" t="s">
        <v>65</v>
      </c>
    </row>
    <row r="29" spans="2:12" ht="15.75" thickBot="1" x14ac:dyDescent="0.3">
      <c r="C29" t="s">
        <v>322</v>
      </c>
      <c r="D29">
        <f>+TA_Datos!D29</f>
        <v>0.27</v>
      </c>
      <c r="E29" t="s">
        <v>84</v>
      </c>
      <c r="H29" s="839" t="s">
        <v>100</v>
      </c>
      <c r="I29" s="840"/>
      <c r="J29" s="840"/>
      <c r="K29" s="841"/>
    </row>
    <row r="30" spans="2:12" x14ac:dyDescent="0.25">
      <c r="C30" s="23" t="s">
        <v>323</v>
      </c>
      <c r="D30" s="541">
        <f>+TA_Datos!D30</f>
        <v>186.63223703703704</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30</v>
      </c>
      <c r="E33" t="s">
        <v>86</v>
      </c>
      <c r="H33" s="30" t="s">
        <v>106</v>
      </c>
      <c r="I33" s="32">
        <f>+D33*ROUNDUP(J30,0)</f>
        <v>30</v>
      </c>
      <c r="J33" s="28">
        <f>COUNT($J$30)</f>
        <v>1</v>
      </c>
      <c r="K33" s="32"/>
    </row>
    <row r="34" spans="2:11" x14ac:dyDescent="0.25">
      <c r="B34" t="s">
        <v>91</v>
      </c>
      <c r="C34" s="164" t="s">
        <v>727</v>
      </c>
      <c r="D34" s="164">
        <f>ROUNDUP(D30/D33,0)</f>
        <v>7</v>
      </c>
      <c r="E34" t="s">
        <v>96</v>
      </c>
      <c r="H34" s="30"/>
      <c r="I34" s="32">
        <f>+D34*I33</f>
        <v>210</v>
      </c>
      <c r="J34" s="28" t="b">
        <f>$D$37&lt;=$I$32</f>
        <v>1</v>
      </c>
      <c r="K34" s="32"/>
    </row>
    <row r="35" spans="2:11" x14ac:dyDescent="0.25">
      <c r="B35" t="s">
        <v>92</v>
      </c>
      <c r="C35" s="164" t="s">
        <v>728</v>
      </c>
      <c r="D35" s="165">
        <f>(((D14+D15+D18+D17)*D34)*(1+D21/100))/J30</f>
        <v>9.31</v>
      </c>
      <c r="E35" t="s">
        <v>30</v>
      </c>
      <c r="H35" s="30"/>
      <c r="J35" s="28">
        <f>{32767;32767;0.000001;0.01;FALSE;FALSE;FALSE;1;2;1;0.0001;TRUE}</f>
        <v>32767</v>
      </c>
      <c r="K35" s="32"/>
    </row>
    <row r="36" spans="2:11" ht="15.75" thickBot="1" x14ac:dyDescent="0.3">
      <c r="C36" t="s">
        <v>107</v>
      </c>
      <c r="D36" s="4">
        <f>+IF(D35&gt;D25,D35-D25,0)</f>
        <v>1.3100000000000005</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0</v>
      </c>
      <c r="E38" t="s">
        <v>30</v>
      </c>
    </row>
    <row r="39" spans="2:11" x14ac:dyDescent="0.25">
      <c r="C39" t="s">
        <v>98</v>
      </c>
      <c r="D39" s="4">
        <f>+IF(D37=0,IF((2*D25-D35)&gt;D25,8,2*D25-D35),0)</f>
        <v>6.6899999999999995</v>
      </c>
      <c r="E39" t="s">
        <v>30</v>
      </c>
    </row>
    <row r="40" spans="2:11" x14ac:dyDescent="0.25">
      <c r="C40" s="164" t="s">
        <v>182</v>
      </c>
      <c r="D40" s="165">
        <f>+D35</f>
        <v>9.31</v>
      </c>
      <c r="E40" t="s">
        <v>30</v>
      </c>
    </row>
    <row r="41" spans="2:11" x14ac:dyDescent="0.25">
      <c r="C41" s="164" t="s">
        <v>95</v>
      </c>
      <c r="D41" s="166">
        <f>(2*D25-D22-D17)/(D14+D15+D33/(AVERAGE(D9,D10)*D30/(D5+D6)))</f>
        <v>18.773567857374207</v>
      </c>
      <c r="E41" t="s">
        <v>96</v>
      </c>
      <c r="K41" s="36"/>
    </row>
    <row r="43" spans="2:11" hidden="1" x14ac:dyDescent="0.25">
      <c r="C43" t="s">
        <v>110</v>
      </c>
      <c r="D43" s="4">
        <f>+IF((D30-D25/D40*D33)&lt;0,0,D30-D25/D40*D33)</f>
        <v>160.85350449138721</v>
      </c>
      <c r="E43" t="s">
        <v>86</v>
      </c>
    </row>
    <row r="44" spans="2:11" hidden="1" x14ac:dyDescent="0.25">
      <c r="C44" t="s">
        <v>111</v>
      </c>
      <c r="D44" s="4">
        <f>+D30-D43</f>
        <v>25.778732545649831</v>
      </c>
      <c r="E44" t="s">
        <v>86</v>
      </c>
    </row>
    <row r="45" spans="2:11" hidden="1" x14ac:dyDescent="0.25">
      <c r="C45" t="s">
        <v>148</v>
      </c>
      <c r="D45" s="4">
        <f>IF(D35&lt;=2*D25,D30,2*D25/D40*D33)</f>
        <v>186.63223703703704</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2</v>
      </c>
    </row>
    <row r="50" spans="3:5" x14ac:dyDescent="0.25">
      <c r="C50" t="s">
        <v>104</v>
      </c>
      <c r="D50" s="165">
        <f>+D41*D48*D33</f>
        <v>563.20703572122625</v>
      </c>
      <c r="E50" t="s">
        <v>86</v>
      </c>
    </row>
    <row r="51" spans="3:5" x14ac:dyDescent="0.25">
      <c r="C51" t="s">
        <v>102</v>
      </c>
      <c r="D51" s="26">
        <f>+(D50/D30-1)</f>
        <v>2.0177371533592998</v>
      </c>
    </row>
    <row r="52" spans="3:5" x14ac:dyDescent="0.25">
      <c r="C52" t="s">
        <v>119</v>
      </c>
      <c r="D52" s="166">
        <f>(D5+D6)*2*D34/D48</f>
        <v>786.80000000000007</v>
      </c>
      <c r="E52" s="164" t="s">
        <v>244</v>
      </c>
    </row>
    <row r="53" spans="3:5" x14ac:dyDescent="0.25">
      <c r="C53" t="s">
        <v>118</v>
      </c>
      <c r="D53" s="141">
        <f>+D52*D48</f>
        <v>786.80000000000007</v>
      </c>
      <c r="E53" s="164" t="s">
        <v>244</v>
      </c>
    </row>
    <row r="54" spans="3:5" x14ac:dyDescent="0.25">
      <c r="C54" t="s">
        <v>123</v>
      </c>
      <c r="D54" s="165">
        <f>+D30/D48</f>
        <v>186.63223703703704</v>
      </c>
      <c r="E54" t="s">
        <v>87</v>
      </c>
    </row>
    <row r="55" spans="3:5" x14ac:dyDescent="0.25">
      <c r="C55" t="s">
        <v>123</v>
      </c>
      <c r="D55">
        <f>+D54*D29*52</f>
        <v>2620.3166080000005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9"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Macro_TA_2T">
                <anchor moveWithCells="1" sizeWithCells="1">
                  <from>
                    <xdr:col>7</xdr:col>
                    <xdr:colOff>19050</xdr:colOff>
                    <xdr:row>47</xdr:row>
                    <xdr:rowOff>28575</xdr:rowOff>
                  </from>
                  <to>
                    <xdr:col>8</xdr:col>
                    <xdr:colOff>695325</xdr:colOff>
                    <xdr:row>50</xdr:row>
                    <xdr:rowOff>85725</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Hoja93"/>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Pehuajó</v>
      </c>
    </row>
    <row r="4" spans="2:5" x14ac:dyDescent="0.25">
      <c r="B4" s="2" t="s">
        <v>0</v>
      </c>
    </row>
    <row r="5" spans="2:5" x14ac:dyDescent="0.25">
      <c r="B5" t="s">
        <v>6</v>
      </c>
      <c r="C5" t="s">
        <v>8</v>
      </c>
      <c r="D5">
        <f>+TA_Datos!D5</f>
        <v>56.2</v>
      </c>
      <c r="E5" t="s">
        <v>3</v>
      </c>
    </row>
    <row r="6" spans="2:5" x14ac:dyDescent="0.25">
      <c r="B6" t="s">
        <v>7</v>
      </c>
      <c r="C6" t="s">
        <v>9</v>
      </c>
      <c r="D6">
        <f>+TA_Datos!D6</f>
        <v>0</v>
      </c>
      <c r="E6" t="s">
        <v>3</v>
      </c>
    </row>
    <row r="8" spans="2:5" x14ac:dyDescent="0.25">
      <c r="B8" s="2" t="s">
        <v>12</v>
      </c>
    </row>
    <row r="9" spans="2:5" x14ac:dyDescent="0.25">
      <c r="B9" t="s">
        <v>15</v>
      </c>
      <c r="C9" t="s">
        <v>20</v>
      </c>
      <c r="D9">
        <f>+TA_Datos!D9</f>
        <v>82.243902439024396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0.68333333333333335</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1.2666666666666666</v>
      </c>
      <c r="E20" t="s">
        <v>30</v>
      </c>
    </row>
    <row r="21" spans="2:12" x14ac:dyDescent="0.25">
      <c r="C21" t="s">
        <v>43</v>
      </c>
      <c r="D21">
        <f>+TA_Datos!D21</f>
        <v>5</v>
      </c>
      <c r="E21" t="s">
        <v>46</v>
      </c>
    </row>
    <row r="22" spans="2:12" x14ac:dyDescent="0.25">
      <c r="B22" t="s">
        <v>47</v>
      </c>
      <c r="C22" t="s">
        <v>42</v>
      </c>
      <c r="D22" s="4">
        <f>+TA_Datos!D22</f>
        <v>6.3333333333333325E-2</v>
      </c>
      <c r="E22" t="s">
        <v>30</v>
      </c>
    </row>
    <row r="23" spans="2:12" x14ac:dyDescent="0.25">
      <c r="B23" s="5" t="s">
        <v>53</v>
      </c>
    </row>
    <row r="24" spans="2:12" x14ac:dyDescent="0.25">
      <c r="B24" s="23" t="s">
        <v>54</v>
      </c>
      <c r="C24" s="23" t="s">
        <v>55</v>
      </c>
      <c r="D24" s="4">
        <f>+TA_Datos!D24</f>
        <v>1.3299999999999998</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50.390704000000007</v>
      </c>
      <c r="E28" t="s">
        <v>65</v>
      </c>
    </row>
    <row r="29" spans="2:12" ht="15.75" thickBot="1" x14ac:dyDescent="0.3">
      <c r="C29" t="s">
        <v>322</v>
      </c>
      <c r="D29">
        <f>+TA_Datos!D29</f>
        <v>0.27</v>
      </c>
      <c r="E29" t="s">
        <v>84</v>
      </c>
      <c r="H29" s="839" t="s">
        <v>100</v>
      </c>
      <c r="I29" s="840"/>
      <c r="J29" s="840"/>
      <c r="K29" s="841"/>
    </row>
    <row r="30" spans="2:12" x14ac:dyDescent="0.25">
      <c r="C30" s="23" t="s">
        <v>323</v>
      </c>
      <c r="D30" s="541">
        <f>+TA_Datos!D30</f>
        <v>186.63223703703704</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30</v>
      </c>
      <c r="E33" t="s">
        <v>86</v>
      </c>
      <c r="H33" s="30" t="s">
        <v>106</v>
      </c>
      <c r="I33" s="32">
        <f>+D33*ROUNDUP(J30,0)</f>
        <v>30</v>
      </c>
      <c r="J33" s="28">
        <f>COUNT($J$30)</f>
        <v>1</v>
      </c>
      <c r="K33" s="32"/>
    </row>
    <row r="34" spans="2:11" x14ac:dyDescent="0.25">
      <c r="B34" t="s">
        <v>91</v>
      </c>
      <c r="C34" s="164" t="s">
        <v>727</v>
      </c>
      <c r="D34" s="164">
        <f>ROUNDUP(D30/D33,0)</f>
        <v>7</v>
      </c>
      <c r="E34" t="s">
        <v>96</v>
      </c>
      <c r="H34" s="30"/>
      <c r="I34" s="32">
        <f>+D34*I33</f>
        <v>210</v>
      </c>
      <c r="J34" s="28" t="b">
        <f>$D$37&lt;=$I$32</f>
        <v>1</v>
      </c>
      <c r="K34" s="32"/>
    </row>
    <row r="35" spans="2:11" x14ac:dyDescent="0.25">
      <c r="B35" t="s">
        <v>92</v>
      </c>
      <c r="C35" s="164" t="s">
        <v>728</v>
      </c>
      <c r="D35" s="165">
        <f>(((D14+D15+D18+D17)*D34)*(1+D21/100))/J30</f>
        <v>9.31</v>
      </c>
      <c r="E35" t="s">
        <v>30</v>
      </c>
      <c r="H35" s="30"/>
      <c r="J35" s="28">
        <f>{32767;32767;0.000001;0.01;FALSE;FALSE;FALSE;1;2;1;0.0001;TRUE}</f>
        <v>32767</v>
      </c>
      <c r="K35" s="32"/>
    </row>
    <row r="36" spans="2:11" ht="15.75" thickBot="1" x14ac:dyDescent="0.3">
      <c r="C36" s="127" t="s">
        <v>107</v>
      </c>
      <c r="D36" s="128">
        <f>+IF(D35&gt;D25,D35-D25,0)</f>
        <v>1.3100000000000005</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0</v>
      </c>
      <c r="E38" t="s">
        <v>30</v>
      </c>
    </row>
    <row r="39" spans="2:11" x14ac:dyDescent="0.25">
      <c r="C39" t="s">
        <v>98</v>
      </c>
      <c r="D39" s="4">
        <f>+IF(D37=0,IF((2*D25-D35)&gt;D25,8,2*D25-D35),0)</f>
        <v>6.6899999999999995</v>
      </c>
      <c r="E39" t="s">
        <v>30</v>
      </c>
    </row>
    <row r="40" spans="2:11" x14ac:dyDescent="0.25">
      <c r="C40" s="164" t="s">
        <v>182</v>
      </c>
      <c r="D40" s="165">
        <f>+D35</f>
        <v>9.31</v>
      </c>
      <c r="E40" t="s">
        <v>30</v>
      </c>
    </row>
    <row r="41" spans="2:11" x14ac:dyDescent="0.25">
      <c r="C41" s="164" t="s">
        <v>95</v>
      </c>
      <c r="D41" s="166">
        <f>(2*D25-D22-D17)/(D14+D15+D33/(AVERAGE(D9,D10)*D30/(D5+D6)))</f>
        <v>18.773567857374207</v>
      </c>
      <c r="E41" t="s">
        <v>96</v>
      </c>
      <c r="K41" s="36"/>
    </row>
    <row r="43" spans="2:11" hidden="1" x14ac:dyDescent="0.25">
      <c r="C43" t="s">
        <v>110</v>
      </c>
      <c r="D43" s="4">
        <f>+IF((D30-D25/D40*D33)&lt;0,0,D30-D25/D40*D33)</f>
        <v>160.85350449138721</v>
      </c>
      <c r="E43" t="s">
        <v>86</v>
      </c>
    </row>
    <row r="44" spans="2:11" hidden="1" x14ac:dyDescent="0.25">
      <c r="C44" t="s">
        <v>111</v>
      </c>
      <c r="D44" s="4">
        <f>+D30-D43</f>
        <v>25.778732545649831</v>
      </c>
      <c r="E44" t="s">
        <v>86</v>
      </c>
    </row>
    <row r="45" spans="2:11" hidden="1" x14ac:dyDescent="0.25">
      <c r="C45" t="s">
        <v>148</v>
      </c>
      <c r="D45" s="4">
        <f>IF(D35&lt;=2*D25,D30,2*D25/D40*D33)</f>
        <v>186.63223703703704</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1</v>
      </c>
    </row>
    <row r="50" spans="3:5" x14ac:dyDescent="0.25">
      <c r="C50" t="s">
        <v>104</v>
      </c>
      <c r="D50" s="165">
        <f>+D41*D48*D33</f>
        <v>563.20703572122625</v>
      </c>
      <c r="E50" t="s">
        <v>86</v>
      </c>
    </row>
    <row r="51" spans="3:5" x14ac:dyDescent="0.25">
      <c r="C51" t="s">
        <v>102</v>
      </c>
      <c r="D51" s="26">
        <f>+(D50/D30-1)</f>
        <v>2.0177371533592998</v>
      </c>
    </row>
    <row r="52" spans="3:5" x14ac:dyDescent="0.25">
      <c r="C52" t="s">
        <v>119</v>
      </c>
      <c r="D52" s="166">
        <f>(D5+D6)*2*D34/D48</f>
        <v>786.80000000000007</v>
      </c>
      <c r="E52" s="164" t="s">
        <v>244</v>
      </c>
    </row>
    <row r="53" spans="3:5" x14ac:dyDescent="0.25">
      <c r="C53" t="s">
        <v>118</v>
      </c>
      <c r="D53" s="141">
        <f>+D52*D48</f>
        <v>786.80000000000007</v>
      </c>
      <c r="E53" s="164" t="s">
        <v>244</v>
      </c>
    </row>
    <row r="54" spans="3:5" x14ac:dyDescent="0.25">
      <c r="C54" t="s">
        <v>123</v>
      </c>
      <c r="D54" s="165">
        <f>+D30/D48</f>
        <v>186.63223703703704</v>
      </c>
      <c r="E54" t="s">
        <v>87</v>
      </c>
    </row>
    <row r="55" spans="3:5" x14ac:dyDescent="0.25">
      <c r="C55" t="s">
        <v>123</v>
      </c>
      <c r="D55">
        <f>+D54*D29*52</f>
        <v>2620.3166080000005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8"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Hoja94"/>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Pehuajó</v>
      </c>
    </row>
    <row r="4" spans="2:5" x14ac:dyDescent="0.25">
      <c r="B4" s="2" t="s">
        <v>0</v>
      </c>
    </row>
    <row r="5" spans="2:5" x14ac:dyDescent="0.25">
      <c r="B5" t="s">
        <v>6</v>
      </c>
      <c r="C5" t="s">
        <v>8</v>
      </c>
      <c r="D5">
        <f>+TA_Datos!D5</f>
        <v>56.2</v>
      </c>
      <c r="E5" t="s">
        <v>3</v>
      </c>
    </row>
    <row r="6" spans="2:5" x14ac:dyDescent="0.25">
      <c r="B6" t="s">
        <v>7</v>
      </c>
      <c r="C6" t="s">
        <v>9</v>
      </c>
      <c r="D6">
        <f>+TA_Datos!D6</f>
        <v>0</v>
      </c>
      <c r="E6" t="s">
        <v>3</v>
      </c>
    </row>
    <row r="8" spans="2:5" x14ac:dyDescent="0.25">
      <c r="B8" s="2" t="s">
        <v>12</v>
      </c>
    </row>
    <row r="9" spans="2:5" x14ac:dyDescent="0.25">
      <c r="B9" t="s">
        <v>15</v>
      </c>
      <c r="C9" t="s">
        <v>20</v>
      </c>
      <c r="D9">
        <f>+TA_Datos!D9</f>
        <v>82.243902439024396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0.68333333333333335</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1.2666666666666666</v>
      </c>
      <c r="E20" t="s">
        <v>30</v>
      </c>
    </row>
    <row r="21" spans="2:12" x14ac:dyDescent="0.25">
      <c r="C21" t="s">
        <v>43</v>
      </c>
      <c r="D21" s="25">
        <f>+TA_Datos!D21</f>
        <v>5</v>
      </c>
      <c r="E21" t="s">
        <v>46</v>
      </c>
    </row>
    <row r="22" spans="2:12" x14ac:dyDescent="0.25">
      <c r="B22" t="s">
        <v>47</v>
      </c>
      <c r="C22" t="s">
        <v>42</v>
      </c>
      <c r="D22" s="4">
        <f>+TA_Datos!D22</f>
        <v>6.3333333333333325E-2</v>
      </c>
      <c r="E22" t="s">
        <v>30</v>
      </c>
    </row>
    <row r="23" spans="2:12" x14ac:dyDescent="0.25">
      <c r="B23" s="5" t="s">
        <v>53</v>
      </c>
    </row>
    <row r="24" spans="2:12" x14ac:dyDescent="0.25">
      <c r="B24" s="23" t="s">
        <v>54</v>
      </c>
      <c r="C24" s="23" t="s">
        <v>55</v>
      </c>
      <c r="D24" s="24">
        <f>+TA_Datos!D24</f>
        <v>1.3299999999999998</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50.390704000000007</v>
      </c>
      <c r="E28" t="s">
        <v>65</v>
      </c>
    </row>
    <row r="29" spans="2:12" ht="15.75" thickBot="1" x14ac:dyDescent="0.3">
      <c r="C29" t="s">
        <v>322</v>
      </c>
      <c r="D29">
        <f>+TA_Datos!D29</f>
        <v>0.27</v>
      </c>
      <c r="E29" t="s">
        <v>84</v>
      </c>
      <c r="H29" s="839" t="s">
        <v>100</v>
      </c>
      <c r="I29" s="840"/>
      <c r="J29" s="840"/>
      <c r="K29" s="841"/>
    </row>
    <row r="30" spans="2:12" x14ac:dyDescent="0.25">
      <c r="C30" s="23" t="s">
        <v>323</v>
      </c>
      <c r="D30" s="541">
        <f>+TA_Datos!D30</f>
        <v>186.63223703703704</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35</v>
      </c>
      <c r="E33" t="s">
        <v>86</v>
      </c>
      <c r="H33" s="30" t="s">
        <v>106</v>
      </c>
      <c r="I33" s="32">
        <f>+D33*ROUNDUP(J30,0)</f>
        <v>35</v>
      </c>
      <c r="J33" s="28">
        <f>COUNT($J$30)</f>
        <v>1</v>
      </c>
      <c r="K33" s="32"/>
    </row>
    <row r="34" spans="2:11" x14ac:dyDescent="0.25">
      <c r="B34" t="s">
        <v>91</v>
      </c>
      <c r="C34" s="164" t="s">
        <v>727</v>
      </c>
      <c r="D34" s="164">
        <f>ROUNDUP(D30/D33,0)</f>
        <v>6</v>
      </c>
      <c r="E34" t="s">
        <v>96</v>
      </c>
      <c r="H34" s="30"/>
      <c r="I34" s="32">
        <f>+D34*I33</f>
        <v>210</v>
      </c>
      <c r="J34" s="28" t="b">
        <f>$D$37&lt;=$I$32</f>
        <v>1</v>
      </c>
      <c r="K34" s="32"/>
    </row>
    <row r="35" spans="2:11" x14ac:dyDescent="0.25">
      <c r="B35" t="s">
        <v>92</v>
      </c>
      <c r="C35" s="164" t="s">
        <v>728</v>
      </c>
      <c r="D35" s="165">
        <f>(((D14+D15+D18+D17)*D34)*(1+D21/100))/J30</f>
        <v>7.9799999999999995</v>
      </c>
      <c r="E35" t="s">
        <v>30</v>
      </c>
      <c r="H35" s="30"/>
      <c r="J35" s="28">
        <f>{32767;32767;0.000001;0.01;FALSE;FALSE;FALSE;1;2;1;0.0001;TRUE}</f>
        <v>32767</v>
      </c>
      <c r="K35" s="32"/>
    </row>
    <row r="36" spans="2:11" ht="15.75" thickBot="1" x14ac:dyDescent="0.3">
      <c r="C36" t="s">
        <v>107</v>
      </c>
      <c r="D36" s="4">
        <f>+IF(D35&gt;D25,D35-D25,0)</f>
        <v>0</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2.0000000000000462E-2</v>
      </c>
      <c r="E38" t="s">
        <v>30</v>
      </c>
    </row>
    <row r="39" spans="2:11" x14ac:dyDescent="0.25">
      <c r="C39" t="s">
        <v>98</v>
      </c>
      <c r="D39" s="4">
        <f>+IF(D37=0,IF((2*D25-D35)&gt;D25,8,2*D25-D35),0)</f>
        <v>8</v>
      </c>
      <c r="E39" t="s">
        <v>30</v>
      </c>
    </row>
    <row r="40" spans="2:11" x14ac:dyDescent="0.25">
      <c r="C40" s="164" t="s">
        <v>182</v>
      </c>
      <c r="D40" s="165">
        <f>+D35</f>
        <v>7.9799999999999995</v>
      </c>
      <c r="E40" t="s">
        <v>30</v>
      </c>
    </row>
    <row r="41" spans="2:11" x14ac:dyDescent="0.25">
      <c r="C41" s="164" t="s">
        <v>95</v>
      </c>
      <c r="D41" s="166">
        <f>(2*D25-D22-D17)/(D14+D15+D33/(AVERAGE(D9,D10)*D30/(D5+D6)))</f>
        <v>18.233169466550017</v>
      </c>
      <c r="E41" t="s">
        <v>96</v>
      </c>
      <c r="K41" s="36"/>
    </row>
    <row r="43" spans="2:11" hidden="1" x14ac:dyDescent="0.25">
      <c r="C43" t="s">
        <v>110</v>
      </c>
      <c r="D43" s="4">
        <f>+IF((D30-D25/D40*D33)&lt;0,0,D30-D25/D40*D33)</f>
        <v>151.54451773879143</v>
      </c>
      <c r="E43" t="s">
        <v>86</v>
      </c>
    </row>
    <row r="44" spans="2:11" hidden="1" x14ac:dyDescent="0.25">
      <c r="C44" t="s">
        <v>111</v>
      </c>
      <c r="D44" s="4">
        <f>+D30-D43</f>
        <v>35.087719298245617</v>
      </c>
      <c r="E44" t="s">
        <v>86</v>
      </c>
    </row>
    <row r="45" spans="2:11" hidden="1" x14ac:dyDescent="0.25">
      <c r="C45" t="s">
        <v>148</v>
      </c>
      <c r="D45" s="4">
        <f>IF(D35&lt;=2*D25,D30,2*D25/D40*D33)</f>
        <v>186.63223703703704</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2</v>
      </c>
    </row>
    <row r="50" spans="3:5" x14ac:dyDescent="0.25">
      <c r="C50" t="s">
        <v>104</v>
      </c>
      <c r="D50" s="165">
        <f>+D41*D48*D33</f>
        <v>638.16093132925062</v>
      </c>
      <c r="E50" t="s">
        <v>86</v>
      </c>
    </row>
    <row r="51" spans="3:5" x14ac:dyDescent="0.25">
      <c r="C51" t="s">
        <v>102</v>
      </c>
      <c r="D51" s="26">
        <f>+(D50/D30-1)</f>
        <v>2.4193499550809543</v>
      </c>
    </row>
    <row r="52" spans="3:5" x14ac:dyDescent="0.25">
      <c r="C52" t="s">
        <v>119</v>
      </c>
      <c r="D52" s="166">
        <f>(D5+D6)*2*D34/D48</f>
        <v>674.40000000000009</v>
      </c>
      <c r="E52" s="164" t="s">
        <v>244</v>
      </c>
    </row>
    <row r="53" spans="3:5" x14ac:dyDescent="0.25">
      <c r="C53" t="s">
        <v>118</v>
      </c>
      <c r="D53" s="141">
        <f>+D52*D48</f>
        <v>674.40000000000009</v>
      </c>
      <c r="E53" s="164" t="s">
        <v>244</v>
      </c>
    </row>
    <row r="54" spans="3:5" x14ac:dyDescent="0.25">
      <c r="C54" t="s">
        <v>123</v>
      </c>
      <c r="D54" s="165">
        <f>+D30/D48</f>
        <v>186.63223703703704</v>
      </c>
      <c r="E54" t="s">
        <v>87</v>
      </c>
    </row>
    <row r="55" spans="3:5" x14ac:dyDescent="0.25">
      <c r="C55" t="s">
        <v>123</v>
      </c>
      <c r="D55">
        <f>+D54*D29*52</f>
        <v>2620.3166080000005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7"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Macro_TA_2T">
                <anchor moveWithCells="1" sizeWithCells="1">
                  <from>
                    <xdr:col>7</xdr:col>
                    <xdr:colOff>19050</xdr:colOff>
                    <xdr:row>47</xdr:row>
                    <xdr:rowOff>19050</xdr:rowOff>
                  </from>
                  <to>
                    <xdr:col>8</xdr:col>
                    <xdr:colOff>695325</xdr:colOff>
                    <xdr:row>50</xdr:row>
                    <xdr:rowOff>76200</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Hoja95"/>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Pehuajó</v>
      </c>
    </row>
    <row r="4" spans="2:5" x14ac:dyDescent="0.25">
      <c r="B4" s="2" t="s">
        <v>0</v>
      </c>
    </row>
    <row r="5" spans="2:5" x14ac:dyDescent="0.25">
      <c r="B5" t="s">
        <v>6</v>
      </c>
      <c r="C5" t="s">
        <v>8</v>
      </c>
      <c r="D5">
        <f>+TA_Datos!D5</f>
        <v>56.2</v>
      </c>
      <c r="E5" t="s">
        <v>3</v>
      </c>
    </row>
    <row r="6" spans="2:5" x14ac:dyDescent="0.25">
      <c r="B6" t="s">
        <v>7</v>
      </c>
      <c r="C6" t="s">
        <v>9</v>
      </c>
      <c r="D6">
        <f>+TA_Datos!D6</f>
        <v>0</v>
      </c>
      <c r="E6" t="s">
        <v>3</v>
      </c>
    </row>
    <row r="8" spans="2:5" x14ac:dyDescent="0.25">
      <c r="B8" s="2" t="s">
        <v>12</v>
      </c>
    </row>
    <row r="9" spans="2:5" x14ac:dyDescent="0.25">
      <c r="B9" t="s">
        <v>15</v>
      </c>
      <c r="C9" t="s">
        <v>20</v>
      </c>
      <c r="D9">
        <f>+TA_Datos!D9</f>
        <v>82.243902439024396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0.68333333333333335</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1.2666666666666666</v>
      </c>
      <c r="E20" t="s">
        <v>30</v>
      </c>
    </row>
    <row r="21" spans="2:12" x14ac:dyDescent="0.25">
      <c r="C21" t="s">
        <v>43</v>
      </c>
      <c r="D21">
        <f>+TA_Datos!D21</f>
        <v>5</v>
      </c>
      <c r="E21" t="s">
        <v>46</v>
      </c>
    </row>
    <row r="22" spans="2:12" x14ac:dyDescent="0.25">
      <c r="B22" t="s">
        <v>47</v>
      </c>
      <c r="C22" t="s">
        <v>42</v>
      </c>
      <c r="D22" s="4">
        <f>+TA_Datos!D22</f>
        <v>6.3333333333333325E-2</v>
      </c>
      <c r="E22" t="s">
        <v>30</v>
      </c>
    </row>
    <row r="23" spans="2:12" x14ac:dyDescent="0.25">
      <c r="B23" s="5" t="s">
        <v>53</v>
      </c>
    </row>
    <row r="24" spans="2:12" x14ac:dyDescent="0.25">
      <c r="B24" s="23" t="s">
        <v>54</v>
      </c>
      <c r="C24" s="23" t="s">
        <v>55</v>
      </c>
      <c r="D24" s="4">
        <f>+TA_Datos!D24</f>
        <v>1.3299999999999998</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50.390704000000007</v>
      </c>
      <c r="E28" t="s">
        <v>65</v>
      </c>
    </row>
    <row r="29" spans="2:12" ht="15.75" thickBot="1" x14ac:dyDescent="0.3">
      <c r="C29" t="s">
        <v>322</v>
      </c>
      <c r="D29">
        <f>+TA_Datos!D29</f>
        <v>0.27</v>
      </c>
      <c r="E29" t="s">
        <v>84</v>
      </c>
      <c r="H29" s="839" t="s">
        <v>100</v>
      </c>
      <c r="I29" s="840"/>
      <c r="J29" s="840"/>
      <c r="K29" s="841"/>
    </row>
    <row r="30" spans="2:12" x14ac:dyDescent="0.25">
      <c r="C30" s="23" t="s">
        <v>323</v>
      </c>
      <c r="D30" s="541">
        <f>+TA_Datos!D30</f>
        <v>186.63223703703704</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35</v>
      </c>
      <c r="E33" t="s">
        <v>86</v>
      </c>
      <c r="H33" s="30" t="s">
        <v>106</v>
      </c>
      <c r="I33" s="32">
        <f>+D33*ROUNDUP(J30,0)</f>
        <v>35</v>
      </c>
      <c r="J33" s="28">
        <f>COUNT($J$30)</f>
        <v>1</v>
      </c>
      <c r="K33" s="32"/>
    </row>
    <row r="34" spans="2:11" x14ac:dyDescent="0.25">
      <c r="B34" t="s">
        <v>91</v>
      </c>
      <c r="C34" s="164" t="s">
        <v>727</v>
      </c>
      <c r="D34" s="164">
        <f>ROUNDUP(D30/D33,0)</f>
        <v>6</v>
      </c>
      <c r="E34" t="s">
        <v>96</v>
      </c>
      <c r="H34" s="30"/>
      <c r="I34" s="32">
        <f>+D34*I33</f>
        <v>210</v>
      </c>
      <c r="J34" s="28" t="b">
        <f>$D$37&lt;=$I$32</f>
        <v>1</v>
      </c>
      <c r="K34" s="32"/>
    </row>
    <row r="35" spans="2:11" x14ac:dyDescent="0.25">
      <c r="B35" t="s">
        <v>92</v>
      </c>
      <c r="C35" s="164" t="s">
        <v>728</v>
      </c>
      <c r="D35" s="165">
        <f>(((D14+D15+D18+D17)*D34)*(1+D21/100))/J30</f>
        <v>7.9799999999999995</v>
      </c>
      <c r="E35" t="s">
        <v>30</v>
      </c>
      <c r="H35" s="30"/>
      <c r="J35" s="28">
        <f>{32767;32767;0.000001;0.01;FALSE;FALSE;FALSE;1;2;1;0.0001;TRUE}</f>
        <v>32767</v>
      </c>
      <c r="K35" s="32"/>
    </row>
    <row r="36" spans="2:11" ht="15.75" thickBot="1" x14ac:dyDescent="0.3">
      <c r="C36" s="127" t="s">
        <v>107</v>
      </c>
      <c r="D36" s="128">
        <f>+IF(D35&gt;D25,D35-D25,0)</f>
        <v>0</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2.0000000000000462E-2</v>
      </c>
      <c r="E38" t="s">
        <v>30</v>
      </c>
    </row>
    <row r="39" spans="2:11" x14ac:dyDescent="0.25">
      <c r="C39" t="s">
        <v>98</v>
      </c>
      <c r="D39" s="4">
        <f>+IF(D37=0,IF((2*D25-D35)&gt;D25,8,2*D25-D35),0)</f>
        <v>8</v>
      </c>
      <c r="E39" t="s">
        <v>30</v>
      </c>
    </row>
    <row r="40" spans="2:11" x14ac:dyDescent="0.25">
      <c r="C40" s="164" t="s">
        <v>182</v>
      </c>
      <c r="D40" s="165">
        <f>+D35</f>
        <v>7.9799999999999995</v>
      </c>
      <c r="E40" t="s">
        <v>30</v>
      </c>
    </row>
    <row r="41" spans="2:11" x14ac:dyDescent="0.25">
      <c r="C41" s="164" t="s">
        <v>95</v>
      </c>
      <c r="D41" s="166">
        <f>(2*D25-D22-D17)/(D14+D15+D33/(AVERAGE(D9,D10)*D30/(D5+D6)))</f>
        <v>18.233169466550017</v>
      </c>
      <c r="E41" t="s">
        <v>96</v>
      </c>
      <c r="K41" s="36"/>
    </row>
    <row r="43" spans="2:11" hidden="1" x14ac:dyDescent="0.25">
      <c r="C43" t="s">
        <v>110</v>
      </c>
      <c r="D43" s="4">
        <f>+IF((D30-D25/D40*D33)&lt;0,0,D30-D25/D40*D33)</f>
        <v>151.54451773879143</v>
      </c>
      <c r="E43" t="s">
        <v>86</v>
      </c>
    </row>
    <row r="44" spans="2:11" hidden="1" x14ac:dyDescent="0.25">
      <c r="C44" t="s">
        <v>111</v>
      </c>
      <c r="D44" s="4">
        <f>+D30-D43</f>
        <v>35.087719298245617</v>
      </c>
      <c r="E44" t="s">
        <v>86</v>
      </c>
    </row>
    <row r="45" spans="2:11" hidden="1" x14ac:dyDescent="0.25">
      <c r="C45" t="s">
        <v>148</v>
      </c>
      <c r="D45" s="4">
        <f>IF(D35&lt;=2*D25,D30,2*D25/D40*D33)</f>
        <v>186.63223703703704</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1</v>
      </c>
    </row>
    <row r="50" spans="3:5" x14ac:dyDescent="0.25">
      <c r="C50" t="s">
        <v>104</v>
      </c>
      <c r="D50" s="165">
        <f>+D41*D48*D33</f>
        <v>638.16093132925062</v>
      </c>
      <c r="E50" t="s">
        <v>86</v>
      </c>
    </row>
    <row r="51" spans="3:5" x14ac:dyDescent="0.25">
      <c r="C51" t="s">
        <v>102</v>
      </c>
      <c r="D51" s="26">
        <f>+(D50/D30-1)</f>
        <v>2.4193499550809543</v>
      </c>
    </row>
    <row r="52" spans="3:5" x14ac:dyDescent="0.25">
      <c r="C52" t="s">
        <v>119</v>
      </c>
      <c r="D52" s="166">
        <f>(D5+D6)*2*D34/D48</f>
        <v>674.40000000000009</v>
      </c>
      <c r="E52" s="164" t="s">
        <v>244</v>
      </c>
    </row>
    <row r="53" spans="3:5" x14ac:dyDescent="0.25">
      <c r="C53" t="s">
        <v>118</v>
      </c>
      <c r="D53" s="141">
        <f>+D52*D48</f>
        <v>674.40000000000009</v>
      </c>
      <c r="E53" s="164" t="s">
        <v>244</v>
      </c>
    </row>
    <row r="54" spans="3:5" x14ac:dyDescent="0.25">
      <c r="C54" t="s">
        <v>123</v>
      </c>
      <c r="D54" s="165">
        <f>+D30/D48</f>
        <v>186.63223703703704</v>
      </c>
      <c r="E54" t="s">
        <v>87</v>
      </c>
    </row>
    <row r="55" spans="3:5" x14ac:dyDescent="0.25">
      <c r="C55" t="s">
        <v>123</v>
      </c>
      <c r="D55">
        <f>+D54*D29*52</f>
        <v>2620.3166080000005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6"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Hoja96"/>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Pehuajó</v>
      </c>
    </row>
    <row r="4" spans="2:5" x14ac:dyDescent="0.25">
      <c r="B4" s="2" t="s">
        <v>0</v>
      </c>
    </row>
    <row r="5" spans="2:5" x14ac:dyDescent="0.25">
      <c r="B5" t="s">
        <v>6</v>
      </c>
      <c r="C5" t="s">
        <v>8</v>
      </c>
      <c r="D5">
        <f>+TA_Datos!D5</f>
        <v>56.2</v>
      </c>
      <c r="E5" t="s">
        <v>3</v>
      </c>
    </row>
    <row r="6" spans="2:5" x14ac:dyDescent="0.25">
      <c r="B6" t="s">
        <v>7</v>
      </c>
      <c r="C6" t="s">
        <v>9</v>
      </c>
      <c r="D6">
        <f>+TA_Datos!D6</f>
        <v>0</v>
      </c>
      <c r="E6" t="s">
        <v>3</v>
      </c>
    </row>
    <row r="8" spans="2:5" x14ac:dyDescent="0.25">
      <c r="B8" s="2" t="s">
        <v>12</v>
      </c>
    </row>
    <row r="9" spans="2:5" x14ac:dyDescent="0.25">
      <c r="B9" t="s">
        <v>15</v>
      </c>
      <c r="C9" t="s">
        <v>20</v>
      </c>
      <c r="D9">
        <f>+TA_Datos!D9</f>
        <v>82.243902439024396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0.68333333333333335</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1.2666666666666666</v>
      </c>
      <c r="E20" t="s">
        <v>30</v>
      </c>
    </row>
    <row r="21" spans="2:12" x14ac:dyDescent="0.25">
      <c r="C21" t="s">
        <v>43</v>
      </c>
      <c r="D21" s="25">
        <f>+TA_Datos!D21</f>
        <v>5</v>
      </c>
      <c r="E21" t="s">
        <v>46</v>
      </c>
    </row>
    <row r="22" spans="2:12" x14ac:dyDescent="0.25">
      <c r="B22" t="s">
        <v>47</v>
      </c>
      <c r="C22" t="s">
        <v>42</v>
      </c>
      <c r="D22" s="4">
        <f>+TA_Datos!D22</f>
        <v>6.3333333333333325E-2</v>
      </c>
      <c r="E22" t="s">
        <v>30</v>
      </c>
    </row>
    <row r="23" spans="2:12" x14ac:dyDescent="0.25">
      <c r="B23" s="5" t="s">
        <v>53</v>
      </c>
    </row>
    <row r="24" spans="2:12" x14ac:dyDescent="0.25">
      <c r="B24" s="23" t="s">
        <v>54</v>
      </c>
      <c r="C24" s="23" t="s">
        <v>55</v>
      </c>
      <c r="D24" s="24">
        <f>+TA_Datos!D24</f>
        <v>1.3299999999999998</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50.390704000000007</v>
      </c>
      <c r="E28" t="s">
        <v>65</v>
      </c>
    </row>
    <row r="29" spans="2:12" ht="15.75" thickBot="1" x14ac:dyDescent="0.3">
      <c r="C29" t="s">
        <v>322</v>
      </c>
      <c r="D29">
        <f>+TA_Datos!D29</f>
        <v>0.27</v>
      </c>
      <c r="E29" t="s">
        <v>84</v>
      </c>
      <c r="H29" s="839" t="s">
        <v>100</v>
      </c>
      <c r="I29" s="840"/>
      <c r="J29" s="840"/>
      <c r="K29" s="841"/>
    </row>
    <row r="30" spans="2:12" x14ac:dyDescent="0.25">
      <c r="C30" s="23" t="s">
        <v>323</v>
      </c>
      <c r="D30" s="541">
        <f>+TA_Datos!D30</f>
        <v>186.63223703703704</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40</v>
      </c>
      <c r="E33" t="s">
        <v>86</v>
      </c>
      <c r="H33" s="30" t="s">
        <v>106</v>
      </c>
      <c r="I33" s="32">
        <f>+D33*ROUNDUP(J30,0)</f>
        <v>40</v>
      </c>
      <c r="J33" s="28">
        <f>COUNT($J$30)</f>
        <v>1</v>
      </c>
      <c r="K33" s="32"/>
    </row>
    <row r="34" spans="2:11" x14ac:dyDescent="0.25">
      <c r="B34" t="s">
        <v>91</v>
      </c>
      <c r="C34" s="164" t="s">
        <v>727</v>
      </c>
      <c r="D34" s="164">
        <f>ROUNDUP(D30/D33,0)</f>
        <v>5</v>
      </c>
      <c r="E34" t="s">
        <v>96</v>
      </c>
      <c r="H34" s="30"/>
      <c r="I34" s="32">
        <f>+D34*I33</f>
        <v>200</v>
      </c>
      <c r="J34" s="28" t="b">
        <f>$D$37&lt;=$I$32</f>
        <v>1</v>
      </c>
      <c r="K34" s="32"/>
    </row>
    <row r="35" spans="2:11" x14ac:dyDescent="0.25">
      <c r="B35" t="s">
        <v>92</v>
      </c>
      <c r="C35" s="164" t="s">
        <v>728</v>
      </c>
      <c r="D35" s="165">
        <f>(((D14+D15+D18+D17)*D34)*(1+D21/100))/J30</f>
        <v>6.65</v>
      </c>
      <c r="E35" t="s">
        <v>30</v>
      </c>
      <c r="H35" s="30"/>
      <c r="J35" s="28">
        <f>{32767;32767;0.000001;0.01;FALSE;FALSE;FALSE;1;2;1;0.0001;TRUE}</f>
        <v>32767</v>
      </c>
      <c r="K35" s="32"/>
    </row>
    <row r="36" spans="2:11" ht="15.75" thickBot="1" x14ac:dyDescent="0.3">
      <c r="C36" t="s">
        <v>107</v>
      </c>
      <c r="D36" s="4">
        <f>+IF(D35&gt;D25,D35-D25,0)</f>
        <v>0</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1.3499999999999996</v>
      </c>
      <c r="E38" t="s">
        <v>30</v>
      </c>
    </row>
    <row r="39" spans="2:11" x14ac:dyDescent="0.25">
      <c r="C39" t="s">
        <v>98</v>
      </c>
      <c r="D39" s="4">
        <f>+IF(D37=0,IF((2*D25-D35)&gt;D25,8,2*D25-D35),0)</f>
        <v>8</v>
      </c>
      <c r="E39" t="s">
        <v>30</v>
      </c>
    </row>
    <row r="40" spans="2:11" x14ac:dyDescent="0.25">
      <c r="C40" s="164" t="s">
        <v>182</v>
      </c>
      <c r="D40" s="165">
        <f>+D35</f>
        <v>6.65</v>
      </c>
      <c r="E40" t="s">
        <v>30</v>
      </c>
    </row>
    <row r="41" spans="2:11" x14ac:dyDescent="0.25">
      <c r="C41" s="164" t="s">
        <v>95</v>
      </c>
      <c r="D41" s="166">
        <f>(2*D25-D22-D17)/(D14+D15+D33/(AVERAGE(D9,D10)*D30/(D5+D6)))</f>
        <v>17.723011412387141</v>
      </c>
      <c r="E41" t="s">
        <v>96</v>
      </c>
      <c r="K41" s="36"/>
    </row>
    <row r="43" spans="2:11" hidden="1" x14ac:dyDescent="0.25">
      <c r="C43" t="s">
        <v>110</v>
      </c>
      <c r="D43" s="4">
        <f>+IF((D30-D25/D40*D33)&lt;0,0,D30-D25/D40*D33)</f>
        <v>138.51193628515733</v>
      </c>
      <c r="E43" t="s">
        <v>86</v>
      </c>
    </row>
    <row r="44" spans="2:11" hidden="1" x14ac:dyDescent="0.25">
      <c r="C44" t="s">
        <v>111</v>
      </c>
      <c r="D44" s="4">
        <f>+D30-D43</f>
        <v>48.120300751879711</v>
      </c>
      <c r="E44" t="s">
        <v>86</v>
      </c>
    </row>
    <row r="45" spans="2:11" hidden="1" x14ac:dyDescent="0.25">
      <c r="C45" t="s">
        <v>148</v>
      </c>
      <c r="D45" s="4">
        <f>IF(D35&lt;=2*D25,D30,2*D25/D40*D33)</f>
        <v>186.63223703703704</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2</v>
      </c>
    </row>
    <row r="50" spans="3:5" x14ac:dyDescent="0.25">
      <c r="C50" t="s">
        <v>104</v>
      </c>
      <c r="D50" s="165">
        <f>+D41*D48*D33</f>
        <v>708.92045649548561</v>
      </c>
      <c r="E50" t="s">
        <v>86</v>
      </c>
    </row>
    <row r="51" spans="3:5" x14ac:dyDescent="0.25">
      <c r="C51" t="s">
        <v>102</v>
      </c>
      <c r="D51" s="26">
        <f>+(D50/D30-1)</f>
        <v>2.7984887699481455</v>
      </c>
    </row>
    <row r="52" spans="3:5" x14ac:dyDescent="0.25">
      <c r="C52" t="s">
        <v>119</v>
      </c>
      <c r="D52" s="166">
        <f>(D5+D6)*2*D34/D48</f>
        <v>562</v>
      </c>
      <c r="E52" s="164" t="s">
        <v>244</v>
      </c>
    </row>
    <row r="53" spans="3:5" x14ac:dyDescent="0.25">
      <c r="C53" t="s">
        <v>118</v>
      </c>
      <c r="D53" s="141">
        <f>+D52*D48</f>
        <v>562</v>
      </c>
      <c r="E53" s="164" t="s">
        <v>244</v>
      </c>
    </row>
    <row r="54" spans="3:5" x14ac:dyDescent="0.25">
      <c r="C54" t="s">
        <v>123</v>
      </c>
      <c r="D54" s="165">
        <f>+D30/D48</f>
        <v>186.63223703703704</v>
      </c>
      <c r="E54" t="s">
        <v>87</v>
      </c>
    </row>
    <row r="55" spans="3:5" x14ac:dyDescent="0.25">
      <c r="C55" t="s">
        <v>123</v>
      </c>
      <c r="D55">
        <f>+D54*D29*52</f>
        <v>2620.3166080000005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5"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Macro_TA_2T">
                <anchor moveWithCells="1" sizeWithCells="1">
                  <from>
                    <xdr:col>7</xdr:col>
                    <xdr:colOff>19050</xdr:colOff>
                    <xdr:row>46</xdr:row>
                    <xdr:rowOff>123825</xdr:rowOff>
                  </from>
                  <to>
                    <xdr:col>8</xdr:col>
                    <xdr:colOff>695325</xdr:colOff>
                    <xdr:row>49</xdr:row>
                    <xdr:rowOff>180975</xdr:rowOff>
                  </to>
                </anchor>
              </controlPr>
            </control>
          </mc:Choice>
        </mc:AlternateContent>
      </controls>
    </mc:Choice>
  </mc:AlternateConten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Hoja97"/>
  <dimension ref="B1:L58"/>
  <sheetViews>
    <sheetView view="pageBreakPreview" topLeftCell="A27"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Pehuajó</v>
      </c>
    </row>
    <row r="4" spans="2:5" x14ac:dyDescent="0.25">
      <c r="B4" s="2" t="s">
        <v>0</v>
      </c>
    </row>
    <row r="5" spans="2:5" x14ac:dyDescent="0.25">
      <c r="B5" t="s">
        <v>6</v>
      </c>
      <c r="C5" t="s">
        <v>8</v>
      </c>
      <c r="D5">
        <f>+TA_Datos!D5</f>
        <v>56.2</v>
      </c>
      <c r="E5" t="s">
        <v>3</v>
      </c>
    </row>
    <row r="6" spans="2:5" x14ac:dyDescent="0.25">
      <c r="B6" t="s">
        <v>7</v>
      </c>
      <c r="C6" t="s">
        <v>9</v>
      </c>
      <c r="D6">
        <f>+TA_Datos!D6</f>
        <v>0</v>
      </c>
      <c r="E6" t="s">
        <v>3</v>
      </c>
    </row>
    <row r="8" spans="2:5" x14ac:dyDescent="0.25">
      <c r="B8" s="2" t="s">
        <v>12</v>
      </c>
    </row>
    <row r="9" spans="2:5" x14ac:dyDescent="0.25">
      <c r="B9" t="s">
        <v>15</v>
      </c>
      <c r="C9" t="s">
        <v>20</v>
      </c>
      <c r="D9">
        <f>+TA_Datos!D9</f>
        <v>82.243902439024396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0.68333333333333335</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1.2666666666666666</v>
      </c>
      <c r="E20" t="s">
        <v>30</v>
      </c>
    </row>
    <row r="21" spans="2:12" x14ac:dyDescent="0.25">
      <c r="C21" t="s">
        <v>43</v>
      </c>
      <c r="D21">
        <f>+TA_Datos!D21</f>
        <v>5</v>
      </c>
      <c r="E21" t="s">
        <v>46</v>
      </c>
    </row>
    <row r="22" spans="2:12" x14ac:dyDescent="0.25">
      <c r="B22" t="s">
        <v>47</v>
      </c>
      <c r="C22" t="s">
        <v>42</v>
      </c>
      <c r="D22" s="4">
        <f>+TA_Datos!D22</f>
        <v>6.3333333333333325E-2</v>
      </c>
      <c r="E22" t="s">
        <v>30</v>
      </c>
    </row>
    <row r="23" spans="2:12" x14ac:dyDescent="0.25">
      <c r="B23" s="5" t="s">
        <v>53</v>
      </c>
    </row>
    <row r="24" spans="2:12" x14ac:dyDescent="0.25">
      <c r="B24" s="23" t="s">
        <v>54</v>
      </c>
      <c r="C24" s="23" t="s">
        <v>55</v>
      </c>
      <c r="D24" s="4">
        <f>+TA_Datos!D24</f>
        <v>1.3299999999999998</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50.390704000000007</v>
      </c>
      <c r="E28" t="s">
        <v>65</v>
      </c>
    </row>
    <row r="29" spans="2:12" ht="15.75" thickBot="1" x14ac:dyDescent="0.3">
      <c r="C29" t="s">
        <v>322</v>
      </c>
      <c r="D29">
        <f>+TA_Datos!D29</f>
        <v>0.27</v>
      </c>
      <c r="E29" t="s">
        <v>84</v>
      </c>
      <c r="H29" s="839" t="s">
        <v>100</v>
      </c>
      <c r="I29" s="840"/>
      <c r="J29" s="840"/>
      <c r="K29" s="841"/>
    </row>
    <row r="30" spans="2:12" x14ac:dyDescent="0.25">
      <c r="C30" s="23" t="s">
        <v>323</v>
      </c>
      <c r="D30" s="541">
        <f>+TA_Datos!D30</f>
        <v>186.63223703703704</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40</v>
      </c>
      <c r="E33" t="s">
        <v>86</v>
      </c>
      <c r="H33" s="30" t="s">
        <v>106</v>
      </c>
      <c r="I33" s="32">
        <f>+D33*ROUNDUP(J30,0)</f>
        <v>40</v>
      </c>
      <c r="J33" s="28">
        <f>COUNT($J$30)</f>
        <v>1</v>
      </c>
      <c r="K33" s="32"/>
    </row>
    <row r="34" spans="2:11" x14ac:dyDescent="0.25">
      <c r="B34" t="s">
        <v>91</v>
      </c>
      <c r="C34" s="164" t="s">
        <v>727</v>
      </c>
      <c r="D34" s="164">
        <f>ROUNDUP(D30/D33,0)</f>
        <v>5</v>
      </c>
      <c r="E34" t="s">
        <v>96</v>
      </c>
      <c r="H34" s="30"/>
      <c r="I34" s="32">
        <f>+D34*I33</f>
        <v>200</v>
      </c>
      <c r="J34" s="28" t="b">
        <f>$D$37&lt;=$I$32</f>
        <v>1</v>
      </c>
      <c r="K34" s="32"/>
    </row>
    <row r="35" spans="2:11" x14ac:dyDescent="0.25">
      <c r="B35" t="s">
        <v>92</v>
      </c>
      <c r="C35" s="164" t="s">
        <v>728</v>
      </c>
      <c r="D35" s="165">
        <f>(((D14+D15+D18+D17)*D34)*(1+D21/100))/J30</f>
        <v>6.65</v>
      </c>
      <c r="E35" t="s">
        <v>30</v>
      </c>
      <c r="H35" s="30"/>
      <c r="J35" s="28">
        <f>{32767;32767;0.000001;0.01;FALSE;FALSE;FALSE;1;2;1;0.0001;TRUE}</f>
        <v>32767</v>
      </c>
      <c r="K35" s="32"/>
    </row>
    <row r="36" spans="2:11" ht="15.75" thickBot="1" x14ac:dyDescent="0.3">
      <c r="C36" s="127" t="s">
        <v>107</v>
      </c>
      <c r="D36" s="128">
        <f>+IF(D35&gt;D25,D35-D25,0)</f>
        <v>0</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1.3499999999999996</v>
      </c>
      <c r="E38" t="s">
        <v>30</v>
      </c>
    </row>
    <row r="39" spans="2:11" x14ac:dyDescent="0.25">
      <c r="C39" t="s">
        <v>98</v>
      </c>
      <c r="D39" s="4">
        <f>+IF(D37=0,IF((2*D25-D35)&gt;D25,8,2*D25-D35),0)</f>
        <v>8</v>
      </c>
      <c r="E39" t="s">
        <v>30</v>
      </c>
    </row>
    <row r="40" spans="2:11" x14ac:dyDescent="0.25">
      <c r="C40" s="164" t="s">
        <v>182</v>
      </c>
      <c r="D40" s="165">
        <f>+D35</f>
        <v>6.65</v>
      </c>
      <c r="E40" t="s">
        <v>30</v>
      </c>
    </row>
    <row r="41" spans="2:11" x14ac:dyDescent="0.25">
      <c r="C41" s="164" t="s">
        <v>95</v>
      </c>
      <c r="D41" s="166">
        <f>(2*D25-D22-D17)/(D14+D15+D33/(AVERAGE(D9,D10)*D30/(D5+D6)))</f>
        <v>17.723011412387141</v>
      </c>
      <c r="E41" t="s">
        <v>96</v>
      </c>
      <c r="K41" s="36"/>
    </row>
    <row r="43" spans="2:11" hidden="1" x14ac:dyDescent="0.25">
      <c r="C43" t="s">
        <v>110</v>
      </c>
      <c r="D43" s="4">
        <f>+IF((D30-D25/D40*D33)&lt;0,0,D30-D25/D40*D33)</f>
        <v>138.51193628515733</v>
      </c>
      <c r="E43" t="s">
        <v>86</v>
      </c>
    </row>
    <row r="44" spans="2:11" hidden="1" x14ac:dyDescent="0.25">
      <c r="C44" t="s">
        <v>111</v>
      </c>
      <c r="D44" s="4">
        <f>+D30-D43</f>
        <v>48.120300751879711</v>
      </c>
      <c r="E44" t="s">
        <v>86</v>
      </c>
    </row>
    <row r="45" spans="2:11" hidden="1" x14ac:dyDescent="0.25">
      <c r="C45" t="s">
        <v>148</v>
      </c>
      <c r="D45" s="4">
        <f>IF(D35&lt;=2*D25,D30,2*D25/D40*D33)</f>
        <v>186.63223703703704</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1</v>
      </c>
    </row>
    <row r="50" spans="3:5" x14ac:dyDescent="0.25">
      <c r="C50" t="s">
        <v>104</v>
      </c>
      <c r="D50" s="165">
        <f>+D41*D48*D33</f>
        <v>708.92045649548561</v>
      </c>
      <c r="E50" t="s">
        <v>86</v>
      </c>
    </row>
    <row r="51" spans="3:5" x14ac:dyDescent="0.25">
      <c r="C51" t="s">
        <v>102</v>
      </c>
      <c r="D51" s="26">
        <f>+(D50/D30-1)</f>
        <v>2.7984887699481455</v>
      </c>
    </row>
    <row r="52" spans="3:5" x14ac:dyDescent="0.25">
      <c r="C52" t="s">
        <v>119</v>
      </c>
      <c r="D52" s="166">
        <f>(D5+D6)*2*D34/D48</f>
        <v>562</v>
      </c>
      <c r="E52" s="164" t="s">
        <v>244</v>
      </c>
    </row>
    <row r="53" spans="3:5" x14ac:dyDescent="0.25">
      <c r="C53" t="s">
        <v>118</v>
      </c>
      <c r="D53" s="141">
        <f>+D52*D48</f>
        <v>562</v>
      </c>
      <c r="E53" s="164" t="s">
        <v>244</v>
      </c>
    </row>
    <row r="54" spans="3:5" x14ac:dyDescent="0.25">
      <c r="C54" t="s">
        <v>123</v>
      </c>
      <c r="D54" s="165">
        <f>+D30/D48</f>
        <v>186.63223703703704</v>
      </c>
      <c r="E54" t="s">
        <v>87</v>
      </c>
    </row>
    <row r="55" spans="3:5" x14ac:dyDescent="0.25">
      <c r="C55" t="s">
        <v>123</v>
      </c>
      <c r="D55">
        <f>+D54*D29*52</f>
        <v>2620.3166080000005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4"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Hoja98"/>
  <dimension ref="A1:L58"/>
  <sheetViews>
    <sheetView view="pageBreakPreview" topLeftCell="D31" zoomScale="80" zoomScaleNormal="100" zoomScaleSheetLayoutView="8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29.85546875" bestFit="1" customWidth="1"/>
  </cols>
  <sheetData>
    <row r="1" spans="2:5" x14ac:dyDescent="0.25">
      <c r="B1" s="2" t="s">
        <v>327</v>
      </c>
    </row>
    <row r="2" spans="2:5" x14ac:dyDescent="0.25">
      <c r="B2" s="2" t="s">
        <v>113</v>
      </c>
      <c r="C2" t="str">
        <f>+TA_Datos!C2</f>
        <v>Pehuajó</v>
      </c>
    </row>
    <row r="4" spans="2:5" x14ac:dyDescent="0.25">
      <c r="B4" s="2" t="s">
        <v>0</v>
      </c>
    </row>
    <row r="5" spans="2:5" x14ac:dyDescent="0.25">
      <c r="B5" t="s">
        <v>6</v>
      </c>
      <c r="C5" t="s">
        <v>8</v>
      </c>
      <c r="D5">
        <f>+TA_Datos!D5</f>
        <v>56.2</v>
      </c>
      <c r="E5" t="s">
        <v>3</v>
      </c>
    </row>
    <row r="6" spans="2:5" x14ac:dyDescent="0.25">
      <c r="B6" t="s">
        <v>7</v>
      </c>
      <c r="C6" t="s">
        <v>9</v>
      </c>
      <c r="D6">
        <f>+TA_Datos!D6</f>
        <v>0</v>
      </c>
      <c r="E6" t="s">
        <v>3</v>
      </c>
    </row>
    <row r="8" spans="2:5" x14ac:dyDescent="0.25">
      <c r="B8" s="2" t="s">
        <v>12</v>
      </c>
    </row>
    <row r="9" spans="2:5" x14ac:dyDescent="0.25">
      <c r="B9" t="s">
        <v>15</v>
      </c>
      <c r="C9" t="s">
        <v>20</v>
      </c>
      <c r="D9">
        <f>+TA_Datos!D9</f>
        <v>82.243902439024396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0.68333333333333335</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1.2666666666666666</v>
      </c>
      <c r="E20" t="s">
        <v>30</v>
      </c>
    </row>
    <row r="21" spans="2:12" x14ac:dyDescent="0.25">
      <c r="C21" t="s">
        <v>43</v>
      </c>
      <c r="D21" s="25">
        <f>+TA_Datos!D21</f>
        <v>5</v>
      </c>
      <c r="E21" t="s">
        <v>46</v>
      </c>
    </row>
    <row r="22" spans="2:12" x14ac:dyDescent="0.25">
      <c r="B22" t="s">
        <v>47</v>
      </c>
      <c r="C22" t="s">
        <v>42</v>
      </c>
      <c r="D22" s="4">
        <f>+TA_Datos!D22</f>
        <v>6.3333333333333325E-2</v>
      </c>
      <c r="E22" t="s">
        <v>30</v>
      </c>
    </row>
    <row r="23" spans="2:12" x14ac:dyDescent="0.25">
      <c r="B23" s="5" t="s">
        <v>53</v>
      </c>
    </row>
    <row r="24" spans="2:12" x14ac:dyDescent="0.25">
      <c r="B24" s="23" t="s">
        <v>54</v>
      </c>
      <c r="C24" s="23" t="s">
        <v>55</v>
      </c>
      <c r="D24" s="24">
        <f>+TA_Datos!D24</f>
        <v>1.3299999999999998</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50.390704000000007</v>
      </c>
      <c r="E28" t="s">
        <v>65</v>
      </c>
    </row>
    <row r="29" spans="2:12" ht="15.75" thickBot="1" x14ac:dyDescent="0.3">
      <c r="C29" t="s">
        <v>322</v>
      </c>
      <c r="D29">
        <f>+TA_Datos!D29</f>
        <v>0.27</v>
      </c>
      <c r="E29" t="s">
        <v>84</v>
      </c>
      <c r="H29" s="839" t="s">
        <v>100</v>
      </c>
      <c r="I29" s="840"/>
      <c r="J29" s="840"/>
      <c r="K29" s="841"/>
    </row>
    <row r="30" spans="2:12" x14ac:dyDescent="0.25">
      <c r="C30" s="23" t="s">
        <v>323</v>
      </c>
      <c r="D30" s="541">
        <f>+TA_Datos!D30</f>
        <v>186.63223703703704</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1:11" x14ac:dyDescent="0.25">
      <c r="B33" t="s">
        <v>90</v>
      </c>
      <c r="C33" t="s">
        <v>89</v>
      </c>
      <c r="D33" s="1">
        <v>45</v>
      </c>
      <c r="E33" t="s">
        <v>86</v>
      </c>
      <c r="H33" s="30" t="s">
        <v>106</v>
      </c>
      <c r="I33" s="32">
        <f>+D33*ROUNDUP(J30,0)</f>
        <v>45</v>
      </c>
      <c r="J33" s="28">
        <f>COUNT($J$30)</f>
        <v>1</v>
      </c>
      <c r="K33" s="32"/>
    </row>
    <row r="34" spans="1:11" x14ac:dyDescent="0.25">
      <c r="B34" t="s">
        <v>91</v>
      </c>
      <c r="C34" s="164" t="s">
        <v>727</v>
      </c>
      <c r="D34" s="285">
        <f>ROUNDUP(D30/D33,0)</f>
        <v>5</v>
      </c>
      <c r="E34" t="s">
        <v>96</v>
      </c>
      <c r="H34" s="30"/>
      <c r="I34" s="32">
        <f>+D34*I33</f>
        <v>225</v>
      </c>
      <c r="J34" s="28" t="b">
        <f>$D$37&lt;=$I$32</f>
        <v>1</v>
      </c>
      <c r="K34" s="32"/>
    </row>
    <row r="35" spans="1:11" x14ac:dyDescent="0.25">
      <c r="B35" t="s">
        <v>92</v>
      </c>
      <c r="C35" s="164" t="s">
        <v>728</v>
      </c>
      <c r="D35" s="165">
        <f>(((D14+D15+D18+D17)*D34)*(1+D21/100))/J30</f>
        <v>6.65</v>
      </c>
      <c r="E35" t="s">
        <v>30</v>
      </c>
      <c r="H35" s="30"/>
      <c r="J35" s="28">
        <f>{32767;32767;0.000001;0.01;FALSE;FALSE;FALSE;1;2;1;0.0001;TRUE}</f>
        <v>32767</v>
      </c>
      <c r="K35" s="32"/>
    </row>
    <row r="36" spans="1:11" ht="15.75" thickBot="1" x14ac:dyDescent="0.3">
      <c r="C36" t="s">
        <v>107</v>
      </c>
      <c r="D36" s="4">
        <f>+IF(D35&gt;D25,D35-D25,0)</f>
        <v>0</v>
      </c>
      <c r="E36" t="s">
        <v>30</v>
      </c>
      <c r="H36" s="30"/>
      <c r="J36" s="29">
        <f>{0;0;1;100;0;FALSE;FALSE;0.075;0;0;FALSE;30}</f>
        <v>0</v>
      </c>
      <c r="K36" s="32"/>
    </row>
    <row r="37" spans="1:11" ht="15.75" thickBot="1" x14ac:dyDescent="0.3">
      <c r="C37" s="129" t="s">
        <v>94</v>
      </c>
      <c r="D37" s="130">
        <f>+IF(D35&gt;2*D25,D35-2*D25,0)</f>
        <v>0</v>
      </c>
      <c r="E37" s="129" t="s">
        <v>30</v>
      </c>
      <c r="H37" s="33"/>
      <c r="I37" s="34"/>
      <c r="J37" s="34"/>
      <c r="K37" s="35"/>
    </row>
    <row r="38" spans="1:11" x14ac:dyDescent="0.25">
      <c r="C38" t="s">
        <v>108</v>
      </c>
      <c r="D38" s="4">
        <f>+IF(D36=0,D25-D35,0)</f>
        <v>1.3499999999999996</v>
      </c>
      <c r="E38" t="s">
        <v>30</v>
      </c>
    </row>
    <row r="39" spans="1:11" x14ac:dyDescent="0.25">
      <c r="C39" t="s">
        <v>98</v>
      </c>
      <c r="D39" s="4">
        <f>+IF(D37=0,IF((2*D25-D35)&gt;D25,8,2*D25-D35),0)</f>
        <v>8</v>
      </c>
      <c r="E39" t="s">
        <v>30</v>
      </c>
    </row>
    <row r="40" spans="1:11" x14ac:dyDescent="0.25">
      <c r="C40" s="285" t="s">
        <v>182</v>
      </c>
      <c r="D40" s="538">
        <f>+D35</f>
        <v>6.65</v>
      </c>
      <c r="E40" t="s">
        <v>30</v>
      </c>
    </row>
    <row r="41" spans="1:11" x14ac:dyDescent="0.25">
      <c r="C41" s="285" t="s">
        <v>95</v>
      </c>
      <c r="D41" s="537">
        <f>(2*D25-D22-D17)/(D14+D15+D33/(AVERAGE(D9,D10)*D30/(D5+D6)))</f>
        <v>17.240624439953443</v>
      </c>
      <c r="E41" t="s">
        <v>96</v>
      </c>
      <c r="K41" s="36"/>
    </row>
    <row r="43" spans="1:11" hidden="1" x14ac:dyDescent="0.25">
      <c r="C43" s="539" t="s">
        <v>110</v>
      </c>
      <c r="D43" s="540">
        <f>+IF((D30-D25/D40*D33)&lt;0,0,D30-D25/D40*D33)</f>
        <v>132.49689869117239</v>
      </c>
      <c r="E43" s="539" t="s">
        <v>86</v>
      </c>
      <c r="F43" s="539"/>
    </row>
    <row r="44" spans="1:11" hidden="1" x14ac:dyDescent="0.25">
      <c r="C44" s="539" t="s">
        <v>111</v>
      </c>
      <c r="D44" s="540">
        <f>+D30-D43</f>
        <v>54.135338345864653</v>
      </c>
      <c r="E44" s="539" t="s">
        <v>86</v>
      </c>
      <c r="F44" s="539"/>
    </row>
    <row r="45" spans="1:11" hidden="1" x14ac:dyDescent="0.25">
      <c r="A45" s="539" t="s">
        <v>729</v>
      </c>
      <c r="C45" s="539" t="s">
        <v>148</v>
      </c>
      <c r="D45" s="540">
        <f>IF(D35&lt;=2*D25,D30,2*D25/D40*D33)</f>
        <v>186.63223703703704</v>
      </c>
      <c r="E45" s="539" t="s">
        <v>86</v>
      </c>
      <c r="F45" s="539"/>
    </row>
    <row r="46" spans="1:11" hidden="1" x14ac:dyDescent="0.25">
      <c r="C46" s="539" t="s">
        <v>97</v>
      </c>
      <c r="D46" s="540">
        <f>+IF((D30-D45)&lt;0,0,D30-D45)</f>
        <v>0</v>
      </c>
      <c r="E46" s="539" t="s">
        <v>86</v>
      </c>
      <c r="F46" s="539"/>
    </row>
    <row r="48" spans="1:11" x14ac:dyDescent="0.25">
      <c r="C48" s="2" t="s">
        <v>103</v>
      </c>
      <c r="D48" s="542">
        <f>ROUNDUP(J30,0)</f>
        <v>1</v>
      </c>
      <c r="E48" t="s">
        <v>101</v>
      </c>
    </row>
    <row r="49" spans="3:10" x14ac:dyDescent="0.25">
      <c r="C49" t="s">
        <v>117</v>
      </c>
      <c r="D49" s="36">
        <v>2</v>
      </c>
    </row>
    <row r="50" spans="3:10" x14ac:dyDescent="0.25">
      <c r="C50" t="s">
        <v>104</v>
      </c>
      <c r="D50" s="538">
        <f>+D41*D48*D33</f>
        <v>775.82809979790488</v>
      </c>
      <c r="E50" t="s">
        <v>86</v>
      </c>
    </row>
    <row r="51" spans="3:10" x14ac:dyDescent="0.25">
      <c r="C51" t="s">
        <v>102</v>
      </c>
      <c r="D51" s="26">
        <f>+(D50/D30-1)</f>
        <v>3.1569886966737819</v>
      </c>
    </row>
    <row r="52" spans="3:10" x14ac:dyDescent="0.25">
      <c r="C52" t="s">
        <v>119</v>
      </c>
      <c r="D52" s="166">
        <f>(D5+D6)*2*D34/D48</f>
        <v>562</v>
      </c>
      <c r="E52" s="164" t="s">
        <v>244</v>
      </c>
    </row>
    <row r="53" spans="3:10" x14ac:dyDescent="0.25">
      <c r="C53" t="s">
        <v>118</v>
      </c>
      <c r="D53" s="141">
        <f>+D52*D48</f>
        <v>562</v>
      </c>
      <c r="E53" s="164" t="s">
        <v>244</v>
      </c>
    </row>
    <row r="54" spans="3:10" x14ac:dyDescent="0.25">
      <c r="C54" t="s">
        <v>123</v>
      </c>
      <c r="D54" s="165">
        <f>+D30/D48</f>
        <v>186.63223703703704</v>
      </c>
      <c r="E54" t="s">
        <v>87</v>
      </c>
      <c r="J54" s="4">
        <f>+ROUNDUP(J30,0)</f>
        <v>1</v>
      </c>
    </row>
    <row r="55" spans="3:10" x14ac:dyDescent="0.25">
      <c r="C55" t="s">
        <v>123</v>
      </c>
      <c r="D55">
        <f>+D54*D29*52</f>
        <v>2620.3166080000005</v>
      </c>
      <c r="E55" t="s">
        <v>124</v>
      </c>
      <c r="J55">
        <f>+D30/45</f>
        <v>4.1473830452674898</v>
      </c>
    </row>
    <row r="56" spans="3:10" x14ac:dyDescent="0.25">
      <c r="D56" s="4"/>
    </row>
    <row r="57" spans="3:10" x14ac:dyDescent="0.25">
      <c r="D57" s="4"/>
      <c r="J57">
        <f>+D30/D33/D48</f>
        <v>4.1473830452674898</v>
      </c>
    </row>
    <row r="58" spans="3:10" x14ac:dyDescent="0.25">
      <c r="D58" s="4"/>
    </row>
  </sheetData>
  <mergeCells count="1">
    <mergeCell ref="H29:K29"/>
  </mergeCells>
  <conditionalFormatting sqref="D46">
    <cfRule type="cellIs" dxfId="3"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Macro_TA_2T">
                <anchor moveWithCells="1" sizeWithCells="1">
                  <from>
                    <xdr:col>7</xdr:col>
                    <xdr:colOff>57150</xdr:colOff>
                    <xdr:row>46</xdr:row>
                    <xdr:rowOff>133350</xdr:rowOff>
                  </from>
                  <to>
                    <xdr:col>8</xdr:col>
                    <xdr:colOff>733425</xdr:colOff>
                    <xdr:row>50</xdr:row>
                    <xdr:rowOff>0</xdr:rowOff>
                  </to>
                </anchor>
              </controlPr>
            </control>
          </mc:Choice>
        </mc:AlternateContent>
      </controls>
    </mc:Choice>
  </mc:AlternateConten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Hoja99"/>
  <dimension ref="A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Pehuajó</v>
      </c>
    </row>
    <row r="4" spans="2:5" x14ac:dyDescent="0.25">
      <c r="B4" s="2" t="s">
        <v>0</v>
      </c>
    </row>
    <row r="5" spans="2:5" x14ac:dyDescent="0.25">
      <c r="B5" t="s">
        <v>6</v>
      </c>
      <c r="C5" t="s">
        <v>8</v>
      </c>
      <c r="D5">
        <f>+TA_Datos!D5</f>
        <v>56.2</v>
      </c>
      <c r="E5" t="s">
        <v>3</v>
      </c>
    </row>
    <row r="6" spans="2:5" x14ac:dyDescent="0.25">
      <c r="B6" t="s">
        <v>7</v>
      </c>
      <c r="C6" t="s">
        <v>9</v>
      </c>
      <c r="D6">
        <f>+TA_Datos!D6</f>
        <v>0</v>
      </c>
      <c r="E6" t="s">
        <v>3</v>
      </c>
    </row>
    <row r="8" spans="2:5" x14ac:dyDescent="0.25">
      <c r="B8" s="2" t="s">
        <v>12</v>
      </c>
    </row>
    <row r="9" spans="2:5" x14ac:dyDescent="0.25">
      <c r="B9" t="s">
        <v>15</v>
      </c>
      <c r="C9" t="s">
        <v>20</v>
      </c>
      <c r="D9">
        <f>+TA_Datos!D9</f>
        <v>82.243902439024396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0.68333333333333335</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1.2666666666666666</v>
      </c>
      <c r="E20" t="s">
        <v>30</v>
      </c>
    </row>
    <row r="21" spans="2:12" x14ac:dyDescent="0.25">
      <c r="C21" t="s">
        <v>43</v>
      </c>
      <c r="D21">
        <f>+TA_Datos!D21</f>
        <v>5</v>
      </c>
      <c r="E21" t="s">
        <v>46</v>
      </c>
    </row>
    <row r="22" spans="2:12" x14ac:dyDescent="0.25">
      <c r="B22" t="s">
        <v>47</v>
      </c>
      <c r="C22" t="s">
        <v>42</v>
      </c>
      <c r="D22" s="4">
        <f>+TA_Datos!D22</f>
        <v>6.3333333333333325E-2</v>
      </c>
      <c r="E22" t="s">
        <v>30</v>
      </c>
    </row>
    <row r="23" spans="2:12" x14ac:dyDescent="0.25">
      <c r="B23" s="5" t="s">
        <v>53</v>
      </c>
    </row>
    <row r="24" spans="2:12" x14ac:dyDescent="0.25">
      <c r="B24" s="23" t="s">
        <v>54</v>
      </c>
      <c r="C24" s="23" t="s">
        <v>55</v>
      </c>
      <c r="D24" s="4">
        <f>+TA_Datos!D24</f>
        <v>1.3299999999999998</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50.390704000000007</v>
      </c>
      <c r="E28" t="s">
        <v>65</v>
      </c>
    </row>
    <row r="29" spans="2:12" ht="15.75" thickBot="1" x14ac:dyDescent="0.3">
      <c r="C29" t="s">
        <v>322</v>
      </c>
      <c r="D29">
        <f>+TA_Datos!D29</f>
        <v>0.27</v>
      </c>
      <c r="E29" t="s">
        <v>84</v>
      </c>
      <c r="H29" s="839" t="s">
        <v>100</v>
      </c>
      <c r="I29" s="840"/>
      <c r="J29" s="840"/>
      <c r="K29" s="841"/>
    </row>
    <row r="30" spans="2:12" x14ac:dyDescent="0.25">
      <c r="C30" s="23" t="s">
        <v>323</v>
      </c>
      <c r="D30" s="541">
        <f>+TA_Datos!D30</f>
        <v>186.63223703703704</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1:11" x14ac:dyDescent="0.25">
      <c r="B33" t="s">
        <v>90</v>
      </c>
      <c r="C33" t="s">
        <v>89</v>
      </c>
      <c r="D33" s="1">
        <v>45</v>
      </c>
      <c r="E33" t="s">
        <v>86</v>
      </c>
      <c r="H33" s="30" t="s">
        <v>106</v>
      </c>
      <c r="I33" s="32">
        <f>+D33*ROUNDUP(J30,0)</f>
        <v>45</v>
      </c>
      <c r="J33" s="28">
        <f>COUNT($J$30)</f>
        <v>1</v>
      </c>
      <c r="K33" s="32"/>
    </row>
    <row r="34" spans="1:11" x14ac:dyDescent="0.25">
      <c r="B34" t="s">
        <v>91</v>
      </c>
      <c r="C34" s="164" t="s">
        <v>727</v>
      </c>
      <c r="D34" s="285">
        <f>ROUNDUP(D30/D33,0)</f>
        <v>5</v>
      </c>
      <c r="E34" t="s">
        <v>96</v>
      </c>
      <c r="H34" s="30"/>
      <c r="I34" s="32">
        <f>+D34*I33</f>
        <v>225</v>
      </c>
      <c r="J34" s="28" t="b">
        <f>$D$37&lt;=$I$32</f>
        <v>1</v>
      </c>
      <c r="K34" s="32"/>
    </row>
    <row r="35" spans="1:11" x14ac:dyDescent="0.25">
      <c r="B35" t="s">
        <v>92</v>
      </c>
      <c r="C35" s="164" t="s">
        <v>728</v>
      </c>
      <c r="D35" s="165">
        <f>(((D14+D15+D18+D17)*D34)*(1+D21/100))/J30</f>
        <v>6.65</v>
      </c>
      <c r="E35" t="s">
        <v>30</v>
      </c>
      <c r="H35" s="30"/>
      <c r="J35" s="28">
        <f>{32767;32767;0.000001;0.01;FALSE;FALSE;FALSE;1;2;1;0.0001;TRUE}</f>
        <v>32767</v>
      </c>
      <c r="K35" s="32"/>
    </row>
    <row r="36" spans="1:11" ht="15.75" thickBot="1" x14ac:dyDescent="0.3">
      <c r="C36" s="127" t="s">
        <v>107</v>
      </c>
      <c r="D36" s="128">
        <f>+IF(D35&gt;D25,D35-D25,0)</f>
        <v>0</v>
      </c>
      <c r="E36" s="127" t="s">
        <v>30</v>
      </c>
      <c r="H36" s="30"/>
      <c r="J36" s="29">
        <f>{0;0;1;100;0;FALSE;FALSE;0.075;0;0;FALSE;30}</f>
        <v>0</v>
      </c>
      <c r="K36" s="32"/>
    </row>
    <row r="37" spans="1:11" ht="15.75" thickBot="1" x14ac:dyDescent="0.3">
      <c r="C37" t="s">
        <v>94</v>
      </c>
      <c r="D37" s="4">
        <f>+IF(D35&gt;2*D25,D35-2*D25,0)</f>
        <v>0</v>
      </c>
      <c r="E37" t="s">
        <v>30</v>
      </c>
      <c r="H37" s="33"/>
      <c r="I37" s="34"/>
      <c r="J37" s="34"/>
      <c r="K37" s="35"/>
    </row>
    <row r="38" spans="1:11" x14ac:dyDescent="0.25">
      <c r="C38" t="s">
        <v>108</v>
      </c>
      <c r="D38" s="4">
        <f>+IF(D36=0,D25-D35,0)</f>
        <v>1.3499999999999996</v>
      </c>
      <c r="E38" t="s">
        <v>30</v>
      </c>
    </row>
    <row r="39" spans="1:11" x14ac:dyDescent="0.25">
      <c r="C39" t="s">
        <v>98</v>
      </c>
      <c r="D39" s="4">
        <f>+IF(D37=0,IF((2*D25-D35)&gt;D25,8,2*D25-D35),0)</f>
        <v>8</v>
      </c>
      <c r="E39" t="s">
        <v>30</v>
      </c>
    </row>
    <row r="40" spans="1:11" x14ac:dyDescent="0.25">
      <c r="C40" s="285" t="s">
        <v>182</v>
      </c>
      <c r="D40" s="538">
        <f>+D35</f>
        <v>6.65</v>
      </c>
      <c r="E40" t="s">
        <v>30</v>
      </c>
    </row>
    <row r="41" spans="1:11" x14ac:dyDescent="0.25">
      <c r="C41" s="285" t="s">
        <v>95</v>
      </c>
      <c r="D41" s="537">
        <f>(2*D25-D22-D17)/(D14+D15+D33/(AVERAGE(D9,D10)*D30/(D5+D6)))</f>
        <v>17.240624439953443</v>
      </c>
      <c r="E41" t="s">
        <v>96</v>
      </c>
      <c r="K41" s="36"/>
    </row>
    <row r="43" spans="1:11" hidden="1" x14ac:dyDescent="0.25">
      <c r="C43" s="539" t="s">
        <v>110</v>
      </c>
      <c r="D43" s="540">
        <f>+IF((D30-D25/D40*D33)&lt;0,0,D30-D25/D40*D33)</f>
        <v>132.49689869117239</v>
      </c>
      <c r="E43" s="539" t="s">
        <v>86</v>
      </c>
      <c r="F43" s="539"/>
    </row>
    <row r="44" spans="1:11" hidden="1" x14ac:dyDescent="0.25">
      <c r="C44" s="539" t="s">
        <v>111</v>
      </c>
      <c r="D44" s="540">
        <f>+D30-D43</f>
        <v>54.135338345864653</v>
      </c>
      <c r="E44" s="539" t="s">
        <v>86</v>
      </c>
      <c r="F44" s="539"/>
    </row>
    <row r="45" spans="1:11" hidden="1" x14ac:dyDescent="0.25">
      <c r="A45" s="539" t="s">
        <v>729</v>
      </c>
      <c r="C45" s="539" t="s">
        <v>148</v>
      </c>
      <c r="D45" s="540">
        <f>IF(D35&lt;=2*D25,D30,2*D25/D40*D33)</f>
        <v>186.63223703703704</v>
      </c>
      <c r="E45" s="539" t="s">
        <v>86</v>
      </c>
      <c r="F45" s="539"/>
    </row>
    <row r="46" spans="1:11" hidden="1" x14ac:dyDescent="0.25">
      <c r="C46" s="539" t="s">
        <v>97</v>
      </c>
      <c r="D46" s="540">
        <f>+IF((D30-D45)&lt;0,0,D30-D45)</f>
        <v>0</v>
      </c>
      <c r="E46" s="539" t="s">
        <v>86</v>
      </c>
      <c r="F46" s="539"/>
    </row>
    <row r="48" spans="1:11" x14ac:dyDescent="0.25">
      <c r="C48" s="2" t="s">
        <v>103</v>
      </c>
      <c r="D48" s="542">
        <f>ROUNDUP(J30,0)</f>
        <v>1</v>
      </c>
      <c r="E48" t="s">
        <v>101</v>
      </c>
    </row>
    <row r="49" spans="3:5" x14ac:dyDescent="0.25">
      <c r="C49" t="s">
        <v>117</v>
      </c>
      <c r="D49" s="36">
        <v>1</v>
      </c>
    </row>
    <row r="50" spans="3:5" x14ac:dyDescent="0.25">
      <c r="C50" t="s">
        <v>104</v>
      </c>
      <c r="D50" s="538">
        <f>+D41*D48*D33</f>
        <v>775.82809979790488</v>
      </c>
      <c r="E50" t="s">
        <v>86</v>
      </c>
    </row>
    <row r="51" spans="3:5" x14ac:dyDescent="0.25">
      <c r="C51" t="s">
        <v>102</v>
      </c>
      <c r="D51" s="26">
        <f>+(D50/D30-1)</f>
        <v>3.1569886966737819</v>
      </c>
    </row>
    <row r="52" spans="3:5" x14ac:dyDescent="0.25">
      <c r="C52" t="s">
        <v>119</v>
      </c>
      <c r="D52" s="166">
        <f>(D5+D6)*2*D34/D48</f>
        <v>562</v>
      </c>
      <c r="E52" s="164" t="s">
        <v>244</v>
      </c>
    </row>
    <row r="53" spans="3:5" x14ac:dyDescent="0.25">
      <c r="C53" t="s">
        <v>118</v>
      </c>
      <c r="D53" s="141">
        <f>+D52*D48</f>
        <v>562</v>
      </c>
      <c r="E53" s="164" t="s">
        <v>244</v>
      </c>
    </row>
    <row r="54" spans="3:5" x14ac:dyDescent="0.25">
      <c r="C54" t="s">
        <v>123</v>
      </c>
      <c r="D54" s="165">
        <f>+D30/D48</f>
        <v>186.63223703703704</v>
      </c>
      <c r="E54" t="s">
        <v>87</v>
      </c>
    </row>
    <row r="55" spans="3:5" x14ac:dyDescent="0.25">
      <c r="C55" t="s">
        <v>123</v>
      </c>
      <c r="D55">
        <f>+D54*D29*52</f>
        <v>2620.3166080000005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2"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Hoja100"/>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Pehuajó</v>
      </c>
    </row>
    <row r="4" spans="2:5" x14ac:dyDescent="0.25">
      <c r="B4" s="2" t="s">
        <v>0</v>
      </c>
    </row>
    <row r="5" spans="2:5" x14ac:dyDescent="0.25">
      <c r="B5" t="s">
        <v>6</v>
      </c>
      <c r="C5" t="s">
        <v>8</v>
      </c>
      <c r="D5">
        <f>+TA_Datos!D5</f>
        <v>56.2</v>
      </c>
      <c r="E5" t="s">
        <v>3</v>
      </c>
    </row>
    <row r="6" spans="2:5" x14ac:dyDescent="0.25">
      <c r="B6" t="s">
        <v>7</v>
      </c>
      <c r="C6" t="s">
        <v>9</v>
      </c>
      <c r="D6">
        <f>+TA_Datos!D6</f>
        <v>0</v>
      </c>
      <c r="E6" t="s">
        <v>3</v>
      </c>
    </row>
    <row r="8" spans="2:5" x14ac:dyDescent="0.25">
      <c r="B8" s="2" t="s">
        <v>12</v>
      </c>
    </row>
    <row r="9" spans="2:5" x14ac:dyDescent="0.25">
      <c r="B9" t="s">
        <v>15</v>
      </c>
      <c r="C9" t="s">
        <v>20</v>
      </c>
      <c r="D9">
        <f>+TA_Datos!D9</f>
        <v>82.243902439024396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0.68333333333333335</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1.2666666666666666</v>
      </c>
      <c r="E20" t="s">
        <v>30</v>
      </c>
    </row>
    <row r="21" spans="2:12" x14ac:dyDescent="0.25">
      <c r="C21" t="s">
        <v>43</v>
      </c>
      <c r="D21" s="25">
        <f>+TA_Datos!D21</f>
        <v>5</v>
      </c>
      <c r="E21" t="s">
        <v>46</v>
      </c>
    </row>
    <row r="22" spans="2:12" x14ac:dyDescent="0.25">
      <c r="B22" t="s">
        <v>47</v>
      </c>
      <c r="C22" t="s">
        <v>42</v>
      </c>
      <c r="D22" s="4">
        <f>+TA_Datos!D22</f>
        <v>6.3333333333333325E-2</v>
      </c>
      <c r="E22" t="s">
        <v>30</v>
      </c>
    </row>
    <row r="23" spans="2:12" x14ac:dyDescent="0.25">
      <c r="B23" s="5" t="s">
        <v>53</v>
      </c>
    </row>
    <row r="24" spans="2:12" x14ac:dyDescent="0.25">
      <c r="B24" s="23" t="s">
        <v>54</v>
      </c>
      <c r="C24" s="23" t="s">
        <v>55</v>
      </c>
      <c r="D24" s="24">
        <f>+TA_Datos!D24</f>
        <v>1.3299999999999998</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50.390704000000007</v>
      </c>
      <c r="E28" t="s">
        <v>65</v>
      </c>
    </row>
    <row r="29" spans="2:12" ht="15.75" thickBot="1" x14ac:dyDescent="0.3">
      <c r="C29" t="s">
        <v>322</v>
      </c>
      <c r="D29">
        <f>+TA_Datos!D29</f>
        <v>0.27</v>
      </c>
      <c r="E29" t="s">
        <v>84</v>
      </c>
      <c r="H29" s="839" t="s">
        <v>100</v>
      </c>
      <c r="I29" s="840"/>
      <c r="J29" s="840"/>
      <c r="K29" s="841"/>
    </row>
    <row r="30" spans="2:12" x14ac:dyDescent="0.25">
      <c r="C30" s="23" t="s">
        <v>323</v>
      </c>
      <c r="D30" s="541">
        <f>+TA_Datos!D30</f>
        <v>186.63223703703704</v>
      </c>
      <c r="E30" s="23" t="s">
        <v>87</v>
      </c>
      <c r="H30" s="30"/>
      <c r="I30" s="31" t="s">
        <v>99</v>
      </c>
      <c r="J30" s="125">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50</v>
      </c>
      <c r="E33" t="s">
        <v>86</v>
      </c>
      <c r="H33" s="30" t="s">
        <v>106</v>
      </c>
      <c r="I33" s="32">
        <f>+D33*ROUNDUP(J30,0)</f>
        <v>50</v>
      </c>
      <c r="J33" s="28">
        <f>COUNT($J$30)</f>
        <v>1</v>
      </c>
      <c r="K33" s="32"/>
    </row>
    <row r="34" spans="2:11" x14ac:dyDescent="0.25">
      <c r="B34" t="s">
        <v>91</v>
      </c>
      <c r="C34" s="164" t="s">
        <v>727</v>
      </c>
      <c r="D34" s="164">
        <f>ROUNDUP(D30/D33,0)</f>
        <v>4</v>
      </c>
      <c r="E34" t="s">
        <v>96</v>
      </c>
      <c r="H34" s="30"/>
      <c r="I34" s="32">
        <f>+D34*I33</f>
        <v>200</v>
      </c>
      <c r="J34" s="28" t="b">
        <f>$D$37&lt;=$I$32</f>
        <v>1</v>
      </c>
      <c r="K34" s="32"/>
    </row>
    <row r="35" spans="2:11" x14ac:dyDescent="0.25">
      <c r="B35" t="s">
        <v>92</v>
      </c>
      <c r="C35" s="164" t="s">
        <v>728</v>
      </c>
      <c r="D35" s="165">
        <f>(((D14+D15+D18+D17)*D34)*(1+D21/100))/J30</f>
        <v>5.32</v>
      </c>
      <c r="E35" t="s">
        <v>30</v>
      </c>
      <c r="H35" s="30"/>
      <c r="J35" s="28">
        <f>{32767;32767;0.000001;0.01;FALSE;FALSE;FALSE;1;2;1;0.0001;TRUE}</f>
        <v>32767</v>
      </c>
      <c r="K35" s="32"/>
    </row>
    <row r="36" spans="2:11" ht="15.75" thickBot="1" x14ac:dyDescent="0.3">
      <c r="C36" t="s">
        <v>107</v>
      </c>
      <c r="D36" s="4">
        <f>+IF(D35&gt;D25,D35-D25,0)</f>
        <v>0</v>
      </c>
      <c r="E36" t="s">
        <v>30</v>
      </c>
      <c r="H36" s="30"/>
      <c r="J36" s="29">
        <f>{0;0;1;100;0;FALSE;FALSE;0.075;0;0;FALSE;30}</f>
        <v>0</v>
      </c>
      <c r="K36" s="32"/>
    </row>
    <row r="37" spans="2:11" ht="15.75" thickBot="1" x14ac:dyDescent="0.3">
      <c r="C37" s="129" t="s">
        <v>94</v>
      </c>
      <c r="D37" s="130">
        <f>+IF(D35&gt;2*D25,D35-2*D25,0)</f>
        <v>0</v>
      </c>
      <c r="E37" s="129" t="s">
        <v>30</v>
      </c>
      <c r="H37" s="33"/>
      <c r="I37" s="34"/>
      <c r="J37" s="34"/>
      <c r="K37" s="35"/>
    </row>
    <row r="38" spans="2:11" x14ac:dyDescent="0.25">
      <c r="C38" t="s">
        <v>108</v>
      </c>
      <c r="D38" s="4">
        <f>+IF(D36=0,D25-D35,0)</f>
        <v>2.6799999999999997</v>
      </c>
      <c r="E38" t="s">
        <v>30</v>
      </c>
    </row>
    <row r="39" spans="2:11" x14ac:dyDescent="0.25">
      <c r="C39" t="s">
        <v>98</v>
      </c>
      <c r="D39" s="4">
        <f>+IF(D37=0,IF((2*D25-D35)&gt;D25,8,2*D25-D35),0)</f>
        <v>8</v>
      </c>
      <c r="E39" t="s">
        <v>30</v>
      </c>
    </row>
    <row r="40" spans="2:11" x14ac:dyDescent="0.25">
      <c r="C40" s="164" t="s">
        <v>182</v>
      </c>
      <c r="D40" s="165">
        <f>+D35</f>
        <v>5.32</v>
      </c>
      <c r="E40" t="s">
        <v>30</v>
      </c>
    </row>
    <row r="41" spans="2:11" x14ac:dyDescent="0.25">
      <c r="C41" s="164" t="s">
        <v>95</v>
      </c>
      <c r="D41" s="166">
        <f>(2*D25-D22-D17)/(D14+D15+D33/(AVERAGE(D9,D10)*D30/(D5+D6)))</f>
        <v>16.783801004911794</v>
      </c>
      <c r="E41" t="s">
        <v>96</v>
      </c>
      <c r="K41" s="36"/>
    </row>
    <row r="43" spans="2:11" hidden="1" x14ac:dyDescent="0.25">
      <c r="C43" t="s">
        <v>110</v>
      </c>
      <c r="D43" s="4">
        <f>+IF((D30-D25/D40*D33)&lt;0,0,D30-D25/D40*D33)</f>
        <v>111.44426711222502</v>
      </c>
      <c r="E43" t="s">
        <v>86</v>
      </c>
    </row>
    <row r="44" spans="2:11" hidden="1" x14ac:dyDescent="0.25">
      <c r="C44" t="s">
        <v>111</v>
      </c>
      <c r="D44" s="4">
        <f>+D30-D43</f>
        <v>75.187969924812023</v>
      </c>
      <c r="E44" t="s">
        <v>86</v>
      </c>
    </row>
    <row r="45" spans="2:11" hidden="1" x14ac:dyDescent="0.25">
      <c r="C45" t="s">
        <v>148</v>
      </c>
      <c r="D45" s="4">
        <f>IF(D35&lt;=2*D25,D30,2*D25/D40*D33)</f>
        <v>186.63223703703704</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2</v>
      </c>
    </row>
    <row r="50" spans="3:5" x14ac:dyDescent="0.25">
      <c r="C50" t="s">
        <v>104</v>
      </c>
      <c r="D50" s="165">
        <f>+D41*D48*D33</f>
        <v>839.19005024558965</v>
      </c>
      <c r="E50" t="s">
        <v>86</v>
      </c>
    </row>
    <row r="51" spans="3:5" x14ac:dyDescent="0.25">
      <c r="C51" t="s">
        <v>102</v>
      </c>
      <c r="D51" s="26">
        <f>+(D50/D30-1)</f>
        <v>3.4964903361205115</v>
      </c>
    </row>
    <row r="52" spans="3:5" x14ac:dyDescent="0.25">
      <c r="C52" t="s">
        <v>119</v>
      </c>
      <c r="D52" s="166">
        <f>(D5+D6)*2*D34/D48</f>
        <v>449.6</v>
      </c>
      <c r="E52" s="164" t="s">
        <v>244</v>
      </c>
    </row>
    <row r="53" spans="3:5" x14ac:dyDescent="0.25">
      <c r="C53" t="s">
        <v>118</v>
      </c>
      <c r="D53" s="141">
        <f>+D52*D48</f>
        <v>449.6</v>
      </c>
      <c r="E53" s="164" t="s">
        <v>244</v>
      </c>
    </row>
    <row r="54" spans="3:5" x14ac:dyDescent="0.25">
      <c r="C54" t="s">
        <v>123</v>
      </c>
      <c r="D54" s="165">
        <f>+D30/D48</f>
        <v>186.63223703703704</v>
      </c>
      <c r="E54" t="s">
        <v>87</v>
      </c>
    </row>
    <row r="55" spans="3:5" x14ac:dyDescent="0.25">
      <c r="C55" t="s">
        <v>123</v>
      </c>
      <c r="D55">
        <f>+D54*D29*52</f>
        <v>2620.3166080000005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1"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0]!Macro_TA_2T">
                <anchor moveWithCells="1" sizeWithCells="1">
                  <from>
                    <xdr:col>7</xdr:col>
                    <xdr:colOff>47625</xdr:colOff>
                    <xdr:row>46</xdr:row>
                    <xdr:rowOff>28575</xdr:rowOff>
                  </from>
                  <to>
                    <xdr:col>8</xdr:col>
                    <xdr:colOff>723900</xdr:colOff>
                    <xdr:row>49</xdr:row>
                    <xdr:rowOff>85725</xdr:rowOff>
                  </to>
                </anchor>
              </controlPr>
            </control>
          </mc:Choice>
        </mc:AlternateContent>
      </controls>
    </mc:Choice>
  </mc:AlternateConten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Hoja101"/>
  <dimension ref="B1:L58"/>
  <sheetViews>
    <sheetView view="pageBreakPreview" topLeftCell="A24" zoomScale="60" zoomScaleNormal="100" workbookViewId="0">
      <selection activeCell="H49" sqref="H49"/>
    </sheetView>
  </sheetViews>
  <sheetFormatPr baseColWidth="10" defaultRowHeight="15" x14ac:dyDescent="0.25"/>
  <cols>
    <col min="2" max="2" width="12.28515625" customWidth="1"/>
    <col min="3" max="3" width="56.42578125" bestFit="1" customWidth="1"/>
    <col min="4" max="4" width="11.5703125" bestFit="1" customWidth="1"/>
    <col min="8" max="8" width="17.140625" customWidth="1"/>
    <col min="9" max="9" width="11.5703125" bestFit="1" customWidth="1"/>
    <col min="10" max="10" width="15.85546875" bestFit="1" customWidth="1"/>
  </cols>
  <sheetData>
    <row r="1" spans="2:5" x14ac:dyDescent="0.25">
      <c r="B1" s="2" t="s">
        <v>327</v>
      </c>
    </row>
    <row r="2" spans="2:5" x14ac:dyDescent="0.25">
      <c r="B2" s="2" t="s">
        <v>113</v>
      </c>
      <c r="C2" t="str">
        <f>+TA_Datos!C2</f>
        <v>Pehuajó</v>
      </c>
    </row>
    <row r="4" spans="2:5" x14ac:dyDescent="0.25">
      <c r="B4" s="2" t="s">
        <v>0</v>
      </c>
    </row>
    <row r="5" spans="2:5" x14ac:dyDescent="0.25">
      <c r="B5" t="s">
        <v>6</v>
      </c>
      <c r="C5" t="s">
        <v>8</v>
      </c>
      <c r="D5">
        <f>+TA_Datos!D5</f>
        <v>56.2</v>
      </c>
      <c r="E5" t="s">
        <v>3</v>
      </c>
    </row>
    <row r="6" spans="2:5" x14ac:dyDescent="0.25">
      <c r="B6" t="s">
        <v>7</v>
      </c>
      <c r="C6" t="s">
        <v>9</v>
      </c>
      <c r="D6">
        <f>+TA_Datos!D6</f>
        <v>0</v>
      </c>
      <c r="E6" t="s">
        <v>3</v>
      </c>
    </row>
    <row r="8" spans="2:5" x14ac:dyDescent="0.25">
      <c r="B8" s="2" t="s">
        <v>12</v>
      </c>
    </row>
    <row r="9" spans="2:5" x14ac:dyDescent="0.25">
      <c r="B9" t="s">
        <v>15</v>
      </c>
      <c r="C9" t="s">
        <v>20</v>
      </c>
      <c r="D9">
        <f>+TA_Datos!D9</f>
        <v>82.243902439024396</v>
      </c>
      <c r="E9" t="s">
        <v>23</v>
      </c>
    </row>
    <row r="10" spans="2:5" x14ac:dyDescent="0.25">
      <c r="B10" t="s">
        <v>16</v>
      </c>
      <c r="C10" t="s">
        <v>21</v>
      </c>
      <c r="D10">
        <f>+TA_Datos!D10</f>
        <v>40</v>
      </c>
      <c r="E10" t="s">
        <v>23</v>
      </c>
    </row>
    <row r="12" spans="2:5" x14ac:dyDescent="0.25">
      <c r="B12" s="2" t="s">
        <v>24</v>
      </c>
    </row>
    <row r="13" spans="2:5" x14ac:dyDescent="0.25">
      <c r="B13" s="3" t="s">
        <v>39</v>
      </c>
    </row>
    <row r="14" spans="2:5" x14ac:dyDescent="0.25">
      <c r="B14" t="s">
        <v>27</v>
      </c>
      <c r="C14" t="s">
        <v>33</v>
      </c>
      <c r="D14">
        <f>+TA_Datos!D14</f>
        <v>0.68333333333333335</v>
      </c>
      <c r="E14" t="s">
        <v>30</v>
      </c>
    </row>
    <row r="15" spans="2:5" x14ac:dyDescent="0.25">
      <c r="B15" t="s">
        <v>28</v>
      </c>
      <c r="C15" t="s">
        <v>34</v>
      </c>
      <c r="D15" s="4">
        <f>+TA_Datos!D15</f>
        <v>0</v>
      </c>
      <c r="E15" t="s">
        <v>30</v>
      </c>
    </row>
    <row r="16" spans="2:5" x14ac:dyDescent="0.25">
      <c r="B16" s="3" t="s">
        <v>40</v>
      </c>
    </row>
    <row r="17" spans="2:12" x14ac:dyDescent="0.25">
      <c r="B17" t="s">
        <v>36</v>
      </c>
      <c r="C17" t="s">
        <v>320</v>
      </c>
      <c r="D17" s="4">
        <f>+TA_Datos!D17</f>
        <v>0.33333333333333331</v>
      </c>
      <c r="E17" t="s">
        <v>30</v>
      </c>
    </row>
    <row r="18" spans="2:12" x14ac:dyDescent="0.25">
      <c r="B18" t="s">
        <v>38</v>
      </c>
      <c r="C18" t="s">
        <v>37</v>
      </c>
      <c r="D18">
        <f>+TA_Datos!D18</f>
        <v>0.25</v>
      </c>
      <c r="E18" t="s">
        <v>30</v>
      </c>
    </row>
    <row r="19" spans="2:12" x14ac:dyDescent="0.25">
      <c r="B19" s="3" t="s">
        <v>44</v>
      </c>
    </row>
    <row r="20" spans="2:12" x14ac:dyDescent="0.25">
      <c r="B20" t="s">
        <v>41</v>
      </c>
      <c r="C20" t="s">
        <v>45</v>
      </c>
      <c r="D20" s="4">
        <f>+TA_Datos!D20</f>
        <v>1.2666666666666666</v>
      </c>
      <c r="E20" t="s">
        <v>30</v>
      </c>
    </row>
    <row r="21" spans="2:12" x14ac:dyDescent="0.25">
      <c r="C21" t="s">
        <v>43</v>
      </c>
      <c r="D21">
        <f>+TA_Datos!D21</f>
        <v>5</v>
      </c>
      <c r="E21" t="s">
        <v>46</v>
      </c>
    </row>
    <row r="22" spans="2:12" x14ac:dyDescent="0.25">
      <c r="B22" t="s">
        <v>47</v>
      </c>
      <c r="C22" t="s">
        <v>42</v>
      </c>
      <c r="D22" s="4">
        <f>+TA_Datos!D22</f>
        <v>6.3333333333333325E-2</v>
      </c>
      <c r="E22" t="s">
        <v>30</v>
      </c>
    </row>
    <row r="23" spans="2:12" x14ac:dyDescent="0.25">
      <c r="B23" s="5" t="s">
        <v>53</v>
      </c>
    </row>
    <row r="24" spans="2:12" x14ac:dyDescent="0.25">
      <c r="B24" s="23" t="s">
        <v>54</v>
      </c>
      <c r="C24" s="23" t="s">
        <v>55</v>
      </c>
      <c r="D24" s="4">
        <f>+TA_Datos!D24</f>
        <v>1.3299999999999998</v>
      </c>
      <c r="E24" s="23" t="s">
        <v>30</v>
      </c>
      <c r="F24" s="23"/>
    </row>
    <row r="25" spans="2:12" x14ac:dyDescent="0.25">
      <c r="B25" s="23"/>
      <c r="C25" t="s">
        <v>93</v>
      </c>
      <c r="D25">
        <f>+TA_Datos!D25</f>
        <v>8</v>
      </c>
      <c r="E25" t="s">
        <v>30</v>
      </c>
    </row>
    <row r="27" spans="2:12" x14ac:dyDescent="0.25">
      <c r="B27" s="2" t="s">
        <v>56</v>
      </c>
    </row>
    <row r="28" spans="2:12" ht="15.75" thickBot="1" x14ac:dyDescent="0.3">
      <c r="B28" t="s">
        <v>81</v>
      </c>
      <c r="C28" t="s">
        <v>321</v>
      </c>
      <c r="D28">
        <f>+TA_Datos!D28</f>
        <v>50.390704000000007</v>
      </c>
      <c r="E28" t="s">
        <v>65</v>
      </c>
    </row>
    <row r="29" spans="2:12" ht="15.75" thickBot="1" x14ac:dyDescent="0.3">
      <c r="C29" t="s">
        <v>322</v>
      </c>
      <c r="D29">
        <f>+TA_Datos!D29</f>
        <v>0.27</v>
      </c>
      <c r="E29" t="s">
        <v>84</v>
      </c>
      <c r="H29" s="839" t="s">
        <v>100</v>
      </c>
      <c r="I29" s="840"/>
      <c r="J29" s="840"/>
      <c r="K29" s="841"/>
    </row>
    <row r="30" spans="2:12" x14ac:dyDescent="0.25">
      <c r="C30" s="23" t="s">
        <v>323</v>
      </c>
      <c r="D30" s="541">
        <f>+TA_Datos!D30</f>
        <v>186.63223703703704</v>
      </c>
      <c r="E30" s="23" t="s">
        <v>87</v>
      </c>
      <c r="H30" s="30"/>
      <c r="I30" s="31" t="s">
        <v>99</v>
      </c>
      <c r="J30" s="1">
        <v>1</v>
      </c>
      <c r="K30" s="32"/>
      <c r="L30" t="s">
        <v>109</v>
      </c>
    </row>
    <row r="31" spans="2:12" ht="15.75" thickBot="1" x14ac:dyDescent="0.3">
      <c r="C31" s="23"/>
      <c r="D31" s="23"/>
      <c r="E31" s="23"/>
      <c r="H31" s="30"/>
      <c r="J31" s="7" t="s">
        <v>100</v>
      </c>
      <c r="K31" s="32"/>
    </row>
    <row r="32" spans="2:12" x14ac:dyDescent="0.25">
      <c r="B32" s="2" t="s">
        <v>88</v>
      </c>
      <c r="H32" s="30" t="s">
        <v>105</v>
      </c>
      <c r="I32" s="32">
        <f>2*D25</f>
        <v>16</v>
      </c>
      <c r="J32" s="27" t="b">
        <f>$D$46=0</f>
        <v>1</v>
      </c>
      <c r="K32" s="32"/>
    </row>
    <row r="33" spans="2:11" x14ac:dyDescent="0.25">
      <c r="B33" t="s">
        <v>90</v>
      </c>
      <c r="C33" t="s">
        <v>89</v>
      </c>
      <c r="D33" s="1">
        <v>50</v>
      </c>
      <c r="E33" t="s">
        <v>86</v>
      </c>
      <c r="H33" s="30" t="s">
        <v>106</v>
      </c>
      <c r="I33" s="32">
        <f>+D33*ROUNDUP(J30,0)</f>
        <v>50</v>
      </c>
      <c r="J33" s="28">
        <f>COUNT($J$30)</f>
        <v>1</v>
      </c>
      <c r="K33" s="32"/>
    </row>
    <row r="34" spans="2:11" x14ac:dyDescent="0.25">
      <c r="B34" t="s">
        <v>91</v>
      </c>
      <c r="C34" s="164" t="s">
        <v>727</v>
      </c>
      <c r="D34" s="164">
        <f>ROUNDUP(D30/D33,0)</f>
        <v>4</v>
      </c>
      <c r="E34" t="s">
        <v>96</v>
      </c>
      <c r="H34" s="30"/>
      <c r="I34" s="32">
        <f>+D34*I33</f>
        <v>200</v>
      </c>
      <c r="J34" s="28" t="b">
        <f>$D$37&lt;=$I$32</f>
        <v>1</v>
      </c>
      <c r="K34" s="32"/>
    </row>
    <row r="35" spans="2:11" x14ac:dyDescent="0.25">
      <c r="B35" t="s">
        <v>92</v>
      </c>
      <c r="C35" s="164" t="s">
        <v>728</v>
      </c>
      <c r="D35" s="165">
        <f>(((D14+D15+D18+D17)*D34)*(1+D21/100))/J30</f>
        <v>5.32</v>
      </c>
      <c r="E35" t="s">
        <v>30</v>
      </c>
      <c r="H35" s="30"/>
      <c r="J35" s="28">
        <f>{32767;32767;0.000001;0.01;FALSE;FALSE;FALSE;1;2;1;0.0001;TRUE}</f>
        <v>32767</v>
      </c>
      <c r="K35" s="32"/>
    </row>
    <row r="36" spans="2:11" ht="15.75" thickBot="1" x14ac:dyDescent="0.3">
      <c r="C36" s="127" t="s">
        <v>107</v>
      </c>
      <c r="D36" s="128">
        <f>+IF(D35&gt;D25,D35-D25,0)</f>
        <v>0</v>
      </c>
      <c r="E36" s="127" t="s">
        <v>30</v>
      </c>
      <c r="H36" s="30"/>
      <c r="J36" s="29">
        <f>{0;0;1;100;0;FALSE;FALSE;0.075;0;0;FALSE;30}</f>
        <v>0</v>
      </c>
      <c r="K36" s="32"/>
    </row>
    <row r="37" spans="2:11" ht="15.75" thickBot="1" x14ac:dyDescent="0.3">
      <c r="C37" t="s">
        <v>94</v>
      </c>
      <c r="D37" s="4">
        <f>+IF(D35&gt;2*D25,D35-2*D25,0)</f>
        <v>0</v>
      </c>
      <c r="E37" t="s">
        <v>30</v>
      </c>
      <c r="H37" s="33"/>
      <c r="I37" s="34"/>
      <c r="J37" s="34"/>
      <c r="K37" s="35"/>
    </row>
    <row r="38" spans="2:11" x14ac:dyDescent="0.25">
      <c r="C38" t="s">
        <v>108</v>
      </c>
      <c r="D38" s="4">
        <f>+IF(D36=0,D25-D35,0)</f>
        <v>2.6799999999999997</v>
      </c>
      <c r="E38" t="s">
        <v>30</v>
      </c>
    </row>
    <row r="39" spans="2:11" x14ac:dyDescent="0.25">
      <c r="C39" t="s">
        <v>98</v>
      </c>
      <c r="D39" s="4">
        <f>+IF(D37=0,IF((2*D25-D35)&gt;D25,8,2*D25-D35),0)</f>
        <v>8</v>
      </c>
      <c r="E39" t="s">
        <v>30</v>
      </c>
    </row>
    <row r="40" spans="2:11" x14ac:dyDescent="0.25">
      <c r="C40" s="164" t="s">
        <v>182</v>
      </c>
      <c r="D40" s="165">
        <f>+D35</f>
        <v>5.32</v>
      </c>
      <c r="E40" t="s">
        <v>30</v>
      </c>
    </row>
    <row r="41" spans="2:11" x14ac:dyDescent="0.25">
      <c r="C41" s="164" t="s">
        <v>95</v>
      </c>
      <c r="D41" s="166">
        <f>(2*D25-D22-D17)/(D14+D15+D33/(AVERAGE(D9,D10)*D30/(D5+D6)))</f>
        <v>16.783801004911794</v>
      </c>
      <c r="E41" t="s">
        <v>96</v>
      </c>
      <c r="K41" s="36"/>
    </row>
    <row r="43" spans="2:11" hidden="1" x14ac:dyDescent="0.25">
      <c r="C43" t="s">
        <v>110</v>
      </c>
      <c r="D43" s="4">
        <f>+IF((D30-D25/D40*D33)&lt;0,0,D30-D25/D40*D33)</f>
        <v>111.44426711222502</v>
      </c>
      <c r="E43" t="s">
        <v>86</v>
      </c>
    </row>
    <row r="44" spans="2:11" hidden="1" x14ac:dyDescent="0.25">
      <c r="C44" t="s">
        <v>111</v>
      </c>
      <c r="D44" s="4">
        <f>+D30-D43</f>
        <v>75.187969924812023</v>
      </c>
      <c r="E44" t="s">
        <v>86</v>
      </c>
    </row>
    <row r="45" spans="2:11" hidden="1" x14ac:dyDescent="0.25">
      <c r="C45" t="s">
        <v>148</v>
      </c>
      <c r="D45" s="4">
        <f>IF(D35&lt;=2*D25,D30,2*D25/D40*D33)</f>
        <v>186.63223703703704</v>
      </c>
      <c r="E45" t="s">
        <v>86</v>
      </c>
    </row>
    <row r="46" spans="2:11" hidden="1" x14ac:dyDescent="0.25">
      <c r="C46" t="s">
        <v>97</v>
      </c>
      <c r="D46" s="4">
        <f>+IF((D30-D45)&lt;0,0,D30-D45)</f>
        <v>0</v>
      </c>
      <c r="E46" t="s">
        <v>86</v>
      </c>
    </row>
    <row r="48" spans="2:11" x14ac:dyDescent="0.25">
      <c r="C48" s="2" t="s">
        <v>103</v>
      </c>
      <c r="D48" s="542">
        <f>ROUNDUP(J30,0)</f>
        <v>1</v>
      </c>
      <c r="E48" t="s">
        <v>101</v>
      </c>
    </row>
    <row r="49" spans="3:5" x14ac:dyDescent="0.25">
      <c r="C49" t="s">
        <v>117</v>
      </c>
      <c r="D49" s="36">
        <v>1</v>
      </c>
    </row>
    <row r="50" spans="3:5" x14ac:dyDescent="0.25">
      <c r="C50" t="s">
        <v>104</v>
      </c>
      <c r="D50" s="165">
        <f>+D41*D48*D33</f>
        <v>839.19005024558965</v>
      </c>
      <c r="E50" t="s">
        <v>86</v>
      </c>
    </row>
    <row r="51" spans="3:5" x14ac:dyDescent="0.25">
      <c r="C51" t="s">
        <v>102</v>
      </c>
      <c r="D51" s="26">
        <f>+(D50/D30-1)</f>
        <v>3.4964903361205115</v>
      </c>
    </row>
    <row r="52" spans="3:5" x14ac:dyDescent="0.25">
      <c r="C52" t="s">
        <v>119</v>
      </c>
      <c r="D52" s="166">
        <f>(D5+D6)*2*D34/D48</f>
        <v>449.6</v>
      </c>
      <c r="E52" s="164" t="s">
        <v>244</v>
      </c>
    </row>
    <row r="53" spans="3:5" x14ac:dyDescent="0.25">
      <c r="C53" t="s">
        <v>118</v>
      </c>
      <c r="D53" s="141">
        <f>+D52*D48</f>
        <v>449.6</v>
      </c>
      <c r="E53" s="164" t="s">
        <v>244</v>
      </c>
    </row>
    <row r="54" spans="3:5" x14ac:dyDescent="0.25">
      <c r="C54" t="s">
        <v>123</v>
      </c>
      <c r="D54" s="165">
        <f>+D30/D48</f>
        <v>186.63223703703704</v>
      </c>
      <c r="E54" t="s">
        <v>87</v>
      </c>
    </row>
    <row r="55" spans="3:5" x14ac:dyDescent="0.25">
      <c r="C55" t="s">
        <v>123</v>
      </c>
      <c r="D55">
        <f>+D54*D29*52</f>
        <v>2620.3166080000005</v>
      </c>
      <c r="E55" t="s">
        <v>124</v>
      </c>
    </row>
    <row r="56" spans="3:5" x14ac:dyDescent="0.25">
      <c r="D56" s="4"/>
    </row>
    <row r="57" spans="3:5" x14ac:dyDescent="0.25">
      <c r="D57" s="4"/>
    </row>
    <row r="58" spans="3:5" x14ac:dyDescent="0.25">
      <c r="D58" s="4"/>
    </row>
  </sheetData>
  <mergeCells count="1">
    <mergeCell ref="H29:K29"/>
  </mergeCells>
  <conditionalFormatting sqref="D46">
    <cfRule type="cellIs" dxfId="0" priority="1" operator="greaterThan">
      <formula>0</formula>
    </cfRule>
  </conditionalFormatting>
  <pageMargins left="0.70866141732283472" right="0.70866141732283472" top="0.74803149606299213" bottom="0.74803149606299213" header="0.31496062992125984" footer="0.31496062992125984"/>
  <pageSetup paperSize="9" scale="73" orientation="portrait" r:id="rId1"/>
  <headerFooter>
    <oddHeader>&amp;L&amp;"Arial,Negrita Cursiva"&amp;10HYTSA Estudios y Proyectos S.A.</oddHeader>
    <oddFooter>&amp;L&amp;"Arial,Negrita Cursiva"&amp;10&amp;F - &amp;A&amp;R&amp;"Arial,Negrita Cursiva"&amp;10&amp;P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Macro_TA_1T">
                <anchor moveWithCells="1">
                  <from>
                    <xdr:col>7</xdr:col>
                    <xdr:colOff>19050</xdr:colOff>
                    <xdr:row>44</xdr:row>
                    <xdr:rowOff>114300</xdr:rowOff>
                  </from>
                  <to>
                    <xdr:col>8</xdr:col>
                    <xdr:colOff>695325</xdr:colOff>
                    <xdr:row>49</xdr:row>
                    <xdr:rowOff>57150</xdr:rowOff>
                  </to>
                </anchor>
              </controlPr>
            </control>
          </mc:Choice>
        </mc:AlternateContent>
      </controls>
    </mc:Choice>
  </mc:AlternateConten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Hoja102"/>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7109375" style="38"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329</v>
      </c>
      <c r="B3" s="40"/>
      <c r="C3" s="40"/>
    </row>
    <row r="4" spans="1:5" ht="15.75" x14ac:dyDescent="0.25">
      <c r="B4" s="41"/>
      <c r="C4" s="41"/>
      <c r="D4" s="41"/>
      <c r="E4" s="41"/>
    </row>
    <row r="5" spans="1:5" x14ac:dyDescent="0.2">
      <c r="A5" s="42" t="s">
        <v>184</v>
      </c>
      <c r="B5" s="43" t="s">
        <v>210</v>
      </c>
      <c r="C5" s="44"/>
    </row>
    <row r="6" spans="1:5" x14ac:dyDescent="0.2">
      <c r="A6" s="45" t="s">
        <v>197</v>
      </c>
      <c r="B6" s="306">
        <f>+TA_Datos!D48</f>
        <v>232847.57771424341</v>
      </c>
      <c r="C6" s="47"/>
    </row>
    <row r="7" spans="1:5" x14ac:dyDescent="0.2">
      <c r="A7" s="45" t="s">
        <v>198</v>
      </c>
      <c r="B7" s="307">
        <f>+TA_Datos!D40</f>
        <v>10</v>
      </c>
      <c r="C7" s="38" t="s">
        <v>211</v>
      </c>
    </row>
    <row r="8" spans="1:5" x14ac:dyDescent="0.2">
      <c r="A8" s="45" t="s">
        <v>199</v>
      </c>
      <c r="B8" s="308">
        <f>(TA_Datos!D44/100)*$B$6</f>
        <v>23284.757771424342</v>
      </c>
      <c r="C8" s="47"/>
    </row>
    <row r="9" spans="1:5" x14ac:dyDescent="0.2">
      <c r="A9" s="45" t="s">
        <v>185</v>
      </c>
      <c r="B9" s="308">
        <f>0.05*B6</f>
        <v>11642.378885712171</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Economica'!F7*365</f>
        <v>328208</v>
      </c>
      <c r="C13" s="38" t="s">
        <v>3</v>
      </c>
    </row>
    <row r="14" spans="1:5" x14ac:dyDescent="0.2">
      <c r="A14" s="45" t="s">
        <v>189</v>
      </c>
      <c r="B14" s="312">
        <f>+'TA_Evaluacion Economica'!G7</f>
        <v>2620.3166080000005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82.243902439024396</v>
      </c>
      <c r="C18" s="38" t="s">
        <v>23</v>
      </c>
    </row>
    <row r="19" spans="1:4" hidden="1" x14ac:dyDescent="0.2">
      <c r="A19" s="45" t="s">
        <v>194</v>
      </c>
      <c r="B19" s="317"/>
    </row>
    <row r="20" spans="1:4" x14ac:dyDescent="0.2">
      <c r="A20" s="45" t="s">
        <v>193</v>
      </c>
      <c r="B20" s="308">
        <f>0.05*B6</f>
        <v>11642.378885712171</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20956.281994281908</v>
      </c>
      <c r="C35" s="176">
        <f>IF(B$14&gt;0,B35/B$14,0)</f>
        <v>7.9976144601385144</v>
      </c>
      <c r="D35" s="177">
        <f>IF(B$13&gt;0,B35/B$13,0)</f>
        <v>6.3850613008463869E-2</v>
      </c>
      <c r="E35" s="188"/>
      <c r="F35" s="64"/>
    </row>
    <row r="36" spans="1:6" x14ac:dyDescent="0.2">
      <c r="A36" s="62" t="s">
        <v>202</v>
      </c>
      <c r="B36" s="65">
        <f>B19+B20</f>
        <v>11642.378885712171</v>
      </c>
      <c r="C36" s="178">
        <f>IF(B$14&gt;0,B36/B$14,0)</f>
        <v>4.4431191445213969</v>
      </c>
      <c r="D36" s="177">
        <f>IF(B$13&gt;0,B36/B$13,0)</f>
        <v>3.547256278247992E-2</v>
      </c>
      <c r="E36" s="189"/>
      <c r="F36" s="67"/>
    </row>
    <row r="37" spans="1:6" x14ac:dyDescent="0.2">
      <c r="A37" s="62" t="s">
        <v>209</v>
      </c>
      <c r="B37" s="63">
        <f>SUM(B35:B36)</f>
        <v>32598.66087999408</v>
      </c>
      <c r="C37" s="176">
        <f>SUM(C35:C36)</f>
        <v>12.440733604659911</v>
      </c>
      <c r="D37" s="179">
        <f>SUM(D35:D36)</f>
        <v>9.9323175790943796E-2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11642.378885712171</v>
      </c>
      <c r="C40" s="176">
        <f t="shared" ref="C40:C43" si="0">IF(B$14&gt;0,B40/B$14,0)</f>
        <v>4.4431191445213969</v>
      </c>
      <c r="D40" s="177">
        <f t="shared" ref="D40:D43" si="1">IF(B$13&gt;0,B40/B$13,0)</f>
        <v>3.547256278247992E-2</v>
      </c>
      <c r="E40" s="188"/>
      <c r="F40" s="64"/>
    </row>
    <row r="41" spans="1:6" x14ac:dyDescent="0.2">
      <c r="A41" s="62" t="s">
        <v>205</v>
      </c>
      <c r="B41" s="70">
        <f>IF(B12&gt;0,B10*B11*B13/B12,0)</f>
        <v>62072.666207999995</v>
      </c>
      <c r="C41" s="176">
        <f t="shared" si="0"/>
        <v>23.688994688080069</v>
      </c>
      <c r="D41" s="177">
        <f t="shared" si="1"/>
        <v>0.18912599999999999</v>
      </c>
      <c r="E41" s="188"/>
      <c r="F41" s="64"/>
    </row>
    <row r="42" spans="1:6" x14ac:dyDescent="0.2">
      <c r="A42" s="62" t="s">
        <v>206</v>
      </c>
      <c r="B42" s="72">
        <f>IF(B16&gt;0,(B13/B17)*B16*1.1,0)</f>
        <v>32492.592000000008</v>
      </c>
      <c r="C42" s="176">
        <f t="shared" si="0"/>
        <v>12.400254190962256</v>
      </c>
      <c r="D42" s="177">
        <f t="shared" si="1"/>
        <v>9.9000000000000019E-2</v>
      </c>
      <c r="E42" s="188"/>
      <c r="F42" s="64"/>
    </row>
    <row r="43" spans="1:6" x14ac:dyDescent="0.2">
      <c r="A43" s="62" t="s">
        <v>217</v>
      </c>
      <c r="B43" s="65">
        <f>IF(B18&gt;0,(B13/B18)*B21*1.25,0)</f>
        <v>96910.798595328262</v>
      </c>
      <c r="C43" s="176">
        <f t="shared" si="0"/>
        <v>36.984385130962096</v>
      </c>
      <c r="D43" s="177">
        <f t="shared" si="1"/>
        <v>0.29527250583571474</v>
      </c>
      <c r="E43" s="189"/>
      <c r="F43" s="67"/>
    </row>
    <row r="44" spans="1:6" x14ac:dyDescent="0.2">
      <c r="A44" s="62" t="s">
        <v>207</v>
      </c>
      <c r="B44" s="63">
        <f>SUM(B40:B43)</f>
        <v>203118.43568904043</v>
      </c>
      <c r="C44" s="176">
        <f>SUM(C40:C43)</f>
        <v>77.516753154525816</v>
      </c>
      <c r="D44" s="179">
        <f>SUM(D40:D43)</f>
        <v>0.61887106861819463</v>
      </c>
      <c r="E44" s="188"/>
      <c r="F44" s="64"/>
    </row>
    <row r="45" spans="1:6" x14ac:dyDescent="0.2">
      <c r="A45" s="62"/>
      <c r="B45" s="68"/>
      <c r="C45" s="181"/>
      <c r="D45" s="182"/>
      <c r="E45" s="190"/>
      <c r="F45" s="171"/>
    </row>
    <row r="46" spans="1:6" ht="13.5" thickBot="1" x14ac:dyDescent="0.25">
      <c r="A46" s="76" t="s">
        <v>208</v>
      </c>
      <c r="B46" s="77">
        <f>B37+B44</f>
        <v>235717.0965690345</v>
      </c>
      <c r="C46" s="183">
        <f>C37+C44</f>
        <v>89.957486759185727</v>
      </c>
      <c r="D46" s="184">
        <f>D37+D44</f>
        <v>0.71819424440913848</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-1928079.6664642626</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7"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Hoja103"/>
  <dimension ref="A1:F62"/>
  <sheetViews>
    <sheetView view="pageBreakPreview" topLeftCell="A3"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329</v>
      </c>
      <c r="B3" s="40"/>
      <c r="C3" s="40"/>
    </row>
    <row r="4" spans="1:5" ht="15.75" x14ac:dyDescent="0.25">
      <c r="B4" s="41"/>
      <c r="C4" s="41"/>
      <c r="D4" s="41"/>
      <c r="E4" s="41"/>
    </row>
    <row r="5" spans="1:5" x14ac:dyDescent="0.2">
      <c r="A5" s="42" t="s">
        <v>184</v>
      </c>
      <c r="B5" s="43" t="s">
        <v>210</v>
      </c>
      <c r="C5" s="44"/>
    </row>
    <row r="6" spans="1:5" x14ac:dyDescent="0.2">
      <c r="A6" s="45" t="s">
        <v>197</v>
      </c>
      <c r="B6" s="306">
        <f>+TA_Datos!D48</f>
        <v>232847.57771424341</v>
      </c>
      <c r="C6" s="47"/>
    </row>
    <row r="7" spans="1:5" x14ac:dyDescent="0.2">
      <c r="A7" s="45" t="s">
        <v>198</v>
      </c>
      <c r="B7" s="307">
        <f>+TA_Datos!D40</f>
        <v>10</v>
      </c>
      <c r="C7" s="38" t="s">
        <v>211</v>
      </c>
    </row>
    <row r="8" spans="1:5" x14ac:dyDescent="0.2">
      <c r="A8" s="45" t="s">
        <v>199</v>
      </c>
      <c r="B8" s="308">
        <f>(TA_Datos!D44/100)*$B$6</f>
        <v>23284.757771424342</v>
      </c>
      <c r="C8" s="47"/>
    </row>
    <row r="9" spans="1:5" x14ac:dyDescent="0.2">
      <c r="A9" s="45" t="s">
        <v>185</v>
      </c>
      <c r="B9" s="308">
        <f>0.05*B6</f>
        <v>11642.378885712171</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Economica'!F8*365</f>
        <v>328208</v>
      </c>
      <c r="C13" s="38" t="s">
        <v>3</v>
      </c>
    </row>
    <row r="14" spans="1:5" x14ac:dyDescent="0.2">
      <c r="A14" s="45" t="s">
        <v>189</v>
      </c>
      <c r="B14" s="312">
        <f>+'TA_Evaluacion Economica'!G8</f>
        <v>2620.3166080000005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82.243902439024396</v>
      </c>
      <c r="C18" s="38" t="s">
        <v>23</v>
      </c>
    </row>
    <row r="19" spans="1:4" hidden="1" x14ac:dyDescent="0.2">
      <c r="A19" s="45" t="s">
        <v>194</v>
      </c>
      <c r="B19" s="317"/>
    </row>
    <row r="20" spans="1:4" x14ac:dyDescent="0.2">
      <c r="A20" s="45" t="s">
        <v>193</v>
      </c>
      <c r="B20" s="308">
        <f>0.05*B6</f>
        <v>11642.378885712171</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20956.281994281908</v>
      </c>
      <c r="C35" s="176">
        <f>IF(B$14&gt;0,B35/B$14,0)</f>
        <v>7.9976144601385144</v>
      </c>
      <c r="D35" s="177">
        <f>IF(B$13&gt;0,B35/B$13,0)</f>
        <v>6.3850613008463869E-2</v>
      </c>
      <c r="E35" s="188"/>
      <c r="F35" s="64"/>
    </row>
    <row r="36" spans="1:6" x14ac:dyDescent="0.2">
      <c r="A36" s="62" t="s">
        <v>202</v>
      </c>
      <c r="B36" s="65">
        <f>B19+B20</f>
        <v>11642.378885712171</v>
      </c>
      <c r="C36" s="178">
        <f>IF(B$14&gt;0,B36/B$14,0)</f>
        <v>4.4431191445213969</v>
      </c>
      <c r="D36" s="177">
        <f>IF(B$13&gt;0,B36/B$13,0)</f>
        <v>3.547256278247992E-2</v>
      </c>
      <c r="E36" s="189"/>
      <c r="F36" s="67"/>
    </row>
    <row r="37" spans="1:6" x14ac:dyDescent="0.2">
      <c r="A37" s="62" t="s">
        <v>209</v>
      </c>
      <c r="B37" s="63">
        <f>SUM(B35:B36)</f>
        <v>32598.66087999408</v>
      </c>
      <c r="C37" s="176">
        <f>SUM(C35:C36)</f>
        <v>12.440733604659911</v>
      </c>
      <c r="D37" s="179">
        <f>SUM(D35:D36)</f>
        <v>9.9323175790943796E-2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11642.378885712171</v>
      </c>
      <c r="C40" s="176">
        <f t="shared" ref="C40:C43" si="0">IF(B$14&gt;0,B40/B$14,0)</f>
        <v>4.4431191445213969</v>
      </c>
      <c r="D40" s="177">
        <f t="shared" ref="D40:D43" si="1">IF(B$13&gt;0,B40/B$13,0)</f>
        <v>3.547256278247992E-2</v>
      </c>
      <c r="E40" s="188"/>
      <c r="F40" s="64"/>
    </row>
    <row r="41" spans="1:6" x14ac:dyDescent="0.2">
      <c r="A41" s="62" t="s">
        <v>205</v>
      </c>
      <c r="B41" s="70">
        <f>IF(B12&gt;0,B10*B11*B13/B12,0)</f>
        <v>62072.666207999995</v>
      </c>
      <c r="C41" s="176">
        <f t="shared" si="0"/>
        <v>23.688994688080069</v>
      </c>
      <c r="D41" s="177">
        <f t="shared" si="1"/>
        <v>0.18912599999999999</v>
      </c>
      <c r="E41" s="188"/>
      <c r="F41" s="64"/>
    </row>
    <row r="42" spans="1:6" x14ac:dyDescent="0.2">
      <c r="A42" s="62" t="s">
        <v>206</v>
      </c>
      <c r="B42" s="72">
        <f>IF(B16&gt;0,(B13/B17)*B16*1.1,0)</f>
        <v>32492.592000000008</v>
      </c>
      <c r="C42" s="176">
        <f t="shared" si="0"/>
        <v>12.400254190962256</v>
      </c>
      <c r="D42" s="177">
        <f t="shared" si="1"/>
        <v>9.9000000000000019E-2</v>
      </c>
      <c r="E42" s="188"/>
      <c r="F42" s="64"/>
    </row>
    <row r="43" spans="1:6" x14ac:dyDescent="0.2">
      <c r="A43" s="62" t="s">
        <v>217</v>
      </c>
      <c r="B43" s="65">
        <f>IF(B18&gt;0,(B13/B18)*B21*1.25,0)</f>
        <v>48455.399297664131</v>
      </c>
      <c r="C43" s="176">
        <f t="shared" si="0"/>
        <v>18.492192565481048</v>
      </c>
      <c r="D43" s="177">
        <f t="shared" si="1"/>
        <v>0.14763625291785737</v>
      </c>
      <c r="E43" s="189"/>
      <c r="F43" s="67"/>
    </row>
    <row r="44" spans="1:6" x14ac:dyDescent="0.2">
      <c r="A44" s="62" t="s">
        <v>207</v>
      </c>
      <c r="B44" s="63">
        <f>SUM(B40:B43)</f>
        <v>154663.03639137628</v>
      </c>
      <c r="C44" s="176">
        <f>SUM(C40:C43)</f>
        <v>59.024560589044768</v>
      </c>
      <c r="D44" s="179">
        <f>SUM(D40:D43)</f>
        <v>0.47123481570033732</v>
      </c>
      <c r="E44" s="188"/>
      <c r="F44" s="64"/>
    </row>
    <row r="45" spans="1:6" x14ac:dyDescent="0.2">
      <c r="A45" s="62"/>
      <c r="B45" s="68"/>
      <c r="C45" s="181"/>
      <c r="D45" s="182"/>
      <c r="E45" s="190"/>
      <c r="F45" s="171"/>
    </row>
    <row r="46" spans="1:6" ht="13.5" thickBot="1" x14ac:dyDescent="0.25">
      <c r="A46" s="76" t="s">
        <v>208</v>
      </c>
      <c r="B46" s="77">
        <f>B37+B44</f>
        <v>187261.69727137036</v>
      </c>
      <c r="C46" s="183">
        <f>C37+C44</f>
        <v>71.465294193704679</v>
      </c>
      <c r="D46" s="184">
        <f>D37+D44</f>
        <v>0.57055799149128106</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-1106728.2275767457</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Hoja104"/>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331</v>
      </c>
      <c r="B3" s="40"/>
      <c r="C3" s="40"/>
    </row>
    <row r="4" spans="1:5" ht="15.75" x14ac:dyDescent="0.25">
      <c r="B4" s="41"/>
      <c r="C4" s="41"/>
      <c r="D4" s="41"/>
      <c r="E4" s="41"/>
    </row>
    <row r="5" spans="1:5" x14ac:dyDescent="0.2">
      <c r="A5" s="42" t="s">
        <v>184</v>
      </c>
      <c r="B5" s="43" t="s">
        <v>210</v>
      </c>
      <c r="C5" s="44"/>
    </row>
    <row r="6" spans="1:5" x14ac:dyDescent="0.2">
      <c r="A6" s="45" t="s">
        <v>197</v>
      </c>
      <c r="B6" s="306">
        <f>+TA_Datos!D49</f>
        <v>279417.09325709211</v>
      </c>
      <c r="C6" s="47"/>
    </row>
    <row r="7" spans="1:5" x14ac:dyDescent="0.2">
      <c r="A7" s="45" t="s">
        <v>198</v>
      </c>
      <c r="B7" s="307">
        <f>+TA_Datos!D40</f>
        <v>10</v>
      </c>
      <c r="C7" s="38" t="s">
        <v>211</v>
      </c>
    </row>
    <row r="8" spans="1:5" x14ac:dyDescent="0.2">
      <c r="A8" s="45" t="s">
        <v>199</v>
      </c>
      <c r="B8" s="308">
        <f>(TA_Datos!D44/100)*$B$6</f>
        <v>27941.709325709213</v>
      </c>
      <c r="C8" s="47"/>
    </row>
    <row r="9" spans="1:5" x14ac:dyDescent="0.2">
      <c r="A9" s="45" t="s">
        <v>185</v>
      </c>
      <c r="B9" s="308">
        <f>0.05*B6</f>
        <v>13970.854662854606</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Economica'!F9*365</f>
        <v>287182</v>
      </c>
      <c r="C13" s="38" t="s">
        <v>3</v>
      </c>
    </row>
    <row r="14" spans="1:5" x14ac:dyDescent="0.2">
      <c r="A14" s="45" t="s">
        <v>189</v>
      </c>
      <c r="B14" s="312">
        <f>+'TA_Evaluacion Economica'!G9</f>
        <v>2620.3166080000005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82.243902439024396</v>
      </c>
      <c r="C18" s="38" t="s">
        <v>23</v>
      </c>
    </row>
    <row r="19" spans="1:4" hidden="1" x14ac:dyDescent="0.2">
      <c r="A19" s="45" t="s">
        <v>194</v>
      </c>
      <c r="B19" s="317"/>
    </row>
    <row r="20" spans="1:4" x14ac:dyDescent="0.2">
      <c r="A20" s="45" t="s">
        <v>193</v>
      </c>
      <c r="B20" s="308">
        <f>0.05*B6</f>
        <v>13970.854662854606</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25147.538393138289</v>
      </c>
      <c r="C35" s="176">
        <f>IF(B$14&gt;0,B35/B$14,0)</f>
        <v>9.597137352166218</v>
      </c>
      <c r="D35" s="177">
        <f>IF(B$13&gt;0,B35/B$13,0)</f>
        <v>8.7566554983036157E-2</v>
      </c>
      <c r="E35" s="188"/>
      <c r="F35" s="64"/>
    </row>
    <row r="36" spans="1:6" x14ac:dyDescent="0.2">
      <c r="A36" s="62" t="s">
        <v>202</v>
      </c>
      <c r="B36" s="65">
        <f>B19+B20</f>
        <v>13970.854662854606</v>
      </c>
      <c r="C36" s="178">
        <f>IF(B$14&gt;0,B36/B$14,0)</f>
        <v>5.3317429734256772</v>
      </c>
      <c r="D36" s="177">
        <f>IF(B$13&gt;0,B36/B$13,0)</f>
        <v>4.8648086101686756E-2</v>
      </c>
      <c r="E36" s="189"/>
      <c r="F36" s="67"/>
    </row>
    <row r="37" spans="1:6" x14ac:dyDescent="0.2">
      <c r="A37" s="62" t="s">
        <v>209</v>
      </c>
      <c r="B37" s="63">
        <f>SUM(B35:B36)</f>
        <v>39118.393055992899</v>
      </c>
      <c r="C37" s="176">
        <f>SUM(C35:C36)</f>
        <v>14.928880325591894</v>
      </c>
      <c r="D37" s="179">
        <f>SUM(D35:D36)</f>
        <v>0.13621464108472292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13970.854662854606</v>
      </c>
      <c r="C40" s="176">
        <f t="shared" ref="C40:C43" si="0">IF(B$14&gt;0,B40/B$14,0)</f>
        <v>5.3317429734256772</v>
      </c>
      <c r="D40" s="177">
        <f t="shared" ref="D40:D43" si="1">IF(B$13&gt;0,B40/B$13,0)</f>
        <v>4.8648086101686756E-2</v>
      </c>
      <c r="E40" s="188"/>
      <c r="F40" s="64"/>
    </row>
    <row r="41" spans="1:6" x14ac:dyDescent="0.2">
      <c r="A41" s="62" t="s">
        <v>205</v>
      </c>
      <c r="B41" s="70">
        <f>IF(B12&gt;0,B10*B11*B13/B12,0)</f>
        <v>54313.582931999998</v>
      </c>
      <c r="C41" s="176">
        <f t="shared" si="0"/>
        <v>20.72787035207006</v>
      </c>
      <c r="D41" s="177">
        <f t="shared" si="1"/>
        <v>0.18912599999999999</v>
      </c>
      <c r="E41" s="188"/>
      <c r="F41" s="64"/>
    </row>
    <row r="42" spans="1:6" x14ac:dyDescent="0.2">
      <c r="A42" s="62" t="s">
        <v>206</v>
      </c>
      <c r="B42" s="72">
        <f>IF(B16&gt;0,(B13/B17)*B16*1.1,0)</f>
        <v>28431.018000000004</v>
      </c>
      <c r="C42" s="176">
        <f t="shared" si="0"/>
        <v>10.850222417091972</v>
      </c>
      <c r="D42" s="177">
        <f t="shared" si="1"/>
        <v>9.9000000000000019E-2</v>
      </c>
      <c r="E42" s="188"/>
      <c r="F42" s="64"/>
    </row>
    <row r="43" spans="1:6" x14ac:dyDescent="0.2">
      <c r="A43" s="62" t="s">
        <v>217</v>
      </c>
      <c r="B43" s="65">
        <f>IF(B18&gt;0,(B13/B18)*B21*1.25,0)</f>
        <v>84796.948770912248</v>
      </c>
      <c r="C43" s="176">
        <f t="shared" si="0"/>
        <v>32.361336989591841</v>
      </c>
      <c r="D43" s="177">
        <f t="shared" si="1"/>
        <v>0.29527250583571479</v>
      </c>
      <c r="E43" s="189"/>
      <c r="F43" s="67"/>
    </row>
    <row r="44" spans="1:6" x14ac:dyDescent="0.2">
      <c r="A44" s="62" t="s">
        <v>207</v>
      </c>
      <c r="B44" s="63">
        <f>SUM(B40:B43)</f>
        <v>181512.40436576685</v>
      </c>
      <c r="C44" s="176">
        <f>SUM(C40:C43)</f>
        <v>69.271172732179551</v>
      </c>
      <c r="D44" s="179">
        <f>SUM(D40:D43)</f>
        <v>0.63204659193740154</v>
      </c>
      <c r="E44" s="188"/>
      <c r="F44" s="64"/>
    </row>
    <row r="45" spans="1:6" x14ac:dyDescent="0.2">
      <c r="A45" s="62"/>
      <c r="B45" s="68"/>
      <c r="C45" s="181"/>
      <c r="D45" s="182"/>
      <c r="E45" s="190"/>
      <c r="F45" s="171"/>
    </row>
    <row r="46" spans="1:6" ht="13.5" thickBot="1" x14ac:dyDescent="0.25">
      <c r="A46" s="76" t="s">
        <v>208</v>
      </c>
      <c r="B46" s="77">
        <f>B37+B44</f>
        <v>220630.79742175975</v>
      </c>
      <c r="C46" s="183">
        <f>C37+C44</f>
        <v>84.200053057771441</v>
      </c>
      <c r="D46" s="184">
        <f>D37+D44</f>
        <v>0.76826123302212446</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-1784124.3330311582</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Hoja105"/>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331</v>
      </c>
      <c r="B3" s="40"/>
      <c r="C3" s="40"/>
    </row>
    <row r="4" spans="1:5" ht="15.75" x14ac:dyDescent="0.25">
      <c r="B4" s="41"/>
      <c r="C4" s="41"/>
      <c r="D4" s="41"/>
      <c r="E4" s="41"/>
    </row>
    <row r="5" spans="1:5" x14ac:dyDescent="0.2">
      <c r="A5" s="42" t="s">
        <v>184</v>
      </c>
      <c r="B5" s="43" t="s">
        <v>210</v>
      </c>
      <c r="C5" s="44"/>
    </row>
    <row r="6" spans="1:5" x14ac:dyDescent="0.2">
      <c r="A6" s="45" t="s">
        <v>197</v>
      </c>
      <c r="B6" s="306">
        <f>+TA_Datos!D49</f>
        <v>279417.09325709211</v>
      </c>
      <c r="C6" s="47"/>
    </row>
    <row r="7" spans="1:5" x14ac:dyDescent="0.2">
      <c r="A7" s="45" t="s">
        <v>198</v>
      </c>
      <c r="B7" s="307">
        <f>+TA_Datos!D40</f>
        <v>10</v>
      </c>
      <c r="C7" s="38" t="s">
        <v>211</v>
      </c>
    </row>
    <row r="8" spans="1:5" x14ac:dyDescent="0.2">
      <c r="A8" s="45" t="s">
        <v>199</v>
      </c>
      <c r="B8" s="308">
        <f>(TA_Datos!D44/100)*$B$6</f>
        <v>27941.709325709213</v>
      </c>
      <c r="C8" s="47"/>
    </row>
    <row r="9" spans="1:5" x14ac:dyDescent="0.2">
      <c r="A9" s="45" t="s">
        <v>185</v>
      </c>
      <c r="B9" s="308">
        <f>0.05*B6</f>
        <v>13970.854662854606</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Economica'!F10*365</f>
        <v>287182</v>
      </c>
      <c r="C13" s="38" t="s">
        <v>3</v>
      </c>
    </row>
    <row r="14" spans="1:5" x14ac:dyDescent="0.2">
      <c r="A14" s="45" t="s">
        <v>189</v>
      </c>
      <c r="B14" s="312">
        <f>+'TA_Evaluacion Economica'!G10</f>
        <v>2620.3166080000005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82.243902439024396</v>
      </c>
      <c r="C18" s="38" t="s">
        <v>23</v>
      </c>
    </row>
    <row r="19" spans="1:4" hidden="1" x14ac:dyDescent="0.2">
      <c r="A19" s="45" t="s">
        <v>194</v>
      </c>
      <c r="B19" s="317"/>
    </row>
    <row r="20" spans="1:4" x14ac:dyDescent="0.2">
      <c r="A20" s="45" t="s">
        <v>193</v>
      </c>
      <c r="B20" s="308">
        <f>0.05*B6</f>
        <v>13970.854662854606</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25147.538393138289</v>
      </c>
      <c r="C35" s="176">
        <f>IF(B$14&gt;0,B35/B$14,0)</f>
        <v>9.597137352166218</v>
      </c>
      <c r="D35" s="177">
        <f>IF(B$13&gt;0,B35/B$13,0)</f>
        <v>8.7566554983036157E-2</v>
      </c>
      <c r="E35" s="188"/>
      <c r="F35" s="64"/>
    </row>
    <row r="36" spans="1:6" x14ac:dyDescent="0.2">
      <c r="A36" s="62" t="s">
        <v>202</v>
      </c>
      <c r="B36" s="65">
        <f>B19+B20</f>
        <v>13970.854662854606</v>
      </c>
      <c r="C36" s="178">
        <f>IF(B$14&gt;0,B36/B$14,0)</f>
        <v>5.3317429734256772</v>
      </c>
      <c r="D36" s="177">
        <f>IF(B$13&gt;0,B36/B$13,0)</f>
        <v>4.8648086101686756E-2</v>
      </c>
      <c r="E36" s="189"/>
      <c r="F36" s="67"/>
    </row>
    <row r="37" spans="1:6" x14ac:dyDescent="0.2">
      <c r="A37" s="62" t="s">
        <v>209</v>
      </c>
      <c r="B37" s="63">
        <f>SUM(B35:B36)</f>
        <v>39118.393055992899</v>
      </c>
      <c r="C37" s="176">
        <f>SUM(C35:C36)</f>
        <v>14.928880325591894</v>
      </c>
      <c r="D37" s="179">
        <f>SUM(D35:D36)</f>
        <v>0.13621464108472292</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13970.854662854606</v>
      </c>
      <c r="C40" s="176">
        <f t="shared" ref="C40:C43" si="0">IF(B$14&gt;0,B40/B$14,0)</f>
        <v>5.3317429734256772</v>
      </c>
      <c r="D40" s="177">
        <f t="shared" ref="D40:D43" si="1">IF(B$13&gt;0,B40/B$13,0)</f>
        <v>4.8648086101686756E-2</v>
      </c>
      <c r="E40" s="188"/>
      <c r="F40" s="64"/>
    </row>
    <row r="41" spans="1:6" x14ac:dyDescent="0.2">
      <c r="A41" s="62" t="s">
        <v>205</v>
      </c>
      <c r="B41" s="70">
        <f>IF(B12&gt;0,B10*B11*B13/B12,0)</f>
        <v>54313.582931999998</v>
      </c>
      <c r="C41" s="176">
        <f t="shared" si="0"/>
        <v>20.72787035207006</v>
      </c>
      <c r="D41" s="177">
        <f t="shared" si="1"/>
        <v>0.18912599999999999</v>
      </c>
      <c r="E41" s="188"/>
      <c r="F41" s="64"/>
    </row>
    <row r="42" spans="1:6" x14ac:dyDescent="0.2">
      <c r="A42" s="62" t="s">
        <v>206</v>
      </c>
      <c r="B42" s="72">
        <f>IF(B16&gt;0,(B13/B17)*B16*1.1,0)</f>
        <v>28431.018000000004</v>
      </c>
      <c r="C42" s="176">
        <f t="shared" si="0"/>
        <v>10.850222417091972</v>
      </c>
      <c r="D42" s="177">
        <f t="shared" si="1"/>
        <v>9.9000000000000019E-2</v>
      </c>
      <c r="E42" s="188"/>
      <c r="F42" s="64"/>
    </row>
    <row r="43" spans="1:6" x14ac:dyDescent="0.2">
      <c r="A43" s="62" t="s">
        <v>217</v>
      </c>
      <c r="B43" s="65">
        <f>IF(B18&gt;0,(B13/B18)*B21*1.25,0)</f>
        <v>42398.474385456124</v>
      </c>
      <c r="C43" s="176">
        <f t="shared" si="0"/>
        <v>16.180668494795921</v>
      </c>
      <c r="D43" s="177">
        <f t="shared" si="1"/>
        <v>0.1476362529178574</v>
      </c>
      <c r="E43" s="189"/>
      <c r="F43" s="67"/>
    </row>
    <row r="44" spans="1:6" x14ac:dyDescent="0.2">
      <c r="A44" s="62" t="s">
        <v>207</v>
      </c>
      <c r="B44" s="63">
        <f>SUM(B40:B43)</f>
        <v>139113.92998031073</v>
      </c>
      <c r="C44" s="176">
        <f>SUM(C40:C43)</f>
        <v>53.090504237383627</v>
      </c>
      <c r="D44" s="179">
        <f>SUM(D40:D43)</f>
        <v>0.48441033901954411</v>
      </c>
      <c r="E44" s="188"/>
      <c r="F44" s="64"/>
    </row>
    <row r="45" spans="1:6" x14ac:dyDescent="0.2">
      <c r="A45" s="62"/>
      <c r="B45" s="68"/>
      <c r="C45" s="181"/>
      <c r="D45" s="182"/>
      <c r="E45" s="190"/>
      <c r="F45" s="171"/>
    </row>
    <row r="46" spans="1:6" ht="13.5" thickBot="1" x14ac:dyDescent="0.25">
      <c r="A46" s="76" t="s">
        <v>208</v>
      </c>
      <c r="B46" s="77">
        <f>B37+B44</f>
        <v>178232.32303630363</v>
      </c>
      <c r="C46" s="183">
        <f>C37+C44</f>
        <v>68.019384562975517</v>
      </c>
      <c r="D46" s="184">
        <f>D37+D44</f>
        <v>0.62062498010426703</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-1065441.8240045807</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Hoja106"/>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332</v>
      </c>
      <c r="B3" s="40"/>
      <c r="C3" s="40"/>
    </row>
    <row r="4" spans="1:5" ht="15.75" x14ac:dyDescent="0.25">
      <c r="B4" s="41"/>
      <c r="C4" s="41"/>
      <c r="D4" s="41"/>
      <c r="E4" s="41"/>
    </row>
    <row r="5" spans="1:5" x14ac:dyDescent="0.2">
      <c r="A5" s="42" t="s">
        <v>184</v>
      </c>
      <c r="B5" s="43" t="s">
        <v>210</v>
      </c>
      <c r="C5" s="44"/>
    </row>
    <row r="6" spans="1:5" x14ac:dyDescent="0.2">
      <c r="A6" s="45" t="s">
        <v>197</v>
      </c>
      <c r="B6" s="306">
        <f>+TA_Datos!D50</f>
        <v>325986.60879994073</v>
      </c>
      <c r="C6" s="47"/>
    </row>
    <row r="7" spans="1:5" x14ac:dyDescent="0.2">
      <c r="A7" s="45" t="s">
        <v>198</v>
      </c>
      <c r="B7" s="307">
        <f>+TA_Datos!D40</f>
        <v>10</v>
      </c>
      <c r="C7" s="38" t="s">
        <v>211</v>
      </c>
    </row>
    <row r="8" spans="1:5" x14ac:dyDescent="0.2">
      <c r="A8" s="45" t="s">
        <v>199</v>
      </c>
      <c r="B8" s="308">
        <f>(TA_Datos!D44/100)*$B$6</f>
        <v>32598.660879994073</v>
      </c>
      <c r="C8" s="47"/>
    </row>
    <row r="9" spans="1:5" x14ac:dyDescent="0.2">
      <c r="A9" s="45" t="s">
        <v>185</v>
      </c>
      <c r="B9" s="308">
        <f>0.05*B6</f>
        <v>16299.330439997037</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Economica'!F11*365</f>
        <v>246156.00000000003</v>
      </c>
      <c r="C13" s="38" t="s">
        <v>3</v>
      </c>
    </row>
    <row r="14" spans="1:5" x14ac:dyDescent="0.2">
      <c r="A14" s="45" t="s">
        <v>189</v>
      </c>
      <c r="B14" s="312">
        <f>+'TA_Evaluacion Economica'!G11</f>
        <v>2620.3166080000005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82.243902439024396</v>
      </c>
      <c r="C18" s="38" t="s">
        <v>23</v>
      </c>
    </row>
    <row r="19" spans="1:4" hidden="1" x14ac:dyDescent="0.2">
      <c r="A19" s="45" t="s">
        <v>194</v>
      </c>
      <c r="B19" s="317"/>
    </row>
    <row r="20" spans="1:4" x14ac:dyDescent="0.2">
      <c r="A20" s="45" t="s">
        <v>193</v>
      </c>
      <c r="B20" s="308">
        <f>0.05*B6</f>
        <v>16299.330439997037</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29338.794791994664</v>
      </c>
      <c r="C35" s="176">
        <f>IF(B$14&gt;0,B35/B$14,0)</f>
        <v>11.196660244193918</v>
      </c>
      <c r="D35" s="177">
        <f>IF(B$13&gt;0,B35/B$13,0)</f>
        <v>0.1191878109491325</v>
      </c>
      <c r="E35" s="188"/>
      <c r="F35" s="64"/>
    </row>
    <row r="36" spans="1:6" x14ac:dyDescent="0.2">
      <c r="A36" s="62" t="s">
        <v>202</v>
      </c>
      <c r="B36" s="65">
        <f>B19+B20</f>
        <v>16299.330439997037</v>
      </c>
      <c r="C36" s="178">
        <f>IF(B$14&gt;0,B36/B$14,0)</f>
        <v>6.2203668023299548</v>
      </c>
      <c r="D36" s="177">
        <f>IF(B$13&gt;0,B36/B$13,0)</f>
        <v>6.6215450527295841E-2</v>
      </c>
      <c r="E36" s="189"/>
      <c r="F36" s="67"/>
    </row>
    <row r="37" spans="1:6" x14ac:dyDescent="0.2">
      <c r="A37" s="62" t="s">
        <v>209</v>
      </c>
      <c r="B37" s="63">
        <f>SUM(B35:B36)</f>
        <v>45638.125231991697</v>
      </c>
      <c r="C37" s="176">
        <f>SUM(C35:C36)</f>
        <v>17.417027046523874</v>
      </c>
      <c r="D37" s="179">
        <f>SUM(D35:D36)</f>
        <v>0.18540326147642833</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16299.330439997037</v>
      </c>
      <c r="C40" s="176">
        <f t="shared" ref="C40:C43" si="0">IF(B$14&gt;0,B40/B$14,0)</f>
        <v>6.2203668023299548</v>
      </c>
      <c r="D40" s="177">
        <f t="shared" ref="D40:D43" si="1">IF(B$13&gt;0,B40/B$13,0)</f>
        <v>6.6215450527295841E-2</v>
      </c>
      <c r="E40" s="188"/>
      <c r="F40" s="64"/>
    </row>
    <row r="41" spans="1:6" x14ac:dyDescent="0.2">
      <c r="A41" s="62" t="s">
        <v>205</v>
      </c>
      <c r="B41" s="70">
        <f>IF(B12&gt;0,B10*B11*B13/B12,0)</f>
        <v>46554.499656000007</v>
      </c>
      <c r="C41" s="176">
        <f t="shared" si="0"/>
        <v>17.766746016060054</v>
      </c>
      <c r="D41" s="177">
        <f t="shared" si="1"/>
        <v>0.18912600000000002</v>
      </c>
      <c r="E41" s="188"/>
      <c r="F41" s="64"/>
    </row>
    <row r="42" spans="1:6" x14ac:dyDescent="0.2">
      <c r="A42" s="62" t="s">
        <v>206</v>
      </c>
      <c r="B42" s="72">
        <f>IF(B16&gt;0,(B13/B17)*B16*1.1,0)</f>
        <v>24369.444000000007</v>
      </c>
      <c r="C42" s="176">
        <f t="shared" si="0"/>
        <v>9.3001906432216916</v>
      </c>
      <c r="D42" s="177">
        <f t="shared" si="1"/>
        <v>9.9000000000000019E-2</v>
      </c>
      <c r="E42" s="188"/>
      <c r="F42" s="64"/>
    </row>
    <row r="43" spans="1:6" x14ac:dyDescent="0.2">
      <c r="A43" s="62" t="s">
        <v>217</v>
      </c>
      <c r="B43" s="65">
        <f>IF(B18&gt;0,(B13/B18)*B21*1.25,0)</f>
        <v>72683.098946496204</v>
      </c>
      <c r="C43" s="176">
        <f t="shared" si="0"/>
        <v>27.738288848221575</v>
      </c>
      <c r="D43" s="177">
        <f t="shared" si="1"/>
        <v>0.29527250583571474</v>
      </c>
      <c r="E43" s="189"/>
      <c r="F43" s="67"/>
    </row>
    <row r="44" spans="1:6" x14ac:dyDescent="0.2">
      <c r="A44" s="62" t="s">
        <v>207</v>
      </c>
      <c r="B44" s="63">
        <f>SUM(B40:B43)</f>
        <v>159906.37304249324</v>
      </c>
      <c r="C44" s="176">
        <f>SUM(C40:C43)</f>
        <v>61.025592309833272</v>
      </c>
      <c r="D44" s="179">
        <f>SUM(D40:D43)</f>
        <v>0.64961395636301056</v>
      </c>
      <c r="E44" s="188"/>
      <c r="F44" s="64"/>
    </row>
    <row r="45" spans="1:6" x14ac:dyDescent="0.2">
      <c r="A45" s="62"/>
      <c r="B45" s="68"/>
      <c r="C45" s="181"/>
      <c r="D45" s="182"/>
      <c r="E45" s="190"/>
      <c r="F45" s="171"/>
    </row>
    <row r="46" spans="1:6" ht="13.5" thickBot="1" x14ac:dyDescent="0.25">
      <c r="A46" s="76" t="s">
        <v>208</v>
      </c>
      <c r="B46" s="77">
        <f>B37+B44</f>
        <v>205544.49827448494</v>
      </c>
      <c r="C46" s="183">
        <f>C37+C44</f>
        <v>78.442619356357142</v>
      </c>
      <c r="D46" s="184">
        <f>D37+D44</f>
        <v>0.83501721783943883</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-1640168.9995980533</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Hoja107"/>
  <dimension ref="A1:F62"/>
  <sheetViews>
    <sheetView view="pageBreakPreview" zoomScale="90" zoomScaleNormal="90" zoomScaleSheetLayoutView="90" workbookViewId="0">
      <selection activeCell="D15" sqref="D15"/>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332</v>
      </c>
      <c r="B3" s="40"/>
      <c r="C3" s="40"/>
    </row>
    <row r="4" spans="1:5" ht="15.75" x14ac:dyDescent="0.25">
      <c r="B4" s="41"/>
      <c r="C4" s="41"/>
      <c r="D4" s="41"/>
      <c r="E4" s="41"/>
    </row>
    <row r="5" spans="1:5" x14ac:dyDescent="0.2">
      <c r="A5" s="42" t="s">
        <v>184</v>
      </c>
      <c r="B5" s="43" t="s">
        <v>210</v>
      </c>
      <c r="C5" s="44"/>
    </row>
    <row r="6" spans="1:5" x14ac:dyDescent="0.2">
      <c r="A6" s="45" t="s">
        <v>197</v>
      </c>
      <c r="B6" s="306">
        <f>+TA_Datos!D50</f>
        <v>325986.60879994073</v>
      </c>
      <c r="C6" s="47"/>
    </row>
    <row r="7" spans="1:5" x14ac:dyDescent="0.2">
      <c r="A7" s="45" t="s">
        <v>198</v>
      </c>
      <c r="B7" s="307">
        <f>+TA_Datos!D40</f>
        <v>10</v>
      </c>
      <c r="C7" s="38" t="s">
        <v>211</v>
      </c>
    </row>
    <row r="8" spans="1:5" x14ac:dyDescent="0.2">
      <c r="A8" s="45" t="s">
        <v>199</v>
      </c>
      <c r="B8" s="308">
        <f>(TA_Datos!D44/100)*$B$6</f>
        <v>32598.660879994073</v>
      </c>
      <c r="C8" s="47"/>
    </row>
    <row r="9" spans="1:5" x14ac:dyDescent="0.2">
      <c r="A9" s="45" t="s">
        <v>185</v>
      </c>
      <c r="B9" s="308">
        <f>0.05*B6</f>
        <v>16299.330439997037</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Economica'!F12*365</f>
        <v>246156.00000000003</v>
      </c>
      <c r="C13" s="38" t="s">
        <v>3</v>
      </c>
    </row>
    <row r="14" spans="1:5" x14ac:dyDescent="0.2">
      <c r="A14" s="45" t="s">
        <v>189</v>
      </c>
      <c r="B14" s="312">
        <f>+'TA_Evaluacion Economica'!G12</f>
        <v>2620.3166080000005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82.243902439024396</v>
      </c>
      <c r="C18" s="38" t="s">
        <v>23</v>
      </c>
    </row>
    <row r="19" spans="1:4" hidden="1" x14ac:dyDescent="0.2">
      <c r="A19" s="45" t="s">
        <v>194</v>
      </c>
      <c r="B19" s="317"/>
    </row>
    <row r="20" spans="1:4" x14ac:dyDescent="0.2">
      <c r="A20" s="45" t="s">
        <v>193</v>
      </c>
      <c r="B20" s="308">
        <f>0.05*B6</f>
        <v>16299.330439997037</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29338.794791994664</v>
      </c>
      <c r="C35" s="176">
        <f>IF(B$14&gt;0,B35/B$14,0)</f>
        <v>11.196660244193918</v>
      </c>
      <c r="D35" s="177">
        <f>IF(B$13&gt;0,B35/B$13,0)</f>
        <v>0.1191878109491325</v>
      </c>
      <c r="E35" s="188"/>
      <c r="F35" s="64"/>
    </row>
    <row r="36" spans="1:6" x14ac:dyDescent="0.2">
      <c r="A36" s="62" t="s">
        <v>202</v>
      </c>
      <c r="B36" s="65">
        <f>B19+B20</f>
        <v>16299.330439997037</v>
      </c>
      <c r="C36" s="178">
        <f>IF(B$14&gt;0,B36/B$14,0)</f>
        <v>6.2203668023299548</v>
      </c>
      <c r="D36" s="177">
        <f>IF(B$13&gt;0,B36/B$13,0)</f>
        <v>6.6215450527295841E-2</v>
      </c>
      <c r="E36" s="189"/>
      <c r="F36" s="67"/>
    </row>
    <row r="37" spans="1:6" x14ac:dyDescent="0.2">
      <c r="A37" s="62" t="s">
        <v>209</v>
      </c>
      <c r="B37" s="63">
        <f>SUM(B35:B36)</f>
        <v>45638.125231991697</v>
      </c>
      <c r="C37" s="176">
        <f>SUM(C35:C36)</f>
        <v>17.417027046523874</v>
      </c>
      <c r="D37" s="179">
        <f>SUM(D35:D36)</f>
        <v>0.18540326147642833</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16299.330439997037</v>
      </c>
      <c r="C40" s="176">
        <f t="shared" ref="C40:C43" si="0">IF(B$14&gt;0,B40/B$14,0)</f>
        <v>6.2203668023299548</v>
      </c>
      <c r="D40" s="177">
        <f t="shared" ref="D40:D43" si="1">IF(B$13&gt;0,B40/B$13,0)</f>
        <v>6.6215450527295841E-2</v>
      </c>
      <c r="E40" s="188"/>
      <c r="F40" s="64"/>
    </row>
    <row r="41" spans="1:6" x14ac:dyDescent="0.2">
      <c r="A41" s="62" t="s">
        <v>205</v>
      </c>
      <c r="B41" s="70">
        <f>IF(B12&gt;0,B10*B11*B13/B12,0)</f>
        <v>46554.499656000007</v>
      </c>
      <c r="C41" s="176">
        <f t="shared" si="0"/>
        <v>17.766746016060054</v>
      </c>
      <c r="D41" s="177">
        <f t="shared" si="1"/>
        <v>0.18912600000000002</v>
      </c>
      <c r="E41" s="188"/>
      <c r="F41" s="64"/>
    </row>
    <row r="42" spans="1:6" x14ac:dyDescent="0.2">
      <c r="A42" s="62" t="s">
        <v>206</v>
      </c>
      <c r="B42" s="72">
        <f>IF(B16&gt;0,(B13/B17)*B16*1.1,0)</f>
        <v>24369.444000000007</v>
      </c>
      <c r="C42" s="176">
        <f t="shared" si="0"/>
        <v>9.3001906432216916</v>
      </c>
      <c r="D42" s="177">
        <f t="shared" si="1"/>
        <v>9.9000000000000019E-2</v>
      </c>
      <c r="E42" s="188"/>
      <c r="F42" s="64"/>
    </row>
    <row r="43" spans="1:6" x14ac:dyDescent="0.2">
      <c r="A43" s="62" t="s">
        <v>217</v>
      </c>
      <c r="B43" s="65">
        <f>IF(B18&gt;0,(B13/B18)*B21*1.25,0)</f>
        <v>36341.549473248102</v>
      </c>
      <c r="C43" s="176">
        <f t="shared" si="0"/>
        <v>13.869144424110788</v>
      </c>
      <c r="D43" s="177">
        <f t="shared" si="1"/>
        <v>0.14763625291785737</v>
      </c>
      <c r="E43" s="189"/>
      <c r="F43" s="67"/>
    </row>
    <row r="44" spans="1:6" x14ac:dyDescent="0.2">
      <c r="A44" s="62" t="s">
        <v>207</v>
      </c>
      <c r="B44" s="63">
        <f>SUM(B40:B43)</f>
        <v>123564.82356924516</v>
      </c>
      <c r="C44" s="176">
        <f>SUM(C40:C43)</f>
        <v>47.156447885722486</v>
      </c>
      <c r="D44" s="179">
        <f>SUM(D40:D43)</f>
        <v>0.50197770344515324</v>
      </c>
      <c r="E44" s="188"/>
      <c r="F44" s="64"/>
    </row>
    <row r="45" spans="1:6" x14ac:dyDescent="0.2">
      <c r="A45" s="62"/>
      <c r="B45" s="68"/>
      <c r="C45" s="181"/>
      <c r="D45" s="182"/>
      <c r="E45" s="190"/>
      <c r="F45" s="171"/>
    </row>
    <row r="46" spans="1:6" ht="13.5" thickBot="1" x14ac:dyDescent="0.25">
      <c r="A46" s="76" t="s">
        <v>208</v>
      </c>
      <c r="B46" s="77">
        <f>B37+B44</f>
        <v>169202.94880123687</v>
      </c>
      <c r="C46" s="183">
        <f>C37+C44</f>
        <v>64.573474932246356</v>
      </c>
      <c r="D46" s="184">
        <f>D37+D44</f>
        <v>0.68738096492158163</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-1024155.4204324156</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Hoja108"/>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333</v>
      </c>
      <c r="B3" s="40"/>
      <c r="C3" s="40"/>
    </row>
    <row r="4" spans="1:5" ht="15.75" x14ac:dyDescent="0.25">
      <c r="B4" s="41"/>
      <c r="C4" s="41"/>
      <c r="D4" s="41"/>
      <c r="E4" s="41"/>
    </row>
    <row r="5" spans="1:5" x14ac:dyDescent="0.2">
      <c r="A5" s="42" t="s">
        <v>184</v>
      </c>
      <c r="B5" s="43" t="s">
        <v>210</v>
      </c>
      <c r="C5" s="44"/>
    </row>
    <row r="6" spans="1:5" x14ac:dyDescent="0.2">
      <c r="A6" s="45" t="s">
        <v>197</v>
      </c>
      <c r="B6" s="306">
        <f>+TA_Datos!D51</f>
        <v>372556.12434278947</v>
      </c>
      <c r="C6" s="47"/>
    </row>
    <row r="7" spans="1:5" x14ac:dyDescent="0.2">
      <c r="A7" s="45" t="s">
        <v>198</v>
      </c>
      <c r="B7" s="307">
        <f>+TA_Datos!D40</f>
        <v>10</v>
      </c>
      <c r="C7" s="38" t="s">
        <v>211</v>
      </c>
    </row>
    <row r="8" spans="1:5" x14ac:dyDescent="0.2">
      <c r="A8" s="45" t="s">
        <v>199</v>
      </c>
      <c r="B8" s="308">
        <f>(TA_Datos!D44/100)*$B$6</f>
        <v>37255.612434278948</v>
      </c>
      <c r="C8" s="47"/>
    </row>
    <row r="9" spans="1:5" x14ac:dyDescent="0.2">
      <c r="A9" s="45" t="s">
        <v>185</v>
      </c>
      <c r="B9" s="308">
        <f>0.05*B6</f>
        <v>18627.806217139474</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Economica'!F13*365</f>
        <v>205130</v>
      </c>
      <c r="C13" s="38" t="s">
        <v>3</v>
      </c>
    </row>
    <row r="14" spans="1:5" x14ac:dyDescent="0.2">
      <c r="A14" s="45" t="s">
        <v>189</v>
      </c>
      <c r="B14" s="312">
        <f>+'TA_Evaluacion Economica'!G13</f>
        <v>2620.3166080000005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82.243902439024396</v>
      </c>
      <c r="C18" s="38" t="s">
        <v>23</v>
      </c>
    </row>
    <row r="19" spans="1:4" hidden="1" x14ac:dyDescent="0.2">
      <c r="A19" s="45" t="s">
        <v>194</v>
      </c>
      <c r="B19" s="317"/>
    </row>
    <row r="20" spans="1:4" x14ac:dyDescent="0.2">
      <c r="A20" s="45" t="s">
        <v>193</v>
      </c>
      <c r="B20" s="308">
        <f>0.05*B6</f>
        <v>18627.806217139474</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33530.051190851053</v>
      </c>
      <c r="C35" s="176">
        <f>IF(B$14&gt;0,B35/B$14,0)</f>
        <v>12.796183136221623</v>
      </c>
      <c r="D35" s="177">
        <f>IF(B$13&gt;0,B35/B$13,0)</f>
        <v>0.16345756930166749</v>
      </c>
      <c r="E35" s="188"/>
      <c r="F35" s="64"/>
    </row>
    <row r="36" spans="1:6" x14ac:dyDescent="0.2">
      <c r="A36" s="62" t="s">
        <v>202</v>
      </c>
      <c r="B36" s="65">
        <f>B19+B20</f>
        <v>18627.806217139474</v>
      </c>
      <c r="C36" s="178">
        <f>IF(B$14&gt;0,B36/B$14,0)</f>
        <v>7.108990631234235</v>
      </c>
      <c r="D36" s="177">
        <f>IF(B$13&gt;0,B36/B$13,0)</f>
        <v>9.0809760723148614E-2</v>
      </c>
      <c r="E36" s="189"/>
      <c r="F36" s="67"/>
    </row>
    <row r="37" spans="1:6" x14ac:dyDescent="0.2">
      <c r="A37" s="62" t="s">
        <v>209</v>
      </c>
      <c r="B37" s="63">
        <f>SUM(B35:B36)</f>
        <v>52157.857407990523</v>
      </c>
      <c r="C37" s="176">
        <f>SUM(C35:C36)</f>
        <v>19.905173767455857</v>
      </c>
      <c r="D37" s="179">
        <f>SUM(D35:D36)</f>
        <v>0.25426733002481611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18627.806217139474</v>
      </c>
      <c r="C40" s="176">
        <f t="shared" ref="C40:C43" si="0">IF(B$14&gt;0,B40/B$14,0)</f>
        <v>7.108990631234235</v>
      </c>
      <c r="D40" s="177">
        <f t="shared" ref="D40:D43" si="1">IF(B$13&gt;0,B40/B$13,0)</f>
        <v>9.0809760723148614E-2</v>
      </c>
      <c r="E40" s="188"/>
      <c r="F40" s="64"/>
    </row>
    <row r="41" spans="1:6" x14ac:dyDescent="0.2">
      <c r="A41" s="62" t="s">
        <v>205</v>
      </c>
      <c r="B41" s="70">
        <f>IF(B12&gt;0,B10*B11*B13/B12,0)</f>
        <v>38795.416379999995</v>
      </c>
      <c r="C41" s="176">
        <f t="shared" si="0"/>
        <v>14.805621680050042</v>
      </c>
      <c r="D41" s="177">
        <f t="shared" si="1"/>
        <v>0.18912599999999999</v>
      </c>
      <c r="E41" s="188"/>
      <c r="F41" s="64"/>
    </row>
    <row r="42" spans="1:6" x14ac:dyDescent="0.2">
      <c r="A42" s="62" t="s">
        <v>206</v>
      </c>
      <c r="B42" s="72">
        <f>IF(B16&gt;0,(B13/B17)*B16*1.1,0)</f>
        <v>20307.870000000003</v>
      </c>
      <c r="C42" s="176">
        <f t="shared" si="0"/>
        <v>7.7501588693514085</v>
      </c>
      <c r="D42" s="177">
        <f t="shared" si="1"/>
        <v>9.9000000000000019E-2</v>
      </c>
      <c r="E42" s="188"/>
      <c r="F42" s="64"/>
    </row>
    <row r="43" spans="1:6" x14ac:dyDescent="0.2">
      <c r="A43" s="62" t="s">
        <v>217</v>
      </c>
      <c r="B43" s="65">
        <f>IF(B18&gt;0,(B13/B18)*B21*1.25,0)</f>
        <v>60569.24912208016</v>
      </c>
      <c r="C43" s="176">
        <f t="shared" si="0"/>
        <v>23.11524070685131</v>
      </c>
      <c r="D43" s="177">
        <f t="shared" si="1"/>
        <v>0.29527250583571474</v>
      </c>
      <c r="E43" s="189"/>
      <c r="F43" s="67"/>
    </row>
    <row r="44" spans="1:6" x14ac:dyDescent="0.2">
      <c r="A44" s="62" t="s">
        <v>207</v>
      </c>
      <c r="B44" s="63">
        <f>SUM(B40:B43)</f>
        <v>138300.34171921964</v>
      </c>
      <c r="C44" s="176">
        <f>SUM(C40:C43)</f>
        <v>52.780011887486992</v>
      </c>
      <c r="D44" s="179">
        <f>SUM(D40:D43)</f>
        <v>0.67420826655886334</v>
      </c>
      <c r="E44" s="188"/>
      <c r="F44" s="64"/>
    </row>
    <row r="45" spans="1:6" x14ac:dyDescent="0.2">
      <c r="A45" s="62"/>
      <c r="B45" s="68"/>
      <c r="C45" s="181"/>
      <c r="D45" s="182"/>
      <c r="E45" s="190"/>
      <c r="F45" s="171"/>
    </row>
    <row r="46" spans="1:6" ht="13.5" thickBot="1" x14ac:dyDescent="0.25">
      <c r="A46" s="76" t="s">
        <v>208</v>
      </c>
      <c r="B46" s="77">
        <f>B37+B44</f>
        <v>190458.19912721016</v>
      </c>
      <c r="C46" s="183">
        <f>C37+C44</f>
        <v>72.685185654942842</v>
      </c>
      <c r="D46" s="184">
        <f>D37+D44</f>
        <v>0.92847559658367951</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-1496213.6661649484</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Hoja109"/>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333</v>
      </c>
      <c r="B3" s="40"/>
      <c r="C3" s="40"/>
    </row>
    <row r="4" spans="1:5" ht="15.75" x14ac:dyDescent="0.25">
      <c r="B4" s="41"/>
      <c r="C4" s="41"/>
      <c r="D4" s="41"/>
      <c r="E4" s="41"/>
    </row>
    <row r="5" spans="1:5" x14ac:dyDescent="0.2">
      <c r="A5" s="42" t="s">
        <v>184</v>
      </c>
      <c r="B5" s="43" t="s">
        <v>210</v>
      </c>
      <c r="C5" s="44"/>
    </row>
    <row r="6" spans="1:5" x14ac:dyDescent="0.2">
      <c r="A6" s="45" t="s">
        <v>197</v>
      </c>
      <c r="B6" s="306">
        <f>+TA_Datos!D51</f>
        <v>372556.12434278947</v>
      </c>
      <c r="C6" s="47"/>
    </row>
    <row r="7" spans="1:5" x14ac:dyDescent="0.2">
      <c r="A7" s="45" t="s">
        <v>198</v>
      </c>
      <c r="B7" s="307">
        <f>+TA_Datos!D40</f>
        <v>10</v>
      </c>
      <c r="C7" s="38" t="s">
        <v>211</v>
      </c>
    </row>
    <row r="8" spans="1:5" x14ac:dyDescent="0.2">
      <c r="A8" s="45" t="s">
        <v>199</v>
      </c>
      <c r="B8" s="308">
        <f>(TA_Datos!D44/100)*$B$6</f>
        <v>37255.612434278948</v>
      </c>
      <c r="C8" s="47"/>
    </row>
    <row r="9" spans="1:5" x14ac:dyDescent="0.2">
      <c r="A9" s="45" t="s">
        <v>185</v>
      </c>
      <c r="B9" s="308">
        <f>0.05*B6</f>
        <v>18627.806217139474</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Economica'!F14*365</f>
        <v>205130</v>
      </c>
      <c r="C13" s="38" t="s">
        <v>3</v>
      </c>
    </row>
    <row r="14" spans="1:5" x14ac:dyDescent="0.2">
      <c r="A14" s="45" t="s">
        <v>189</v>
      </c>
      <c r="B14" s="312">
        <f>+'TA_Evaluacion Economica'!G14</f>
        <v>2620.3166080000005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82.243902439024396</v>
      </c>
      <c r="C18" s="38" t="s">
        <v>23</v>
      </c>
    </row>
    <row r="19" spans="1:4" hidden="1" x14ac:dyDescent="0.2">
      <c r="A19" s="45" t="s">
        <v>194</v>
      </c>
      <c r="B19" s="317"/>
    </row>
    <row r="20" spans="1:4" x14ac:dyDescent="0.2">
      <c r="A20" s="45" t="s">
        <v>193</v>
      </c>
      <c r="B20" s="308">
        <f>0.05*B6</f>
        <v>18627.806217139474</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33530.051190851053</v>
      </c>
      <c r="C35" s="176">
        <f>IF(B$14&gt;0,B35/B$14,0)</f>
        <v>12.796183136221623</v>
      </c>
      <c r="D35" s="177">
        <f>IF(B$13&gt;0,B35/B$13,0)</f>
        <v>0.16345756930166749</v>
      </c>
      <c r="E35" s="188"/>
      <c r="F35" s="64"/>
    </row>
    <row r="36" spans="1:6" x14ac:dyDescent="0.2">
      <c r="A36" s="62" t="s">
        <v>202</v>
      </c>
      <c r="B36" s="65">
        <f>B19+B20</f>
        <v>18627.806217139474</v>
      </c>
      <c r="C36" s="178">
        <f>IF(B$14&gt;0,B36/B$14,0)</f>
        <v>7.108990631234235</v>
      </c>
      <c r="D36" s="177">
        <f>IF(B$13&gt;0,B36/B$13,0)</f>
        <v>9.0809760723148614E-2</v>
      </c>
      <c r="E36" s="189"/>
      <c r="F36" s="67"/>
    </row>
    <row r="37" spans="1:6" x14ac:dyDescent="0.2">
      <c r="A37" s="62" t="s">
        <v>209</v>
      </c>
      <c r="B37" s="63">
        <f>SUM(B35:B36)</f>
        <v>52157.857407990523</v>
      </c>
      <c r="C37" s="176">
        <f>SUM(C35:C36)</f>
        <v>19.905173767455857</v>
      </c>
      <c r="D37" s="179">
        <f>SUM(D35:D36)</f>
        <v>0.25426733002481611</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18627.806217139474</v>
      </c>
      <c r="C40" s="176">
        <f t="shared" ref="C40:C43" si="0">IF(B$14&gt;0,B40/B$14,0)</f>
        <v>7.108990631234235</v>
      </c>
      <c r="D40" s="177">
        <f t="shared" ref="D40:D43" si="1">IF(B$13&gt;0,B40/B$13,0)</f>
        <v>9.0809760723148614E-2</v>
      </c>
      <c r="E40" s="188"/>
      <c r="F40" s="64"/>
    </row>
    <row r="41" spans="1:6" x14ac:dyDescent="0.2">
      <c r="A41" s="62" t="s">
        <v>205</v>
      </c>
      <c r="B41" s="70">
        <f>IF(B12&gt;0,B10*B11*B13/B12,0)</f>
        <v>38795.416379999995</v>
      </c>
      <c r="C41" s="176">
        <f t="shared" si="0"/>
        <v>14.805621680050042</v>
      </c>
      <c r="D41" s="177">
        <f t="shared" si="1"/>
        <v>0.18912599999999999</v>
      </c>
      <c r="E41" s="188"/>
      <c r="F41" s="64"/>
    </row>
    <row r="42" spans="1:6" x14ac:dyDescent="0.2">
      <c r="A42" s="62" t="s">
        <v>206</v>
      </c>
      <c r="B42" s="72">
        <f>IF(B16&gt;0,(B13/B17)*B16*1.1,0)</f>
        <v>20307.870000000003</v>
      </c>
      <c r="C42" s="176">
        <f t="shared" si="0"/>
        <v>7.7501588693514085</v>
      </c>
      <c r="D42" s="177">
        <f t="shared" si="1"/>
        <v>9.9000000000000019E-2</v>
      </c>
      <c r="E42" s="188"/>
      <c r="F42" s="64"/>
    </row>
    <row r="43" spans="1:6" x14ac:dyDescent="0.2">
      <c r="A43" s="62" t="s">
        <v>217</v>
      </c>
      <c r="B43" s="65">
        <f>IF(B18&gt;0,(B13/B18)*B21*1.25,0)</f>
        <v>30284.62456104008</v>
      </c>
      <c r="C43" s="176">
        <f t="shared" si="0"/>
        <v>11.557620353425655</v>
      </c>
      <c r="D43" s="177">
        <f t="shared" si="1"/>
        <v>0.14763625291785737</v>
      </c>
      <c r="E43" s="189"/>
      <c r="F43" s="67"/>
    </row>
    <row r="44" spans="1:6" x14ac:dyDescent="0.2">
      <c r="A44" s="62" t="s">
        <v>207</v>
      </c>
      <c r="B44" s="63">
        <f>SUM(B40:B43)</f>
        <v>108015.71715817956</v>
      </c>
      <c r="C44" s="176">
        <f>SUM(C40:C43)</f>
        <v>41.222391534061344</v>
      </c>
      <c r="D44" s="179">
        <f>SUM(D40:D43)</f>
        <v>0.52657201364100603</v>
      </c>
      <c r="E44" s="188"/>
      <c r="F44" s="64"/>
    </row>
    <row r="45" spans="1:6" x14ac:dyDescent="0.2">
      <c r="A45" s="62"/>
      <c r="B45" s="68"/>
      <c r="C45" s="181"/>
      <c r="D45" s="182"/>
      <c r="E45" s="190"/>
      <c r="F45" s="171"/>
    </row>
    <row r="46" spans="1:6" ht="13.5" thickBot="1" x14ac:dyDescent="0.25">
      <c r="A46" s="76" t="s">
        <v>208</v>
      </c>
      <c r="B46" s="77">
        <f>B37+B44</f>
        <v>160173.57456617008</v>
      </c>
      <c r="C46" s="183">
        <f>C37+C44</f>
        <v>61.127565301517201</v>
      </c>
      <c r="D46" s="184">
        <f>D37+D44</f>
        <v>0.78083934366582208</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-982869.01686025038</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Hoja110"/>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334</v>
      </c>
      <c r="B3" s="40"/>
      <c r="C3" s="40"/>
    </row>
    <row r="4" spans="1:5" ht="15.75" x14ac:dyDescent="0.25">
      <c r="B4" s="41"/>
      <c r="C4" s="41"/>
      <c r="D4" s="41"/>
      <c r="E4" s="41"/>
    </row>
    <row r="5" spans="1:5" x14ac:dyDescent="0.2">
      <c r="A5" s="42" t="s">
        <v>184</v>
      </c>
      <c r="B5" s="43" t="s">
        <v>210</v>
      </c>
      <c r="C5" s="44"/>
    </row>
    <row r="6" spans="1:5" x14ac:dyDescent="0.2">
      <c r="A6" s="45" t="s">
        <v>197</v>
      </c>
      <c r="B6" s="306">
        <f>+TA_Datos!D52</f>
        <v>419125.63988563808</v>
      </c>
      <c r="C6" s="47"/>
    </row>
    <row r="7" spans="1:5" x14ac:dyDescent="0.2">
      <c r="A7" s="45" t="s">
        <v>198</v>
      </c>
      <c r="B7" s="307">
        <f>+TA_Datos!D40</f>
        <v>10</v>
      </c>
      <c r="C7" s="38" t="s">
        <v>211</v>
      </c>
    </row>
    <row r="8" spans="1:5" x14ac:dyDescent="0.2">
      <c r="A8" s="45" t="s">
        <v>199</v>
      </c>
      <c r="B8" s="308">
        <f>(TA_Datos!D44/100)*$B$6</f>
        <v>41912.563988563808</v>
      </c>
      <c r="C8" s="47"/>
    </row>
    <row r="9" spans="1:5" x14ac:dyDescent="0.2">
      <c r="A9" s="45" t="s">
        <v>185</v>
      </c>
      <c r="B9" s="308">
        <f>0.05*B6</f>
        <v>20956.281994281904</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Economica'!F15*365</f>
        <v>205130</v>
      </c>
      <c r="C13" s="38" t="s">
        <v>3</v>
      </c>
    </row>
    <row r="14" spans="1:5" x14ac:dyDescent="0.2">
      <c r="A14" s="45" t="s">
        <v>189</v>
      </c>
      <c r="B14" s="312">
        <f>+'TA_Evaluacion Economica'!G15</f>
        <v>2620.3166080000005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82.243902439024396</v>
      </c>
      <c r="C18" s="38" t="s">
        <v>23</v>
      </c>
    </row>
    <row r="19" spans="1:4" hidden="1" x14ac:dyDescent="0.2">
      <c r="A19" s="45" t="s">
        <v>194</v>
      </c>
      <c r="B19" s="317"/>
    </row>
    <row r="20" spans="1:4" x14ac:dyDescent="0.2">
      <c r="A20" s="45" t="s">
        <v>193</v>
      </c>
      <c r="B20" s="308">
        <f>0.05*B6</f>
        <v>20956.281994281904</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37721.30758970743</v>
      </c>
      <c r="C35" s="176">
        <f>IF(B$14&gt;0,B35/B$14,0)</f>
        <v>14.395706028249325</v>
      </c>
      <c r="D35" s="177">
        <f>IF(B$13&gt;0,B35/B$13,0)</f>
        <v>0.18388976546437591</v>
      </c>
      <c r="E35" s="188"/>
      <c r="F35" s="64"/>
    </row>
    <row r="36" spans="1:6" x14ac:dyDescent="0.2">
      <c r="A36" s="62" t="s">
        <v>202</v>
      </c>
      <c r="B36" s="65">
        <f>B19+B20</f>
        <v>20956.281994281904</v>
      </c>
      <c r="C36" s="178">
        <f>IF(B$14&gt;0,B36/B$14,0)</f>
        <v>7.9976144601385135</v>
      </c>
      <c r="D36" s="177">
        <f>IF(B$13&gt;0,B36/B$13,0)</f>
        <v>0.10216098081354216</v>
      </c>
      <c r="E36" s="189"/>
      <c r="F36" s="67"/>
    </row>
    <row r="37" spans="1:6" x14ac:dyDescent="0.2">
      <c r="A37" s="62" t="s">
        <v>209</v>
      </c>
      <c r="B37" s="63">
        <f>SUM(B35:B36)</f>
        <v>58677.589583989335</v>
      </c>
      <c r="C37" s="176">
        <f>SUM(C35:C36)</f>
        <v>22.39332048838784</v>
      </c>
      <c r="D37" s="179">
        <f>SUM(D35:D36)</f>
        <v>0.28605074627791804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20956.281994281904</v>
      </c>
      <c r="C40" s="176">
        <f t="shared" ref="C40:C43" si="0">IF(B$14&gt;0,B40/B$14,0)</f>
        <v>7.9976144601385135</v>
      </c>
      <c r="D40" s="177">
        <f t="shared" ref="D40:D43" si="1">IF(B$13&gt;0,B40/B$13,0)</f>
        <v>0.10216098081354216</v>
      </c>
      <c r="E40" s="188"/>
      <c r="F40" s="64"/>
    </row>
    <row r="41" spans="1:6" x14ac:dyDescent="0.2">
      <c r="A41" s="62" t="s">
        <v>205</v>
      </c>
      <c r="B41" s="70">
        <f>IF(B12&gt;0,B10*B11*B13/B12,0)</f>
        <v>38795.416379999995</v>
      </c>
      <c r="C41" s="176">
        <f t="shared" si="0"/>
        <v>14.805621680050042</v>
      </c>
      <c r="D41" s="177">
        <f t="shared" si="1"/>
        <v>0.18912599999999999</v>
      </c>
      <c r="E41" s="188"/>
      <c r="F41" s="64"/>
    </row>
    <row r="42" spans="1:6" x14ac:dyDescent="0.2">
      <c r="A42" s="62" t="s">
        <v>206</v>
      </c>
      <c r="B42" s="72">
        <f>IF(B16&gt;0,(B13/B17)*B16*1.1,0)</f>
        <v>20307.870000000003</v>
      </c>
      <c r="C42" s="176">
        <f t="shared" si="0"/>
        <v>7.7501588693514085</v>
      </c>
      <c r="D42" s="177">
        <f t="shared" si="1"/>
        <v>9.9000000000000019E-2</v>
      </c>
      <c r="E42" s="188"/>
      <c r="F42" s="64"/>
    </row>
    <row r="43" spans="1:6" x14ac:dyDescent="0.2">
      <c r="A43" s="62" t="s">
        <v>217</v>
      </c>
      <c r="B43" s="65">
        <f>IF(B18&gt;0,(B13/B18)*B21*1.25,0)</f>
        <v>60569.24912208016</v>
      </c>
      <c r="C43" s="176">
        <f t="shared" si="0"/>
        <v>23.11524070685131</v>
      </c>
      <c r="D43" s="177">
        <f t="shared" si="1"/>
        <v>0.29527250583571474</v>
      </c>
      <c r="E43" s="189"/>
      <c r="F43" s="67"/>
    </row>
    <row r="44" spans="1:6" x14ac:dyDescent="0.2">
      <c r="A44" s="62" t="s">
        <v>207</v>
      </c>
      <c r="B44" s="63">
        <f>SUM(B40:B43)</f>
        <v>140628.81749636205</v>
      </c>
      <c r="C44" s="176">
        <f>SUM(C40:C43)</f>
        <v>53.668635716391279</v>
      </c>
      <c r="D44" s="179">
        <f>SUM(D40:D43)</f>
        <v>0.68555948664925692</v>
      </c>
      <c r="E44" s="188"/>
      <c r="F44" s="64"/>
    </row>
    <row r="45" spans="1:6" x14ac:dyDescent="0.2">
      <c r="A45" s="62"/>
      <c r="B45" s="68"/>
      <c r="C45" s="181"/>
      <c r="D45" s="182"/>
      <c r="E45" s="190"/>
      <c r="F45" s="171"/>
    </row>
    <row r="46" spans="1:6" ht="13.5" thickBot="1" x14ac:dyDescent="0.25">
      <c r="A46" s="76" t="s">
        <v>208</v>
      </c>
      <c r="B46" s="77">
        <f>B37+B44</f>
        <v>199306.40708035138</v>
      </c>
      <c r="C46" s="183">
        <f>C37+C44</f>
        <v>76.061956204779122</v>
      </c>
      <c r="D46" s="184">
        <f>D37+D44</f>
        <v>0.97161023292717497</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-1555939.5891649041</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Hoja111"/>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334</v>
      </c>
      <c r="B3" s="40"/>
      <c r="C3" s="40"/>
    </row>
    <row r="4" spans="1:5" ht="15.75" x14ac:dyDescent="0.25">
      <c r="B4" s="41"/>
      <c r="C4" s="41"/>
      <c r="D4" s="41"/>
      <c r="E4" s="41"/>
    </row>
    <row r="5" spans="1:5" x14ac:dyDescent="0.2">
      <c r="A5" s="42" t="s">
        <v>184</v>
      </c>
      <c r="B5" s="43" t="s">
        <v>210</v>
      </c>
      <c r="C5" s="44"/>
    </row>
    <row r="6" spans="1:5" x14ac:dyDescent="0.2">
      <c r="A6" s="45" t="s">
        <v>197</v>
      </c>
      <c r="B6" s="306">
        <f>+TA_Datos!D52</f>
        <v>419125.63988563808</v>
      </c>
      <c r="C6" s="47"/>
    </row>
    <row r="7" spans="1:5" x14ac:dyDescent="0.2">
      <c r="A7" s="45" t="s">
        <v>198</v>
      </c>
      <c r="B7" s="307">
        <f>+TA_Datos!D40</f>
        <v>10</v>
      </c>
      <c r="C7" s="38" t="s">
        <v>211</v>
      </c>
    </row>
    <row r="8" spans="1:5" x14ac:dyDescent="0.2">
      <c r="A8" s="45" t="s">
        <v>199</v>
      </c>
      <c r="B8" s="308">
        <f>(TA_Datos!D44/100)*$B$6</f>
        <v>41912.563988563808</v>
      </c>
      <c r="C8" s="47"/>
    </row>
    <row r="9" spans="1:5" x14ac:dyDescent="0.2">
      <c r="A9" s="45" t="s">
        <v>185</v>
      </c>
      <c r="B9" s="308">
        <f>0.05*B6</f>
        <v>20956.281994281904</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Economica'!F16*365</f>
        <v>205130</v>
      </c>
      <c r="C13" s="38" t="s">
        <v>3</v>
      </c>
    </row>
    <row r="14" spans="1:5" x14ac:dyDescent="0.2">
      <c r="A14" s="45" t="s">
        <v>189</v>
      </c>
      <c r="B14" s="312">
        <f>+'TA_Evaluacion Economica'!G16</f>
        <v>2620.3166080000005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82.243902439024396</v>
      </c>
      <c r="C18" s="38" t="s">
        <v>23</v>
      </c>
    </row>
    <row r="19" spans="1:4" hidden="1" x14ac:dyDescent="0.2">
      <c r="A19" s="45" t="s">
        <v>194</v>
      </c>
      <c r="B19" s="317"/>
    </row>
    <row r="20" spans="1:4" x14ac:dyDescent="0.2">
      <c r="A20" s="45" t="s">
        <v>193</v>
      </c>
      <c r="B20" s="308">
        <f>0.05*B6</f>
        <v>20956.281994281904</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37721.30758970743</v>
      </c>
      <c r="C35" s="176">
        <f>IF(B$14&gt;0,B35/B$14,0)</f>
        <v>14.395706028249325</v>
      </c>
      <c r="D35" s="177">
        <f>IF(B$13&gt;0,B35/B$13,0)</f>
        <v>0.18388976546437591</v>
      </c>
      <c r="E35" s="188"/>
      <c r="F35" s="64"/>
    </row>
    <row r="36" spans="1:6" x14ac:dyDescent="0.2">
      <c r="A36" s="62" t="s">
        <v>202</v>
      </c>
      <c r="B36" s="65">
        <f>B19+B20</f>
        <v>20956.281994281904</v>
      </c>
      <c r="C36" s="178">
        <f>IF(B$14&gt;0,B36/B$14,0)</f>
        <v>7.9976144601385135</v>
      </c>
      <c r="D36" s="177">
        <f>IF(B$13&gt;0,B36/B$13,0)</f>
        <v>0.10216098081354216</v>
      </c>
      <c r="E36" s="189"/>
      <c r="F36" s="67"/>
    </row>
    <row r="37" spans="1:6" x14ac:dyDescent="0.2">
      <c r="A37" s="62" t="s">
        <v>209</v>
      </c>
      <c r="B37" s="63">
        <f>SUM(B35:B36)</f>
        <v>58677.589583989335</v>
      </c>
      <c r="C37" s="176">
        <f>SUM(C35:C36)</f>
        <v>22.39332048838784</v>
      </c>
      <c r="D37" s="179">
        <f>SUM(D35:D36)</f>
        <v>0.28605074627791804</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20956.281994281904</v>
      </c>
      <c r="C40" s="176">
        <f t="shared" ref="C40:C43" si="0">IF(B$14&gt;0,B40/B$14,0)</f>
        <v>7.9976144601385135</v>
      </c>
      <c r="D40" s="177">
        <f t="shared" ref="D40:D43" si="1">IF(B$13&gt;0,B40/B$13,0)</f>
        <v>0.10216098081354216</v>
      </c>
      <c r="E40" s="188"/>
      <c r="F40" s="64"/>
    </row>
    <row r="41" spans="1:6" x14ac:dyDescent="0.2">
      <c r="A41" s="62" t="s">
        <v>205</v>
      </c>
      <c r="B41" s="70">
        <f>IF(B12&gt;0,B10*B11*B13/B12,0)</f>
        <v>38795.416379999995</v>
      </c>
      <c r="C41" s="176">
        <f t="shared" si="0"/>
        <v>14.805621680050042</v>
      </c>
      <c r="D41" s="177">
        <f t="shared" si="1"/>
        <v>0.18912599999999999</v>
      </c>
      <c r="E41" s="188"/>
      <c r="F41" s="64"/>
    </row>
    <row r="42" spans="1:6" x14ac:dyDescent="0.2">
      <c r="A42" s="62" t="s">
        <v>206</v>
      </c>
      <c r="B42" s="72">
        <f>IF(B16&gt;0,(B13/B17)*B16*1.1,0)</f>
        <v>20307.870000000003</v>
      </c>
      <c r="C42" s="176">
        <f t="shared" si="0"/>
        <v>7.7501588693514085</v>
      </c>
      <c r="D42" s="177">
        <f t="shared" si="1"/>
        <v>9.9000000000000019E-2</v>
      </c>
      <c r="E42" s="188"/>
      <c r="F42" s="64"/>
    </row>
    <row r="43" spans="1:6" x14ac:dyDescent="0.2">
      <c r="A43" s="62" t="s">
        <v>217</v>
      </c>
      <c r="B43" s="65">
        <f>IF(B18&gt;0,(B13/B18)*B21*1.25,0)</f>
        <v>30284.62456104008</v>
      </c>
      <c r="C43" s="176">
        <f t="shared" si="0"/>
        <v>11.557620353425655</v>
      </c>
      <c r="D43" s="177">
        <f t="shared" si="1"/>
        <v>0.14763625291785737</v>
      </c>
      <c r="E43" s="189"/>
      <c r="F43" s="67"/>
    </row>
    <row r="44" spans="1:6" x14ac:dyDescent="0.2">
      <c r="A44" s="62" t="s">
        <v>207</v>
      </c>
      <c r="B44" s="63">
        <f>SUM(B40:B43)</f>
        <v>110344.19293532197</v>
      </c>
      <c r="C44" s="176">
        <f>SUM(C40:C43)</f>
        <v>42.111015362965617</v>
      </c>
      <c r="D44" s="179">
        <f>SUM(D40:D43)</f>
        <v>0.5379232337313995</v>
      </c>
      <c r="E44" s="188"/>
      <c r="F44" s="64"/>
    </row>
    <row r="45" spans="1:6" x14ac:dyDescent="0.2">
      <c r="A45" s="62"/>
      <c r="B45" s="68"/>
      <c r="C45" s="181"/>
      <c r="D45" s="182"/>
      <c r="E45" s="190"/>
      <c r="F45" s="171"/>
    </row>
    <row r="46" spans="1:6" ht="13.5" thickBot="1" x14ac:dyDescent="0.25">
      <c r="A46" s="76" t="s">
        <v>208</v>
      </c>
      <c r="B46" s="77">
        <f>B37+B44</f>
        <v>169021.78251931129</v>
      </c>
      <c r="C46" s="183">
        <f>C37+C44</f>
        <v>64.50433585135346</v>
      </c>
      <c r="D46" s="184">
        <f>D37+D44</f>
        <v>0.82397398000931754</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-1042594.9398602061</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Hoja112"/>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335</v>
      </c>
      <c r="B3" s="40"/>
      <c r="C3" s="40"/>
    </row>
    <row r="4" spans="1:5" ht="15.75" x14ac:dyDescent="0.25">
      <c r="B4" s="41"/>
      <c r="C4" s="41"/>
      <c r="D4" s="41"/>
      <c r="E4" s="41"/>
    </row>
    <row r="5" spans="1:5" x14ac:dyDescent="0.2">
      <c r="A5" s="42" t="s">
        <v>184</v>
      </c>
      <c r="B5" s="43" t="s">
        <v>210</v>
      </c>
      <c r="C5" s="44"/>
    </row>
    <row r="6" spans="1:5" x14ac:dyDescent="0.2">
      <c r="A6" s="45" t="s">
        <v>197</v>
      </c>
      <c r="B6" s="306">
        <f>+TA_Datos!D53</f>
        <v>465695.15542848682</v>
      </c>
      <c r="C6" s="47"/>
    </row>
    <row r="7" spans="1:5" x14ac:dyDescent="0.2">
      <c r="A7" s="45" t="s">
        <v>198</v>
      </c>
      <c r="B7" s="307">
        <f>+TA_Datos!D40</f>
        <v>10</v>
      </c>
      <c r="C7" s="38" t="s">
        <v>211</v>
      </c>
    </row>
    <row r="8" spans="1:5" x14ac:dyDescent="0.2">
      <c r="A8" s="45" t="s">
        <v>199</v>
      </c>
      <c r="B8" s="308">
        <f>(TA_Datos!D44/100)*$B$6</f>
        <v>46569.515542848683</v>
      </c>
      <c r="C8" s="47"/>
    </row>
    <row r="9" spans="1:5" x14ac:dyDescent="0.2">
      <c r="A9" s="45" t="s">
        <v>185</v>
      </c>
      <c r="B9" s="308">
        <f>0.05*B6</f>
        <v>23284.757771424342</v>
      </c>
      <c r="C9" s="49"/>
      <c r="D9" s="49"/>
    </row>
    <row r="10" spans="1:5" x14ac:dyDescent="0.2">
      <c r="A10" s="45" t="s">
        <v>186</v>
      </c>
      <c r="B10" s="309">
        <v>10</v>
      </c>
      <c r="C10" s="51"/>
      <c r="D10" s="49"/>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Economica'!F17*365</f>
        <v>164104</v>
      </c>
      <c r="C13" s="38" t="s">
        <v>3</v>
      </c>
    </row>
    <row r="14" spans="1:5" x14ac:dyDescent="0.2">
      <c r="A14" s="45" t="s">
        <v>189</v>
      </c>
      <c r="B14" s="312">
        <f>+'TA_Evaluacion Economica'!G17</f>
        <v>2620.3166080000005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82.243902439024396</v>
      </c>
      <c r="C18" s="38" t="s">
        <v>23</v>
      </c>
    </row>
    <row r="19" spans="1:4" hidden="1" x14ac:dyDescent="0.2">
      <c r="A19" s="45" t="s">
        <v>194</v>
      </c>
      <c r="B19" s="317"/>
    </row>
    <row r="20" spans="1:4" x14ac:dyDescent="0.2">
      <c r="A20" s="45" t="s">
        <v>193</v>
      </c>
      <c r="B20" s="308">
        <f>0.05*B6</f>
        <v>23284.757771424342</v>
      </c>
    </row>
    <row r="21" spans="1:4" x14ac:dyDescent="0.2">
      <c r="A21" s="45" t="s">
        <v>330</v>
      </c>
      <c r="B21" s="314">
        <f>+'Mano de Obra'!B76*2</f>
        <v>19.427490530303029</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41912.563988563816</v>
      </c>
      <c r="C35" s="176">
        <f>IF(B$14&gt;0,B35/B$14,0)</f>
        <v>15.995228920277029</v>
      </c>
      <c r="D35" s="177">
        <f>IF(B$13&gt;0,B35/B$13,0)</f>
        <v>0.25540245203385548</v>
      </c>
      <c r="E35" s="188"/>
      <c r="F35" s="64"/>
    </row>
    <row r="36" spans="1:6" x14ac:dyDescent="0.2">
      <c r="A36" s="62" t="s">
        <v>202</v>
      </c>
      <c r="B36" s="65">
        <f>B19+B20</f>
        <v>23284.757771424342</v>
      </c>
      <c r="C36" s="178">
        <f>IF(B$14&gt;0,B36/B$14,0)</f>
        <v>8.8862382890427938</v>
      </c>
      <c r="D36" s="177">
        <f>IF(B$13&gt;0,B36/B$13,0)</f>
        <v>0.14189025112991968</v>
      </c>
      <c r="E36" s="189"/>
      <c r="F36" s="67"/>
    </row>
    <row r="37" spans="1:6" x14ac:dyDescent="0.2">
      <c r="A37" s="62" t="s">
        <v>209</v>
      </c>
      <c r="B37" s="63">
        <f>SUM(B35:B36)</f>
        <v>65197.321759988161</v>
      </c>
      <c r="C37" s="176">
        <f>SUM(C35:C36)</f>
        <v>24.881467209319823</v>
      </c>
      <c r="D37" s="179">
        <f>SUM(D35:D36)</f>
        <v>0.39729270316377518</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23284.757771424342</v>
      </c>
      <c r="C40" s="176">
        <f t="shared" ref="C40:C43" si="0">IF(B$14&gt;0,B40/B$14,0)</f>
        <v>8.8862382890427938</v>
      </c>
      <c r="D40" s="177">
        <f t="shared" ref="D40:D43" si="1">IF(B$13&gt;0,B40/B$13,0)</f>
        <v>0.14189025112991968</v>
      </c>
      <c r="E40" s="188"/>
      <c r="F40" s="64"/>
    </row>
    <row r="41" spans="1:6" x14ac:dyDescent="0.2">
      <c r="A41" s="62" t="s">
        <v>205</v>
      </c>
      <c r="B41" s="70">
        <f>IF(B12&gt;0,B10*B11*B13/B12,0)</f>
        <v>31036.333103999998</v>
      </c>
      <c r="C41" s="176">
        <f t="shared" si="0"/>
        <v>11.844497344040034</v>
      </c>
      <c r="D41" s="177">
        <f t="shared" si="1"/>
        <v>0.18912599999999999</v>
      </c>
      <c r="E41" s="188"/>
      <c r="F41" s="64"/>
    </row>
    <row r="42" spans="1:6" x14ac:dyDescent="0.2">
      <c r="A42" s="62" t="s">
        <v>206</v>
      </c>
      <c r="B42" s="72">
        <f>IF(B16&gt;0,(B13/B17)*B16*1.1,0)</f>
        <v>16246.296000000004</v>
      </c>
      <c r="C42" s="176">
        <f t="shared" si="0"/>
        <v>6.2001270954811281</v>
      </c>
      <c r="D42" s="177">
        <f t="shared" si="1"/>
        <v>9.9000000000000019E-2</v>
      </c>
      <c r="E42" s="188"/>
      <c r="F42" s="64"/>
    </row>
    <row r="43" spans="1:6" x14ac:dyDescent="0.2">
      <c r="A43" s="62" t="s">
        <v>217</v>
      </c>
      <c r="B43" s="65">
        <f>IF(B18&gt;0,(B13/B18)*B21*1.25,0)</f>
        <v>48455.399297664131</v>
      </c>
      <c r="C43" s="176">
        <f t="shared" si="0"/>
        <v>18.492192565481048</v>
      </c>
      <c r="D43" s="177">
        <f t="shared" si="1"/>
        <v>0.29527250583571474</v>
      </c>
      <c r="E43" s="189"/>
      <c r="F43" s="67"/>
    </row>
    <row r="44" spans="1:6" x14ac:dyDescent="0.2">
      <c r="A44" s="62" t="s">
        <v>207</v>
      </c>
      <c r="B44" s="63">
        <f>SUM(B40:B43)</f>
        <v>119022.78617308848</v>
      </c>
      <c r="C44" s="176">
        <f>SUM(C40:C43)</f>
        <v>45.423055294045007</v>
      </c>
      <c r="D44" s="179">
        <f>SUM(D40:D43)</f>
        <v>0.72528875696563444</v>
      </c>
      <c r="E44" s="188"/>
      <c r="F44" s="64"/>
    </row>
    <row r="45" spans="1:6" x14ac:dyDescent="0.2">
      <c r="A45" s="62"/>
      <c r="B45" s="68"/>
      <c r="C45" s="181"/>
      <c r="D45" s="182"/>
      <c r="E45" s="190"/>
      <c r="F45" s="171"/>
    </row>
    <row r="46" spans="1:6" ht="13.5" thickBot="1" x14ac:dyDescent="0.25">
      <c r="A46" s="76" t="s">
        <v>208</v>
      </c>
      <c r="B46" s="77">
        <f>B37+B44</f>
        <v>184220.10793307662</v>
      </c>
      <c r="C46" s="183">
        <f>C37+C44</f>
        <v>70.304522503364836</v>
      </c>
      <c r="D46" s="184">
        <f>D37+D44</f>
        <v>1.1225814601294095</v>
      </c>
      <c r="E46" s="191"/>
      <c r="F46" s="173"/>
    </row>
    <row r="50" spans="1:2" x14ac:dyDescent="0.2">
      <c r="A50" s="78" t="s">
        <v>216</v>
      </c>
    </row>
    <row r="52" spans="1:2" ht="13.5" thickBot="1" x14ac:dyDescent="0.25"/>
    <row r="53" spans="1:2" ht="13.5" thickBot="1" x14ac:dyDescent="0.25">
      <c r="A53" s="124" t="s">
        <v>143</v>
      </c>
    </row>
    <row r="54" spans="1:2" ht="13.5" thickBot="1" x14ac:dyDescent="0.25">
      <c r="A54" s="122"/>
      <c r="B54" s="669"/>
    </row>
    <row r="55" spans="1:2" ht="13.5" thickBot="1" x14ac:dyDescent="0.25">
      <c r="A55" s="123" t="s">
        <v>145</v>
      </c>
      <c r="B55" s="79">
        <f>+PV(TA_Datos!D69,B7,B44+B43)-B6</f>
        <v>-1411984.2557317994</v>
      </c>
    </row>
    <row r="61" spans="1:2" x14ac:dyDescent="0.2">
      <c r="B61" s="193"/>
    </row>
    <row r="62" spans="1:2"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Hoja113"/>
  <dimension ref="A1:F62"/>
  <sheetViews>
    <sheetView view="pageBreakPreview" zoomScale="90" zoomScaleNormal="90" zoomScaleSheetLayoutView="90" workbookViewId="0">
      <selection activeCell="B9" sqref="B9"/>
    </sheetView>
  </sheetViews>
  <sheetFormatPr baseColWidth="10" defaultRowHeight="12.75" x14ac:dyDescent="0.2"/>
  <cols>
    <col min="1" max="1" width="51" style="38" customWidth="1"/>
    <col min="2" max="2" width="16.7109375" style="38" customWidth="1"/>
    <col min="3" max="3" width="11.5703125" style="38" bestFit="1" customWidth="1"/>
    <col min="4" max="4" width="10.42578125" style="38" customWidth="1"/>
    <col min="5" max="256" width="9.140625" style="38" customWidth="1"/>
    <col min="257" max="257" width="40.85546875" style="38" bestFit="1" customWidth="1"/>
    <col min="258" max="512" width="9.140625" style="38" customWidth="1"/>
    <col min="513" max="513" width="40.85546875" style="38" bestFit="1" customWidth="1"/>
    <col min="514" max="768" width="9.140625" style="38" customWidth="1"/>
    <col min="769" max="769" width="40.85546875" style="38" bestFit="1" customWidth="1"/>
    <col min="770" max="1024" width="9.140625" style="38" customWidth="1"/>
    <col min="1025" max="1025" width="40.85546875" style="38" bestFit="1" customWidth="1"/>
    <col min="1026" max="1280" width="9.140625" style="38" customWidth="1"/>
    <col min="1281" max="1281" width="40.85546875" style="38" bestFit="1" customWidth="1"/>
    <col min="1282" max="1536" width="9.140625" style="38" customWidth="1"/>
    <col min="1537" max="1537" width="40.85546875" style="38" bestFit="1" customWidth="1"/>
    <col min="1538" max="1792" width="9.140625" style="38" customWidth="1"/>
    <col min="1793" max="1793" width="40.85546875" style="38" bestFit="1" customWidth="1"/>
    <col min="1794" max="2048" width="9.140625" style="38" customWidth="1"/>
    <col min="2049" max="2049" width="40.85546875" style="38" bestFit="1" customWidth="1"/>
    <col min="2050" max="2304" width="9.140625" style="38" customWidth="1"/>
    <col min="2305" max="2305" width="40.85546875" style="38" bestFit="1" customWidth="1"/>
    <col min="2306" max="2560" width="9.140625" style="38" customWidth="1"/>
    <col min="2561" max="2561" width="40.85546875" style="38" bestFit="1" customWidth="1"/>
    <col min="2562" max="2816" width="9.140625" style="38" customWidth="1"/>
    <col min="2817" max="2817" width="40.85546875" style="38" bestFit="1" customWidth="1"/>
    <col min="2818" max="3072" width="9.140625" style="38" customWidth="1"/>
    <col min="3073" max="3073" width="40.85546875" style="38" bestFit="1" customWidth="1"/>
    <col min="3074" max="3328" width="9.140625" style="38" customWidth="1"/>
    <col min="3329" max="3329" width="40.85546875" style="38" bestFit="1" customWidth="1"/>
    <col min="3330" max="3584" width="9.140625" style="38" customWidth="1"/>
    <col min="3585" max="3585" width="40.85546875" style="38" bestFit="1" customWidth="1"/>
    <col min="3586" max="3840" width="9.140625" style="38" customWidth="1"/>
    <col min="3841" max="3841" width="40.85546875" style="38" bestFit="1" customWidth="1"/>
    <col min="3842" max="4096" width="9.140625" style="38" customWidth="1"/>
    <col min="4097" max="4097" width="40.85546875" style="38" bestFit="1" customWidth="1"/>
    <col min="4098" max="4352" width="9.140625" style="38" customWidth="1"/>
    <col min="4353" max="4353" width="40.85546875" style="38" bestFit="1" customWidth="1"/>
    <col min="4354" max="4608" width="9.140625" style="38" customWidth="1"/>
    <col min="4609" max="4609" width="40.85546875" style="38" bestFit="1" customWidth="1"/>
    <col min="4610" max="4864" width="9.140625" style="38" customWidth="1"/>
    <col min="4865" max="4865" width="40.85546875" style="38" bestFit="1" customWidth="1"/>
    <col min="4866" max="5120" width="9.140625" style="38" customWidth="1"/>
    <col min="5121" max="5121" width="40.85546875" style="38" bestFit="1" customWidth="1"/>
    <col min="5122" max="5376" width="9.140625" style="38" customWidth="1"/>
    <col min="5377" max="5377" width="40.85546875" style="38" bestFit="1" customWidth="1"/>
    <col min="5378" max="5632" width="9.140625" style="38" customWidth="1"/>
    <col min="5633" max="5633" width="40.85546875" style="38" bestFit="1" customWidth="1"/>
    <col min="5634" max="5888" width="9.140625" style="38" customWidth="1"/>
    <col min="5889" max="5889" width="40.85546875" style="38" bestFit="1" customWidth="1"/>
    <col min="5890" max="6144" width="9.140625" style="38" customWidth="1"/>
    <col min="6145" max="6145" width="40.85546875" style="38" bestFit="1" customWidth="1"/>
    <col min="6146" max="6400" width="9.140625" style="38" customWidth="1"/>
    <col min="6401" max="6401" width="40.85546875" style="38" bestFit="1" customWidth="1"/>
    <col min="6402" max="6656" width="9.140625" style="38" customWidth="1"/>
    <col min="6657" max="6657" width="40.85546875" style="38" bestFit="1" customWidth="1"/>
    <col min="6658" max="6912" width="9.140625" style="38" customWidth="1"/>
    <col min="6913" max="6913" width="40.85546875" style="38" bestFit="1" customWidth="1"/>
    <col min="6914" max="7168" width="9.140625" style="38" customWidth="1"/>
    <col min="7169" max="7169" width="40.85546875" style="38" bestFit="1" customWidth="1"/>
    <col min="7170" max="7424" width="9.140625" style="38" customWidth="1"/>
    <col min="7425" max="7425" width="40.85546875" style="38" bestFit="1" customWidth="1"/>
    <col min="7426" max="7680" width="9.140625" style="38" customWidth="1"/>
    <col min="7681" max="7681" width="40.85546875" style="38" bestFit="1" customWidth="1"/>
    <col min="7682" max="7936" width="9.140625" style="38" customWidth="1"/>
    <col min="7937" max="7937" width="40.85546875" style="38" bestFit="1" customWidth="1"/>
    <col min="7938" max="8192" width="9.140625" style="38" customWidth="1"/>
    <col min="8193" max="8193" width="40.85546875" style="38" bestFit="1" customWidth="1"/>
    <col min="8194" max="8448" width="9.140625" style="38" customWidth="1"/>
    <col min="8449" max="8449" width="40.85546875" style="38" bestFit="1" customWidth="1"/>
    <col min="8450" max="8704" width="9.140625" style="38" customWidth="1"/>
    <col min="8705" max="8705" width="40.85546875" style="38" bestFit="1" customWidth="1"/>
    <col min="8706" max="8960" width="9.140625" style="38" customWidth="1"/>
    <col min="8961" max="8961" width="40.85546875" style="38" bestFit="1" customWidth="1"/>
    <col min="8962" max="9216" width="9.140625" style="38" customWidth="1"/>
    <col min="9217" max="9217" width="40.85546875" style="38" bestFit="1" customWidth="1"/>
    <col min="9218" max="9472" width="9.140625" style="38" customWidth="1"/>
    <col min="9473" max="9473" width="40.85546875" style="38" bestFit="1" customWidth="1"/>
    <col min="9474" max="9728" width="9.140625" style="38" customWidth="1"/>
    <col min="9729" max="9729" width="40.85546875" style="38" bestFit="1" customWidth="1"/>
    <col min="9730" max="9984" width="9.140625" style="38" customWidth="1"/>
    <col min="9985" max="9985" width="40.85546875" style="38" bestFit="1" customWidth="1"/>
    <col min="9986" max="10240" width="9.140625" style="38" customWidth="1"/>
    <col min="10241" max="10241" width="40.85546875" style="38" bestFit="1" customWidth="1"/>
    <col min="10242" max="10496" width="9.140625" style="38" customWidth="1"/>
    <col min="10497" max="10497" width="40.85546875" style="38" bestFit="1" customWidth="1"/>
    <col min="10498" max="10752" width="9.140625" style="38" customWidth="1"/>
    <col min="10753" max="10753" width="40.85546875" style="38" bestFit="1" customWidth="1"/>
    <col min="10754" max="11008" width="9.140625" style="38" customWidth="1"/>
    <col min="11009" max="11009" width="40.85546875" style="38" bestFit="1" customWidth="1"/>
    <col min="11010" max="11264" width="9.140625" style="38" customWidth="1"/>
    <col min="11265" max="11265" width="40.85546875" style="38" bestFit="1" customWidth="1"/>
    <col min="11266" max="11520" width="9.140625" style="38" customWidth="1"/>
    <col min="11521" max="11521" width="40.85546875" style="38" bestFit="1" customWidth="1"/>
    <col min="11522" max="11776" width="9.140625" style="38" customWidth="1"/>
    <col min="11777" max="11777" width="40.85546875" style="38" bestFit="1" customWidth="1"/>
    <col min="11778" max="12032" width="9.140625" style="38" customWidth="1"/>
    <col min="12033" max="12033" width="40.85546875" style="38" bestFit="1" customWidth="1"/>
    <col min="12034" max="12288" width="9.140625" style="38" customWidth="1"/>
    <col min="12289" max="12289" width="40.85546875" style="38" bestFit="1" customWidth="1"/>
    <col min="12290" max="12544" width="9.140625" style="38" customWidth="1"/>
    <col min="12545" max="12545" width="40.85546875" style="38" bestFit="1" customWidth="1"/>
    <col min="12546" max="12800" width="9.140625" style="38" customWidth="1"/>
    <col min="12801" max="12801" width="40.85546875" style="38" bestFit="1" customWidth="1"/>
    <col min="12802" max="13056" width="9.140625" style="38" customWidth="1"/>
    <col min="13057" max="13057" width="40.85546875" style="38" bestFit="1" customWidth="1"/>
    <col min="13058" max="13312" width="9.140625" style="38" customWidth="1"/>
    <col min="13313" max="13313" width="40.85546875" style="38" bestFit="1" customWidth="1"/>
    <col min="13314" max="13568" width="9.140625" style="38" customWidth="1"/>
    <col min="13569" max="13569" width="40.85546875" style="38" bestFit="1" customWidth="1"/>
    <col min="13570" max="13824" width="9.140625" style="38" customWidth="1"/>
    <col min="13825" max="13825" width="40.85546875" style="38" bestFit="1" customWidth="1"/>
    <col min="13826" max="14080" width="9.140625" style="38" customWidth="1"/>
    <col min="14081" max="14081" width="40.85546875" style="38" bestFit="1" customWidth="1"/>
    <col min="14082" max="14336" width="9.140625" style="38" customWidth="1"/>
    <col min="14337" max="14337" width="40.85546875" style="38" bestFit="1" customWidth="1"/>
    <col min="14338" max="14592" width="9.140625" style="38" customWidth="1"/>
    <col min="14593" max="14593" width="40.85546875" style="38" bestFit="1" customWidth="1"/>
    <col min="14594" max="14848" width="9.140625" style="38" customWidth="1"/>
    <col min="14849" max="14849" width="40.85546875" style="38" bestFit="1" customWidth="1"/>
    <col min="14850" max="15104" width="9.140625" style="38" customWidth="1"/>
    <col min="15105" max="15105" width="40.85546875" style="38" bestFit="1" customWidth="1"/>
    <col min="15106" max="15360" width="9.140625" style="38" customWidth="1"/>
    <col min="15361" max="15361" width="40.85546875" style="38" bestFit="1" customWidth="1"/>
    <col min="15362" max="15616" width="9.140625" style="38" customWidth="1"/>
    <col min="15617" max="15617" width="40.85546875" style="38" bestFit="1" customWidth="1"/>
    <col min="15618" max="15872" width="9.140625" style="38" customWidth="1"/>
    <col min="15873" max="15873" width="40.85546875" style="38" bestFit="1" customWidth="1"/>
    <col min="15874" max="16128" width="9.140625" style="38" customWidth="1"/>
    <col min="16129" max="16129" width="40.85546875" style="38" bestFit="1" customWidth="1"/>
    <col min="16130" max="16384" width="9.140625" style="38" customWidth="1"/>
  </cols>
  <sheetData>
    <row r="1" spans="1:5" ht="20.25" x14ac:dyDescent="0.3">
      <c r="A1" s="37" t="s">
        <v>328</v>
      </c>
    </row>
    <row r="3" spans="1:5" x14ac:dyDescent="0.2">
      <c r="A3" s="305" t="s">
        <v>335</v>
      </c>
      <c r="B3" s="40"/>
      <c r="C3" s="40"/>
    </row>
    <row r="4" spans="1:5" ht="15.75" x14ac:dyDescent="0.25">
      <c r="B4" s="41"/>
      <c r="C4" s="41"/>
      <c r="D4" s="41"/>
      <c r="E4" s="41"/>
    </row>
    <row r="5" spans="1:5" x14ac:dyDescent="0.2">
      <c r="A5" s="42" t="s">
        <v>184</v>
      </c>
      <c r="B5" s="43" t="s">
        <v>210</v>
      </c>
      <c r="C5" s="44"/>
    </row>
    <row r="6" spans="1:5" x14ac:dyDescent="0.2">
      <c r="A6" s="45" t="s">
        <v>197</v>
      </c>
      <c r="B6" s="306">
        <f>+TA_Datos!D53</f>
        <v>465695.15542848682</v>
      </c>
      <c r="C6" s="47"/>
    </row>
    <row r="7" spans="1:5" x14ac:dyDescent="0.2">
      <c r="A7" s="45" t="s">
        <v>198</v>
      </c>
      <c r="B7" s="307">
        <f>+TA_Datos!D40</f>
        <v>10</v>
      </c>
      <c r="C7" s="38" t="s">
        <v>211</v>
      </c>
    </row>
    <row r="8" spans="1:5" x14ac:dyDescent="0.2">
      <c r="A8" s="45" t="s">
        <v>199</v>
      </c>
      <c r="B8" s="308">
        <f>(TA_Datos!D44/100)*$B$6</f>
        <v>46569.515542848683</v>
      </c>
      <c r="C8" s="47"/>
    </row>
    <row r="9" spans="1:5" x14ac:dyDescent="0.2">
      <c r="A9" s="45" t="s">
        <v>185</v>
      </c>
      <c r="B9" s="308">
        <f>0.05*B6</f>
        <v>23284.757771424342</v>
      </c>
      <c r="C9" s="49"/>
      <c r="D9" s="49"/>
    </row>
    <row r="10" spans="1:5" x14ac:dyDescent="0.2">
      <c r="A10" s="45" t="s">
        <v>186</v>
      </c>
      <c r="B10" s="309">
        <v>10</v>
      </c>
      <c r="C10" s="51"/>
    </row>
    <row r="11" spans="1:5" x14ac:dyDescent="0.2">
      <c r="A11" s="45" t="s">
        <v>187</v>
      </c>
      <c r="B11" s="310">
        <f>+TA_Datos!D41</f>
        <v>945.63</v>
      </c>
      <c r="C11" s="53"/>
    </row>
    <row r="12" spans="1:5" x14ac:dyDescent="0.2">
      <c r="A12" s="45" t="s">
        <v>188</v>
      </c>
      <c r="B12" s="307">
        <f>+TA_Datos!D42</f>
        <v>50000</v>
      </c>
      <c r="C12" s="38" t="s">
        <v>3</v>
      </c>
    </row>
    <row r="13" spans="1:5" x14ac:dyDescent="0.2">
      <c r="A13" s="45" t="s">
        <v>214</v>
      </c>
      <c r="B13" s="311">
        <f>+'TA_Evaluacion Economica'!F18*365</f>
        <v>164104</v>
      </c>
      <c r="C13" s="38" t="s">
        <v>3</v>
      </c>
    </row>
    <row r="14" spans="1:5" x14ac:dyDescent="0.2">
      <c r="A14" s="45" t="s">
        <v>189</v>
      </c>
      <c r="B14" s="312">
        <f>+'TA_Evaluacion Economica'!G18</f>
        <v>2620.3166080000005</v>
      </c>
      <c r="C14" s="38" t="s">
        <v>212</v>
      </c>
    </row>
    <row r="15" spans="1:5" x14ac:dyDescent="0.2">
      <c r="A15" s="45" t="s">
        <v>190</v>
      </c>
      <c r="B15" s="313"/>
    </row>
    <row r="16" spans="1:5" x14ac:dyDescent="0.2">
      <c r="A16" s="45" t="s">
        <v>191</v>
      </c>
      <c r="B16" s="314">
        <f>+TA_Datos!D35</f>
        <v>0.54</v>
      </c>
      <c r="C16" s="38" t="s">
        <v>125</v>
      </c>
    </row>
    <row r="17" spans="1:4" x14ac:dyDescent="0.2">
      <c r="A17" s="45" t="s">
        <v>215</v>
      </c>
      <c r="B17" s="315">
        <f>+TA_Datos!D43</f>
        <v>6</v>
      </c>
      <c r="C17" s="38" t="s">
        <v>126</v>
      </c>
    </row>
    <row r="18" spans="1:4" x14ac:dyDescent="0.2">
      <c r="A18" s="45" t="s">
        <v>192</v>
      </c>
      <c r="B18" s="316">
        <f>+TA_Datos!D36</f>
        <v>82.243902439024396</v>
      </c>
      <c r="C18" s="38" t="s">
        <v>23</v>
      </c>
    </row>
    <row r="19" spans="1:4" hidden="1" x14ac:dyDescent="0.2">
      <c r="A19" s="45" t="s">
        <v>194</v>
      </c>
      <c r="B19" s="317"/>
    </row>
    <row r="20" spans="1:4" x14ac:dyDescent="0.2">
      <c r="A20" s="45" t="s">
        <v>193</v>
      </c>
      <c r="B20" s="308">
        <f>0.05*B6</f>
        <v>23284.757771424342</v>
      </c>
    </row>
    <row r="21" spans="1:4" x14ac:dyDescent="0.2">
      <c r="A21" s="45" t="s">
        <v>330</v>
      </c>
      <c r="B21" s="314">
        <f>+'Mano de Obra'!B76</f>
        <v>9.7137452651515144</v>
      </c>
      <c r="C21" s="38" t="s">
        <v>213</v>
      </c>
    </row>
    <row r="23" spans="1:4" hidden="1" x14ac:dyDescent="0.2"/>
    <row r="24" spans="1:4" hidden="1" x14ac:dyDescent="0.2">
      <c r="A24" s="42" t="s">
        <v>196</v>
      </c>
      <c r="B24" s="43" t="s">
        <v>120</v>
      </c>
      <c r="C24" s="40"/>
    </row>
    <row r="25" spans="1:4" hidden="1" x14ac:dyDescent="0.2">
      <c r="A25" s="45" t="s">
        <v>197</v>
      </c>
      <c r="B25" s="317"/>
    </row>
    <row r="26" spans="1:4" hidden="1" x14ac:dyDescent="0.2">
      <c r="A26" s="45" t="s">
        <v>198</v>
      </c>
      <c r="B26" s="307"/>
      <c r="C26" s="38" t="s">
        <v>211</v>
      </c>
    </row>
    <row r="27" spans="1:4" hidden="1" x14ac:dyDescent="0.2">
      <c r="A27" s="45" t="s">
        <v>199</v>
      </c>
      <c r="B27" s="318"/>
    </row>
    <row r="28" spans="1:4" hidden="1" x14ac:dyDescent="0.2">
      <c r="A28" s="45" t="s">
        <v>185</v>
      </c>
      <c r="B28" s="318"/>
    </row>
    <row r="29" spans="1:4" hidden="1" x14ac:dyDescent="0.2">
      <c r="A29" s="45" t="s">
        <v>186</v>
      </c>
      <c r="B29" s="307"/>
    </row>
    <row r="30" spans="1:4" hidden="1" x14ac:dyDescent="0.2">
      <c r="A30" s="45" t="s">
        <v>187</v>
      </c>
      <c r="B30" s="318"/>
    </row>
    <row r="31" spans="1:4" hidden="1" x14ac:dyDescent="0.2">
      <c r="A31" s="45" t="s">
        <v>188</v>
      </c>
      <c r="B31" s="307"/>
      <c r="C31" s="38" t="s">
        <v>3</v>
      </c>
    </row>
    <row r="32" spans="1:4" ht="13.5" thickBot="1" x14ac:dyDescent="0.25">
      <c r="A32" s="45"/>
      <c r="B32" s="56"/>
      <c r="D32" s="56"/>
    </row>
    <row r="33" spans="1:6" x14ac:dyDescent="0.2">
      <c r="A33" s="57"/>
      <c r="B33" s="58"/>
      <c r="C33" s="58"/>
      <c r="D33" s="174"/>
      <c r="E33" s="185"/>
      <c r="F33" s="186"/>
    </row>
    <row r="34" spans="1:6" x14ac:dyDescent="0.2">
      <c r="A34" s="59" t="s">
        <v>200</v>
      </c>
      <c r="B34" s="60" t="s">
        <v>142</v>
      </c>
      <c r="C34" s="60" t="s">
        <v>121</v>
      </c>
      <c r="D34" s="175" t="s">
        <v>146</v>
      </c>
      <c r="E34" s="187"/>
      <c r="F34" s="61"/>
    </row>
    <row r="35" spans="1:6" x14ac:dyDescent="0.2">
      <c r="A35" s="62" t="s">
        <v>201</v>
      </c>
      <c r="B35" s="63">
        <f>IF(B7&gt;0,PMT(B15,B7,-(B6-B8))+B15*B8,0)</f>
        <v>41912.563988563816</v>
      </c>
      <c r="C35" s="176">
        <f>IF(B$14&gt;0,B35/B$14,0)</f>
        <v>15.995228920277029</v>
      </c>
      <c r="D35" s="177">
        <f>IF(B$13&gt;0,B35/B$13,0)</f>
        <v>0.25540245203385548</v>
      </c>
      <c r="E35" s="188"/>
      <c r="F35" s="64"/>
    </row>
    <row r="36" spans="1:6" x14ac:dyDescent="0.2">
      <c r="A36" s="62" t="s">
        <v>202</v>
      </c>
      <c r="B36" s="65">
        <f>B19+B20</f>
        <v>23284.757771424342</v>
      </c>
      <c r="C36" s="178">
        <f>IF(B$14&gt;0,B36/B$14,0)</f>
        <v>8.8862382890427938</v>
      </c>
      <c r="D36" s="177">
        <f>IF(B$13&gt;0,B36/B$13,0)</f>
        <v>0.14189025112991968</v>
      </c>
      <c r="E36" s="189"/>
      <c r="F36" s="67"/>
    </row>
    <row r="37" spans="1:6" x14ac:dyDescent="0.2">
      <c r="A37" s="62" t="s">
        <v>209</v>
      </c>
      <c r="B37" s="63">
        <f>SUM(B35:B36)</f>
        <v>65197.321759988161</v>
      </c>
      <c r="C37" s="176">
        <f>SUM(C35:C36)</f>
        <v>24.881467209319823</v>
      </c>
      <c r="D37" s="179">
        <f>SUM(D35:D36)</f>
        <v>0.39729270316377518</v>
      </c>
      <c r="E37" s="188"/>
      <c r="F37" s="64"/>
    </row>
    <row r="38" spans="1:6" x14ac:dyDescent="0.2">
      <c r="A38" s="62"/>
      <c r="B38" s="68"/>
      <c r="C38" s="151"/>
      <c r="D38" s="180"/>
      <c r="E38" s="62"/>
      <c r="F38" s="170"/>
    </row>
    <row r="39" spans="1:6" x14ac:dyDescent="0.2">
      <c r="A39" s="59" t="s">
        <v>203</v>
      </c>
      <c r="B39" s="68"/>
      <c r="C39" s="151"/>
      <c r="D39" s="180"/>
      <c r="E39" s="62"/>
      <c r="F39" s="170"/>
    </row>
    <row r="40" spans="1:6" x14ac:dyDescent="0.2">
      <c r="A40" s="62" t="s">
        <v>204</v>
      </c>
      <c r="B40" s="63">
        <f>B9</f>
        <v>23284.757771424342</v>
      </c>
      <c r="C40" s="176">
        <f t="shared" ref="C40:C43" si="0">IF(B$14&gt;0,B40/B$14,0)</f>
        <v>8.8862382890427938</v>
      </c>
      <c r="D40" s="177">
        <f t="shared" ref="D40:D43" si="1">IF(B$13&gt;0,B40/B$13,0)</f>
        <v>0.14189025112991968</v>
      </c>
      <c r="E40" s="188"/>
      <c r="F40" s="64"/>
    </row>
    <row r="41" spans="1:6" x14ac:dyDescent="0.2">
      <c r="A41" s="62" t="s">
        <v>205</v>
      </c>
      <c r="B41" s="70">
        <f>IF(B12&gt;0,B10*B11*B13/B12,0)</f>
        <v>31036.333103999998</v>
      </c>
      <c r="C41" s="176">
        <f t="shared" si="0"/>
        <v>11.844497344040034</v>
      </c>
      <c r="D41" s="177">
        <f t="shared" si="1"/>
        <v>0.18912599999999999</v>
      </c>
      <c r="E41" s="188"/>
      <c r="F41" s="64"/>
    </row>
    <row r="42" spans="1:6" x14ac:dyDescent="0.2">
      <c r="A42" s="62" t="s">
        <v>206</v>
      </c>
      <c r="B42" s="72">
        <f>IF(B16&gt;0,(B13/B17)*B16*1.1,0)</f>
        <v>16246.296000000004</v>
      </c>
      <c r="C42" s="176">
        <f t="shared" si="0"/>
        <v>6.2001270954811281</v>
      </c>
      <c r="D42" s="177">
        <f t="shared" si="1"/>
        <v>9.9000000000000019E-2</v>
      </c>
      <c r="E42" s="188"/>
      <c r="F42" s="64"/>
    </row>
    <row r="43" spans="1:6" x14ac:dyDescent="0.2">
      <c r="A43" s="62" t="s">
        <v>217</v>
      </c>
      <c r="B43" s="65">
        <f>IF(B18&gt;0,(B13/B18)*B21*1.25,0)</f>
        <v>24227.699648832066</v>
      </c>
      <c r="C43" s="176">
        <f t="shared" si="0"/>
        <v>9.246096282740524</v>
      </c>
      <c r="D43" s="177">
        <f t="shared" si="1"/>
        <v>0.14763625291785737</v>
      </c>
      <c r="E43" s="189"/>
      <c r="F43" s="67"/>
    </row>
    <row r="44" spans="1:6" x14ac:dyDescent="0.2">
      <c r="A44" s="62" t="s">
        <v>207</v>
      </c>
      <c r="B44" s="63">
        <f>SUM(B40:B43)</f>
        <v>94795.086524256418</v>
      </c>
      <c r="C44" s="176">
        <f>SUM(C40:C43)</f>
        <v>36.176959011304483</v>
      </c>
      <c r="D44" s="179">
        <f>SUM(D40:D43)</f>
        <v>0.57765250404777713</v>
      </c>
      <c r="E44" s="188"/>
      <c r="F44" s="64"/>
    </row>
    <row r="45" spans="1:6" x14ac:dyDescent="0.2">
      <c r="A45" s="62"/>
      <c r="B45" s="68"/>
      <c r="C45" s="181"/>
      <c r="D45" s="182"/>
      <c r="E45" s="190"/>
      <c r="F45" s="171"/>
    </row>
    <row r="46" spans="1:6" ht="13.5" thickBot="1" x14ac:dyDescent="0.25">
      <c r="A46" s="76" t="s">
        <v>208</v>
      </c>
      <c r="B46" s="77">
        <f>B37+B44</f>
        <v>159992.40828424459</v>
      </c>
      <c r="C46" s="183">
        <f>C37+C44</f>
        <v>61.058426220624305</v>
      </c>
      <c r="D46" s="184">
        <f>D37+D44</f>
        <v>0.97494520721155231</v>
      </c>
      <c r="E46" s="191"/>
      <c r="F46" s="173"/>
    </row>
    <row r="50" spans="1:5" x14ac:dyDescent="0.2">
      <c r="A50" s="78" t="s">
        <v>216</v>
      </c>
    </row>
    <row r="52" spans="1:5" ht="13.5" thickBot="1" x14ac:dyDescent="0.25"/>
    <row r="53" spans="1:5" ht="13.5" thickBot="1" x14ac:dyDescent="0.25">
      <c r="A53" s="124" t="s">
        <v>143</v>
      </c>
    </row>
    <row r="54" spans="1:5" ht="13.5" thickBot="1" x14ac:dyDescent="0.25">
      <c r="A54" s="122" t="s">
        <v>144</v>
      </c>
      <c r="B54" s="79">
        <f>+PV(TA_Datos!D69,B7,B44)-B6</f>
        <v>-1001308.5362880412</v>
      </c>
      <c r="E54" s="192"/>
    </row>
    <row r="55" spans="1:5" ht="13.5" thickBot="1" x14ac:dyDescent="0.25">
      <c r="A55" s="670"/>
      <c r="B55" s="671"/>
      <c r="E55" s="192"/>
    </row>
    <row r="61" spans="1:5" x14ac:dyDescent="0.2">
      <c r="B61" s="193"/>
    </row>
    <row r="62" spans="1:5" x14ac:dyDescent="0.2">
      <c r="B62" s="193"/>
    </row>
  </sheetData>
  <pageMargins left="0.74803149606299213" right="0.74803149606299213" top="0.98425196850393704" bottom="0.98425196850393704" header="0.51181102362204722" footer="0.51181102362204722"/>
  <pageSetup paperSize="9" scale="88" orientation="portrait" r:id="rId1"/>
  <headerFooter alignWithMargins="0">
    <oddHeader>&amp;L&amp;"Arial,Negrita Cursiva"&amp;10HYTSA Estudios y Proyectos S.A.</oddHeader>
    <oddFooter>&amp;L&amp;"Arial,Negrita Cursiva"&amp;10&amp;F - &amp;A&amp;R&amp;"Arial,Negrita Cursiva"&amp;10&amp;P</oddFooter>
  </headerFooter>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Hoja115"/>
  <dimension ref="A2:C33"/>
  <sheetViews>
    <sheetView workbookViewId="0"/>
  </sheetViews>
  <sheetFormatPr baseColWidth="10" defaultRowHeight="15" x14ac:dyDescent="0.25"/>
  <cols>
    <col min="3" max="3" width="23.5703125" customWidth="1"/>
  </cols>
  <sheetData>
    <row r="2" spans="1:3" ht="18.75" x14ac:dyDescent="0.3">
      <c r="A2" s="154" t="s">
        <v>172</v>
      </c>
    </row>
    <row r="4" spans="1:3" ht="30" x14ac:dyDescent="0.25">
      <c r="B4" s="287" t="s">
        <v>114</v>
      </c>
      <c r="C4" s="287" t="s">
        <v>165</v>
      </c>
    </row>
    <row r="5" spans="1:3" x14ac:dyDescent="0.25">
      <c r="B5" s="288">
        <v>25</v>
      </c>
      <c r="C5" s="291">
        <f>+'TA_Evaluacion Economica'!I7</f>
        <v>-1928079.6664642626</v>
      </c>
    </row>
    <row r="6" spans="1:3" x14ac:dyDescent="0.25">
      <c r="B6" s="293">
        <v>30</v>
      </c>
      <c r="C6" s="296">
        <f>+'TA_Evaluacion Economica'!I9</f>
        <v>-1784124.3330311582</v>
      </c>
    </row>
    <row r="7" spans="1:3" x14ac:dyDescent="0.25">
      <c r="B7" s="288">
        <v>35</v>
      </c>
      <c r="C7" s="291">
        <f>+'TA_Evaluacion Economica'!I11</f>
        <v>-1640168.9995980533</v>
      </c>
    </row>
    <row r="8" spans="1:3" x14ac:dyDescent="0.25">
      <c r="B8" s="293">
        <v>40</v>
      </c>
      <c r="C8" s="296">
        <f>+'TA_Evaluacion Economica'!I13</f>
        <v>-1496213.6661649484</v>
      </c>
    </row>
    <row r="9" spans="1:3" x14ac:dyDescent="0.25">
      <c r="B9" s="288">
        <v>45</v>
      </c>
      <c r="C9" s="291">
        <f>+'TA_Evaluacion Economica'!I15</f>
        <v>-1555939.5891649041</v>
      </c>
    </row>
    <row r="10" spans="1:3" x14ac:dyDescent="0.25">
      <c r="B10" s="293">
        <v>50</v>
      </c>
      <c r="C10" s="296">
        <f>+'TA_Evaluacion Economica'!I17</f>
        <v>-1411984.2557317994</v>
      </c>
    </row>
    <row r="11" spans="1:3" x14ac:dyDescent="0.25">
      <c r="B11" s="14"/>
      <c r="C11" s="199"/>
    </row>
    <row r="12" spans="1:3" x14ac:dyDescent="0.25">
      <c r="B12" s="14"/>
      <c r="C12" s="199"/>
    </row>
    <row r="13" spans="1:3" x14ac:dyDescent="0.25">
      <c r="B13" s="14"/>
      <c r="C13" s="199"/>
    </row>
    <row r="16" spans="1:3" ht="18.75" x14ac:dyDescent="0.3">
      <c r="A16" s="154" t="s">
        <v>173</v>
      </c>
    </row>
    <row r="18" spans="2:3" ht="30" x14ac:dyDescent="0.25">
      <c r="B18" s="287" t="s">
        <v>114</v>
      </c>
      <c r="C18" s="287" t="s">
        <v>165</v>
      </c>
    </row>
    <row r="19" spans="2:3" x14ac:dyDescent="0.25">
      <c r="B19" s="288">
        <v>25</v>
      </c>
      <c r="C19" s="291">
        <f>+'TA_Evaluacion Economica'!I8</f>
        <v>-1106728.2275767457</v>
      </c>
    </row>
    <row r="20" spans="2:3" x14ac:dyDescent="0.25">
      <c r="B20" s="293">
        <v>30</v>
      </c>
      <c r="C20" s="296">
        <f>+'TA_Evaluacion Economica'!I10</f>
        <v>-1065441.8240045807</v>
      </c>
    </row>
    <row r="21" spans="2:3" x14ac:dyDescent="0.25">
      <c r="B21" s="288">
        <v>35</v>
      </c>
      <c r="C21" s="291">
        <f>+'TA_Evaluacion Economica'!I12</f>
        <v>-1024155.4204324156</v>
      </c>
    </row>
    <row r="22" spans="2:3" x14ac:dyDescent="0.25">
      <c r="B22" s="293">
        <v>40</v>
      </c>
      <c r="C22" s="296">
        <f>+'TA_Evaluacion Economica'!I14</f>
        <v>-982869.01686025038</v>
      </c>
    </row>
    <row r="23" spans="2:3" x14ac:dyDescent="0.25">
      <c r="B23" s="288">
        <v>45</v>
      </c>
      <c r="C23" s="291">
        <f>+'TA_Evaluacion Economica'!I16</f>
        <v>-1042594.9398602061</v>
      </c>
    </row>
    <row r="24" spans="2:3" x14ac:dyDescent="0.25">
      <c r="B24" s="293">
        <v>50</v>
      </c>
      <c r="C24" s="296">
        <f>+'TA_Evaluacion Economica'!I18</f>
        <v>-1001308.5362880412</v>
      </c>
    </row>
    <row r="25" spans="2:3" x14ac:dyDescent="0.25">
      <c r="B25" s="14"/>
      <c r="C25" s="199"/>
    </row>
    <row r="26" spans="2:3" x14ac:dyDescent="0.25">
      <c r="B26" s="14"/>
      <c r="C26" s="199"/>
    </row>
    <row r="27" spans="2:3" x14ac:dyDescent="0.25">
      <c r="B27" s="14"/>
      <c r="C27" s="199"/>
    </row>
    <row r="30" spans="2:3" x14ac:dyDescent="0.25">
      <c r="C30" s="155"/>
    </row>
    <row r="33" spans="3:3" x14ac:dyDescent="0.25">
      <c r="C33" s="155"/>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124</vt:i4>
      </vt:variant>
      <vt:variant>
        <vt:lpstr>Rangos con nombre</vt:lpstr>
      </vt:variant>
      <vt:variant>
        <vt:i4>115</vt:i4>
      </vt:variant>
    </vt:vector>
  </HeadingPairs>
  <TitlesOfParts>
    <vt:vector size="239" baseType="lpstr">
      <vt:lpstr>Inversion rec-TA</vt:lpstr>
      <vt:lpstr>Costos Operativos Rec-TA</vt:lpstr>
      <vt:lpstr>Evaluacion Economica</vt:lpstr>
      <vt:lpstr>P_Evaluacion Economica</vt:lpstr>
      <vt:lpstr>TA_Evaluacion Economica</vt:lpstr>
      <vt:lpstr>INPUTS</vt:lpstr>
      <vt:lpstr>Datos</vt:lpstr>
      <vt:lpstr>P_Datos</vt:lpstr>
      <vt:lpstr>TA_Datos</vt:lpstr>
      <vt:lpstr>P_Barrenderos</vt:lpstr>
      <vt:lpstr>TR_1</vt:lpstr>
      <vt:lpstr>Mano de Obra</vt:lpstr>
      <vt:lpstr>CONVENIOJULIO-2014</vt:lpstr>
      <vt:lpstr>OF. ESPECIALIZADO</vt:lpstr>
      <vt:lpstr>OFICIAL</vt:lpstr>
      <vt:lpstr>MEDIO OFICIAL</vt:lpstr>
      <vt:lpstr>AYUDANTE</vt:lpstr>
      <vt:lpstr>CoeficientePase</vt:lpstr>
      <vt:lpstr>Costos unitarios ET</vt:lpstr>
      <vt:lpstr>9m3-2T</vt:lpstr>
      <vt:lpstr>9m3-1T</vt:lpstr>
      <vt:lpstr>12m3-2T</vt:lpstr>
      <vt:lpstr>12m3-1T</vt:lpstr>
      <vt:lpstr>15m3-2T</vt:lpstr>
      <vt:lpstr>15m3-1T</vt:lpstr>
      <vt:lpstr>16m3-2T</vt:lpstr>
      <vt:lpstr>16m3-1T</vt:lpstr>
      <vt:lpstr>17m3-2T</vt:lpstr>
      <vt:lpstr>17m3-1T</vt:lpstr>
      <vt:lpstr>18m3-2T</vt:lpstr>
      <vt:lpstr>18m3-1T</vt:lpstr>
      <vt:lpstr>19m3-2T</vt:lpstr>
      <vt:lpstr>19m3-1T</vt:lpstr>
      <vt:lpstr>21m3-2T</vt:lpstr>
      <vt:lpstr>21m3-1T</vt:lpstr>
      <vt:lpstr>24m3-2T</vt:lpstr>
      <vt:lpstr>24m3-1T</vt:lpstr>
      <vt:lpstr>Generación crítica </vt:lpstr>
      <vt:lpstr>Costos 9m3-2T</vt:lpstr>
      <vt:lpstr>Costos 9m3-1T</vt:lpstr>
      <vt:lpstr>Costos 12m3-2T</vt:lpstr>
      <vt:lpstr>Costos 12m3-1T</vt:lpstr>
      <vt:lpstr>Costos 15m3-2T</vt:lpstr>
      <vt:lpstr>Costos 15m3-1T</vt:lpstr>
      <vt:lpstr>Costos 16m3-2T</vt:lpstr>
      <vt:lpstr>Costos 16m3-1T</vt:lpstr>
      <vt:lpstr>Costos 17m3-2T</vt:lpstr>
      <vt:lpstr>Costos 17m3-1T</vt:lpstr>
      <vt:lpstr>Costos 18m3-2T</vt:lpstr>
      <vt:lpstr>Costos 18m3-1T</vt:lpstr>
      <vt:lpstr>Costos 19m3-2T</vt:lpstr>
      <vt:lpstr>Costos 19m3-1T</vt:lpstr>
      <vt:lpstr>Costos 21m3-2T</vt:lpstr>
      <vt:lpstr>Costos 21m3-1T</vt:lpstr>
      <vt:lpstr>Costos 24m3-2T</vt:lpstr>
      <vt:lpstr>Costos 24m3-1T</vt:lpstr>
      <vt:lpstr>Gráficos</vt:lpstr>
      <vt:lpstr>P_6m3-2T</vt:lpstr>
      <vt:lpstr>P_6m3-1T</vt:lpstr>
      <vt:lpstr>P_9m3-2T</vt:lpstr>
      <vt:lpstr>P_9m3-1T</vt:lpstr>
      <vt:lpstr>P_12m3-2T</vt:lpstr>
      <vt:lpstr>P_12m3-1T</vt:lpstr>
      <vt:lpstr>P_15m3-2T</vt:lpstr>
      <vt:lpstr>P_15m3-1T</vt:lpstr>
      <vt:lpstr>P_16m3-2T</vt:lpstr>
      <vt:lpstr>P_16m3-1T</vt:lpstr>
      <vt:lpstr>P_17m3-2T</vt:lpstr>
      <vt:lpstr>P_17m3-1T</vt:lpstr>
      <vt:lpstr>P_18m3-2T</vt:lpstr>
      <vt:lpstr>P_18m3-1T</vt:lpstr>
      <vt:lpstr>P_19m3-2T</vt:lpstr>
      <vt:lpstr>P_19m3-1T</vt:lpstr>
      <vt:lpstr>P_21m3-2T</vt:lpstr>
      <vt:lpstr>P_21m3-1T</vt:lpstr>
      <vt:lpstr>P_24m3-2T</vt:lpstr>
      <vt:lpstr>P_24m3-1T</vt:lpstr>
      <vt:lpstr>P_Generación crítica </vt:lpstr>
      <vt:lpstr>P_Costos 6m3-2T</vt:lpstr>
      <vt:lpstr>P_Costos 6m3-1T</vt:lpstr>
      <vt:lpstr>P_Costos 9m3-2T</vt:lpstr>
      <vt:lpstr>P_Costos 9m3-1T</vt:lpstr>
      <vt:lpstr>P_Costos 12m3-2T</vt:lpstr>
      <vt:lpstr>P_Costos 12m3-1T</vt:lpstr>
      <vt:lpstr>P_Costos 15m3-2T</vt:lpstr>
      <vt:lpstr>P_Costos 15m3-1T</vt:lpstr>
      <vt:lpstr>P_Costos 16m3-2T</vt:lpstr>
      <vt:lpstr>P_Costos 16m3-1T</vt:lpstr>
      <vt:lpstr>P_Costos 17m3-2T</vt:lpstr>
      <vt:lpstr>P_Costos 17m3-1T</vt:lpstr>
      <vt:lpstr>P_Costos 18m3-2T</vt:lpstr>
      <vt:lpstr>P_Costos 18m3-1T</vt:lpstr>
      <vt:lpstr>P_Costos 19m3-2T</vt:lpstr>
      <vt:lpstr>P_Costos 19m3-1T</vt:lpstr>
      <vt:lpstr>P_Costos 21m3-2T</vt:lpstr>
      <vt:lpstr>P_Costos 21m3-1T</vt:lpstr>
      <vt:lpstr>P_Costos 24m3-2T</vt:lpstr>
      <vt:lpstr>P_Costos 24m3-1T</vt:lpstr>
      <vt:lpstr>P_Gráficos</vt:lpstr>
      <vt:lpstr>TA_25m3-2T</vt:lpstr>
      <vt:lpstr>TA_25m3-1T</vt:lpstr>
      <vt:lpstr>TA_30m3-2T</vt:lpstr>
      <vt:lpstr>TA_30m3-1T</vt:lpstr>
      <vt:lpstr>TA_35m3-2T</vt:lpstr>
      <vt:lpstr>TA_35m3-1T</vt:lpstr>
      <vt:lpstr>TA_40m3-2T</vt:lpstr>
      <vt:lpstr>TA_40m3-1T</vt:lpstr>
      <vt:lpstr>TA_45m3-2T</vt:lpstr>
      <vt:lpstr>TA_45m3-1T</vt:lpstr>
      <vt:lpstr>TA_50m3-2T</vt:lpstr>
      <vt:lpstr>TA_50m3-1T</vt:lpstr>
      <vt:lpstr>TA_Costos 25m3-2T</vt:lpstr>
      <vt:lpstr>TA_Costos 25m3-1T</vt:lpstr>
      <vt:lpstr>TA_Costos 30m3-2T</vt:lpstr>
      <vt:lpstr>TA_Costos 30m3-1T</vt:lpstr>
      <vt:lpstr>TA_Costos 35m3-2T</vt:lpstr>
      <vt:lpstr>TA_Costos 35m3-1T</vt:lpstr>
      <vt:lpstr>TA_Costos 40m3-2T</vt:lpstr>
      <vt:lpstr>TA_Costos 40m3-1T</vt:lpstr>
      <vt:lpstr>TA_Costos 45m3-2T</vt:lpstr>
      <vt:lpstr>TA_Costos 45m3-1T</vt:lpstr>
      <vt:lpstr>TA_Costos 50m3-2T</vt:lpstr>
      <vt:lpstr>TA_Costos 50m3-1T</vt:lpstr>
      <vt:lpstr>TA_Gráficos</vt:lpstr>
      <vt:lpstr>'12m3-1T'!Área_de_impresión</vt:lpstr>
      <vt:lpstr>'12m3-2T'!Área_de_impresión</vt:lpstr>
      <vt:lpstr>'15m3-1T'!Área_de_impresión</vt:lpstr>
      <vt:lpstr>'15m3-2T'!Área_de_impresión</vt:lpstr>
      <vt:lpstr>'16m3-1T'!Área_de_impresión</vt:lpstr>
      <vt:lpstr>'16m3-2T'!Área_de_impresión</vt:lpstr>
      <vt:lpstr>'17m3-1T'!Área_de_impresión</vt:lpstr>
      <vt:lpstr>'17m3-2T'!Área_de_impresión</vt:lpstr>
      <vt:lpstr>'18m3-1T'!Área_de_impresión</vt:lpstr>
      <vt:lpstr>'18m3-2T'!Área_de_impresión</vt:lpstr>
      <vt:lpstr>'19m3-1T'!Área_de_impresión</vt:lpstr>
      <vt:lpstr>'19m3-2T'!Área_de_impresión</vt:lpstr>
      <vt:lpstr>'21m3-1T'!Área_de_impresión</vt:lpstr>
      <vt:lpstr>'21m3-2T'!Área_de_impresión</vt:lpstr>
      <vt:lpstr>'24m3-1T'!Área_de_impresión</vt:lpstr>
      <vt:lpstr>'24m3-2T'!Área_de_impresión</vt:lpstr>
      <vt:lpstr>'9m3-1T'!Área_de_impresión</vt:lpstr>
      <vt:lpstr>'9m3-2T'!Área_de_impresión</vt:lpstr>
      <vt:lpstr>AYUDANTE!Área_de_impresión</vt:lpstr>
      <vt:lpstr>'Costos 12m3-1T'!Área_de_impresión</vt:lpstr>
      <vt:lpstr>'Costos 12m3-2T'!Área_de_impresión</vt:lpstr>
      <vt:lpstr>'Costos 15m3-1T'!Área_de_impresión</vt:lpstr>
      <vt:lpstr>'Costos 15m3-2T'!Área_de_impresión</vt:lpstr>
      <vt:lpstr>'Costos 16m3-1T'!Área_de_impresión</vt:lpstr>
      <vt:lpstr>'Costos 16m3-2T'!Área_de_impresión</vt:lpstr>
      <vt:lpstr>'Costos 17m3-1T'!Área_de_impresión</vt:lpstr>
      <vt:lpstr>'Costos 17m3-2T'!Área_de_impresión</vt:lpstr>
      <vt:lpstr>'Costos 18m3-1T'!Área_de_impresión</vt:lpstr>
      <vt:lpstr>'Costos 18m3-2T'!Área_de_impresión</vt:lpstr>
      <vt:lpstr>'Costos 19m3-1T'!Área_de_impresión</vt:lpstr>
      <vt:lpstr>'Costos 19m3-2T'!Área_de_impresión</vt:lpstr>
      <vt:lpstr>'Costos 21m3-1T'!Área_de_impresión</vt:lpstr>
      <vt:lpstr>'Costos 21m3-2T'!Área_de_impresión</vt:lpstr>
      <vt:lpstr>'Costos 24m3-1T'!Área_de_impresión</vt:lpstr>
      <vt:lpstr>'Costos 24m3-2T'!Área_de_impresión</vt:lpstr>
      <vt:lpstr>'Costos 9m3-1T'!Área_de_impresión</vt:lpstr>
      <vt:lpstr>'Costos 9m3-2T'!Área_de_impresión</vt:lpstr>
      <vt:lpstr>'Costos Operativos Rec-TA'!Área_de_impresión</vt:lpstr>
      <vt:lpstr>Datos!Área_de_impresión</vt:lpstr>
      <vt:lpstr>'Evaluacion Economica'!Área_de_impresión</vt:lpstr>
      <vt:lpstr>'Inversion rec-TA'!Área_de_impresión</vt:lpstr>
      <vt:lpstr>'Mano de Obra'!Área_de_impresión</vt:lpstr>
      <vt:lpstr>'MEDIO OFICIAL'!Área_de_impresión</vt:lpstr>
      <vt:lpstr>'OF. ESPECIALIZADO'!Área_de_impresión</vt:lpstr>
      <vt:lpstr>OFICIAL!Área_de_impresión</vt:lpstr>
      <vt:lpstr>'P_12m3-1T'!Área_de_impresión</vt:lpstr>
      <vt:lpstr>'P_12m3-2T'!Área_de_impresión</vt:lpstr>
      <vt:lpstr>'P_15m3-1T'!Área_de_impresión</vt:lpstr>
      <vt:lpstr>'P_15m3-2T'!Área_de_impresión</vt:lpstr>
      <vt:lpstr>'P_16m3-1T'!Área_de_impresión</vt:lpstr>
      <vt:lpstr>'P_16m3-2T'!Área_de_impresión</vt:lpstr>
      <vt:lpstr>'P_17m3-1T'!Área_de_impresión</vt:lpstr>
      <vt:lpstr>'P_17m3-2T'!Área_de_impresión</vt:lpstr>
      <vt:lpstr>'P_18m3-1T'!Área_de_impresión</vt:lpstr>
      <vt:lpstr>'P_18m3-2T'!Área_de_impresión</vt:lpstr>
      <vt:lpstr>'P_19m3-1T'!Área_de_impresión</vt:lpstr>
      <vt:lpstr>'P_19m3-2T'!Área_de_impresión</vt:lpstr>
      <vt:lpstr>'P_21m3-1T'!Área_de_impresión</vt:lpstr>
      <vt:lpstr>'P_21m3-2T'!Área_de_impresión</vt:lpstr>
      <vt:lpstr>'P_24m3-1T'!Área_de_impresión</vt:lpstr>
      <vt:lpstr>'P_24m3-2T'!Área_de_impresión</vt:lpstr>
      <vt:lpstr>'P_6m3-1T'!Área_de_impresión</vt:lpstr>
      <vt:lpstr>'P_6m3-2T'!Área_de_impresión</vt:lpstr>
      <vt:lpstr>'P_9m3-1T'!Área_de_impresión</vt:lpstr>
      <vt:lpstr>'P_9m3-2T'!Área_de_impresión</vt:lpstr>
      <vt:lpstr>P_Barrenderos!Área_de_impresión</vt:lpstr>
      <vt:lpstr>'P_Costos 12m3-1T'!Área_de_impresión</vt:lpstr>
      <vt:lpstr>'P_Costos 12m3-2T'!Área_de_impresión</vt:lpstr>
      <vt:lpstr>'P_Costos 15m3-1T'!Área_de_impresión</vt:lpstr>
      <vt:lpstr>'P_Costos 15m3-2T'!Área_de_impresión</vt:lpstr>
      <vt:lpstr>'P_Costos 16m3-1T'!Área_de_impresión</vt:lpstr>
      <vt:lpstr>'P_Costos 16m3-2T'!Área_de_impresión</vt:lpstr>
      <vt:lpstr>'P_Costos 17m3-1T'!Área_de_impresión</vt:lpstr>
      <vt:lpstr>'P_Costos 17m3-2T'!Área_de_impresión</vt:lpstr>
      <vt:lpstr>'P_Costos 18m3-1T'!Área_de_impresión</vt:lpstr>
      <vt:lpstr>'P_Costos 18m3-2T'!Área_de_impresión</vt:lpstr>
      <vt:lpstr>'P_Costos 19m3-1T'!Área_de_impresión</vt:lpstr>
      <vt:lpstr>'P_Costos 19m3-2T'!Área_de_impresión</vt:lpstr>
      <vt:lpstr>'P_Costos 21m3-1T'!Área_de_impresión</vt:lpstr>
      <vt:lpstr>'P_Costos 21m3-2T'!Área_de_impresión</vt:lpstr>
      <vt:lpstr>'P_Costos 24m3-1T'!Área_de_impresión</vt:lpstr>
      <vt:lpstr>'P_Costos 24m3-2T'!Área_de_impresión</vt:lpstr>
      <vt:lpstr>'P_Costos 6m3-1T'!Área_de_impresión</vt:lpstr>
      <vt:lpstr>'P_Costos 6m3-2T'!Área_de_impresión</vt:lpstr>
      <vt:lpstr>'P_Costos 9m3-1T'!Área_de_impresión</vt:lpstr>
      <vt:lpstr>'P_Costos 9m3-2T'!Área_de_impresión</vt:lpstr>
      <vt:lpstr>P_Datos!Área_de_impresión</vt:lpstr>
      <vt:lpstr>'P_Evaluacion Economica'!Área_de_impresión</vt:lpstr>
      <vt:lpstr>'TA_25m3-1T'!Área_de_impresión</vt:lpstr>
      <vt:lpstr>'TA_25m3-2T'!Área_de_impresión</vt:lpstr>
      <vt:lpstr>'TA_30m3-1T'!Área_de_impresión</vt:lpstr>
      <vt:lpstr>'TA_30m3-2T'!Área_de_impresión</vt:lpstr>
      <vt:lpstr>'TA_35m3-1T'!Área_de_impresión</vt:lpstr>
      <vt:lpstr>'TA_35m3-2T'!Área_de_impresión</vt:lpstr>
      <vt:lpstr>'TA_40m3-1T'!Área_de_impresión</vt:lpstr>
      <vt:lpstr>'TA_40m3-2T'!Área_de_impresión</vt:lpstr>
      <vt:lpstr>'TA_45m3-1T'!Área_de_impresión</vt:lpstr>
      <vt:lpstr>'TA_45m3-2T'!Área_de_impresión</vt:lpstr>
      <vt:lpstr>'TA_50m3-1T'!Área_de_impresión</vt:lpstr>
      <vt:lpstr>'TA_50m3-2T'!Área_de_impresión</vt:lpstr>
      <vt:lpstr>'TA_Costos 25m3-1T'!Área_de_impresión</vt:lpstr>
      <vt:lpstr>'TA_Costos 25m3-2T'!Área_de_impresión</vt:lpstr>
      <vt:lpstr>'TA_Costos 30m3-1T'!Área_de_impresión</vt:lpstr>
      <vt:lpstr>'TA_Costos 30m3-2T'!Área_de_impresión</vt:lpstr>
      <vt:lpstr>'TA_Costos 35m3-1T'!Área_de_impresión</vt:lpstr>
      <vt:lpstr>'TA_Costos 35m3-2T'!Área_de_impresión</vt:lpstr>
      <vt:lpstr>'TA_Costos 40m3-1T'!Área_de_impresión</vt:lpstr>
      <vt:lpstr>'TA_Costos 40m3-2T'!Área_de_impresión</vt:lpstr>
      <vt:lpstr>'TA_Costos 45m3-1T'!Área_de_impresión</vt:lpstr>
      <vt:lpstr>'TA_Costos 45m3-2T'!Área_de_impresión</vt:lpstr>
      <vt:lpstr>'TA_Costos 50m3-1T'!Área_de_impresión</vt:lpstr>
      <vt:lpstr>'TA_Costos 50m3-2T'!Área_de_impresión</vt:lpstr>
      <vt:lpstr>TA_Datos!Área_de_impresión</vt:lpstr>
      <vt:lpstr>'TA_Evaluacion Economica'!Área_de_impresión</vt:lpstr>
      <vt:lpstr>TR_1!Área_de_impresión</vt:lpstr>
    </vt:vector>
  </TitlesOfParts>
  <Company>Home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Revisor A</dc:creator>
  <cp:lastModifiedBy>Federico Ariel Andrada Frau</cp:lastModifiedBy>
  <cp:lastPrinted>2014-06-25T20:19:45Z</cp:lastPrinted>
  <dcterms:created xsi:type="dcterms:W3CDTF">2014-03-16T19:45:23Z</dcterms:created>
  <dcterms:modified xsi:type="dcterms:W3CDTF">2024-01-12T20:23:38Z</dcterms:modified>
</cp:coreProperties>
</file>